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trn\Github\Unity-MLAgents-FPS\Assets\결과\#1 기본 맵\"/>
    </mc:Choice>
  </mc:AlternateContent>
  <xr:revisionPtr revIDLastSave="0" documentId="13_ncr:1_{D1DE8C22-A748-409A-8088-01BE193E8BAA}" xr6:coauthVersionLast="47" xr6:coauthVersionMax="47" xr10:uidLastSave="{00000000-0000-0000-0000-000000000000}"/>
  <bookViews>
    <workbookView xWindow="-108" yWindow="-108" windowWidth="23256" windowHeight="13896" firstSheet="2" activeTab="5" xr2:uid="{E9FEF6DE-B22F-41FD-92E6-9C0587BC489C}"/>
  </bookViews>
  <sheets>
    <sheet name="CA_Origin vs TT_Origin" sheetId="1" r:id="rId1"/>
    <sheet name="CA_Origin vs TT_MissReward" sheetId="2" r:id="rId2"/>
    <sheet name="CA_MissReward vs TT_Origin" sheetId="3" r:id="rId3"/>
    <sheet name="CA_MissReward vs TT_MissReward" sheetId="4" r:id="rId4"/>
    <sheet name="통합" sheetId="5" r:id="rId5"/>
    <sheet name="Sheet1" sheetId="6" r:id="rId6"/>
  </sheets>
  <definedNames>
    <definedName name="_xlnm._FilterDatabase" localSheetId="5" hidden="1">Sheet1!$A$1:$H$1006</definedName>
    <definedName name="_xlchart.v1.0" hidden="1">Sheet1!$G$6</definedName>
    <definedName name="_xlchart.v1.1" hidden="1">Sheet1!$G$7:$G$1006</definedName>
    <definedName name="_xlchart.v1.10" hidden="1">Sheet1!$F$6</definedName>
    <definedName name="_xlchart.v1.11" hidden="1">Sheet1!$F$7:$F$1006</definedName>
    <definedName name="_xlchart.v1.12" hidden="1">Sheet1!$A$6</definedName>
    <definedName name="_xlchart.v1.13" hidden="1">Sheet1!$A$7:$A$1006</definedName>
    <definedName name="_xlchart.v1.14" hidden="1">Sheet1!$B$6</definedName>
    <definedName name="_xlchart.v1.15" hidden="1">Sheet1!$B$7:$B$1006</definedName>
    <definedName name="_xlchart.v1.2" hidden="1">Sheet1!$H$6</definedName>
    <definedName name="_xlchart.v1.3" hidden="1">Sheet1!$H$7:$H$1006</definedName>
    <definedName name="_xlchart.v1.4" hidden="1">Sheet1!$C$6</definedName>
    <definedName name="_xlchart.v1.5" hidden="1">Sheet1!$C$7:$C$1006</definedName>
    <definedName name="_xlchart.v1.6" hidden="1">Sheet1!$D$6</definedName>
    <definedName name="_xlchart.v1.7" hidden="1">Sheet1!$D$7:$D$1006</definedName>
    <definedName name="_xlchart.v1.8" hidden="1">Sheet1!$E$6</definedName>
    <definedName name="_xlchart.v1.9" hidden="1">Sheet1!$E$7:$E$1006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I8" i="6"/>
  <c r="J8" i="6"/>
  <c r="K8" i="6"/>
  <c r="L8" i="6"/>
  <c r="M8" i="6"/>
  <c r="N8" i="6"/>
  <c r="O8" i="6"/>
  <c r="P8" i="6"/>
  <c r="I9" i="6"/>
  <c r="J9" i="6"/>
  <c r="K9" i="6"/>
  <c r="L9" i="6"/>
  <c r="M9" i="6"/>
  <c r="N9" i="6"/>
  <c r="O9" i="6"/>
  <c r="P9" i="6"/>
  <c r="I10" i="6"/>
  <c r="J10" i="6"/>
  <c r="K10" i="6"/>
  <c r="L10" i="6"/>
  <c r="M10" i="6"/>
  <c r="N10" i="6"/>
  <c r="O10" i="6"/>
  <c r="P10" i="6"/>
  <c r="I11" i="6"/>
  <c r="J11" i="6"/>
  <c r="K11" i="6"/>
  <c r="L11" i="6"/>
  <c r="M11" i="6"/>
  <c r="N11" i="6"/>
  <c r="O11" i="6"/>
  <c r="P11" i="6"/>
  <c r="I12" i="6"/>
  <c r="J12" i="6"/>
  <c r="K12" i="6"/>
  <c r="L12" i="6"/>
  <c r="M12" i="6"/>
  <c r="N12" i="6"/>
  <c r="O12" i="6"/>
  <c r="P12" i="6"/>
  <c r="I13" i="6"/>
  <c r="J13" i="6"/>
  <c r="K13" i="6"/>
  <c r="L13" i="6"/>
  <c r="M13" i="6"/>
  <c r="N13" i="6"/>
  <c r="O13" i="6"/>
  <c r="P13" i="6"/>
  <c r="I14" i="6"/>
  <c r="J14" i="6"/>
  <c r="K14" i="6"/>
  <c r="L14" i="6"/>
  <c r="M14" i="6"/>
  <c r="N14" i="6"/>
  <c r="O14" i="6"/>
  <c r="P14" i="6"/>
  <c r="I15" i="6"/>
  <c r="J15" i="6"/>
  <c r="K15" i="6"/>
  <c r="L15" i="6"/>
  <c r="M15" i="6"/>
  <c r="N15" i="6"/>
  <c r="O15" i="6"/>
  <c r="P15" i="6"/>
  <c r="I16" i="6"/>
  <c r="J16" i="6"/>
  <c r="K16" i="6"/>
  <c r="L16" i="6"/>
  <c r="M16" i="6"/>
  <c r="N16" i="6"/>
  <c r="O16" i="6"/>
  <c r="P16" i="6"/>
  <c r="I17" i="6"/>
  <c r="J17" i="6"/>
  <c r="K17" i="6"/>
  <c r="L17" i="6"/>
  <c r="M17" i="6"/>
  <c r="N17" i="6"/>
  <c r="O17" i="6"/>
  <c r="P17" i="6"/>
  <c r="I18" i="6"/>
  <c r="J18" i="6"/>
  <c r="K18" i="6"/>
  <c r="L18" i="6"/>
  <c r="M18" i="6"/>
  <c r="N18" i="6"/>
  <c r="O18" i="6"/>
  <c r="P18" i="6"/>
  <c r="I19" i="6"/>
  <c r="J19" i="6"/>
  <c r="K19" i="6"/>
  <c r="L19" i="6"/>
  <c r="M19" i="6"/>
  <c r="N19" i="6"/>
  <c r="O19" i="6"/>
  <c r="P19" i="6"/>
  <c r="I20" i="6"/>
  <c r="J20" i="6"/>
  <c r="K20" i="6"/>
  <c r="L20" i="6"/>
  <c r="M20" i="6"/>
  <c r="N20" i="6"/>
  <c r="O20" i="6"/>
  <c r="P20" i="6"/>
  <c r="I21" i="6"/>
  <c r="J21" i="6"/>
  <c r="K21" i="6"/>
  <c r="L21" i="6"/>
  <c r="M21" i="6"/>
  <c r="N21" i="6"/>
  <c r="O21" i="6"/>
  <c r="P21" i="6"/>
  <c r="I22" i="6"/>
  <c r="J22" i="6"/>
  <c r="K22" i="6"/>
  <c r="L22" i="6"/>
  <c r="M22" i="6"/>
  <c r="N22" i="6"/>
  <c r="O22" i="6"/>
  <c r="P22" i="6"/>
  <c r="I23" i="6"/>
  <c r="J23" i="6"/>
  <c r="K23" i="6"/>
  <c r="L23" i="6"/>
  <c r="M23" i="6"/>
  <c r="N23" i="6"/>
  <c r="O23" i="6"/>
  <c r="P23" i="6"/>
  <c r="I24" i="6"/>
  <c r="J24" i="6"/>
  <c r="K24" i="6"/>
  <c r="L24" i="6"/>
  <c r="M24" i="6"/>
  <c r="N24" i="6"/>
  <c r="O24" i="6"/>
  <c r="P24" i="6"/>
  <c r="I25" i="6"/>
  <c r="J25" i="6"/>
  <c r="K25" i="6"/>
  <c r="L25" i="6"/>
  <c r="M25" i="6"/>
  <c r="N25" i="6"/>
  <c r="O25" i="6"/>
  <c r="P25" i="6"/>
  <c r="I26" i="6"/>
  <c r="J26" i="6"/>
  <c r="K26" i="6"/>
  <c r="L26" i="6"/>
  <c r="M26" i="6"/>
  <c r="N26" i="6"/>
  <c r="O26" i="6"/>
  <c r="P26" i="6"/>
  <c r="I27" i="6"/>
  <c r="J27" i="6"/>
  <c r="K27" i="6"/>
  <c r="L27" i="6"/>
  <c r="M27" i="6"/>
  <c r="N27" i="6"/>
  <c r="O27" i="6"/>
  <c r="P27" i="6"/>
  <c r="I28" i="6"/>
  <c r="J28" i="6"/>
  <c r="K28" i="6"/>
  <c r="L28" i="6"/>
  <c r="M28" i="6"/>
  <c r="N28" i="6"/>
  <c r="O28" i="6"/>
  <c r="P28" i="6"/>
  <c r="I29" i="6"/>
  <c r="J29" i="6"/>
  <c r="K29" i="6"/>
  <c r="L29" i="6"/>
  <c r="M29" i="6"/>
  <c r="N29" i="6"/>
  <c r="O29" i="6"/>
  <c r="P29" i="6"/>
  <c r="I30" i="6"/>
  <c r="J30" i="6"/>
  <c r="K30" i="6"/>
  <c r="L30" i="6"/>
  <c r="M30" i="6"/>
  <c r="N30" i="6"/>
  <c r="O30" i="6"/>
  <c r="P30" i="6"/>
  <c r="I31" i="6"/>
  <c r="J31" i="6"/>
  <c r="K31" i="6"/>
  <c r="L31" i="6"/>
  <c r="M31" i="6"/>
  <c r="N31" i="6"/>
  <c r="O31" i="6"/>
  <c r="P31" i="6"/>
  <c r="I32" i="6"/>
  <c r="J32" i="6"/>
  <c r="K32" i="6"/>
  <c r="L32" i="6"/>
  <c r="M32" i="6"/>
  <c r="N32" i="6"/>
  <c r="O32" i="6"/>
  <c r="P32" i="6"/>
  <c r="I33" i="6"/>
  <c r="J33" i="6"/>
  <c r="K33" i="6"/>
  <c r="L33" i="6"/>
  <c r="M33" i="6"/>
  <c r="N33" i="6"/>
  <c r="O33" i="6"/>
  <c r="P33" i="6"/>
  <c r="I34" i="6"/>
  <c r="J34" i="6"/>
  <c r="K34" i="6"/>
  <c r="L34" i="6"/>
  <c r="M34" i="6"/>
  <c r="N34" i="6"/>
  <c r="O34" i="6"/>
  <c r="P34" i="6"/>
  <c r="I35" i="6"/>
  <c r="J35" i="6"/>
  <c r="K35" i="6"/>
  <c r="L35" i="6"/>
  <c r="M35" i="6"/>
  <c r="N35" i="6"/>
  <c r="O35" i="6"/>
  <c r="P35" i="6"/>
  <c r="I36" i="6"/>
  <c r="J36" i="6"/>
  <c r="K36" i="6"/>
  <c r="L36" i="6"/>
  <c r="M36" i="6"/>
  <c r="N36" i="6"/>
  <c r="O36" i="6"/>
  <c r="P36" i="6"/>
  <c r="I37" i="6"/>
  <c r="J37" i="6"/>
  <c r="K37" i="6"/>
  <c r="L37" i="6"/>
  <c r="M37" i="6"/>
  <c r="N37" i="6"/>
  <c r="O37" i="6"/>
  <c r="P37" i="6"/>
  <c r="I38" i="6"/>
  <c r="J38" i="6"/>
  <c r="K38" i="6"/>
  <c r="L38" i="6"/>
  <c r="M38" i="6"/>
  <c r="N38" i="6"/>
  <c r="O38" i="6"/>
  <c r="P38" i="6"/>
  <c r="I39" i="6"/>
  <c r="J39" i="6"/>
  <c r="K39" i="6"/>
  <c r="L39" i="6"/>
  <c r="M39" i="6"/>
  <c r="N39" i="6"/>
  <c r="O39" i="6"/>
  <c r="P39" i="6"/>
  <c r="I40" i="6"/>
  <c r="J40" i="6"/>
  <c r="K40" i="6"/>
  <c r="L40" i="6"/>
  <c r="M40" i="6"/>
  <c r="N40" i="6"/>
  <c r="O40" i="6"/>
  <c r="P40" i="6"/>
  <c r="I41" i="6"/>
  <c r="J41" i="6"/>
  <c r="K41" i="6"/>
  <c r="L41" i="6"/>
  <c r="M41" i="6"/>
  <c r="N41" i="6"/>
  <c r="O41" i="6"/>
  <c r="P41" i="6"/>
  <c r="I42" i="6"/>
  <c r="J42" i="6"/>
  <c r="K42" i="6"/>
  <c r="L42" i="6"/>
  <c r="M42" i="6"/>
  <c r="N42" i="6"/>
  <c r="O42" i="6"/>
  <c r="P42" i="6"/>
  <c r="I43" i="6"/>
  <c r="J43" i="6"/>
  <c r="K43" i="6"/>
  <c r="L43" i="6"/>
  <c r="M43" i="6"/>
  <c r="N43" i="6"/>
  <c r="O43" i="6"/>
  <c r="P43" i="6"/>
  <c r="I44" i="6"/>
  <c r="J44" i="6"/>
  <c r="K44" i="6"/>
  <c r="L44" i="6"/>
  <c r="M44" i="6"/>
  <c r="N44" i="6"/>
  <c r="O44" i="6"/>
  <c r="P44" i="6"/>
  <c r="I45" i="6"/>
  <c r="J45" i="6"/>
  <c r="K45" i="6"/>
  <c r="L45" i="6"/>
  <c r="M45" i="6"/>
  <c r="N45" i="6"/>
  <c r="O45" i="6"/>
  <c r="P45" i="6"/>
  <c r="I46" i="6"/>
  <c r="J46" i="6"/>
  <c r="K46" i="6"/>
  <c r="L46" i="6"/>
  <c r="M46" i="6"/>
  <c r="N46" i="6"/>
  <c r="O46" i="6"/>
  <c r="P46" i="6"/>
  <c r="I47" i="6"/>
  <c r="J47" i="6"/>
  <c r="K47" i="6"/>
  <c r="L47" i="6"/>
  <c r="M47" i="6"/>
  <c r="N47" i="6"/>
  <c r="O47" i="6"/>
  <c r="P47" i="6"/>
  <c r="I48" i="6"/>
  <c r="J48" i="6"/>
  <c r="K48" i="6"/>
  <c r="L48" i="6"/>
  <c r="M48" i="6"/>
  <c r="N48" i="6"/>
  <c r="O48" i="6"/>
  <c r="P48" i="6"/>
  <c r="I49" i="6"/>
  <c r="J49" i="6"/>
  <c r="K49" i="6"/>
  <c r="L49" i="6"/>
  <c r="M49" i="6"/>
  <c r="N49" i="6"/>
  <c r="O49" i="6"/>
  <c r="P49" i="6"/>
  <c r="I50" i="6"/>
  <c r="J50" i="6"/>
  <c r="K50" i="6"/>
  <c r="L50" i="6"/>
  <c r="M50" i="6"/>
  <c r="N50" i="6"/>
  <c r="O50" i="6"/>
  <c r="P50" i="6"/>
  <c r="I51" i="6"/>
  <c r="J51" i="6"/>
  <c r="K51" i="6"/>
  <c r="L51" i="6"/>
  <c r="M51" i="6"/>
  <c r="N51" i="6"/>
  <c r="O51" i="6"/>
  <c r="P51" i="6"/>
  <c r="I52" i="6"/>
  <c r="J52" i="6"/>
  <c r="K52" i="6"/>
  <c r="L52" i="6"/>
  <c r="M52" i="6"/>
  <c r="N52" i="6"/>
  <c r="O52" i="6"/>
  <c r="P52" i="6"/>
  <c r="I53" i="6"/>
  <c r="J53" i="6"/>
  <c r="K53" i="6"/>
  <c r="L53" i="6"/>
  <c r="M53" i="6"/>
  <c r="N53" i="6"/>
  <c r="O53" i="6"/>
  <c r="P53" i="6"/>
  <c r="I54" i="6"/>
  <c r="J54" i="6"/>
  <c r="K54" i="6"/>
  <c r="L54" i="6"/>
  <c r="M54" i="6"/>
  <c r="N54" i="6"/>
  <c r="O54" i="6"/>
  <c r="P54" i="6"/>
  <c r="I55" i="6"/>
  <c r="J55" i="6"/>
  <c r="K55" i="6"/>
  <c r="L55" i="6"/>
  <c r="M55" i="6"/>
  <c r="N55" i="6"/>
  <c r="O55" i="6"/>
  <c r="P55" i="6"/>
  <c r="I56" i="6"/>
  <c r="J56" i="6"/>
  <c r="K56" i="6"/>
  <c r="L56" i="6"/>
  <c r="M56" i="6"/>
  <c r="N56" i="6"/>
  <c r="O56" i="6"/>
  <c r="P56" i="6"/>
  <c r="I57" i="6"/>
  <c r="J57" i="6"/>
  <c r="K57" i="6"/>
  <c r="L57" i="6"/>
  <c r="M57" i="6"/>
  <c r="N57" i="6"/>
  <c r="O57" i="6"/>
  <c r="P57" i="6"/>
  <c r="I58" i="6"/>
  <c r="J58" i="6"/>
  <c r="K58" i="6"/>
  <c r="L58" i="6"/>
  <c r="M58" i="6"/>
  <c r="N58" i="6"/>
  <c r="O58" i="6"/>
  <c r="P58" i="6"/>
  <c r="I59" i="6"/>
  <c r="J59" i="6"/>
  <c r="K59" i="6"/>
  <c r="L59" i="6"/>
  <c r="M59" i="6"/>
  <c r="N59" i="6"/>
  <c r="O59" i="6"/>
  <c r="P59" i="6"/>
  <c r="I60" i="6"/>
  <c r="J60" i="6"/>
  <c r="K60" i="6"/>
  <c r="L60" i="6"/>
  <c r="M60" i="6"/>
  <c r="N60" i="6"/>
  <c r="O60" i="6"/>
  <c r="P60" i="6"/>
  <c r="I61" i="6"/>
  <c r="J61" i="6"/>
  <c r="K61" i="6"/>
  <c r="L61" i="6"/>
  <c r="M61" i="6"/>
  <c r="N61" i="6"/>
  <c r="O61" i="6"/>
  <c r="P61" i="6"/>
  <c r="I62" i="6"/>
  <c r="J62" i="6"/>
  <c r="K62" i="6"/>
  <c r="L62" i="6"/>
  <c r="M62" i="6"/>
  <c r="N62" i="6"/>
  <c r="O62" i="6"/>
  <c r="P62" i="6"/>
  <c r="I63" i="6"/>
  <c r="J63" i="6"/>
  <c r="K63" i="6"/>
  <c r="L63" i="6"/>
  <c r="M63" i="6"/>
  <c r="N63" i="6"/>
  <c r="O63" i="6"/>
  <c r="P63" i="6"/>
  <c r="I64" i="6"/>
  <c r="J64" i="6"/>
  <c r="K64" i="6"/>
  <c r="L64" i="6"/>
  <c r="M64" i="6"/>
  <c r="N64" i="6"/>
  <c r="O64" i="6"/>
  <c r="P64" i="6"/>
  <c r="I65" i="6"/>
  <c r="J65" i="6"/>
  <c r="K65" i="6"/>
  <c r="L65" i="6"/>
  <c r="M65" i="6"/>
  <c r="N65" i="6"/>
  <c r="O65" i="6"/>
  <c r="P65" i="6"/>
  <c r="I66" i="6"/>
  <c r="J66" i="6"/>
  <c r="K66" i="6"/>
  <c r="L66" i="6"/>
  <c r="M66" i="6"/>
  <c r="N66" i="6"/>
  <c r="O66" i="6"/>
  <c r="P66" i="6"/>
  <c r="I67" i="6"/>
  <c r="J67" i="6"/>
  <c r="K67" i="6"/>
  <c r="L67" i="6"/>
  <c r="M67" i="6"/>
  <c r="N67" i="6"/>
  <c r="O67" i="6"/>
  <c r="P67" i="6"/>
  <c r="I68" i="6"/>
  <c r="J68" i="6"/>
  <c r="K68" i="6"/>
  <c r="L68" i="6"/>
  <c r="M68" i="6"/>
  <c r="N68" i="6"/>
  <c r="O68" i="6"/>
  <c r="P68" i="6"/>
  <c r="I69" i="6"/>
  <c r="J69" i="6"/>
  <c r="K69" i="6"/>
  <c r="L69" i="6"/>
  <c r="M69" i="6"/>
  <c r="N69" i="6"/>
  <c r="O69" i="6"/>
  <c r="P69" i="6"/>
  <c r="I70" i="6"/>
  <c r="J70" i="6"/>
  <c r="K70" i="6"/>
  <c r="L70" i="6"/>
  <c r="M70" i="6"/>
  <c r="N70" i="6"/>
  <c r="O70" i="6"/>
  <c r="P70" i="6"/>
  <c r="I71" i="6"/>
  <c r="J71" i="6"/>
  <c r="K71" i="6"/>
  <c r="L71" i="6"/>
  <c r="M71" i="6"/>
  <c r="N71" i="6"/>
  <c r="O71" i="6"/>
  <c r="P71" i="6"/>
  <c r="I72" i="6"/>
  <c r="J72" i="6"/>
  <c r="K72" i="6"/>
  <c r="L72" i="6"/>
  <c r="M72" i="6"/>
  <c r="N72" i="6"/>
  <c r="O72" i="6"/>
  <c r="P72" i="6"/>
  <c r="I73" i="6"/>
  <c r="J73" i="6"/>
  <c r="K73" i="6"/>
  <c r="L73" i="6"/>
  <c r="M73" i="6"/>
  <c r="N73" i="6"/>
  <c r="O73" i="6"/>
  <c r="P73" i="6"/>
  <c r="I74" i="6"/>
  <c r="J74" i="6"/>
  <c r="K74" i="6"/>
  <c r="L74" i="6"/>
  <c r="M74" i="6"/>
  <c r="N74" i="6"/>
  <c r="O74" i="6"/>
  <c r="P74" i="6"/>
  <c r="I75" i="6"/>
  <c r="J75" i="6"/>
  <c r="K75" i="6"/>
  <c r="L75" i="6"/>
  <c r="M75" i="6"/>
  <c r="N75" i="6"/>
  <c r="O75" i="6"/>
  <c r="P75" i="6"/>
  <c r="I76" i="6"/>
  <c r="J76" i="6"/>
  <c r="K76" i="6"/>
  <c r="L76" i="6"/>
  <c r="M76" i="6"/>
  <c r="N76" i="6"/>
  <c r="O76" i="6"/>
  <c r="P76" i="6"/>
  <c r="I77" i="6"/>
  <c r="J77" i="6"/>
  <c r="K77" i="6"/>
  <c r="L77" i="6"/>
  <c r="M77" i="6"/>
  <c r="N77" i="6"/>
  <c r="O77" i="6"/>
  <c r="P77" i="6"/>
  <c r="I78" i="6"/>
  <c r="J78" i="6"/>
  <c r="K78" i="6"/>
  <c r="L78" i="6"/>
  <c r="M78" i="6"/>
  <c r="N78" i="6"/>
  <c r="O78" i="6"/>
  <c r="P78" i="6"/>
  <c r="I79" i="6"/>
  <c r="J79" i="6"/>
  <c r="K79" i="6"/>
  <c r="L79" i="6"/>
  <c r="M79" i="6"/>
  <c r="N79" i="6"/>
  <c r="O79" i="6"/>
  <c r="P79" i="6"/>
  <c r="I80" i="6"/>
  <c r="J80" i="6"/>
  <c r="K80" i="6"/>
  <c r="L80" i="6"/>
  <c r="M80" i="6"/>
  <c r="N80" i="6"/>
  <c r="O80" i="6"/>
  <c r="P80" i="6"/>
  <c r="I81" i="6"/>
  <c r="J81" i="6"/>
  <c r="K81" i="6"/>
  <c r="L81" i="6"/>
  <c r="M81" i="6"/>
  <c r="N81" i="6"/>
  <c r="O81" i="6"/>
  <c r="P81" i="6"/>
  <c r="I82" i="6"/>
  <c r="J82" i="6"/>
  <c r="K82" i="6"/>
  <c r="L82" i="6"/>
  <c r="M82" i="6"/>
  <c r="N82" i="6"/>
  <c r="O82" i="6"/>
  <c r="P82" i="6"/>
  <c r="I83" i="6"/>
  <c r="J83" i="6"/>
  <c r="K83" i="6"/>
  <c r="L83" i="6"/>
  <c r="M83" i="6"/>
  <c r="N83" i="6"/>
  <c r="O83" i="6"/>
  <c r="P83" i="6"/>
  <c r="I84" i="6"/>
  <c r="J84" i="6"/>
  <c r="K84" i="6"/>
  <c r="L84" i="6"/>
  <c r="M84" i="6"/>
  <c r="N84" i="6"/>
  <c r="O84" i="6"/>
  <c r="P84" i="6"/>
  <c r="I85" i="6"/>
  <c r="J85" i="6"/>
  <c r="K85" i="6"/>
  <c r="L85" i="6"/>
  <c r="M85" i="6"/>
  <c r="N85" i="6"/>
  <c r="O85" i="6"/>
  <c r="P85" i="6"/>
  <c r="I86" i="6"/>
  <c r="J86" i="6"/>
  <c r="K86" i="6"/>
  <c r="L86" i="6"/>
  <c r="M86" i="6"/>
  <c r="N86" i="6"/>
  <c r="O86" i="6"/>
  <c r="P86" i="6"/>
  <c r="I87" i="6"/>
  <c r="J87" i="6"/>
  <c r="K87" i="6"/>
  <c r="L87" i="6"/>
  <c r="M87" i="6"/>
  <c r="N87" i="6"/>
  <c r="O87" i="6"/>
  <c r="P87" i="6"/>
  <c r="I88" i="6"/>
  <c r="J88" i="6"/>
  <c r="K88" i="6"/>
  <c r="L88" i="6"/>
  <c r="M88" i="6"/>
  <c r="N88" i="6"/>
  <c r="O88" i="6"/>
  <c r="P88" i="6"/>
  <c r="I89" i="6"/>
  <c r="J89" i="6"/>
  <c r="K89" i="6"/>
  <c r="L89" i="6"/>
  <c r="M89" i="6"/>
  <c r="N89" i="6"/>
  <c r="O89" i="6"/>
  <c r="P89" i="6"/>
  <c r="I90" i="6"/>
  <c r="J90" i="6"/>
  <c r="K90" i="6"/>
  <c r="L90" i="6"/>
  <c r="M90" i="6"/>
  <c r="N90" i="6"/>
  <c r="O90" i="6"/>
  <c r="P90" i="6"/>
  <c r="I91" i="6"/>
  <c r="J91" i="6"/>
  <c r="K91" i="6"/>
  <c r="L91" i="6"/>
  <c r="M91" i="6"/>
  <c r="N91" i="6"/>
  <c r="O91" i="6"/>
  <c r="P91" i="6"/>
  <c r="I92" i="6"/>
  <c r="J92" i="6"/>
  <c r="K92" i="6"/>
  <c r="L92" i="6"/>
  <c r="M92" i="6"/>
  <c r="N92" i="6"/>
  <c r="O92" i="6"/>
  <c r="P92" i="6"/>
  <c r="I93" i="6"/>
  <c r="J93" i="6"/>
  <c r="K93" i="6"/>
  <c r="L93" i="6"/>
  <c r="M93" i="6"/>
  <c r="N93" i="6"/>
  <c r="O93" i="6"/>
  <c r="P93" i="6"/>
  <c r="I94" i="6"/>
  <c r="J94" i="6"/>
  <c r="K94" i="6"/>
  <c r="L94" i="6"/>
  <c r="M94" i="6"/>
  <c r="N94" i="6"/>
  <c r="O94" i="6"/>
  <c r="P94" i="6"/>
  <c r="I95" i="6"/>
  <c r="J95" i="6"/>
  <c r="K95" i="6"/>
  <c r="L95" i="6"/>
  <c r="M95" i="6"/>
  <c r="N95" i="6"/>
  <c r="O95" i="6"/>
  <c r="P95" i="6"/>
  <c r="I96" i="6"/>
  <c r="J96" i="6"/>
  <c r="K96" i="6"/>
  <c r="L96" i="6"/>
  <c r="M96" i="6"/>
  <c r="N96" i="6"/>
  <c r="O96" i="6"/>
  <c r="P96" i="6"/>
  <c r="I97" i="6"/>
  <c r="J97" i="6"/>
  <c r="K97" i="6"/>
  <c r="L97" i="6"/>
  <c r="M97" i="6"/>
  <c r="N97" i="6"/>
  <c r="O97" i="6"/>
  <c r="P97" i="6"/>
  <c r="I98" i="6"/>
  <c r="J98" i="6"/>
  <c r="K98" i="6"/>
  <c r="L98" i="6"/>
  <c r="M98" i="6"/>
  <c r="N98" i="6"/>
  <c r="O98" i="6"/>
  <c r="P98" i="6"/>
  <c r="I99" i="6"/>
  <c r="J99" i="6"/>
  <c r="K99" i="6"/>
  <c r="L99" i="6"/>
  <c r="M99" i="6"/>
  <c r="N99" i="6"/>
  <c r="O99" i="6"/>
  <c r="P99" i="6"/>
  <c r="I100" i="6"/>
  <c r="J100" i="6"/>
  <c r="K100" i="6"/>
  <c r="L100" i="6"/>
  <c r="M100" i="6"/>
  <c r="N100" i="6"/>
  <c r="O100" i="6"/>
  <c r="P100" i="6"/>
  <c r="I101" i="6"/>
  <c r="J101" i="6"/>
  <c r="K101" i="6"/>
  <c r="L101" i="6"/>
  <c r="M101" i="6"/>
  <c r="N101" i="6"/>
  <c r="O101" i="6"/>
  <c r="P101" i="6"/>
  <c r="I102" i="6"/>
  <c r="J102" i="6"/>
  <c r="K102" i="6"/>
  <c r="L102" i="6"/>
  <c r="M102" i="6"/>
  <c r="N102" i="6"/>
  <c r="O102" i="6"/>
  <c r="P102" i="6"/>
  <c r="I103" i="6"/>
  <c r="J103" i="6"/>
  <c r="K103" i="6"/>
  <c r="L103" i="6"/>
  <c r="M103" i="6"/>
  <c r="N103" i="6"/>
  <c r="O103" i="6"/>
  <c r="P103" i="6"/>
  <c r="I104" i="6"/>
  <c r="J104" i="6"/>
  <c r="K104" i="6"/>
  <c r="L104" i="6"/>
  <c r="M104" i="6"/>
  <c r="N104" i="6"/>
  <c r="O104" i="6"/>
  <c r="P104" i="6"/>
  <c r="I105" i="6"/>
  <c r="J105" i="6"/>
  <c r="K105" i="6"/>
  <c r="L105" i="6"/>
  <c r="M105" i="6"/>
  <c r="N105" i="6"/>
  <c r="O105" i="6"/>
  <c r="P105" i="6"/>
  <c r="I106" i="6"/>
  <c r="J106" i="6"/>
  <c r="K106" i="6"/>
  <c r="L106" i="6"/>
  <c r="M106" i="6"/>
  <c r="N106" i="6"/>
  <c r="O106" i="6"/>
  <c r="P106" i="6"/>
  <c r="I107" i="6"/>
  <c r="J107" i="6"/>
  <c r="K107" i="6"/>
  <c r="L107" i="6"/>
  <c r="M107" i="6"/>
  <c r="N107" i="6"/>
  <c r="O107" i="6"/>
  <c r="P107" i="6"/>
  <c r="I108" i="6"/>
  <c r="J108" i="6"/>
  <c r="K108" i="6"/>
  <c r="L108" i="6"/>
  <c r="M108" i="6"/>
  <c r="N108" i="6"/>
  <c r="O108" i="6"/>
  <c r="P108" i="6"/>
  <c r="I109" i="6"/>
  <c r="J109" i="6"/>
  <c r="K109" i="6"/>
  <c r="L109" i="6"/>
  <c r="M109" i="6"/>
  <c r="N109" i="6"/>
  <c r="O109" i="6"/>
  <c r="P109" i="6"/>
  <c r="I110" i="6"/>
  <c r="J110" i="6"/>
  <c r="K110" i="6"/>
  <c r="L110" i="6"/>
  <c r="M110" i="6"/>
  <c r="N110" i="6"/>
  <c r="O110" i="6"/>
  <c r="P110" i="6"/>
  <c r="I111" i="6"/>
  <c r="J111" i="6"/>
  <c r="K111" i="6"/>
  <c r="L111" i="6"/>
  <c r="M111" i="6"/>
  <c r="N111" i="6"/>
  <c r="O111" i="6"/>
  <c r="P111" i="6"/>
  <c r="I112" i="6"/>
  <c r="J112" i="6"/>
  <c r="K112" i="6"/>
  <c r="L112" i="6"/>
  <c r="M112" i="6"/>
  <c r="N112" i="6"/>
  <c r="O112" i="6"/>
  <c r="P112" i="6"/>
  <c r="I113" i="6"/>
  <c r="J113" i="6"/>
  <c r="K113" i="6"/>
  <c r="L113" i="6"/>
  <c r="M113" i="6"/>
  <c r="N113" i="6"/>
  <c r="O113" i="6"/>
  <c r="P113" i="6"/>
  <c r="I114" i="6"/>
  <c r="J114" i="6"/>
  <c r="K114" i="6"/>
  <c r="L114" i="6"/>
  <c r="M114" i="6"/>
  <c r="N114" i="6"/>
  <c r="O114" i="6"/>
  <c r="P114" i="6"/>
  <c r="I115" i="6"/>
  <c r="J115" i="6"/>
  <c r="K115" i="6"/>
  <c r="L115" i="6"/>
  <c r="M115" i="6"/>
  <c r="N115" i="6"/>
  <c r="O115" i="6"/>
  <c r="P115" i="6"/>
  <c r="I116" i="6"/>
  <c r="J116" i="6"/>
  <c r="K116" i="6"/>
  <c r="L116" i="6"/>
  <c r="M116" i="6"/>
  <c r="N116" i="6"/>
  <c r="O116" i="6"/>
  <c r="P116" i="6"/>
  <c r="I117" i="6"/>
  <c r="J117" i="6"/>
  <c r="K117" i="6"/>
  <c r="L117" i="6"/>
  <c r="M117" i="6"/>
  <c r="N117" i="6"/>
  <c r="O117" i="6"/>
  <c r="P117" i="6"/>
  <c r="I118" i="6"/>
  <c r="J118" i="6"/>
  <c r="K118" i="6"/>
  <c r="L118" i="6"/>
  <c r="M118" i="6"/>
  <c r="N118" i="6"/>
  <c r="O118" i="6"/>
  <c r="P118" i="6"/>
  <c r="I119" i="6"/>
  <c r="J119" i="6"/>
  <c r="K119" i="6"/>
  <c r="L119" i="6"/>
  <c r="M119" i="6"/>
  <c r="N119" i="6"/>
  <c r="O119" i="6"/>
  <c r="P119" i="6"/>
  <c r="I120" i="6"/>
  <c r="J120" i="6"/>
  <c r="K120" i="6"/>
  <c r="L120" i="6"/>
  <c r="M120" i="6"/>
  <c r="N120" i="6"/>
  <c r="O120" i="6"/>
  <c r="P120" i="6"/>
  <c r="I121" i="6"/>
  <c r="J121" i="6"/>
  <c r="K121" i="6"/>
  <c r="L121" i="6"/>
  <c r="M121" i="6"/>
  <c r="N121" i="6"/>
  <c r="O121" i="6"/>
  <c r="P121" i="6"/>
  <c r="I122" i="6"/>
  <c r="J122" i="6"/>
  <c r="K122" i="6"/>
  <c r="L122" i="6"/>
  <c r="M122" i="6"/>
  <c r="N122" i="6"/>
  <c r="O122" i="6"/>
  <c r="P122" i="6"/>
  <c r="I123" i="6"/>
  <c r="J123" i="6"/>
  <c r="K123" i="6"/>
  <c r="L123" i="6"/>
  <c r="M123" i="6"/>
  <c r="N123" i="6"/>
  <c r="O123" i="6"/>
  <c r="P123" i="6"/>
  <c r="I124" i="6"/>
  <c r="J124" i="6"/>
  <c r="K124" i="6"/>
  <c r="L124" i="6"/>
  <c r="M124" i="6"/>
  <c r="N124" i="6"/>
  <c r="O124" i="6"/>
  <c r="P124" i="6"/>
  <c r="I125" i="6"/>
  <c r="J125" i="6"/>
  <c r="K125" i="6"/>
  <c r="L125" i="6"/>
  <c r="M125" i="6"/>
  <c r="N125" i="6"/>
  <c r="O125" i="6"/>
  <c r="P125" i="6"/>
  <c r="I126" i="6"/>
  <c r="J126" i="6"/>
  <c r="K126" i="6"/>
  <c r="L126" i="6"/>
  <c r="M126" i="6"/>
  <c r="N126" i="6"/>
  <c r="O126" i="6"/>
  <c r="P126" i="6"/>
  <c r="I127" i="6"/>
  <c r="J127" i="6"/>
  <c r="K127" i="6"/>
  <c r="L127" i="6"/>
  <c r="M127" i="6"/>
  <c r="N127" i="6"/>
  <c r="O127" i="6"/>
  <c r="P127" i="6"/>
  <c r="I128" i="6"/>
  <c r="J128" i="6"/>
  <c r="K128" i="6"/>
  <c r="L128" i="6"/>
  <c r="M128" i="6"/>
  <c r="N128" i="6"/>
  <c r="O128" i="6"/>
  <c r="P128" i="6"/>
  <c r="I129" i="6"/>
  <c r="J129" i="6"/>
  <c r="K129" i="6"/>
  <c r="L129" i="6"/>
  <c r="M129" i="6"/>
  <c r="N129" i="6"/>
  <c r="O129" i="6"/>
  <c r="P129" i="6"/>
  <c r="I130" i="6"/>
  <c r="J130" i="6"/>
  <c r="K130" i="6"/>
  <c r="L130" i="6"/>
  <c r="M130" i="6"/>
  <c r="N130" i="6"/>
  <c r="O130" i="6"/>
  <c r="P130" i="6"/>
  <c r="I131" i="6"/>
  <c r="J131" i="6"/>
  <c r="K131" i="6"/>
  <c r="L131" i="6"/>
  <c r="M131" i="6"/>
  <c r="N131" i="6"/>
  <c r="O131" i="6"/>
  <c r="P131" i="6"/>
  <c r="I132" i="6"/>
  <c r="J132" i="6"/>
  <c r="K132" i="6"/>
  <c r="L132" i="6"/>
  <c r="M132" i="6"/>
  <c r="N132" i="6"/>
  <c r="O132" i="6"/>
  <c r="P132" i="6"/>
  <c r="I133" i="6"/>
  <c r="J133" i="6"/>
  <c r="K133" i="6"/>
  <c r="L133" i="6"/>
  <c r="M133" i="6"/>
  <c r="N133" i="6"/>
  <c r="O133" i="6"/>
  <c r="P133" i="6"/>
  <c r="I134" i="6"/>
  <c r="J134" i="6"/>
  <c r="K134" i="6"/>
  <c r="L134" i="6"/>
  <c r="M134" i="6"/>
  <c r="N134" i="6"/>
  <c r="O134" i="6"/>
  <c r="P134" i="6"/>
  <c r="I135" i="6"/>
  <c r="J135" i="6"/>
  <c r="K135" i="6"/>
  <c r="L135" i="6"/>
  <c r="M135" i="6"/>
  <c r="N135" i="6"/>
  <c r="O135" i="6"/>
  <c r="P135" i="6"/>
  <c r="I136" i="6"/>
  <c r="J136" i="6"/>
  <c r="K136" i="6"/>
  <c r="L136" i="6"/>
  <c r="M136" i="6"/>
  <c r="N136" i="6"/>
  <c r="O136" i="6"/>
  <c r="P136" i="6"/>
  <c r="I137" i="6"/>
  <c r="J137" i="6"/>
  <c r="K137" i="6"/>
  <c r="L137" i="6"/>
  <c r="M137" i="6"/>
  <c r="N137" i="6"/>
  <c r="O137" i="6"/>
  <c r="P137" i="6"/>
  <c r="I138" i="6"/>
  <c r="J138" i="6"/>
  <c r="K138" i="6"/>
  <c r="L138" i="6"/>
  <c r="M138" i="6"/>
  <c r="N138" i="6"/>
  <c r="O138" i="6"/>
  <c r="P138" i="6"/>
  <c r="I139" i="6"/>
  <c r="J139" i="6"/>
  <c r="K139" i="6"/>
  <c r="L139" i="6"/>
  <c r="M139" i="6"/>
  <c r="N139" i="6"/>
  <c r="O139" i="6"/>
  <c r="P139" i="6"/>
  <c r="I140" i="6"/>
  <c r="J140" i="6"/>
  <c r="K140" i="6"/>
  <c r="L140" i="6"/>
  <c r="M140" i="6"/>
  <c r="N140" i="6"/>
  <c r="O140" i="6"/>
  <c r="P140" i="6"/>
  <c r="I141" i="6"/>
  <c r="J141" i="6"/>
  <c r="K141" i="6"/>
  <c r="L141" i="6"/>
  <c r="M141" i="6"/>
  <c r="N141" i="6"/>
  <c r="O141" i="6"/>
  <c r="P141" i="6"/>
  <c r="I142" i="6"/>
  <c r="J142" i="6"/>
  <c r="K142" i="6"/>
  <c r="L142" i="6"/>
  <c r="M142" i="6"/>
  <c r="N142" i="6"/>
  <c r="O142" i="6"/>
  <c r="P142" i="6"/>
  <c r="I143" i="6"/>
  <c r="J143" i="6"/>
  <c r="K143" i="6"/>
  <c r="L143" i="6"/>
  <c r="M143" i="6"/>
  <c r="N143" i="6"/>
  <c r="O143" i="6"/>
  <c r="P143" i="6"/>
  <c r="I144" i="6"/>
  <c r="J144" i="6"/>
  <c r="K144" i="6"/>
  <c r="L144" i="6"/>
  <c r="M144" i="6"/>
  <c r="N144" i="6"/>
  <c r="O144" i="6"/>
  <c r="P144" i="6"/>
  <c r="I145" i="6"/>
  <c r="J145" i="6"/>
  <c r="K145" i="6"/>
  <c r="L145" i="6"/>
  <c r="M145" i="6"/>
  <c r="N145" i="6"/>
  <c r="O145" i="6"/>
  <c r="P145" i="6"/>
  <c r="I146" i="6"/>
  <c r="J146" i="6"/>
  <c r="K146" i="6"/>
  <c r="L146" i="6"/>
  <c r="M146" i="6"/>
  <c r="N146" i="6"/>
  <c r="O146" i="6"/>
  <c r="P146" i="6"/>
  <c r="I147" i="6"/>
  <c r="J147" i="6"/>
  <c r="K147" i="6"/>
  <c r="L147" i="6"/>
  <c r="M147" i="6"/>
  <c r="N147" i="6"/>
  <c r="O147" i="6"/>
  <c r="P147" i="6"/>
  <c r="I148" i="6"/>
  <c r="J148" i="6"/>
  <c r="K148" i="6"/>
  <c r="L148" i="6"/>
  <c r="M148" i="6"/>
  <c r="N148" i="6"/>
  <c r="O148" i="6"/>
  <c r="P148" i="6"/>
  <c r="I149" i="6"/>
  <c r="J149" i="6"/>
  <c r="K149" i="6"/>
  <c r="L149" i="6"/>
  <c r="M149" i="6"/>
  <c r="N149" i="6"/>
  <c r="O149" i="6"/>
  <c r="P149" i="6"/>
  <c r="I150" i="6"/>
  <c r="J150" i="6"/>
  <c r="K150" i="6"/>
  <c r="L150" i="6"/>
  <c r="M150" i="6"/>
  <c r="N150" i="6"/>
  <c r="O150" i="6"/>
  <c r="P150" i="6"/>
  <c r="I151" i="6"/>
  <c r="J151" i="6"/>
  <c r="K151" i="6"/>
  <c r="L151" i="6"/>
  <c r="M151" i="6"/>
  <c r="N151" i="6"/>
  <c r="O151" i="6"/>
  <c r="P151" i="6"/>
  <c r="I152" i="6"/>
  <c r="J152" i="6"/>
  <c r="K152" i="6"/>
  <c r="L152" i="6"/>
  <c r="M152" i="6"/>
  <c r="N152" i="6"/>
  <c r="O152" i="6"/>
  <c r="P152" i="6"/>
  <c r="I153" i="6"/>
  <c r="J153" i="6"/>
  <c r="K153" i="6"/>
  <c r="L153" i="6"/>
  <c r="M153" i="6"/>
  <c r="N153" i="6"/>
  <c r="O153" i="6"/>
  <c r="P153" i="6"/>
  <c r="I154" i="6"/>
  <c r="J154" i="6"/>
  <c r="K154" i="6"/>
  <c r="L154" i="6"/>
  <c r="M154" i="6"/>
  <c r="N154" i="6"/>
  <c r="O154" i="6"/>
  <c r="P154" i="6"/>
  <c r="I155" i="6"/>
  <c r="J155" i="6"/>
  <c r="K155" i="6"/>
  <c r="L155" i="6"/>
  <c r="M155" i="6"/>
  <c r="N155" i="6"/>
  <c r="O155" i="6"/>
  <c r="P155" i="6"/>
  <c r="I156" i="6"/>
  <c r="J156" i="6"/>
  <c r="K156" i="6"/>
  <c r="L156" i="6"/>
  <c r="M156" i="6"/>
  <c r="N156" i="6"/>
  <c r="O156" i="6"/>
  <c r="P156" i="6"/>
  <c r="I157" i="6"/>
  <c r="J157" i="6"/>
  <c r="K157" i="6"/>
  <c r="L157" i="6"/>
  <c r="M157" i="6"/>
  <c r="N157" i="6"/>
  <c r="O157" i="6"/>
  <c r="P157" i="6"/>
  <c r="I158" i="6"/>
  <c r="J158" i="6"/>
  <c r="K158" i="6"/>
  <c r="L158" i="6"/>
  <c r="M158" i="6"/>
  <c r="N158" i="6"/>
  <c r="O158" i="6"/>
  <c r="P158" i="6"/>
  <c r="I159" i="6"/>
  <c r="J159" i="6"/>
  <c r="K159" i="6"/>
  <c r="L159" i="6"/>
  <c r="M159" i="6"/>
  <c r="N159" i="6"/>
  <c r="O159" i="6"/>
  <c r="P159" i="6"/>
  <c r="I160" i="6"/>
  <c r="J160" i="6"/>
  <c r="K160" i="6"/>
  <c r="L160" i="6"/>
  <c r="M160" i="6"/>
  <c r="N160" i="6"/>
  <c r="O160" i="6"/>
  <c r="P160" i="6"/>
  <c r="I161" i="6"/>
  <c r="J161" i="6"/>
  <c r="K161" i="6"/>
  <c r="L161" i="6"/>
  <c r="M161" i="6"/>
  <c r="N161" i="6"/>
  <c r="O161" i="6"/>
  <c r="P161" i="6"/>
  <c r="I162" i="6"/>
  <c r="J162" i="6"/>
  <c r="K162" i="6"/>
  <c r="L162" i="6"/>
  <c r="M162" i="6"/>
  <c r="N162" i="6"/>
  <c r="O162" i="6"/>
  <c r="P162" i="6"/>
  <c r="I163" i="6"/>
  <c r="J163" i="6"/>
  <c r="K163" i="6"/>
  <c r="L163" i="6"/>
  <c r="M163" i="6"/>
  <c r="N163" i="6"/>
  <c r="O163" i="6"/>
  <c r="P163" i="6"/>
  <c r="I164" i="6"/>
  <c r="J164" i="6"/>
  <c r="K164" i="6"/>
  <c r="L164" i="6"/>
  <c r="M164" i="6"/>
  <c r="N164" i="6"/>
  <c r="O164" i="6"/>
  <c r="P164" i="6"/>
  <c r="I165" i="6"/>
  <c r="J165" i="6"/>
  <c r="K165" i="6"/>
  <c r="L165" i="6"/>
  <c r="M165" i="6"/>
  <c r="N165" i="6"/>
  <c r="O165" i="6"/>
  <c r="P165" i="6"/>
  <c r="I166" i="6"/>
  <c r="J166" i="6"/>
  <c r="K166" i="6"/>
  <c r="L166" i="6"/>
  <c r="M166" i="6"/>
  <c r="N166" i="6"/>
  <c r="O166" i="6"/>
  <c r="P166" i="6"/>
  <c r="I167" i="6"/>
  <c r="J167" i="6"/>
  <c r="K167" i="6"/>
  <c r="L167" i="6"/>
  <c r="M167" i="6"/>
  <c r="N167" i="6"/>
  <c r="O167" i="6"/>
  <c r="P167" i="6"/>
  <c r="I168" i="6"/>
  <c r="J168" i="6"/>
  <c r="K168" i="6"/>
  <c r="L168" i="6"/>
  <c r="M168" i="6"/>
  <c r="N168" i="6"/>
  <c r="O168" i="6"/>
  <c r="P168" i="6"/>
  <c r="I169" i="6"/>
  <c r="J169" i="6"/>
  <c r="K169" i="6"/>
  <c r="L169" i="6"/>
  <c r="M169" i="6"/>
  <c r="N169" i="6"/>
  <c r="O169" i="6"/>
  <c r="P169" i="6"/>
  <c r="I170" i="6"/>
  <c r="J170" i="6"/>
  <c r="K170" i="6"/>
  <c r="L170" i="6"/>
  <c r="M170" i="6"/>
  <c r="N170" i="6"/>
  <c r="O170" i="6"/>
  <c r="P170" i="6"/>
  <c r="I171" i="6"/>
  <c r="J171" i="6"/>
  <c r="K171" i="6"/>
  <c r="L171" i="6"/>
  <c r="M171" i="6"/>
  <c r="N171" i="6"/>
  <c r="O171" i="6"/>
  <c r="P171" i="6"/>
  <c r="I172" i="6"/>
  <c r="J172" i="6"/>
  <c r="K172" i="6"/>
  <c r="L172" i="6"/>
  <c r="M172" i="6"/>
  <c r="N172" i="6"/>
  <c r="O172" i="6"/>
  <c r="P172" i="6"/>
  <c r="I173" i="6"/>
  <c r="J173" i="6"/>
  <c r="K173" i="6"/>
  <c r="L173" i="6"/>
  <c r="M173" i="6"/>
  <c r="N173" i="6"/>
  <c r="O173" i="6"/>
  <c r="P173" i="6"/>
  <c r="I174" i="6"/>
  <c r="J174" i="6"/>
  <c r="K174" i="6"/>
  <c r="L174" i="6"/>
  <c r="M174" i="6"/>
  <c r="N174" i="6"/>
  <c r="O174" i="6"/>
  <c r="P174" i="6"/>
  <c r="I175" i="6"/>
  <c r="J175" i="6"/>
  <c r="K175" i="6"/>
  <c r="L175" i="6"/>
  <c r="M175" i="6"/>
  <c r="N175" i="6"/>
  <c r="O175" i="6"/>
  <c r="P175" i="6"/>
  <c r="I176" i="6"/>
  <c r="J176" i="6"/>
  <c r="K176" i="6"/>
  <c r="L176" i="6"/>
  <c r="M176" i="6"/>
  <c r="N176" i="6"/>
  <c r="O176" i="6"/>
  <c r="P176" i="6"/>
  <c r="I177" i="6"/>
  <c r="J177" i="6"/>
  <c r="K177" i="6"/>
  <c r="L177" i="6"/>
  <c r="M177" i="6"/>
  <c r="N177" i="6"/>
  <c r="O177" i="6"/>
  <c r="P177" i="6"/>
  <c r="I178" i="6"/>
  <c r="J178" i="6"/>
  <c r="K178" i="6"/>
  <c r="L178" i="6"/>
  <c r="M178" i="6"/>
  <c r="N178" i="6"/>
  <c r="O178" i="6"/>
  <c r="P178" i="6"/>
  <c r="I179" i="6"/>
  <c r="J179" i="6"/>
  <c r="K179" i="6"/>
  <c r="L179" i="6"/>
  <c r="M179" i="6"/>
  <c r="N179" i="6"/>
  <c r="O179" i="6"/>
  <c r="P179" i="6"/>
  <c r="I180" i="6"/>
  <c r="J180" i="6"/>
  <c r="K180" i="6"/>
  <c r="L180" i="6"/>
  <c r="M180" i="6"/>
  <c r="N180" i="6"/>
  <c r="O180" i="6"/>
  <c r="P180" i="6"/>
  <c r="I181" i="6"/>
  <c r="J181" i="6"/>
  <c r="K181" i="6"/>
  <c r="L181" i="6"/>
  <c r="M181" i="6"/>
  <c r="N181" i="6"/>
  <c r="O181" i="6"/>
  <c r="P181" i="6"/>
  <c r="I182" i="6"/>
  <c r="J182" i="6"/>
  <c r="K182" i="6"/>
  <c r="L182" i="6"/>
  <c r="M182" i="6"/>
  <c r="N182" i="6"/>
  <c r="O182" i="6"/>
  <c r="P182" i="6"/>
  <c r="I183" i="6"/>
  <c r="J183" i="6"/>
  <c r="K183" i="6"/>
  <c r="L183" i="6"/>
  <c r="M183" i="6"/>
  <c r="N183" i="6"/>
  <c r="O183" i="6"/>
  <c r="P183" i="6"/>
  <c r="I184" i="6"/>
  <c r="J184" i="6"/>
  <c r="K184" i="6"/>
  <c r="L184" i="6"/>
  <c r="M184" i="6"/>
  <c r="N184" i="6"/>
  <c r="O184" i="6"/>
  <c r="P184" i="6"/>
  <c r="I185" i="6"/>
  <c r="J185" i="6"/>
  <c r="K185" i="6"/>
  <c r="L185" i="6"/>
  <c r="M185" i="6"/>
  <c r="N185" i="6"/>
  <c r="O185" i="6"/>
  <c r="P185" i="6"/>
  <c r="I186" i="6"/>
  <c r="J186" i="6"/>
  <c r="K186" i="6"/>
  <c r="L186" i="6"/>
  <c r="M186" i="6"/>
  <c r="N186" i="6"/>
  <c r="O186" i="6"/>
  <c r="P186" i="6"/>
  <c r="I187" i="6"/>
  <c r="J187" i="6"/>
  <c r="K187" i="6"/>
  <c r="L187" i="6"/>
  <c r="M187" i="6"/>
  <c r="N187" i="6"/>
  <c r="O187" i="6"/>
  <c r="P187" i="6"/>
  <c r="I188" i="6"/>
  <c r="J188" i="6"/>
  <c r="K188" i="6"/>
  <c r="L188" i="6"/>
  <c r="M188" i="6"/>
  <c r="N188" i="6"/>
  <c r="O188" i="6"/>
  <c r="P188" i="6"/>
  <c r="I189" i="6"/>
  <c r="J189" i="6"/>
  <c r="K189" i="6"/>
  <c r="L189" i="6"/>
  <c r="M189" i="6"/>
  <c r="N189" i="6"/>
  <c r="O189" i="6"/>
  <c r="P189" i="6"/>
  <c r="I190" i="6"/>
  <c r="J190" i="6"/>
  <c r="K190" i="6"/>
  <c r="L190" i="6"/>
  <c r="M190" i="6"/>
  <c r="N190" i="6"/>
  <c r="O190" i="6"/>
  <c r="P190" i="6"/>
  <c r="I191" i="6"/>
  <c r="J191" i="6"/>
  <c r="K191" i="6"/>
  <c r="L191" i="6"/>
  <c r="M191" i="6"/>
  <c r="N191" i="6"/>
  <c r="O191" i="6"/>
  <c r="P191" i="6"/>
  <c r="I192" i="6"/>
  <c r="J192" i="6"/>
  <c r="K192" i="6"/>
  <c r="L192" i="6"/>
  <c r="M192" i="6"/>
  <c r="N192" i="6"/>
  <c r="O192" i="6"/>
  <c r="P192" i="6"/>
  <c r="I193" i="6"/>
  <c r="J193" i="6"/>
  <c r="K193" i="6"/>
  <c r="L193" i="6"/>
  <c r="M193" i="6"/>
  <c r="N193" i="6"/>
  <c r="O193" i="6"/>
  <c r="P193" i="6"/>
  <c r="I194" i="6"/>
  <c r="J194" i="6"/>
  <c r="K194" i="6"/>
  <c r="L194" i="6"/>
  <c r="M194" i="6"/>
  <c r="N194" i="6"/>
  <c r="O194" i="6"/>
  <c r="P194" i="6"/>
  <c r="I195" i="6"/>
  <c r="J195" i="6"/>
  <c r="K195" i="6"/>
  <c r="L195" i="6"/>
  <c r="M195" i="6"/>
  <c r="N195" i="6"/>
  <c r="O195" i="6"/>
  <c r="P195" i="6"/>
  <c r="I196" i="6"/>
  <c r="J196" i="6"/>
  <c r="K196" i="6"/>
  <c r="L196" i="6"/>
  <c r="M196" i="6"/>
  <c r="N196" i="6"/>
  <c r="O196" i="6"/>
  <c r="P196" i="6"/>
  <c r="I197" i="6"/>
  <c r="J197" i="6"/>
  <c r="K197" i="6"/>
  <c r="L197" i="6"/>
  <c r="M197" i="6"/>
  <c r="N197" i="6"/>
  <c r="O197" i="6"/>
  <c r="P197" i="6"/>
  <c r="I198" i="6"/>
  <c r="J198" i="6"/>
  <c r="K198" i="6"/>
  <c r="L198" i="6"/>
  <c r="M198" i="6"/>
  <c r="N198" i="6"/>
  <c r="O198" i="6"/>
  <c r="P198" i="6"/>
  <c r="I199" i="6"/>
  <c r="J199" i="6"/>
  <c r="K199" i="6"/>
  <c r="L199" i="6"/>
  <c r="M199" i="6"/>
  <c r="N199" i="6"/>
  <c r="O199" i="6"/>
  <c r="P199" i="6"/>
  <c r="I200" i="6"/>
  <c r="J200" i="6"/>
  <c r="K200" i="6"/>
  <c r="L200" i="6"/>
  <c r="M200" i="6"/>
  <c r="N200" i="6"/>
  <c r="O200" i="6"/>
  <c r="P200" i="6"/>
  <c r="I201" i="6"/>
  <c r="J201" i="6"/>
  <c r="K201" i="6"/>
  <c r="L201" i="6"/>
  <c r="M201" i="6"/>
  <c r="N201" i="6"/>
  <c r="O201" i="6"/>
  <c r="P201" i="6"/>
  <c r="I202" i="6"/>
  <c r="J202" i="6"/>
  <c r="K202" i="6"/>
  <c r="L202" i="6"/>
  <c r="M202" i="6"/>
  <c r="N202" i="6"/>
  <c r="O202" i="6"/>
  <c r="P202" i="6"/>
  <c r="I203" i="6"/>
  <c r="J203" i="6"/>
  <c r="K203" i="6"/>
  <c r="L203" i="6"/>
  <c r="M203" i="6"/>
  <c r="N203" i="6"/>
  <c r="O203" i="6"/>
  <c r="P203" i="6"/>
  <c r="I204" i="6"/>
  <c r="J204" i="6"/>
  <c r="K204" i="6"/>
  <c r="L204" i="6"/>
  <c r="M204" i="6"/>
  <c r="N204" i="6"/>
  <c r="O204" i="6"/>
  <c r="P204" i="6"/>
  <c r="I205" i="6"/>
  <c r="J205" i="6"/>
  <c r="K205" i="6"/>
  <c r="L205" i="6"/>
  <c r="M205" i="6"/>
  <c r="N205" i="6"/>
  <c r="O205" i="6"/>
  <c r="P205" i="6"/>
  <c r="I206" i="6"/>
  <c r="J206" i="6"/>
  <c r="K206" i="6"/>
  <c r="L206" i="6"/>
  <c r="M206" i="6"/>
  <c r="N206" i="6"/>
  <c r="O206" i="6"/>
  <c r="P206" i="6"/>
  <c r="I207" i="6"/>
  <c r="J207" i="6"/>
  <c r="K207" i="6"/>
  <c r="L207" i="6"/>
  <c r="M207" i="6"/>
  <c r="N207" i="6"/>
  <c r="O207" i="6"/>
  <c r="P207" i="6"/>
  <c r="I208" i="6"/>
  <c r="J208" i="6"/>
  <c r="K208" i="6"/>
  <c r="L208" i="6"/>
  <c r="M208" i="6"/>
  <c r="N208" i="6"/>
  <c r="O208" i="6"/>
  <c r="P208" i="6"/>
  <c r="I209" i="6"/>
  <c r="J209" i="6"/>
  <c r="K209" i="6"/>
  <c r="L209" i="6"/>
  <c r="M209" i="6"/>
  <c r="N209" i="6"/>
  <c r="O209" i="6"/>
  <c r="P209" i="6"/>
  <c r="I210" i="6"/>
  <c r="J210" i="6"/>
  <c r="K210" i="6"/>
  <c r="L210" i="6"/>
  <c r="M210" i="6"/>
  <c r="N210" i="6"/>
  <c r="O210" i="6"/>
  <c r="P210" i="6"/>
  <c r="I211" i="6"/>
  <c r="J211" i="6"/>
  <c r="K211" i="6"/>
  <c r="L211" i="6"/>
  <c r="M211" i="6"/>
  <c r="N211" i="6"/>
  <c r="O211" i="6"/>
  <c r="P211" i="6"/>
  <c r="I212" i="6"/>
  <c r="J212" i="6"/>
  <c r="K212" i="6"/>
  <c r="L212" i="6"/>
  <c r="M212" i="6"/>
  <c r="N212" i="6"/>
  <c r="O212" i="6"/>
  <c r="P212" i="6"/>
  <c r="I213" i="6"/>
  <c r="J213" i="6"/>
  <c r="K213" i="6"/>
  <c r="L213" i="6"/>
  <c r="M213" i="6"/>
  <c r="N213" i="6"/>
  <c r="O213" i="6"/>
  <c r="P213" i="6"/>
  <c r="I214" i="6"/>
  <c r="J214" i="6"/>
  <c r="K214" i="6"/>
  <c r="L214" i="6"/>
  <c r="M214" i="6"/>
  <c r="N214" i="6"/>
  <c r="O214" i="6"/>
  <c r="P214" i="6"/>
  <c r="I215" i="6"/>
  <c r="J215" i="6"/>
  <c r="K215" i="6"/>
  <c r="L215" i="6"/>
  <c r="M215" i="6"/>
  <c r="N215" i="6"/>
  <c r="O215" i="6"/>
  <c r="P215" i="6"/>
  <c r="I216" i="6"/>
  <c r="J216" i="6"/>
  <c r="K216" i="6"/>
  <c r="L216" i="6"/>
  <c r="M216" i="6"/>
  <c r="N216" i="6"/>
  <c r="O216" i="6"/>
  <c r="P216" i="6"/>
  <c r="I217" i="6"/>
  <c r="J217" i="6"/>
  <c r="K217" i="6"/>
  <c r="L217" i="6"/>
  <c r="M217" i="6"/>
  <c r="N217" i="6"/>
  <c r="O217" i="6"/>
  <c r="P217" i="6"/>
  <c r="I218" i="6"/>
  <c r="J218" i="6"/>
  <c r="K218" i="6"/>
  <c r="L218" i="6"/>
  <c r="M218" i="6"/>
  <c r="N218" i="6"/>
  <c r="O218" i="6"/>
  <c r="P218" i="6"/>
  <c r="I219" i="6"/>
  <c r="J219" i="6"/>
  <c r="K219" i="6"/>
  <c r="L219" i="6"/>
  <c r="M219" i="6"/>
  <c r="N219" i="6"/>
  <c r="O219" i="6"/>
  <c r="P219" i="6"/>
  <c r="I220" i="6"/>
  <c r="J220" i="6"/>
  <c r="K220" i="6"/>
  <c r="L220" i="6"/>
  <c r="M220" i="6"/>
  <c r="N220" i="6"/>
  <c r="O220" i="6"/>
  <c r="P220" i="6"/>
  <c r="I221" i="6"/>
  <c r="J221" i="6"/>
  <c r="K221" i="6"/>
  <c r="L221" i="6"/>
  <c r="M221" i="6"/>
  <c r="N221" i="6"/>
  <c r="O221" i="6"/>
  <c r="P221" i="6"/>
  <c r="I222" i="6"/>
  <c r="J222" i="6"/>
  <c r="K222" i="6"/>
  <c r="L222" i="6"/>
  <c r="M222" i="6"/>
  <c r="N222" i="6"/>
  <c r="O222" i="6"/>
  <c r="P222" i="6"/>
  <c r="I223" i="6"/>
  <c r="J223" i="6"/>
  <c r="K223" i="6"/>
  <c r="L223" i="6"/>
  <c r="M223" i="6"/>
  <c r="N223" i="6"/>
  <c r="O223" i="6"/>
  <c r="P223" i="6"/>
  <c r="I224" i="6"/>
  <c r="J224" i="6"/>
  <c r="K224" i="6"/>
  <c r="L224" i="6"/>
  <c r="M224" i="6"/>
  <c r="N224" i="6"/>
  <c r="O224" i="6"/>
  <c r="P224" i="6"/>
  <c r="I225" i="6"/>
  <c r="J225" i="6"/>
  <c r="K225" i="6"/>
  <c r="L225" i="6"/>
  <c r="M225" i="6"/>
  <c r="N225" i="6"/>
  <c r="O225" i="6"/>
  <c r="P225" i="6"/>
  <c r="I226" i="6"/>
  <c r="J226" i="6"/>
  <c r="K226" i="6"/>
  <c r="L226" i="6"/>
  <c r="M226" i="6"/>
  <c r="N226" i="6"/>
  <c r="O226" i="6"/>
  <c r="P226" i="6"/>
  <c r="I227" i="6"/>
  <c r="J227" i="6"/>
  <c r="K227" i="6"/>
  <c r="L227" i="6"/>
  <c r="M227" i="6"/>
  <c r="N227" i="6"/>
  <c r="O227" i="6"/>
  <c r="P227" i="6"/>
  <c r="I228" i="6"/>
  <c r="J228" i="6"/>
  <c r="K228" i="6"/>
  <c r="L228" i="6"/>
  <c r="M228" i="6"/>
  <c r="N228" i="6"/>
  <c r="O228" i="6"/>
  <c r="P228" i="6"/>
  <c r="I229" i="6"/>
  <c r="J229" i="6"/>
  <c r="K229" i="6"/>
  <c r="L229" i="6"/>
  <c r="M229" i="6"/>
  <c r="N229" i="6"/>
  <c r="O229" i="6"/>
  <c r="P229" i="6"/>
  <c r="I230" i="6"/>
  <c r="J230" i="6"/>
  <c r="K230" i="6"/>
  <c r="L230" i="6"/>
  <c r="M230" i="6"/>
  <c r="N230" i="6"/>
  <c r="O230" i="6"/>
  <c r="P230" i="6"/>
  <c r="I231" i="6"/>
  <c r="J231" i="6"/>
  <c r="K231" i="6"/>
  <c r="L231" i="6"/>
  <c r="M231" i="6"/>
  <c r="N231" i="6"/>
  <c r="O231" i="6"/>
  <c r="P231" i="6"/>
  <c r="I232" i="6"/>
  <c r="J232" i="6"/>
  <c r="K232" i="6"/>
  <c r="L232" i="6"/>
  <c r="M232" i="6"/>
  <c r="N232" i="6"/>
  <c r="O232" i="6"/>
  <c r="P232" i="6"/>
  <c r="I233" i="6"/>
  <c r="J233" i="6"/>
  <c r="K233" i="6"/>
  <c r="L233" i="6"/>
  <c r="M233" i="6"/>
  <c r="N233" i="6"/>
  <c r="O233" i="6"/>
  <c r="P233" i="6"/>
  <c r="I234" i="6"/>
  <c r="J234" i="6"/>
  <c r="K234" i="6"/>
  <c r="L234" i="6"/>
  <c r="M234" i="6"/>
  <c r="N234" i="6"/>
  <c r="O234" i="6"/>
  <c r="P234" i="6"/>
  <c r="I235" i="6"/>
  <c r="J235" i="6"/>
  <c r="K235" i="6"/>
  <c r="L235" i="6"/>
  <c r="M235" i="6"/>
  <c r="N235" i="6"/>
  <c r="O235" i="6"/>
  <c r="P235" i="6"/>
  <c r="I236" i="6"/>
  <c r="J236" i="6"/>
  <c r="K236" i="6"/>
  <c r="L236" i="6"/>
  <c r="M236" i="6"/>
  <c r="N236" i="6"/>
  <c r="O236" i="6"/>
  <c r="P236" i="6"/>
  <c r="I237" i="6"/>
  <c r="J237" i="6"/>
  <c r="K237" i="6"/>
  <c r="L237" i="6"/>
  <c r="M237" i="6"/>
  <c r="N237" i="6"/>
  <c r="O237" i="6"/>
  <c r="P237" i="6"/>
  <c r="I238" i="6"/>
  <c r="J238" i="6"/>
  <c r="K238" i="6"/>
  <c r="L238" i="6"/>
  <c r="M238" i="6"/>
  <c r="N238" i="6"/>
  <c r="O238" i="6"/>
  <c r="P238" i="6"/>
  <c r="I239" i="6"/>
  <c r="J239" i="6"/>
  <c r="K239" i="6"/>
  <c r="L239" i="6"/>
  <c r="M239" i="6"/>
  <c r="N239" i="6"/>
  <c r="O239" i="6"/>
  <c r="P239" i="6"/>
  <c r="I240" i="6"/>
  <c r="J240" i="6"/>
  <c r="K240" i="6"/>
  <c r="L240" i="6"/>
  <c r="M240" i="6"/>
  <c r="N240" i="6"/>
  <c r="O240" i="6"/>
  <c r="P240" i="6"/>
  <c r="I241" i="6"/>
  <c r="J241" i="6"/>
  <c r="K241" i="6"/>
  <c r="L241" i="6"/>
  <c r="M241" i="6"/>
  <c r="N241" i="6"/>
  <c r="O241" i="6"/>
  <c r="P241" i="6"/>
  <c r="I242" i="6"/>
  <c r="J242" i="6"/>
  <c r="K242" i="6"/>
  <c r="L242" i="6"/>
  <c r="M242" i="6"/>
  <c r="N242" i="6"/>
  <c r="O242" i="6"/>
  <c r="P242" i="6"/>
  <c r="I243" i="6"/>
  <c r="J243" i="6"/>
  <c r="K243" i="6"/>
  <c r="L243" i="6"/>
  <c r="M243" i="6"/>
  <c r="N243" i="6"/>
  <c r="O243" i="6"/>
  <c r="P243" i="6"/>
  <c r="I244" i="6"/>
  <c r="J244" i="6"/>
  <c r="K244" i="6"/>
  <c r="L244" i="6"/>
  <c r="M244" i="6"/>
  <c r="N244" i="6"/>
  <c r="O244" i="6"/>
  <c r="P244" i="6"/>
  <c r="I245" i="6"/>
  <c r="J245" i="6"/>
  <c r="K245" i="6"/>
  <c r="L245" i="6"/>
  <c r="M245" i="6"/>
  <c r="N245" i="6"/>
  <c r="O245" i="6"/>
  <c r="P245" i="6"/>
  <c r="I246" i="6"/>
  <c r="J246" i="6"/>
  <c r="K246" i="6"/>
  <c r="L246" i="6"/>
  <c r="M246" i="6"/>
  <c r="N246" i="6"/>
  <c r="O246" i="6"/>
  <c r="P246" i="6"/>
  <c r="I247" i="6"/>
  <c r="J247" i="6"/>
  <c r="K247" i="6"/>
  <c r="L247" i="6"/>
  <c r="M247" i="6"/>
  <c r="N247" i="6"/>
  <c r="O247" i="6"/>
  <c r="P247" i="6"/>
  <c r="I248" i="6"/>
  <c r="J248" i="6"/>
  <c r="K248" i="6"/>
  <c r="L248" i="6"/>
  <c r="M248" i="6"/>
  <c r="N248" i="6"/>
  <c r="O248" i="6"/>
  <c r="P248" i="6"/>
  <c r="I249" i="6"/>
  <c r="J249" i="6"/>
  <c r="K249" i="6"/>
  <c r="L249" i="6"/>
  <c r="M249" i="6"/>
  <c r="N249" i="6"/>
  <c r="O249" i="6"/>
  <c r="P249" i="6"/>
  <c r="I250" i="6"/>
  <c r="J250" i="6"/>
  <c r="K250" i="6"/>
  <c r="L250" i="6"/>
  <c r="M250" i="6"/>
  <c r="N250" i="6"/>
  <c r="O250" i="6"/>
  <c r="P250" i="6"/>
  <c r="I251" i="6"/>
  <c r="J251" i="6"/>
  <c r="K251" i="6"/>
  <c r="L251" i="6"/>
  <c r="M251" i="6"/>
  <c r="N251" i="6"/>
  <c r="O251" i="6"/>
  <c r="P251" i="6"/>
  <c r="I252" i="6"/>
  <c r="J252" i="6"/>
  <c r="K252" i="6"/>
  <c r="L252" i="6"/>
  <c r="M252" i="6"/>
  <c r="N252" i="6"/>
  <c r="O252" i="6"/>
  <c r="P252" i="6"/>
  <c r="I253" i="6"/>
  <c r="J253" i="6"/>
  <c r="K253" i="6"/>
  <c r="L253" i="6"/>
  <c r="M253" i="6"/>
  <c r="N253" i="6"/>
  <c r="O253" i="6"/>
  <c r="P253" i="6"/>
  <c r="I254" i="6"/>
  <c r="J254" i="6"/>
  <c r="K254" i="6"/>
  <c r="L254" i="6"/>
  <c r="M254" i="6"/>
  <c r="N254" i="6"/>
  <c r="O254" i="6"/>
  <c r="P254" i="6"/>
  <c r="I255" i="6"/>
  <c r="J255" i="6"/>
  <c r="K255" i="6"/>
  <c r="L255" i="6"/>
  <c r="M255" i="6"/>
  <c r="N255" i="6"/>
  <c r="O255" i="6"/>
  <c r="P255" i="6"/>
  <c r="I256" i="6"/>
  <c r="J256" i="6"/>
  <c r="K256" i="6"/>
  <c r="L256" i="6"/>
  <c r="M256" i="6"/>
  <c r="N256" i="6"/>
  <c r="O256" i="6"/>
  <c r="P256" i="6"/>
  <c r="I257" i="6"/>
  <c r="J257" i="6"/>
  <c r="K257" i="6"/>
  <c r="L257" i="6"/>
  <c r="M257" i="6"/>
  <c r="N257" i="6"/>
  <c r="O257" i="6"/>
  <c r="P257" i="6"/>
  <c r="I258" i="6"/>
  <c r="J258" i="6"/>
  <c r="K258" i="6"/>
  <c r="L258" i="6"/>
  <c r="M258" i="6"/>
  <c r="N258" i="6"/>
  <c r="O258" i="6"/>
  <c r="P258" i="6"/>
  <c r="I259" i="6"/>
  <c r="J259" i="6"/>
  <c r="K259" i="6"/>
  <c r="L259" i="6"/>
  <c r="M259" i="6"/>
  <c r="N259" i="6"/>
  <c r="O259" i="6"/>
  <c r="P259" i="6"/>
  <c r="I260" i="6"/>
  <c r="J260" i="6"/>
  <c r="K260" i="6"/>
  <c r="L260" i="6"/>
  <c r="M260" i="6"/>
  <c r="N260" i="6"/>
  <c r="O260" i="6"/>
  <c r="P260" i="6"/>
  <c r="I261" i="6"/>
  <c r="J261" i="6"/>
  <c r="K261" i="6"/>
  <c r="L261" i="6"/>
  <c r="M261" i="6"/>
  <c r="N261" i="6"/>
  <c r="O261" i="6"/>
  <c r="P261" i="6"/>
  <c r="I262" i="6"/>
  <c r="J262" i="6"/>
  <c r="K262" i="6"/>
  <c r="L262" i="6"/>
  <c r="M262" i="6"/>
  <c r="N262" i="6"/>
  <c r="O262" i="6"/>
  <c r="P262" i="6"/>
  <c r="I263" i="6"/>
  <c r="J263" i="6"/>
  <c r="K263" i="6"/>
  <c r="L263" i="6"/>
  <c r="M263" i="6"/>
  <c r="N263" i="6"/>
  <c r="O263" i="6"/>
  <c r="P263" i="6"/>
  <c r="I264" i="6"/>
  <c r="J264" i="6"/>
  <c r="K264" i="6"/>
  <c r="L264" i="6"/>
  <c r="M264" i="6"/>
  <c r="N264" i="6"/>
  <c r="O264" i="6"/>
  <c r="P264" i="6"/>
  <c r="I265" i="6"/>
  <c r="J265" i="6"/>
  <c r="K265" i="6"/>
  <c r="L265" i="6"/>
  <c r="M265" i="6"/>
  <c r="N265" i="6"/>
  <c r="O265" i="6"/>
  <c r="P265" i="6"/>
  <c r="I266" i="6"/>
  <c r="J266" i="6"/>
  <c r="K266" i="6"/>
  <c r="L266" i="6"/>
  <c r="M266" i="6"/>
  <c r="N266" i="6"/>
  <c r="O266" i="6"/>
  <c r="P266" i="6"/>
  <c r="I267" i="6"/>
  <c r="J267" i="6"/>
  <c r="K267" i="6"/>
  <c r="L267" i="6"/>
  <c r="M267" i="6"/>
  <c r="N267" i="6"/>
  <c r="O267" i="6"/>
  <c r="P267" i="6"/>
  <c r="I268" i="6"/>
  <c r="J268" i="6"/>
  <c r="K268" i="6"/>
  <c r="L268" i="6"/>
  <c r="M268" i="6"/>
  <c r="N268" i="6"/>
  <c r="O268" i="6"/>
  <c r="P268" i="6"/>
  <c r="I269" i="6"/>
  <c r="J269" i="6"/>
  <c r="K269" i="6"/>
  <c r="L269" i="6"/>
  <c r="M269" i="6"/>
  <c r="N269" i="6"/>
  <c r="O269" i="6"/>
  <c r="P269" i="6"/>
  <c r="I270" i="6"/>
  <c r="J270" i="6"/>
  <c r="K270" i="6"/>
  <c r="L270" i="6"/>
  <c r="M270" i="6"/>
  <c r="N270" i="6"/>
  <c r="O270" i="6"/>
  <c r="P270" i="6"/>
  <c r="I271" i="6"/>
  <c r="J271" i="6"/>
  <c r="K271" i="6"/>
  <c r="L271" i="6"/>
  <c r="M271" i="6"/>
  <c r="N271" i="6"/>
  <c r="O271" i="6"/>
  <c r="P271" i="6"/>
  <c r="I272" i="6"/>
  <c r="J272" i="6"/>
  <c r="K272" i="6"/>
  <c r="L272" i="6"/>
  <c r="M272" i="6"/>
  <c r="N272" i="6"/>
  <c r="O272" i="6"/>
  <c r="P272" i="6"/>
  <c r="I273" i="6"/>
  <c r="J273" i="6"/>
  <c r="K273" i="6"/>
  <c r="L273" i="6"/>
  <c r="M273" i="6"/>
  <c r="N273" i="6"/>
  <c r="O273" i="6"/>
  <c r="P273" i="6"/>
  <c r="I274" i="6"/>
  <c r="J274" i="6"/>
  <c r="K274" i="6"/>
  <c r="L274" i="6"/>
  <c r="M274" i="6"/>
  <c r="N274" i="6"/>
  <c r="O274" i="6"/>
  <c r="P274" i="6"/>
  <c r="I275" i="6"/>
  <c r="J275" i="6"/>
  <c r="K275" i="6"/>
  <c r="L275" i="6"/>
  <c r="M275" i="6"/>
  <c r="N275" i="6"/>
  <c r="O275" i="6"/>
  <c r="P275" i="6"/>
  <c r="I276" i="6"/>
  <c r="J276" i="6"/>
  <c r="K276" i="6"/>
  <c r="L276" i="6"/>
  <c r="M276" i="6"/>
  <c r="N276" i="6"/>
  <c r="O276" i="6"/>
  <c r="P276" i="6"/>
  <c r="I277" i="6"/>
  <c r="J277" i="6"/>
  <c r="K277" i="6"/>
  <c r="L277" i="6"/>
  <c r="M277" i="6"/>
  <c r="N277" i="6"/>
  <c r="O277" i="6"/>
  <c r="P277" i="6"/>
  <c r="I278" i="6"/>
  <c r="J278" i="6"/>
  <c r="K278" i="6"/>
  <c r="L278" i="6"/>
  <c r="M278" i="6"/>
  <c r="N278" i="6"/>
  <c r="O278" i="6"/>
  <c r="P278" i="6"/>
  <c r="I279" i="6"/>
  <c r="J279" i="6"/>
  <c r="K279" i="6"/>
  <c r="L279" i="6"/>
  <c r="M279" i="6"/>
  <c r="N279" i="6"/>
  <c r="O279" i="6"/>
  <c r="P279" i="6"/>
  <c r="I280" i="6"/>
  <c r="J280" i="6"/>
  <c r="K280" i="6"/>
  <c r="L280" i="6"/>
  <c r="M280" i="6"/>
  <c r="N280" i="6"/>
  <c r="O280" i="6"/>
  <c r="P280" i="6"/>
  <c r="I281" i="6"/>
  <c r="J281" i="6"/>
  <c r="K281" i="6"/>
  <c r="L281" i="6"/>
  <c r="M281" i="6"/>
  <c r="N281" i="6"/>
  <c r="O281" i="6"/>
  <c r="P281" i="6"/>
  <c r="I282" i="6"/>
  <c r="J282" i="6"/>
  <c r="K282" i="6"/>
  <c r="L282" i="6"/>
  <c r="M282" i="6"/>
  <c r="N282" i="6"/>
  <c r="O282" i="6"/>
  <c r="P282" i="6"/>
  <c r="I283" i="6"/>
  <c r="J283" i="6"/>
  <c r="K283" i="6"/>
  <c r="L283" i="6"/>
  <c r="M283" i="6"/>
  <c r="N283" i="6"/>
  <c r="O283" i="6"/>
  <c r="P283" i="6"/>
  <c r="I284" i="6"/>
  <c r="J284" i="6"/>
  <c r="K284" i="6"/>
  <c r="L284" i="6"/>
  <c r="M284" i="6"/>
  <c r="N284" i="6"/>
  <c r="O284" i="6"/>
  <c r="P284" i="6"/>
  <c r="I285" i="6"/>
  <c r="J285" i="6"/>
  <c r="K285" i="6"/>
  <c r="L285" i="6"/>
  <c r="M285" i="6"/>
  <c r="N285" i="6"/>
  <c r="O285" i="6"/>
  <c r="P285" i="6"/>
  <c r="I286" i="6"/>
  <c r="J286" i="6"/>
  <c r="K286" i="6"/>
  <c r="L286" i="6"/>
  <c r="M286" i="6"/>
  <c r="N286" i="6"/>
  <c r="O286" i="6"/>
  <c r="P286" i="6"/>
  <c r="I287" i="6"/>
  <c r="J287" i="6"/>
  <c r="K287" i="6"/>
  <c r="L287" i="6"/>
  <c r="M287" i="6"/>
  <c r="N287" i="6"/>
  <c r="O287" i="6"/>
  <c r="P287" i="6"/>
  <c r="I288" i="6"/>
  <c r="J288" i="6"/>
  <c r="K288" i="6"/>
  <c r="L288" i="6"/>
  <c r="M288" i="6"/>
  <c r="N288" i="6"/>
  <c r="O288" i="6"/>
  <c r="P288" i="6"/>
  <c r="I289" i="6"/>
  <c r="J289" i="6"/>
  <c r="K289" i="6"/>
  <c r="L289" i="6"/>
  <c r="M289" i="6"/>
  <c r="N289" i="6"/>
  <c r="O289" i="6"/>
  <c r="P289" i="6"/>
  <c r="I290" i="6"/>
  <c r="J290" i="6"/>
  <c r="K290" i="6"/>
  <c r="L290" i="6"/>
  <c r="M290" i="6"/>
  <c r="N290" i="6"/>
  <c r="O290" i="6"/>
  <c r="P290" i="6"/>
  <c r="I291" i="6"/>
  <c r="J291" i="6"/>
  <c r="K291" i="6"/>
  <c r="L291" i="6"/>
  <c r="M291" i="6"/>
  <c r="N291" i="6"/>
  <c r="O291" i="6"/>
  <c r="P291" i="6"/>
  <c r="I292" i="6"/>
  <c r="J292" i="6"/>
  <c r="K292" i="6"/>
  <c r="L292" i="6"/>
  <c r="M292" i="6"/>
  <c r="N292" i="6"/>
  <c r="O292" i="6"/>
  <c r="P292" i="6"/>
  <c r="I293" i="6"/>
  <c r="J293" i="6"/>
  <c r="K293" i="6"/>
  <c r="L293" i="6"/>
  <c r="M293" i="6"/>
  <c r="N293" i="6"/>
  <c r="O293" i="6"/>
  <c r="P293" i="6"/>
  <c r="I294" i="6"/>
  <c r="J294" i="6"/>
  <c r="K294" i="6"/>
  <c r="L294" i="6"/>
  <c r="M294" i="6"/>
  <c r="N294" i="6"/>
  <c r="O294" i="6"/>
  <c r="P294" i="6"/>
  <c r="I295" i="6"/>
  <c r="J295" i="6"/>
  <c r="K295" i="6"/>
  <c r="L295" i="6"/>
  <c r="M295" i="6"/>
  <c r="N295" i="6"/>
  <c r="O295" i="6"/>
  <c r="P295" i="6"/>
  <c r="I296" i="6"/>
  <c r="J296" i="6"/>
  <c r="K296" i="6"/>
  <c r="L296" i="6"/>
  <c r="M296" i="6"/>
  <c r="N296" i="6"/>
  <c r="O296" i="6"/>
  <c r="P296" i="6"/>
  <c r="I297" i="6"/>
  <c r="J297" i="6"/>
  <c r="K297" i="6"/>
  <c r="L297" i="6"/>
  <c r="M297" i="6"/>
  <c r="N297" i="6"/>
  <c r="O297" i="6"/>
  <c r="P297" i="6"/>
  <c r="I298" i="6"/>
  <c r="J298" i="6"/>
  <c r="K298" i="6"/>
  <c r="L298" i="6"/>
  <c r="M298" i="6"/>
  <c r="N298" i="6"/>
  <c r="O298" i="6"/>
  <c r="P298" i="6"/>
  <c r="I299" i="6"/>
  <c r="J299" i="6"/>
  <c r="K299" i="6"/>
  <c r="L299" i="6"/>
  <c r="M299" i="6"/>
  <c r="N299" i="6"/>
  <c r="O299" i="6"/>
  <c r="P299" i="6"/>
  <c r="I300" i="6"/>
  <c r="J300" i="6"/>
  <c r="K300" i="6"/>
  <c r="L300" i="6"/>
  <c r="M300" i="6"/>
  <c r="N300" i="6"/>
  <c r="O300" i="6"/>
  <c r="P300" i="6"/>
  <c r="I301" i="6"/>
  <c r="J301" i="6"/>
  <c r="K301" i="6"/>
  <c r="L301" i="6"/>
  <c r="M301" i="6"/>
  <c r="N301" i="6"/>
  <c r="O301" i="6"/>
  <c r="P301" i="6"/>
  <c r="I302" i="6"/>
  <c r="J302" i="6"/>
  <c r="K302" i="6"/>
  <c r="L302" i="6"/>
  <c r="M302" i="6"/>
  <c r="N302" i="6"/>
  <c r="O302" i="6"/>
  <c r="P302" i="6"/>
  <c r="I303" i="6"/>
  <c r="J303" i="6"/>
  <c r="K303" i="6"/>
  <c r="L303" i="6"/>
  <c r="M303" i="6"/>
  <c r="N303" i="6"/>
  <c r="O303" i="6"/>
  <c r="P303" i="6"/>
  <c r="I304" i="6"/>
  <c r="J304" i="6"/>
  <c r="K304" i="6"/>
  <c r="L304" i="6"/>
  <c r="M304" i="6"/>
  <c r="N304" i="6"/>
  <c r="O304" i="6"/>
  <c r="P304" i="6"/>
  <c r="I305" i="6"/>
  <c r="J305" i="6"/>
  <c r="K305" i="6"/>
  <c r="L305" i="6"/>
  <c r="M305" i="6"/>
  <c r="N305" i="6"/>
  <c r="O305" i="6"/>
  <c r="P305" i="6"/>
  <c r="I306" i="6"/>
  <c r="J306" i="6"/>
  <c r="K306" i="6"/>
  <c r="L306" i="6"/>
  <c r="M306" i="6"/>
  <c r="N306" i="6"/>
  <c r="O306" i="6"/>
  <c r="P306" i="6"/>
  <c r="I307" i="6"/>
  <c r="J307" i="6"/>
  <c r="K307" i="6"/>
  <c r="L307" i="6"/>
  <c r="M307" i="6"/>
  <c r="N307" i="6"/>
  <c r="O307" i="6"/>
  <c r="P307" i="6"/>
  <c r="I308" i="6"/>
  <c r="J308" i="6"/>
  <c r="K308" i="6"/>
  <c r="L308" i="6"/>
  <c r="M308" i="6"/>
  <c r="N308" i="6"/>
  <c r="O308" i="6"/>
  <c r="P308" i="6"/>
  <c r="I309" i="6"/>
  <c r="J309" i="6"/>
  <c r="K309" i="6"/>
  <c r="L309" i="6"/>
  <c r="M309" i="6"/>
  <c r="N309" i="6"/>
  <c r="O309" i="6"/>
  <c r="P309" i="6"/>
  <c r="I310" i="6"/>
  <c r="J310" i="6"/>
  <c r="K310" i="6"/>
  <c r="L310" i="6"/>
  <c r="M310" i="6"/>
  <c r="N310" i="6"/>
  <c r="O310" i="6"/>
  <c r="P310" i="6"/>
  <c r="I311" i="6"/>
  <c r="J311" i="6"/>
  <c r="K311" i="6"/>
  <c r="L311" i="6"/>
  <c r="M311" i="6"/>
  <c r="N311" i="6"/>
  <c r="O311" i="6"/>
  <c r="P311" i="6"/>
  <c r="I312" i="6"/>
  <c r="J312" i="6"/>
  <c r="K312" i="6"/>
  <c r="L312" i="6"/>
  <c r="M312" i="6"/>
  <c r="N312" i="6"/>
  <c r="O312" i="6"/>
  <c r="P312" i="6"/>
  <c r="I313" i="6"/>
  <c r="J313" i="6"/>
  <c r="K313" i="6"/>
  <c r="L313" i="6"/>
  <c r="M313" i="6"/>
  <c r="N313" i="6"/>
  <c r="O313" i="6"/>
  <c r="P313" i="6"/>
  <c r="I314" i="6"/>
  <c r="J314" i="6"/>
  <c r="K314" i="6"/>
  <c r="L314" i="6"/>
  <c r="M314" i="6"/>
  <c r="N314" i="6"/>
  <c r="O314" i="6"/>
  <c r="P314" i="6"/>
  <c r="I315" i="6"/>
  <c r="J315" i="6"/>
  <c r="K315" i="6"/>
  <c r="L315" i="6"/>
  <c r="M315" i="6"/>
  <c r="N315" i="6"/>
  <c r="O315" i="6"/>
  <c r="P315" i="6"/>
  <c r="I316" i="6"/>
  <c r="J316" i="6"/>
  <c r="K316" i="6"/>
  <c r="L316" i="6"/>
  <c r="M316" i="6"/>
  <c r="N316" i="6"/>
  <c r="O316" i="6"/>
  <c r="P316" i="6"/>
  <c r="I317" i="6"/>
  <c r="J317" i="6"/>
  <c r="K317" i="6"/>
  <c r="L317" i="6"/>
  <c r="M317" i="6"/>
  <c r="N317" i="6"/>
  <c r="O317" i="6"/>
  <c r="P317" i="6"/>
  <c r="I318" i="6"/>
  <c r="J318" i="6"/>
  <c r="K318" i="6"/>
  <c r="L318" i="6"/>
  <c r="M318" i="6"/>
  <c r="N318" i="6"/>
  <c r="O318" i="6"/>
  <c r="P318" i="6"/>
  <c r="I319" i="6"/>
  <c r="J319" i="6"/>
  <c r="K319" i="6"/>
  <c r="L319" i="6"/>
  <c r="M319" i="6"/>
  <c r="N319" i="6"/>
  <c r="O319" i="6"/>
  <c r="P319" i="6"/>
  <c r="I320" i="6"/>
  <c r="J320" i="6"/>
  <c r="K320" i="6"/>
  <c r="L320" i="6"/>
  <c r="M320" i="6"/>
  <c r="N320" i="6"/>
  <c r="O320" i="6"/>
  <c r="P320" i="6"/>
  <c r="I321" i="6"/>
  <c r="J321" i="6"/>
  <c r="K321" i="6"/>
  <c r="L321" i="6"/>
  <c r="M321" i="6"/>
  <c r="N321" i="6"/>
  <c r="O321" i="6"/>
  <c r="P321" i="6"/>
  <c r="I322" i="6"/>
  <c r="J322" i="6"/>
  <c r="K322" i="6"/>
  <c r="L322" i="6"/>
  <c r="M322" i="6"/>
  <c r="N322" i="6"/>
  <c r="O322" i="6"/>
  <c r="P322" i="6"/>
  <c r="I323" i="6"/>
  <c r="J323" i="6"/>
  <c r="K323" i="6"/>
  <c r="L323" i="6"/>
  <c r="M323" i="6"/>
  <c r="N323" i="6"/>
  <c r="O323" i="6"/>
  <c r="P323" i="6"/>
  <c r="I324" i="6"/>
  <c r="J324" i="6"/>
  <c r="K324" i="6"/>
  <c r="L324" i="6"/>
  <c r="M324" i="6"/>
  <c r="N324" i="6"/>
  <c r="O324" i="6"/>
  <c r="P324" i="6"/>
  <c r="I325" i="6"/>
  <c r="J325" i="6"/>
  <c r="K325" i="6"/>
  <c r="L325" i="6"/>
  <c r="M325" i="6"/>
  <c r="N325" i="6"/>
  <c r="O325" i="6"/>
  <c r="P325" i="6"/>
  <c r="I326" i="6"/>
  <c r="J326" i="6"/>
  <c r="K326" i="6"/>
  <c r="L326" i="6"/>
  <c r="M326" i="6"/>
  <c r="N326" i="6"/>
  <c r="O326" i="6"/>
  <c r="P326" i="6"/>
  <c r="I327" i="6"/>
  <c r="J327" i="6"/>
  <c r="K327" i="6"/>
  <c r="L327" i="6"/>
  <c r="M327" i="6"/>
  <c r="N327" i="6"/>
  <c r="O327" i="6"/>
  <c r="P327" i="6"/>
  <c r="I328" i="6"/>
  <c r="J328" i="6"/>
  <c r="K328" i="6"/>
  <c r="L328" i="6"/>
  <c r="M328" i="6"/>
  <c r="N328" i="6"/>
  <c r="O328" i="6"/>
  <c r="P328" i="6"/>
  <c r="I329" i="6"/>
  <c r="J329" i="6"/>
  <c r="K329" i="6"/>
  <c r="L329" i="6"/>
  <c r="M329" i="6"/>
  <c r="N329" i="6"/>
  <c r="O329" i="6"/>
  <c r="P329" i="6"/>
  <c r="I330" i="6"/>
  <c r="J330" i="6"/>
  <c r="K330" i="6"/>
  <c r="L330" i="6"/>
  <c r="M330" i="6"/>
  <c r="N330" i="6"/>
  <c r="O330" i="6"/>
  <c r="P330" i="6"/>
  <c r="I331" i="6"/>
  <c r="J331" i="6"/>
  <c r="K331" i="6"/>
  <c r="L331" i="6"/>
  <c r="M331" i="6"/>
  <c r="N331" i="6"/>
  <c r="O331" i="6"/>
  <c r="P331" i="6"/>
  <c r="I332" i="6"/>
  <c r="J332" i="6"/>
  <c r="K332" i="6"/>
  <c r="L332" i="6"/>
  <c r="M332" i="6"/>
  <c r="N332" i="6"/>
  <c r="O332" i="6"/>
  <c r="P332" i="6"/>
  <c r="I333" i="6"/>
  <c r="J333" i="6"/>
  <c r="K333" i="6"/>
  <c r="L333" i="6"/>
  <c r="M333" i="6"/>
  <c r="N333" i="6"/>
  <c r="O333" i="6"/>
  <c r="P333" i="6"/>
  <c r="I334" i="6"/>
  <c r="J334" i="6"/>
  <c r="K334" i="6"/>
  <c r="L334" i="6"/>
  <c r="M334" i="6"/>
  <c r="N334" i="6"/>
  <c r="O334" i="6"/>
  <c r="P334" i="6"/>
  <c r="I335" i="6"/>
  <c r="J335" i="6"/>
  <c r="K335" i="6"/>
  <c r="L335" i="6"/>
  <c r="M335" i="6"/>
  <c r="N335" i="6"/>
  <c r="O335" i="6"/>
  <c r="P335" i="6"/>
  <c r="I336" i="6"/>
  <c r="J336" i="6"/>
  <c r="K336" i="6"/>
  <c r="L336" i="6"/>
  <c r="M336" i="6"/>
  <c r="N336" i="6"/>
  <c r="O336" i="6"/>
  <c r="P336" i="6"/>
  <c r="I337" i="6"/>
  <c r="J337" i="6"/>
  <c r="K337" i="6"/>
  <c r="L337" i="6"/>
  <c r="M337" i="6"/>
  <c r="N337" i="6"/>
  <c r="O337" i="6"/>
  <c r="P337" i="6"/>
  <c r="I338" i="6"/>
  <c r="J338" i="6"/>
  <c r="K338" i="6"/>
  <c r="L338" i="6"/>
  <c r="M338" i="6"/>
  <c r="N338" i="6"/>
  <c r="O338" i="6"/>
  <c r="P338" i="6"/>
  <c r="I339" i="6"/>
  <c r="J339" i="6"/>
  <c r="K339" i="6"/>
  <c r="L339" i="6"/>
  <c r="M339" i="6"/>
  <c r="N339" i="6"/>
  <c r="O339" i="6"/>
  <c r="P339" i="6"/>
  <c r="I340" i="6"/>
  <c r="J340" i="6"/>
  <c r="K340" i="6"/>
  <c r="L340" i="6"/>
  <c r="M340" i="6"/>
  <c r="N340" i="6"/>
  <c r="O340" i="6"/>
  <c r="P340" i="6"/>
  <c r="I341" i="6"/>
  <c r="J341" i="6"/>
  <c r="K341" i="6"/>
  <c r="L341" i="6"/>
  <c r="M341" i="6"/>
  <c r="N341" i="6"/>
  <c r="O341" i="6"/>
  <c r="P341" i="6"/>
  <c r="I342" i="6"/>
  <c r="J342" i="6"/>
  <c r="K342" i="6"/>
  <c r="L342" i="6"/>
  <c r="M342" i="6"/>
  <c r="N342" i="6"/>
  <c r="O342" i="6"/>
  <c r="P342" i="6"/>
  <c r="I343" i="6"/>
  <c r="J343" i="6"/>
  <c r="K343" i="6"/>
  <c r="L343" i="6"/>
  <c r="M343" i="6"/>
  <c r="N343" i="6"/>
  <c r="O343" i="6"/>
  <c r="P343" i="6"/>
  <c r="I344" i="6"/>
  <c r="J344" i="6"/>
  <c r="K344" i="6"/>
  <c r="L344" i="6"/>
  <c r="M344" i="6"/>
  <c r="N344" i="6"/>
  <c r="O344" i="6"/>
  <c r="P344" i="6"/>
  <c r="I345" i="6"/>
  <c r="J345" i="6"/>
  <c r="K345" i="6"/>
  <c r="L345" i="6"/>
  <c r="M345" i="6"/>
  <c r="N345" i="6"/>
  <c r="O345" i="6"/>
  <c r="P345" i="6"/>
  <c r="I346" i="6"/>
  <c r="J346" i="6"/>
  <c r="K346" i="6"/>
  <c r="L346" i="6"/>
  <c r="M346" i="6"/>
  <c r="N346" i="6"/>
  <c r="O346" i="6"/>
  <c r="P346" i="6"/>
  <c r="I347" i="6"/>
  <c r="J347" i="6"/>
  <c r="K347" i="6"/>
  <c r="L347" i="6"/>
  <c r="M347" i="6"/>
  <c r="N347" i="6"/>
  <c r="O347" i="6"/>
  <c r="P347" i="6"/>
  <c r="I348" i="6"/>
  <c r="J348" i="6"/>
  <c r="K348" i="6"/>
  <c r="L348" i="6"/>
  <c r="M348" i="6"/>
  <c r="N348" i="6"/>
  <c r="O348" i="6"/>
  <c r="P348" i="6"/>
  <c r="I349" i="6"/>
  <c r="J349" i="6"/>
  <c r="K349" i="6"/>
  <c r="L349" i="6"/>
  <c r="M349" i="6"/>
  <c r="N349" i="6"/>
  <c r="O349" i="6"/>
  <c r="P349" i="6"/>
  <c r="I350" i="6"/>
  <c r="J350" i="6"/>
  <c r="K350" i="6"/>
  <c r="L350" i="6"/>
  <c r="M350" i="6"/>
  <c r="N350" i="6"/>
  <c r="O350" i="6"/>
  <c r="P350" i="6"/>
  <c r="I351" i="6"/>
  <c r="J351" i="6"/>
  <c r="K351" i="6"/>
  <c r="L351" i="6"/>
  <c r="M351" i="6"/>
  <c r="N351" i="6"/>
  <c r="O351" i="6"/>
  <c r="P351" i="6"/>
  <c r="I352" i="6"/>
  <c r="J352" i="6"/>
  <c r="K352" i="6"/>
  <c r="L352" i="6"/>
  <c r="M352" i="6"/>
  <c r="N352" i="6"/>
  <c r="O352" i="6"/>
  <c r="P352" i="6"/>
  <c r="I353" i="6"/>
  <c r="J353" i="6"/>
  <c r="K353" i="6"/>
  <c r="L353" i="6"/>
  <c r="M353" i="6"/>
  <c r="N353" i="6"/>
  <c r="O353" i="6"/>
  <c r="P353" i="6"/>
  <c r="I354" i="6"/>
  <c r="J354" i="6"/>
  <c r="K354" i="6"/>
  <c r="L354" i="6"/>
  <c r="M354" i="6"/>
  <c r="N354" i="6"/>
  <c r="O354" i="6"/>
  <c r="P354" i="6"/>
  <c r="I355" i="6"/>
  <c r="J355" i="6"/>
  <c r="K355" i="6"/>
  <c r="L355" i="6"/>
  <c r="M355" i="6"/>
  <c r="N355" i="6"/>
  <c r="O355" i="6"/>
  <c r="P355" i="6"/>
  <c r="I356" i="6"/>
  <c r="J356" i="6"/>
  <c r="K356" i="6"/>
  <c r="L356" i="6"/>
  <c r="M356" i="6"/>
  <c r="N356" i="6"/>
  <c r="O356" i="6"/>
  <c r="P356" i="6"/>
  <c r="I357" i="6"/>
  <c r="J357" i="6"/>
  <c r="K357" i="6"/>
  <c r="L357" i="6"/>
  <c r="M357" i="6"/>
  <c r="N357" i="6"/>
  <c r="O357" i="6"/>
  <c r="P357" i="6"/>
  <c r="I358" i="6"/>
  <c r="J358" i="6"/>
  <c r="K358" i="6"/>
  <c r="L358" i="6"/>
  <c r="M358" i="6"/>
  <c r="N358" i="6"/>
  <c r="O358" i="6"/>
  <c r="P358" i="6"/>
  <c r="I359" i="6"/>
  <c r="J359" i="6"/>
  <c r="K359" i="6"/>
  <c r="L359" i="6"/>
  <c r="M359" i="6"/>
  <c r="N359" i="6"/>
  <c r="O359" i="6"/>
  <c r="P359" i="6"/>
  <c r="I360" i="6"/>
  <c r="J360" i="6"/>
  <c r="K360" i="6"/>
  <c r="L360" i="6"/>
  <c r="M360" i="6"/>
  <c r="N360" i="6"/>
  <c r="O360" i="6"/>
  <c r="P360" i="6"/>
  <c r="I361" i="6"/>
  <c r="J361" i="6"/>
  <c r="K361" i="6"/>
  <c r="L361" i="6"/>
  <c r="M361" i="6"/>
  <c r="N361" i="6"/>
  <c r="O361" i="6"/>
  <c r="P361" i="6"/>
  <c r="I362" i="6"/>
  <c r="J362" i="6"/>
  <c r="K362" i="6"/>
  <c r="L362" i="6"/>
  <c r="M362" i="6"/>
  <c r="N362" i="6"/>
  <c r="O362" i="6"/>
  <c r="P362" i="6"/>
  <c r="I363" i="6"/>
  <c r="J363" i="6"/>
  <c r="K363" i="6"/>
  <c r="L363" i="6"/>
  <c r="M363" i="6"/>
  <c r="N363" i="6"/>
  <c r="O363" i="6"/>
  <c r="P363" i="6"/>
  <c r="I364" i="6"/>
  <c r="J364" i="6"/>
  <c r="K364" i="6"/>
  <c r="L364" i="6"/>
  <c r="M364" i="6"/>
  <c r="N364" i="6"/>
  <c r="O364" i="6"/>
  <c r="P364" i="6"/>
  <c r="I365" i="6"/>
  <c r="J365" i="6"/>
  <c r="K365" i="6"/>
  <c r="L365" i="6"/>
  <c r="M365" i="6"/>
  <c r="N365" i="6"/>
  <c r="O365" i="6"/>
  <c r="P365" i="6"/>
  <c r="I366" i="6"/>
  <c r="J366" i="6"/>
  <c r="K366" i="6"/>
  <c r="L366" i="6"/>
  <c r="M366" i="6"/>
  <c r="N366" i="6"/>
  <c r="O366" i="6"/>
  <c r="P366" i="6"/>
  <c r="I367" i="6"/>
  <c r="J367" i="6"/>
  <c r="K367" i="6"/>
  <c r="L367" i="6"/>
  <c r="M367" i="6"/>
  <c r="N367" i="6"/>
  <c r="O367" i="6"/>
  <c r="P367" i="6"/>
  <c r="I368" i="6"/>
  <c r="J368" i="6"/>
  <c r="K368" i="6"/>
  <c r="L368" i="6"/>
  <c r="M368" i="6"/>
  <c r="N368" i="6"/>
  <c r="O368" i="6"/>
  <c r="P368" i="6"/>
  <c r="I369" i="6"/>
  <c r="J369" i="6"/>
  <c r="K369" i="6"/>
  <c r="L369" i="6"/>
  <c r="M369" i="6"/>
  <c r="N369" i="6"/>
  <c r="O369" i="6"/>
  <c r="P369" i="6"/>
  <c r="I370" i="6"/>
  <c r="J370" i="6"/>
  <c r="K370" i="6"/>
  <c r="L370" i="6"/>
  <c r="M370" i="6"/>
  <c r="N370" i="6"/>
  <c r="O370" i="6"/>
  <c r="P370" i="6"/>
  <c r="I371" i="6"/>
  <c r="J371" i="6"/>
  <c r="K371" i="6"/>
  <c r="L371" i="6"/>
  <c r="M371" i="6"/>
  <c r="N371" i="6"/>
  <c r="O371" i="6"/>
  <c r="P371" i="6"/>
  <c r="I372" i="6"/>
  <c r="J372" i="6"/>
  <c r="K372" i="6"/>
  <c r="L372" i="6"/>
  <c r="M372" i="6"/>
  <c r="N372" i="6"/>
  <c r="O372" i="6"/>
  <c r="P372" i="6"/>
  <c r="I373" i="6"/>
  <c r="J373" i="6"/>
  <c r="K373" i="6"/>
  <c r="L373" i="6"/>
  <c r="M373" i="6"/>
  <c r="N373" i="6"/>
  <c r="O373" i="6"/>
  <c r="P373" i="6"/>
  <c r="I374" i="6"/>
  <c r="J374" i="6"/>
  <c r="K374" i="6"/>
  <c r="L374" i="6"/>
  <c r="M374" i="6"/>
  <c r="N374" i="6"/>
  <c r="O374" i="6"/>
  <c r="P374" i="6"/>
  <c r="I375" i="6"/>
  <c r="J375" i="6"/>
  <c r="K375" i="6"/>
  <c r="L375" i="6"/>
  <c r="M375" i="6"/>
  <c r="N375" i="6"/>
  <c r="O375" i="6"/>
  <c r="P375" i="6"/>
  <c r="I376" i="6"/>
  <c r="J376" i="6"/>
  <c r="K376" i="6"/>
  <c r="L376" i="6"/>
  <c r="M376" i="6"/>
  <c r="N376" i="6"/>
  <c r="O376" i="6"/>
  <c r="P376" i="6"/>
  <c r="I377" i="6"/>
  <c r="J377" i="6"/>
  <c r="K377" i="6"/>
  <c r="L377" i="6"/>
  <c r="M377" i="6"/>
  <c r="N377" i="6"/>
  <c r="O377" i="6"/>
  <c r="P377" i="6"/>
  <c r="I378" i="6"/>
  <c r="J378" i="6"/>
  <c r="K378" i="6"/>
  <c r="L378" i="6"/>
  <c r="M378" i="6"/>
  <c r="N378" i="6"/>
  <c r="O378" i="6"/>
  <c r="P378" i="6"/>
  <c r="I379" i="6"/>
  <c r="J379" i="6"/>
  <c r="K379" i="6"/>
  <c r="L379" i="6"/>
  <c r="M379" i="6"/>
  <c r="N379" i="6"/>
  <c r="O379" i="6"/>
  <c r="P379" i="6"/>
  <c r="I380" i="6"/>
  <c r="J380" i="6"/>
  <c r="K380" i="6"/>
  <c r="L380" i="6"/>
  <c r="M380" i="6"/>
  <c r="N380" i="6"/>
  <c r="O380" i="6"/>
  <c r="P380" i="6"/>
  <c r="I381" i="6"/>
  <c r="J381" i="6"/>
  <c r="K381" i="6"/>
  <c r="L381" i="6"/>
  <c r="M381" i="6"/>
  <c r="N381" i="6"/>
  <c r="O381" i="6"/>
  <c r="P381" i="6"/>
  <c r="I382" i="6"/>
  <c r="J382" i="6"/>
  <c r="K382" i="6"/>
  <c r="L382" i="6"/>
  <c r="M382" i="6"/>
  <c r="N382" i="6"/>
  <c r="O382" i="6"/>
  <c r="P382" i="6"/>
  <c r="I383" i="6"/>
  <c r="J383" i="6"/>
  <c r="K383" i="6"/>
  <c r="L383" i="6"/>
  <c r="M383" i="6"/>
  <c r="N383" i="6"/>
  <c r="O383" i="6"/>
  <c r="P383" i="6"/>
  <c r="I384" i="6"/>
  <c r="J384" i="6"/>
  <c r="K384" i="6"/>
  <c r="L384" i="6"/>
  <c r="M384" i="6"/>
  <c r="N384" i="6"/>
  <c r="O384" i="6"/>
  <c r="P384" i="6"/>
  <c r="I385" i="6"/>
  <c r="J385" i="6"/>
  <c r="K385" i="6"/>
  <c r="L385" i="6"/>
  <c r="M385" i="6"/>
  <c r="N385" i="6"/>
  <c r="O385" i="6"/>
  <c r="P385" i="6"/>
  <c r="I386" i="6"/>
  <c r="J386" i="6"/>
  <c r="K386" i="6"/>
  <c r="L386" i="6"/>
  <c r="M386" i="6"/>
  <c r="N386" i="6"/>
  <c r="O386" i="6"/>
  <c r="P386" i="6"/>
  <c r="I387" i="6"/>
  <c r="J387" i="6"/>
  <c r="K387" i="6"/>
  <c r="L387" i="6"/>
  <c r="M387" i="6"/>
  <c r="N387" i="6"/>
  <c r="O387" i="6"/>
  <c r="P387" i="6"/>
  <c r="I388" i="6"/>
  <c r="J388" i="6"/>
  <c r="K388" i="6"/>
  <c r="L388" i="6"/>
  <c r="M388" i="6"/>
  <c r="N388" i="6"/>
  <c r="O388" i="6"/>
  <c r="P388" i="6"/>
  <c r="I389" i="6"/>
  <c r="J389" i="6"/>
  <c r="K389" i="6"/>
  <c r="L389" i="6"/>
  <c r="M389" i="6"/>
  <c r="N389" i="6"/>
  <c r="O389" i="6"/>
  <c r="P389" i="6"/>
  <c r="I390" i="6"/>
  <c r="J390" i="6"/>
  <c r="K390" i="6"/>
  <c r="L390" i="6"/>
  <c r="M390" i="6"/>
  <c r="N390" i="6"/>
  <c r="O390" i="6"/>
  <c r="P390" i="6"/>
  <c r="I391" i="6"/>
  <c r="J391" i="6"/>
  <c r="K391" i="6"/>
  <c r="L391" i="6"/>
  <c r="M391" i="6"/>
  <c r="N391" i="6"/>
  <c r="O391" i="6"/>
  <c r="P391" i="6"/>
  <c r="I392" i="6"/>
  <c r="J392" i="6"/>
  <c r="K392" i="6"/>
  <c r="L392" i="6"/>
  <c r="M392" i="6"/>
  <c r="N392" i="6"/>
  <c r="O392" i="6"/>
  <c r="P392" i="6"/>
  <c r="I393" i="6"/>
  <c r="J393" i="6"/>
  <c r="K393" i="6"/>
  <c r="L393" i="6"/>
  <c r="M393" i="6"/>
  <c r="N393" i="6"/>
  <c r="O393" i="6"/>
  <c r="P393" i="6"/>
  <c r="I394" i="6"/>
  <c r="J394" i="6"/>
  <c r="K394" i="6"/>
  <c r="L394" i="6"/>
  <c r="M394" i="6"/>
  <c r="N394" i="6"/>
  <c r="O394" i="6"/>
  <c r="P394" i="6"/>
  <c r="I395" i="6"/>
  <c r="J395" i="6"/>
  <c r="K395" i="6"/>
  <c r="L395" i="6"/>
  <c r="M395" i="6"/>
  <c r="N395" i="6"/>
  <c r="O395" i="6"/>
  <c r="P395" i="6"/>
  <c r="I396" i="6"/>
  <c r="J396" i="6"/>
  <c r="K396" i="6"/>
  <c r="L396" i="6"/>
  <c r="M396" i="6"/>
  <c r="N396" i="6"/>
  <c r="O396" i="6"/>
  <c r="P396" i="6"/>
  <c r="I397" i="6"/>
  <c r="J397" i="6"/>
  <c r="K397" i="6"/>
  <c r="L397" i="6"/>
  <c r="M397" i="6"/>
  <c r="N397" i="6"/>
  <c r="O397" i="6"/>
  <c r="P397" i="6"/>
  <c r="I398" i="6"/>
  <c r="J398" i="6"/>
  <c r="K398" i="6"/>
  <c r="L398" i="6"/>
  <c r="M398" i="6"/>
  <c r="N398" i="6"/>
  <c r="O398" i="6"/>
  <c r="P398" i="6"/>
  <c r="I399" i="6"/>
  <c r="J399" i="6"/>
  <c r="K399" i="6"/>
  <c r="L399" i="6"/>
  <c r="M399" i="6"/>
  <c r="N399" i="6"/>
  <c r="O399" i="6"/>
  <c r="P399" i="6"/>
  <c r="I400" i="6"/>
  <c r="J400" i="6"/>
  <c r="K400" i="6"/>
  <c r="L400" i="6"/>
  <c r="M400" i="6"/>
  <c r="N400" i="6"/>
  <c r="O400" i="6"/>
  <c r="P400" i="6"/>
  <c r="I401" i="6"/>
  <c r="J401" i="6"/>
  <c r="K401" i="6"/>
  <c r="L401" i="6"/>
  <c r="M401" i="6"/>
  <c r="N401" i="6"/>
  <c r="O401" i="6"/>
  <c r="P401" i="6"/>
  <c r="I402" i="6"/>
  <c r="J402" i="6"/>
  <c r="K402" i="6"/>
  <c r="L402" i="6"/>
  <c r="M402" i="6"/>
  <c r="N402" i="6"/>
  <c r="O402" i="6"/>
  <c r="P402" i="6"/>
  <c r="I403" i="6"/>
  <c r="J403" i="6"/>
  <c r="K403" i="6"/>
  <c r="L403" i="6"/>
  <c r="M403" i="6"/>
  <c r="N403" i="6"/>
  <c r="O403" i="6"/>
  <c r="P403" i="6"/>
  <c r="I404" i="6"/>
  <c r="J404" i="6"/>
  <c r="K404" i="6"/>
  <c r="L404" i="6"/>
  <c r="M404" i="6"/>
  <c r="N404" i="6"/>
  <c r="O404" i="6"/>
  <c r="P404" i="6"/>
  <c r="I405" i="6"/>
  <c r="J405" i="6"/>
  <c r="K405" i="6"/>
  <c r="L405" i="6"/>
  <c r="M405" i="6"/>
  <c r="N405" i="6"/>
  <c r="O405" i="6"/>
  <c r="P405" i="6"/>
  <c r="I406" i="6"/>
  <c r="J406" i="6"/>
  <c r="K406" i="6"/>
  <c r="L406" i="6"/>
  <c r="M406" i="6"/>
  <c r="N406" i="6"/>
  <c r="O406" i="6"/>
  <c r="P406" i="6"/>
  <c r="I407" i="6"/>
  <c r="J407" i="6"/>
  <c r="K407" i="6"/>
  <c r="L407" i="6"/>
  <c r="M407" i="6"/>
  <c r="N407" i="6"/>
  <c r="O407" i="6"/>
  <c r="P407" i="6"/>
  <c r="I408" i="6"/>
  <c r="J408" i="6"/>
  <c r="K408" i="6"/>
  <c r="L408" i="6"/>
  <c r="M408" i="6"/>
  <c r="N408" i="6"/>
  <c r="O408" i="6"/>
  <c r="P408" i="6"/>
  <c r="I409" i="6"/>
  <c r="J409" i="6"/>
  <c r="K409" i="6"/>
  <c r="L409" i="6"/>
  <c r="M409" i="6"/>
  <c r="N409" i="6"/>
  <c r="O409" i="6"/>
  <c r="P409" i="6"/>
  <c r="I410" i="6"/>
  <c r="J410" i="6"/>
  <c r="K410" i="6"/>
  <c r="L410" i="6"/>
  <c r="M410" i="6"/>
  <c r="N410" i="6"/>
  <c r="O410" i="6"/>
  <c r="P410" i="6"/>
  <c r="I411" i="6"/>
  <c r="J411" i="6"/>
  <c r="K411" i="6"/>
  <c r="L411" i="6"/>
  <c r="M411" i="6"/>
  <c r="N411" i="6"/>
  <c r="O411" i="6"/>
  <c r="P411" i="6"/>
  <c r="I412" i="6"/>
  <c r="J412" i="6"/>
  <c r="K412" i="6"/>
  <c r="L412" i="6"/>
  <c r="M412" i="6"/>
  <c r="N412" i="6"/>
  <c r="O412" i="6"/>
  <c r="P412" i="6"/>
  <c r="I413" i="6"/>
  <c r="J413" i="6"/>
  <c r="K413" i="6"/>
  <c r="L413" i="6"/>
  <c r="M413" i="6"/>
  <c r="N413" i="6"/>
  <c r="O413" i="6"/>
  <c r="P413" i="6"/>
  <c r="I414" i="6"/>
  <c r="J414" i="6"/>
  <c r="K414" i="6"/>
  <c r="L414" i="6"/>
  <c r="M414" i="6"/>
  <c r="N414" i="6"/>
  <c r="O414" i="6"/>
  <c r="P414" i="6"/>
  <c r="I415" i="6"/>
  <c r="J415" i="6"/>
  <c r="K415" i="6"/>
  <c r="L415" i="6"/>
  <c r="M415" i="6"/>
  <c r="N415" i="6"/>
  <c r="O415" i="6"/>
  <c r="P415" i="6"/>
  <c r="I416" i="6"/>
  <c r="J416" i="6"/>
  <c r="K416" i="6"/>
  <c r="L416" i="6"/>
  <c r="M416" i="6"/>
  <c r="N416" i="6"/>
  <c r="O416" i="6"/>
  <c r="P416" i="6"/>
  <c r="I417" i="6"/>
  <c r="J417" i="6"/>
  <c r="K417" i="6"/>
  <c r="L417" i="6"/>
  <c r="M417" i="6"/>
  <c r="N417" i="6"/>
  <c r="O417" i="6"/>
  <c r="P417" i="6"/>
  <c r="I418" i="6"/>
  <c r="J418" i="6"/>
  <c r="K418" i="6"/>
  <c r="L418" i="6"/>
  <c r="M418" i="6"/>
  <c r="N418" i="6"/>
  <c r="O418" i="6"/>
  <c r="P418" i="6"/>
  <c r="I419" i="6"/>
  <c r="J419" i="6"/>
  <c r="K419" i="6"/>
  <c r="L419" i="6"/>
  <c r="M419" i="6"/>
  <c r="N419" i="6"/>
  <c r="O419" i="6"/>
  <c r="P419" i="6"/>
  <c r="I420" i="6"/>
  <c r="J420" i="6"/>
  <c r="K420" i="6"/>
  <c r="L420" i="6"/>
  <c r="M420" i="6"/>
  <c r="N420" i="6"/>
  <c r="O420" i="6"/>
  <c r="P420" i="6"/>
  <c r="I421" i="6"/>
  <c r="J421" i="6"/>
  <c r="K421" i="6"/>
  <c r="L421" i="6"/>
  <c r="M421" i="6"/>
  <c r="N421" i="6"/>
  <c r="O421" i="6"/>
  <c r="P421" i="6"/>
  <c r="I422" i="6"/>
  <c r="J422" i="6"/>
  <c r="K422" i="6"/>
  <c r="L422" i="6"/>
  <c r="M422" i="6"/>
  <c r="N422" i="6"/>
  <c r="O422" i="6"/>
  <c r="P422" i="6"/>
  <c r="I423" i="6"/>
  <c r="J423" i="6"/>
  <c r="K423" i="6"/>
  <c r="L423" i="6"/>
  <c r="M423" i="6"/>
  <c r="N423" i="6"/>
  <c r="O423" i="6"/>
  <c r="P423" i="6"/>
  <c r="I424" i="6"/>
  <c r="J424" i="6"/>
  <c r="K424" i="6"/>
  <c r="L424" i="6"/>
  <c r="M424" i="6"/>
  <c r="N424" i="6"/>
  <c r="O424" i="6"/>
  <c r="P424" i="6"/>
  <c r="I425" i="6"/>
  <c r="J425" i="6"/>
  <c r="K425" i="6"/>
  <c r="L425" i="6"/>
  <c r="M425" i="6"/>
  <c r="N425" i="6"/>
  <c r="O425" i="6"/>
  <c r="P425" i="6"/>
  <c r="I426" i="6"/>
  <c r="J426" i="6"/>
  <c r="K426" i="6"/>
  <c r="L426" i="6"/>
  <c r="M426" i="6"/>
  <c r="N426" i="6"/>
  <c r="O426" i="6"/>
  <c r="P426" i="6"/>
  <c r="I427" i="6"/>
  <c r="J427" i="6"/>
  <c r="K427" i="6"/>
  <c r="L427" i="6"/>
  <c r="M427" i="6"/>
  <c r="N427" i="6"/>
  <c r="O427" i="6"/>
  <c r="P427" i="6"/>
  <c r="I428" i="6"/>
  <c r="J428" i="6"/>
  <c r="K428" i="6"/>
  <c r="L428" i="6"/>
  <c r="M428" i="6"/>
  <c r="N428" i="6"/>
  <c r="O428" i="6"/>
  <c r="P428" i="6"/>
  <c r="I429" i="6"/>
  <c r="J429" i="6"/>
  <c r="K429" i="6"/>
  <c r="L429" i="6"/>
  <c r="M429" i="6"/>
  <c r="N429" i="6"/>
  <c r="O429" i="6"/>
  <c r="P429" i="6"/>
  <c r="I430" i="6"/>
  <c r="J430" i="6"/>
  <c r="K430" i="6"/>
  <c r="L430" i="6"/>
  <c r="M430" i="6"/>
  <c r="N430" i="6"/>
  <c r="O430" i="6"/>
  <c r="P430" i="6"/>
  <c r="I431" i="6"/>
  <c r="J431" i="6"/>
  <c r="K431" i="6"/>
  <c r="L431" i="6"/>
  <c r="M431" i="6"/>
  <c r="N431" i="6"/>
  <c r="O431" i="6"/>
  <c r="P431" i="6"/>
  <c r="I432" i="6"/>
  <c r="J432" i="6"/>
  <c r="K432" i="6"/>
  <c r="L432" i="6"/>
  <c r="M432" i="6"/>
  <c r="N432" i="6"/>
  <c r="O432" i="6"/>
  <c r="P432" i="6"/>
  <c r="I433" i="6"/>
  <c r="J433" i="6"/>
  <c r="K433" i="6"/>
  <c r="L433" i="6"/>
  <c r="M433" i="6"/>
  <c r="N433" i="6"/>
  <c r="O433" i="6"/>
  <c r="P433" i="6"/>
  <c r="I434" i="6"/>
  <c r="J434" i="6"/>
  <c r="K434" i="6"/>
  <c r="L434" i="6"/>
  <c r="M434" i="6"/>
  <c r="N434" i="6"/>
  <c r="O434" i="6"/>
  <c r="P434" i="6"/>
  <c r="I435" i="6"/>
  <c r="J435" i="6"/>
  <c r="K435" i="6"/>
  <c r="L435" i="6"/>
  <c r="M435" i="6"/>
  <c r="N435" i="6"/>
  <c r="O435" i="6"/>
  <c r="P435" i="6"/>
  <c r="I436" i="6"/>
  <c r="J436" i="6"/>
  <c r="K436" i="6"/>
  <c r="L436" i="6"/>
  <c r="M436" i="6"/>
  <c r="N436" i="6"/>
  <c r="O436" i="6"/>
  <c r="P436" i="6"/>
  <c r="I437" i="6"/>
  <c r="J437" i="6"/>
  <c r="K437" i="6"/>
  <c r="L437" i="6"/>
  <c r="M437" i="6"/>
  <c r="N437" i="6"/>
  <c r="O437" i="6"/>
  <c r="P437" i="6"/>
  <c r="I438" i="6"/>
  <c r="J438" i="6"/>
  <c r="K438" i="6"/>
  <c r="L438" i="6"/>
  <c r="M438" i="6"/>
  <c r="N438" i="6"/>
  <c r="O438" i="6"/>
  <c r="P438" i="6"/>
  <c r="I439" i="6"/>
  <c r="J439" i="6"/>
  <c r="K439" i="6"/>
  <c r="L439" i="6"/>
  <c r="M439" i="6"/>
  <c r="N439" i="6"/>
  <c r="O439" i="6"/>
  <c r="P439" i="6"/>
  <c r="I440" i="6"/>
  <c r="J440" i="6"/>
  <c r="K440" i="6"/>
  <c r="L440" i="6"/>
  <c r="M440" i="6"/>
  <c r="N440" i="6"/>
  <c r="O440" i="6"/>
  <c r="P440" i="6"/>
  <c r="I441" i="6"/>
  <c r="J441" i="6"/>
  <c r="K441" i="6"/>
  <c r="L441" i="6"/>
  <c r="M441" i="6"/>
  <c r="N441" i="6"/>
  <c r="O441" i="6"/>
  <c r="P441" i="6"/>
  <c r="I442" i="6"/>
  <c r="J442" i="6"/>
  <c r="K442" i="6"/>
  <c r="L442" i="6"/>
  <c r="M442" i="6"/>
  <c r="N442" i="6"/>
  <c r="O442" i="6"/>
  <c r="P442" i="6"/>
  <c r="I443" i="6"/>
  <c r="J443" i="6"/>
  <c r="K443" i="6"/>
  <c r="L443" i="6"/>
  <c r="M443" i="6"/>
  <c r="N443" i="6"/>
  <c r="O443" i="6"/>
  <c r="P443" i="6"/>
  <c r="I444" i="6"/>
  <c r="J444" i="6"/>
  <c r="K444" i="6"/>
  <c r="L444" i="6"/>
  <c r="M444" i="6"/>
  <c r="N444" i="6"/>
  <c r="O444" i="6"/>
  <c r="P444" i="6"/>
  <c r="I445" i="6"/>
  <c r="J445" i="6"/>
  <c r="K445" i="6"/>
  <c r="L445" i="6"/>
  <c r="M445" i="6"/>
  <c r="N445" i="6"/>
  <c r="O445" i="6"/>
  <c r="P445" i="6"/>
  <c r="I446" i="6"/>
  <c r="J446" i="6"/>
  <c r="K446" i="6"/>
  <c r="L446" i="6"/>
  <c r="M446" i="6"/>
  <c r="N446" i="6"/>
  <c r="O446" i="6"/>
  <c r="P446" i="6"/>
  <c r="I447" i="6"/>
  <c r="J447" i="6"/>
  <c r="K447" i="6"/>
  <c r="L447" i="6"/>
  <c r="M447" i="6"/>
  <c r="N447" i="6"/>
  <c r="O447" i="6"/>
  <c r="P447" i="6"/>
  <c r="I448" i="6"/>
  <c r="J448" i="6"/>
  <c r="K448" i="6"/>
  <c r="L448" i="6"/>
  <c r="M448" i="6"/>
  <c r="N448" i="6"/>
  <c r="O448" i="6"/>
  <c r="P448" i="6"/>
  <c r="I449" i="6"/>
  <c r="J449" i="6"/>
  <c r="K449" i="6"/>
  <c r="L449" i="6"/>
  <c r="M449" i="6"/>
  <c r="N449" i="6"/>
  <c r="O449" i="6"/>
  <c r="P449" i="6"/>
  <c r="I450" i="6"/>
  <c r="J450" i="6"/>
  <c r="K450" i="6"/>
  <c r="L450" i="6"/>
  <c r="M450" i="6"/>
  <c r="N450" i="6"/>
  <c r="O450" i="6"/>
  <c r="P450" i="6"/>
  <c r="I451" i="6"/>
  <c r="J451" i="6"/>
  <c r="K451" i="6"/>
  <c r="L451" i="6"/>
  <c r="M451" i="6"/>
  <c r="N451" i="6"/>
  <c r="O451" i="6"/>
  <c r="P451" i="6"/>
  <c r="I452" i="6"/>
  <c r="J452" i="6"/>
  <c r="K452" i="6"/>
  <c r="L452" i="6"/>
  <c r="M452" i="6"/>
  <c r="N452" i="6"/>
  <c r="O452" i="6"/>
  <c r="P452" i="6"/>
  <c r="I453" i="6"/>
  <c r="J453" i="6"/>
  <c r="K453" i="6"/>
  <c r="L453" i="6"/>
  <c r="M453" i="6"/>
  <c r="N453" i="6"/>
  <c r="O453" i="6"/>
  <c r="P453" i="6"/>
  <c r="I454" i="6"/>
  <c r="J454" i="6"/>
  <c r="K454" i="6"/>
  <c r="L454" i="6"/>
  <c r="M454" i="6"/>
  <c r="N454" i="6"/>
  <c r="O454" i="6"/>
  <c r="P454" i="6"/>
  <c r="I455" i="6"/>
  <c r="J455" i="6"/>
  <c r="K455" i="6"/>
  <c r="L455" i="6"/>
  <c r="M455" i="6"/>
  <c r="N455" i="6"/>
  <c r="O455" i="6"/>
  <c r="P455" i="6"/>
  <c r="I456" i="6"/>
  <c r="J456" i="6"/>
  <c r="K456" i="6"/>
  <c r="L456" i="6"/>
  <c r="M456" i="6"/>
  <c r="N456" i="6"/>
  <c r="O456" i="6"/>
  <c r="P456" i="6"/>
  <c r="I457" i="6"/>
  <c r="J457" i="6"/>
  <c r="K457" i="6"/>
  <c r="L457" i="6"/>
  <c r="M457" i="6"/>
  <c r="N457" i="6"/>
  <c r="O457" i="6"/>
  <c r="P457" i="6"/>
  <c r="I458" i="6"/>
  <c r="J458" i="6"/>
  <c r="K458" i="6"/>
  <c r="L458" i="6"/>
  <c r="M458" i="6"/>
  <c r="N458" i="6"/>
  <c r="O458" i="6"/>
  <c r="P458" i="6"/>
  <c r="I459" i="6"/>
  <c r="J459" i="6"/>
  <c r="K459" i="6"/>
  <c r="L459" i="6"/>
  <c r="M459" i="6"/>
  <c r="N459" i="6"/>
  <c r="O459" i="6"/>
  <c r="P459" i="6"/>
  <c r="I460" i="6"/>
  <c r="J460" i="6"/>
  <c r="K460" i="6"/>
  <c r="L460" i="6"/>
  <c r="M460" i="6"/>
  <c r="N460" i="6"/>
  <c r="O460" i="6"/>
  <c r="P460" i="6"/>
  <c r="I461" i="6"/>
  <c r="J461" i="6"/>
  <c r="K461" i="6"/>
  <c r="L461" i="6"/>
  <c r="M461" i="6"/>
  <c r="N461" i="6"/>
  <c r="O461" i="6"/>
  <c r="P461" i="6"/>
  <c r="I462" i="6"/>
  <c r="J462" i="6"/>
  <c r="K462" i="6"/>
  <c r="L462" i="6"/>
  <c r="M462" i="6"/>
  <c r="N462" i="6"/>
  <c r="O462" i="6"/>
  <c r="P462" i="6"/>
  <c r="I463" i="6"/>
  <c r="J463" i="6"/>
  <c r="K463" i="6"/>
  <c r="L463" i="6"/>
  <c r="M463" i="6"/>
  <c r="N463" i="6"/>
  <c r="O463" i="6"/>
  <c r="P463" i="6"/>
  <c r="I464" i="6"/>
  <c r="J464" i="6"/>
  <c r="K464" i="6"/>
  <c r="L464" i="6"/>
  <c r="M464" i="6"/>
  <c r="N464" i="6"/>
  <c r="O464" i="6"/>
  <c r="P464" i="6"/>
  <c r="I465" i="6"/>
  <c r="J465" i="6"/>
  <c r="K465" i="6"/>
  <c r="L465" i="6"/>
  <c r="M465" i="6"/>
  <c r="N465" i="6"/>
  <c r="O465" i="6"/>
  <c r="P465" i="6"/>
  <c r="I466" i="6"/>
  <c r="J466" i="6"/>
  <c r="K466" i="6"/>
  <c r="L466" i="6"/>
  <c r="M466" i="6"/>
  <c r="N466" i="6"/>
  <c r="O466" i="6"/>
  <c r="P466" i="6"/>
  <c r="I467" i="6"/>
  <c r="J467" i="6"/>
  <c r="K467" i="6"/>
  <c r="L467" i="6"/>
  <c r="M467" i="6"/>
  <c r="N467" i="6"/>
  <c r="O467" i="6"/>
  <c r="P467" i="6"/>
  <c r="I468" i="6"/>
  <c r="J468" i="6"/>
  <c r="K468" i="6"/>
  <c r="L468" i="6"/>
  <c r="M468" i="6"/>
  <c r="N468" i="6"/>
  <c r="O468" i="6"/>
  <c r="P468" i="6"/>
  <c r="I469" i="6"/>
  <c r="J469" i="6"/>
  <c r="K469" i="6"/>
  <c r="L469" i="6"/>
  <c r="M469" i="6"/>
  <c r="N469" i="6"/>
  <c r="O469" i="6"/>
  <c r="P469" i="6"/>
  <c r="I470" i="6"/>
  <c r="J470" i="6"/>
  <c r="K470" i="6"/>
  <c r="L470" i="6"/>
  <c r="M470" i="6"/>
  <c r="N470" i="6"/>
  <c r="O470" i="6"/>
  <c r="P470" i="6"/>
  <c r="I471" i="6"/>
  <c r="J471" i="6"/>
  <c r="K471" i="6"/>
  <c r="L471" i="6"/>
  <c r="M471" i="6"/>
  <c r="N471" i="6"/>
  <c r="O471" i="6"/>
  <c r="P471" i="6"/>
  <c r="I472" i="6"/>
  <c r="J472" i="6"/>
  <c r="K472" i="6"/>
  <c r="L472" i="6"/>
  <c r="M472" i="6"/>
  <c r="N472" i="6"/>
  <c r="O472" i="6"/>
  <c r="P472" i="6"/>
  <c r="I473" i="6"/>
  <c r="J473" i="6"/>
  <c r="K473" i="6"/>
  <c r="L473" i="6"/>
  <c r="M473" i="6"/>
  <c r="N473" i="6"/>
  <c r="O473" i="6"/>
  <c r="P473" i="6"/>
  <c r="I474" i="6"/>
  <c r="J474" i="6"/>
  <c r="K474" i="6"/>
  <c r="L474" i="6"/>
  <c r="M474" i="6"/>
  <c r="N474" i="6"/>
  <c r="O474" i="6"/>
  <c r="P474" i="6"/>
  <c r="I475" i="6"/>
  <c r="J475" i="6"/>
  <c r="K475" i="6"/>
  <c r="L475" i="6"/>
  <c r="M475" i="6"/>
  <c r="N475" i="6"/>
  <c r="O475" i="6"/>
  <c r="P475" i="6"/>
  <c r="I476" i="6"/>
  <c r="J476" i="6"/>
  <c r="K476" i="6"/>
  <c r="L476" i="6"/>
  <c r="M476" i="6"/>
  <c r="N476" i="6"/>
  <c r="O476" i="6"/>
  <c r="P476" i="6"/>
  <c r="I477" i="6"/>
  <c r="J477" i="6"/>
  <c r="K477" i="6"/>
  <c r="L477" i="6"/>
  <c r="M477" i="6"/>
  <c r="N477" i="6"/>
  <c r="O477" i="6"/>
  <c r="P477" i="6"/>
  <c r="I478" i="6"/>
  <c r="J478" i="6"/>
  <c r="K478" i="6"/>
  <c r="L478" i="6"/>
  <c r="M478" i="6"/>
  <c r="N478" i="6"/>
  <c r="O478" i="6"/>
  <c r="P478" i="6"/>
  <c r="I479" i="6"/>
  <c r="J479" i="6"/>
  <c r="K479" i="6"/>
  <c r="L479" i="6"/>
  <c r="M479" i="6"/>
  <c r="N479" i="6"/>
  <c r="O479" i="6"/>
  <c r="P479" i="6"/>
  <c r="I480" i="6"/>
  <c r="J480" i="6"/>
  <c r="K480" i="6"/>
  <c r="L480" i="6"/>
  <c r="M480" i="6"/>
  <c r="N480" i="6"/>
  <c r="O480" i="6"/>
  <c r="P480" i="6"/>
  <c r="I481" i="6"/>
  <c r="J481" i="6"/>
  <c r="K481" i="6"/>
  <c r="L481" i="6"/>
  <c r="M481" i="6"/>
  <c r="N481" i="6"/>
  <c r="O481" i="6"/>
  <c r="P481" i="6"/>
  <c r="I482" i="6"/>
  <c r="J482" i="6"/>
  <c r="K482" i="6"/>
  <c r="L482" i="6"/>
  <c r="M482" i="6"/>
  <c r="N482" i="6"/>
  <c r="O482" i="6"/>
  <c r="P482" i="6"/>
  <c r="I483" i="6"/>
  <c r="J483" i="6"/>
  <c r="K483" i="6"/>
  <c r="L483" i="6"/>
  <c r="M483" i="6"/>
  <c r="N483" i="6"/>
  <c r="O483" i="6"/>
  <c r="P483" i="6"/>
  <c r="I484" i="6"/>
  <c r="J484" i="6"/>
  <c r="K484" i="6"/>
  <c r="L484" i="6"/>
  <c r="M484" i="6"/>
  <c r="N484" i="6"/>
  <c r="O484" i="6"/>
  <c r="P484" i="6"/>
  <c r="I485" i="6"/>
  <c r="J485" i="6"/>
  <c r="K485" i="6"/>
  <c r="L485" i="6"/>
  <c r="M485" i="6"/>
  <c r="N485" i="6"/>
  <c r="O485" i="6"/>
  <c r="P485" i="6"/>
  <c r="I486" i="6"/>
  <c r="J486" i="6"/>
  <c r="K486" i="6"/>
  <c r="L486" i="6"/>
  <c r="M486" i="6"/>
  <c r="N486" i="6"/>
  <c r="O486" i="6"/>
  <c r="P486" i="6"/>
  <c r="I487" i="6"/>
  <c r="J487" i="6"/>
  <c r="K487" i="6"/>
  <c r="L487" i="6"/>
  <c r="M487" i="6"/>
  <c r="N487" i="6"/>
  <c r="O487" i="6"/>
  <c r="P487" i="6"/>
  <c r="I488" i="6"/>
  <c r="J488" i="6"/>
  <c r="K488" i="6"/>
  <c r="L488" i="6"/>
  <c r="M488" i="6"/>
  <c r="N488" i="6"/>
  <c r="O488" i="6"/>
  <c r="P488" i="6"/>
  <c r="I489" i="6"/>
  <c r="J489" i="6"/>
  <c r="K489" i="6"/>
  <c r="L489" i="6"/>
  <c r="M489" i="6"/>
  <c r="N489" i="6"/>
  <c r="O489" i="6"/>
  <c r="P489" i="6"/>
  <c r="I490" i="6"/>
  <c r="J490" i="6"/>
  <c r="K490" i="6"/>
  <c r="L490" i="6"/>
  <c r="M490" i="6"/>
  <c r="N490" i="6"/>
  <c r="O490" i="6"/>
  <c r="P490" i="6"/>
  <c r="I491" i="6"/>
  <c r="J491" i="6"/>
  <c r="K491" i="6"/>
  <c r="L491" i="6"/>
  <c r="M491" i="6"/>
  <c r="N491" i="6"/>
  <c r="O491" i="6"/>
  <c r="P491" i="6"/>
  <c r="I492" i="6"/>
  <c r="J492" i="6"/>
  <c r="K492" i="6"/>
  <c r="L492" i="6"/>
  <c r="M492" i="6"/>
  <c r="N492" i="6"/>
  <c r="O492" i="6"/>
  <c r="P492" i="6"/>
  <c r="I493" i="6"/>
  <c r="J493" i="6"/>
  <c r="K493" i="6"/>
  <c r="L493" i="6"/>
  <c r="M493" i="6"/>
  <c r="N493" i="6"/>
  <c r="O493" i="6"/>
  <c r="P493" i="6"/>
  <c r="I494" i="6"/>
  <c r="J494" i="6"/>
  <c r="K494" i="6"/>
  <c r="L494" i="6"/>
  <c r="M494" i="6"/>
  <c r="N494" i="6"/>
  <c r="O494" i="6"/>
  <c r="P494" i="6"/>
  <c r="I495" i="6"/>
  <c r="J495" i="6"/>
  <c r="K495" i="6"/>
  <c r="L495" i="6"/>
  <c r="M495" i="6"/>
  <c r="N495" i="6"/>
  <c r="O495" i="6"/>
  <c r="P495" i="6"/>
  <c r="I496" i="6"/>
  <c r="J496" i="6"/>
  <c r="K496" i="6"/>
  <c r="L496" i="6"/>
  <c r="M496" i="6"/>
  <c r="N496" i="6"/>
  <c r="O496" i="6"/>
  <c r="P496" i="6"/>
  <c r="I497" i="6"/>
  <c r="J497" i="6"/>
  <c r="K497" i="6"/>
  <c r="L497" i="6"/>
  <c r="M497" i="6"/>
  <c r="N497" i="6"/>
  <c r="O497" i="6"/>
  <c r="P497" i="6"/>
  <c r="I498" i="6"/>
  <c r="J498" i="6"/>
  <c r="K498" i="6"/>
  <c r="L498" i="6"/>
  <c r="M498" i="6"/>
  <c r="N498" i="6"/>
  <c r="O498" i="6"/>
  <c r="P498" i="6"/>
  <c r="I499" i="6"/>
  <c r="J499" i="6"/>
  <c r="K499" i="6"/>
  <c r="L499" i="6"/>
  <c r="M499" i="6"/>
  <c r="N499" i="6"/>
  <c r="O499" i="6"/>
  <c r="P499" i="6"/>
  <c r="I500" i="6"/>
  <c r="J500" i="6"/>
  <c r="K500" i="6"/>
  <c r="L500" i="6"/>
  <c r="M500" i="6"/>
  <c r="N500" i="6"/>
  <c r="O500" i="6"/>
  <c r="P500" i="6"/>
  <c r="I501" i="6"/>
  <c r="J501" i="6"/>
  <c r="K501" i="6"/>
  <c r="L501" i="6"/>
  <c r="M501" i="6"/>
  <c r="N501" i="6"/>
  <c r="O501" i="6"/>
  <c r="P501" i="6"/>
  <c r="I502" i="6"/>
  <c r="J502" i="6"/>
  <c r="K502" i="6"/>
  <c r="L502" i="6"/>
  <c r="M502" i="6"/>
  <c r="N502" i="6"/>
  <c r="O502" i="6"/>
  <c r="P502" i="6"/>
  <c r="I503" i="6"/>
  <c r="J503" i="6"/>
  <c r="K503" i="6"/>
  <c r="L503" i="6"/>
  <c r="M503" i="6"/>
  <c r="N503" i="6"/>
  <c r="O503" i="6"/>
  <c r="P503" i="6"/>
  <c r="I504" i="6"/>
  <c r="J504" i="6"/>
  <c r="K504" i="6"/>
  <c r="L504" i="6"/>
  <c r="M504" i="6"/>
  <c r="N504" i="6"/>
  <c r="O504" i="6"/>
  <c r="P504" i="6"/>
  <c r="I505" i="6"/>
  <c r="J505" i="6"/>
  <c r="K505" i="6"/>
  <c r="L505" i="6"/>
  <c r="M505" i="6"/>
  <c r="N505" i="6"/>
  <c r="O505" i="6"/>
  <c r="P505" i="6"/>
  <c r="I506" i="6"/>
  <c r="J506" i="6"/>
  <c r="K506" i="6"/>
  <c r="L506" i="6"/>
  <c r="M506" i="6"/>
  <c r="N506" i="6"/>
  <c r="O506" i="6"/>
  <c r="P506" i="6"/>
  <c r="I507" i="6"/>
  <c r="J507" i="6"/>
  <c r="K507" i="6"/>
  <c r="L507" i="6"/>
  <c r="M507" i="6"/>
  <c r="N507" i="6"/>
  <c r="O507" i="6"/>
  <c r="P507" i="6"/>
  <c r="I508" i="6"/>
  <c r="J508" i="6"/>
  <c r="K508" i="6"/>
  <c r="L508" i="6"/>
  <c r="M508" i="6"/>
  <c r="N508" i="6"/>
  <c r="O508" i="6"/>
  <c r="P508" i="6"/>
  <c r="I509" i="6"/>
  <c r="J509" i="6"/>
  <c r="K509" i="6"/>
  <c r="L509" i="6"/>
  <c r="M509" i="6"/>
  <c r="N509" i="6"/>
  <c r="O509" i="6"/>
  <c r="P509" i="6"/>
  <c r="I510" i="6"/>
  <c r="J510" i="6"/>
  <c r="K510" i="6"/>
  <c r="L510" i="6"/>
  <c r="M510" i="6"/>
  <c r="N510" i="6"/>
  <c r="O510" i="6"/>
  <c r="P510" i="6"/>
  <c r="I511" i="6"/>
  <c r="J511" i="6"/>
  <c r="K511" i="6"/>
  <c r="L511" i="6"/>
  <c r="M511" i="6"/>
  <c r="N511" i="6"/>
  <c r="O511" i="6"/>
  <c r="P511" i="6"/>
  <c r="I512" i="6"/>
  <c r="J512" i="6"/>
  <c r="K512" i="6"/>
  <c r="L512" i="6"/>
  <c r="M512" i="6"/>
  <c r="N512" i="6"/>
  <c r="O512" i="6"/>
  <c r="P512" i="6"/>
  <c r="I513" i="6"/>
  <c r="J513" i="6"/>
  <c r="K513" i="6"/>
  <c r="L513" i="6"/>
  <c r="M513" i="6"/>
  <c r="N513" i="6"/>
  <c r="O513" i="6"/>
  <c r="P513" i="6"/>
  <c r="I514" i="6"/>
  <c r="J514" i="6"/>
  <c r="K514" i="6"/>
  <c r="L514" i="6"/>
  <c r="M514" i="6"/>
  <c r="N514" i="6"/>
  <c r="O514" i="6"/>
  <c r="P514" i="6"/>
  <c r="I515" i="6"/>
  <c r="J515" i="6"/>
  <c r="K515" i="6"/>
  <c r="L515" i="6"/>
  <c r="M515" i="6"/>
  <c r="N515" i="6"/>
  <c r="O515" i="6"/>
  <c r="P515" i="6"/>
  <c r="I516" i="6"/>
  <c r="J516" i="6"/>
  <c r="K516" i="6"/>
  <c r="L516" i="6"/>
  <c r="M516" i="6"/>
  <c r="N516" i="6"/>
  <c r="O516" i="6"/>
  <c r="P516" i="6"/>
  <c r="I517" i="6"/>
  <c r="J517" i="6"/>
  <c r="K517" i="6"/>
  <c r="L517" i="6"/>
  <c r="M517" i="6"/>
  <c r="N517" i="6"/>
  <c r="O517" i="6"/>
  <c r="P517" i="6"/>
  <c r="I518" i="6"/>
  <c r="J518" i="6"/>
  <c r="K518" i="6"/>
  <c r="L518" i="6"/>
  <c r="M518" i="6"/>
  <c r="N518" i="6"/>
  <c r="O518" i="6"/>
  <c r="P518" i="6"/>
  <c r="I519" i="6"/>
  <c r="J519" i="6"/>
  <c r="K519" i="6"/>
  <c r="L519" i="6"/>
  <c r="M519" i="6"/>
  <c r="N519" i="6"/>
  <c r="O519" i="6"/>
  <c r="P519" i="6"/>
  <c r="I520" i="6"/>
  <c r="J520" i="6"/>
  <c r="K520" i="6"/>
  <c r="L520" i="6"/>
  <c r="M520" i="6"/>
  <c r="N520" i="6"/>
  <c r="O520" i="6"/>
  <c r="P520" i="6"/>
  <c r="I521" i="6"/>
  <c r="J521" i="6"/>
  <c r="K521" i="6"/>
  <c r="L521" i="6"/>
  <c r="M521" i="6"/>
  <c r="N521" i="6"/>
  <c r="O521" i="6"/>
  <c r="P521" i="6"/>
  <c r="I522" i="6"/>
  <c r="J522" i="6"/>
  <c r="K522" i="6"/>
  <c r="L522" i="6"/>
  <c r="M522" i="6"/>
  <c r="N522" i="6"/>
  <c r="O522" i="6"/>
  <c r="P522" i="6"/>
  <c r="I523" i="6"/>
  <c r="J523" i="6"/>
  <c r="K523" i="6"/>
  <c r="L523" i="6"/>
  <c r="M523" i="6"/>
  <c r="N523" i="6"/>
  <c r="O523" i="6"/>
  <c r="P523" i="6"/>
  <c r="I524" i="6"/>
  <c r="J524" i="6"/>
  <c r="K524" i="6"/>
  <c r="L524" i="6"/>
  <c r="M524" i="6"/>
  <c r="N524" i="6"/>
  <c r="O524" i="6"/>
  <c r="P524" i="6"/>
  <c r="I525" i="6"/>
  <c r="J525" i="6"/>
  <c r="K525" i="6"/>
  <c r="L525" i="6"/>
  <c r="M525" i="6"/>
  <c r="N525" i="6"/>
  <c r="O525" i="6"/>
  <c r="P525" i="6"/>
  <c r="I526" i="6"/>
  <c r="J526" i="6"/>
  <c r="K526" i="6"/>
  <c r="L526" i="6"/>
  <c r="M526" i="6"/>
  <c r="N526" i="6"/>
  <c r="O526" i="6"/>
  <c r="P526" i="6"/>
  <c r="I527" i="6"/>
  <c r="J527" i="6"/>
  <c r="K527" i="6"/>
  <c r="L527" i="6"/>
  <c r="M527" i="6"/>
  <c r="N527" i="6"/>
  <c r="O527" i="6"/>
  <c r="P527" i="6"/>
  <c r="I528" i="6"/>
  <c r="J528" i="6"/>
  <c r="K528" i="6"/>
  <c r="L528" i="6"/>
  <c r="M528" i="6"/>
  <c r="N528" i="6"/>
  <c r="O528" i="6"/>
  <c r="P528" i="6"/>
  <c r="I529" i="6"/>
  <c r="J529" i="6"/>
  <c r="K529" i="6"/>
  <c r="L529" i="6"/>
  <c r="M529" i="6"/>
  <c r="N529" i="6"/>
  <c r="O529" i="6"/>
  <c r="P529" i="6"/>
  <c r="I530" i="6"/>
  <c r="J530" i="6"/>
  <c r="K530" i="6"/>
  <c r="L530" i="6"/>
  <c r="M530" i="6"/>
  <c r="N530" i="6"/>
  <c r="O530" i="6"/>
  <c r="P530" i="6"/>
  <c r="I531" i="6"/>
  <c r="J531" i="6"/>
  <c r="K531" i="6"/>
  <c r="L531" i="6"/>
  <c r="M531" i="6"/>
  <c r="N531" i="6"/>
  <c r="O531" i="6"/>
  <c r="P531" i="6"/>
  <c r="I532" i="6"/>
  <c r="J532" i="6"/>
  <c r="K532" i="6"/>
  <c r="L532" i="6"/>
  <c r="M532" i="6"/>
  <c r="N532" i="6"/>
  <c r="O532" i="6"/>
  <c r="P532" i="6"/>
  <c r="I533" i="6"/>
  <c r="J533" i="6"/>
  <c r="K533" i="6"/>
  <c r="L533" i="6"/>
  <c r="M533" i="6"/>
  <c r="N533" i="6"/>
  <c r="O533" i="6"/>
  <c r="P533" i="6"/>
  <c r="I534" i="6"/>
  <c r="J534" i="6"/>
  <c r="K534" i="6"/>
  <c r="L534" i="6"/>
  <c r="M534" i="6"/>
  <c r="N534" i="6"/>
  <c r="O534" i="6"/>
  <c r="P534" i="6"/>
  <c r="I535" i="6"/>
  <c r="J535" i="6"/>
  <c r="K535" i="6"/>
  <c r="L535" i="6"/>
  <c r="M535" i="6"/>
  <c r="N535" i="6"/>
  <c r="O535" i="6"/>
  <c r="P535" i="6"/>
  <c r="I536" i="6"/>
  <c r="J536" i="6"/>
  <c r="K536" i="6"/>
  <c r="L536" i="6"/>
  <c r="M536" i="6"/>
  <c r="N536" i="6"/>
  <c r="O536" i="6"/>
  <c r="P536" i="6"/>
  <c r="I537" i="6"/>
  <c r="J537" i="6"/>
  <c r="K537" i="6"/>
  <c r="L537" i="6"/>
  <c r="M537" i="6"/>
  <c r="N537" i="6"/>
  <c r="O537" i="6"/>
  <c r="P537" i="6"/>
  <c r="I538" i="6"/>
  <c r="J538" i="6"/>
  <c r="K538" i="6"/>
  <c r="L538" i="6"/>
  <c r="M538" i="6"/>
  <c r="N538" i="6"/>
  <c r="O538" i="6"/>
  <c r="P538" i="6"/>
  <c r="I539" i="6"/>
  <c r="J539" i="6"/>
  <c r="K539" i="6"/>
  <c r="L539" i="6"/>
  <c r="M539" i="6"/>
  <c r="N539" i="6"/>
  <c r="O539" i="6"/>
  <c r="P539" i="6"/>
  <c r="I540" i="6"/>
  <c r="J540" i="6"/>
  <c r="K540" i="6"/>
  <c r="L540" i="6"/>
  <c r="M540" i="6"/>
  <c r="N540" i="6"/>
  <c r="O540" i="6"/>
  <c r="P540" i="6"/>
  <c r="I541" i="6"/>
  <c r="J541" i="6"/>
  <c r="K541" i="6"/>
  <c r="L541" i="6"/>
  <c r="M541" i="6"/>
  <c r="N541" i="6"/>
  <c r="O541" i="6"/>
  <c r="P541" i="6"/>
  <c r="I542" i="6"/>
  <c r="J542" i="6"/>
  <c r="K542" i="6"/>
  <c r="L542" i="6"/>
  <c r="M542" i="6"/>
  <c r="N542" i="6"/>
  <c r="O542" i="6"/>
  <c r="P542" i="6"/>
  <c r="I543" i="6"/>
  <c r="J543" i="6"/>
  <c r="K543" i="6"/>
  <c r="L543" i="6"/>
  <c r="M543" i="6"/>
  <c r="N543" i="6"/>
  <c r="O543" i="6"/>
  <c r="P543" i="6"/>
  <c r="I544" i="6"/>
  <c r="J544" i="6"/>
  <c r="K544" i="6"/>
  <c r="L544" i="6"/>
  <c r="M544" i="6"/>
  <c r="N544" i="6"/>
  <c r="O544" i="6"/>
  <c r="P544" i="6"/>
  <c r="I545" i="6"/>
  <c r="J545" i="6"/>
  <c r="K545" i="6"/>
  <c r="L545" i="6"/>
  <c r="M545" i="6"/>
  <c r="N545" i="6"/>
  <c r="O545" i="6"/>
  <c r="P545" i="6"/>
  <c r="I546" i="6"/>
  <c r="J546" i="6"/>
  <c r="K546" i="6"/>
  <c r="L546" i="6"/>
  <c r="M546" i="6"/>
  <c r="N546" i="6"/>
  <c r="O546" i="6"/>
  <c r="P546" i="6"/>
  <c r="I547" i="6"/>
  <c r="J547" i="6"/>
  <c r="K547" i="6"/>
  <c r="L547" i="6"/>
  <c r="M547" i="6"/>
  <c r="N547" i="6"/>
  <c r="O547" i="6"/>
  <c r="P547" i="6"/>
  <c r="I548" i="6"/>
  <c r="J548" i="6"/>
  <c r="K548" i="6"/>
  <c r="L548" i="6"/>
  <c r="M548" i="6"/>
  <c r="N548" i="6"/>
  <c r="O548" i="6"/>
  <c r="P548" i="6"/>
  <c r="I549" i="6"/>
  <c r="J549" i="6"/>
  <c r="K549" i="6"/>
  <c r="L549" i="6"/>
  <c r="M549" i="6"/>
  <c r="N549" i="6"/>
  <c r="O549" i="6"/>
  <c r="P549" i="6"/>
  <c r="I550" i="6"/>
  <c r="J550" i="6"/>
  <c r="K550" i="6"/>
  <c r="L550" i="6"/>
  <c r="M550" i="6"/>
  <c r="N550" i="6"/>
  <c r="O550" i="6"/>
  <c r="P550" i="6"/>
  <c r="I551" i="6"/>
  <c r="J551" i="6"/>
  <c r="K551" i="6"/>
  <c r="L551" i="6"/>
  <c r="M551" i="6"/>
  <c r="N551" i="6"/>
  <c r="O551" i="6"/>
  <c r="P551" i="6"/>
  <c r="I552" i="6"/>
  <c r="J552" i="6"/>
  <c r="K552" i="6"/>
  <c r="L552" i="6"/>
  <c r="M552" i="6"/>
  <c r="N552" i="6"/>
  <c r="O552" i="6"/>
  <c r="P552" i="6"/>
  <c r="I553" i="6"/>
  <c r="J553" i="6"/>
  <c r="K553" i="6"/>
  <c r="L553" i="6"/>
  <c r="M553" i="6"/>
  <c r="N553" i="6"/>
  <c r="O553" i="6"/>
  <c r="P553" i="6"/>
  <c r="I554" i="6"/>
  <c r="J554" i="6"/>
  <c r="K554" i="6"/>
  <c r="L554" i="6"/>
  <c r="M554" i="6"/>
  <c r="N554" i="6"/>
  <c r="O554" i="6"/>
  <c r="P554" i="6"/>
  <c r="I555" i="6"/>
  <c r="J555" i="6"/>
  <c r="K555" i="6"/>
  <c r="L555" i="6"/>
  <c r="M555" i="6"/>
  <c r="N555" i="6"/>
  <c r="O555" i="6"/>
  <c r="P555" i="6"/>
  <c r="I556" i="6"/>
  <c r="J556" i="6"/>
  <c r="K556" i="6"/>
  <c r="L556" i="6"/>
  <c r="M556" i="6"/>
  <c r="N556" i="6"/>
  <c r="O556" i="6"/>
  <c r="P556" i="6"/>
  <c r="I557" i="6"/>
  <c r="J557" i="6"/>
  <c r="K557" i="6"/>
  <c r="L557" i="6"/>
  <c r="M557" i="6"/>
  <c r="N557" i="6"/>
  <c r="O557" i="6"/>
  <c r="P557" i="6"/>
  <c r="I558" i="6"/>
  <c r="J558" i="6"/>
  <c r="K558" i="6"/>
  <c r="L558" i="6"/>
  <c r="M558" i="6"/>
  <c r="N558" i="6"/>
  <c r="O558" i="6"/>
  <c r="P558" i="6"/>
  <c r="I559" i="6"/>
  <c r="J559" i="6"/>
  <c r="K559" i="6"/>
  <c r="L559" i="6"/>
  <c r="M559" i="6"/>
  <c r="N559" i="6"/>
  <c r="O559" i="6"/>
  <c r="P559" i="6"/>
  <c r="I560" i="6"/>
  <c r="J560" i="6"/>
  <c r="K560" i="6"/>
  <c r="L560" i="6"/>
  <c r="M560" i="6"/>
  <c r="N560" i="6"/>
  <c r="O560" i="6"/>
  <c r="P560" i="6"/>
  <c r="I561" i="6"/>
  <c r="J561" i="6"/>
  <c r="K561" i="6"/>
  <c r="L561" i="6"/>
  <c r="M561" i="6"/>
  <c r="N561" i="6"/>
  <c r="O561" i="6"/>
  <c r="P561" i="6"/>
  <c r="I562" i="6"/>
  <c r="J562" i="6"/>
  <c r="K562" i="6"/>
  <c r="L562" i="6"/>
  <c r="M562" i="6"/>
  <c r="N562" i="6"/>
  <c r="O562" i="6"/>
  <c r="P562" i="6"/>
  <c r="I563" i="6"/>
  <c r="J563" i="6"/>
  <c r="K563" i="6"/>
  <c r="L563" i="6"/>
  <c r="M563" i="6"/>
  <c r="N563" i="6"/>
  <c r="O563" i="6"/>
  <c r="P563" i="6"/>
  <c r="I564" i="6"/>
  <c r="J564" i="6"/>
  <c r="K564" i="6"/>
  <c r="L564" i="6"/>
  <c r="M564" i="6"/>
  <c r="N564" i="6"/>
  <c r="O564" i="6"/>
  <c r="P564" i="6"/>
  <c r="I565" i="6"/>
  <c r="J565" i="6"/>
  <c r="K565" i="6"/>
  <c r="L565" i="6"/>
  <c r="M565" i="6"/>
  <c r="N565" i="6"/>
  <c r="O565" i="6"/>
  <c r="P565" i="6"/>
  <c r="I566" i="6"/>
  <c r="J566" i="6"/>
  <c r="K566" i="6"/>
  <c r="L566" i="6"/>
  <c r="M566" i="6"/>
  <c r="N566" i="6"/>
  <c r="O566" i="6"/>
  <c r="P566" i="6"/>
  <c r="I567" i="6"/>
  <c r="J567" i="6"/>
  <c r="K567" i="6"/>
  <c r="L567" i="6"/>
  <c r="M567" i="6"/>
  <c r="N567" i="6"/>
  <c r="O567" i="6"/>
  <c r="P567" i="6"/>
  <c r="I568" i="6"/>
  <c r="J568" i="6"/>
  <c r="K568" i="6"/>
  <c r="L568" i="6"/>
  <c r="M568" i="6"/>
  <c r="N568" i="6"/>
  <c r="O568" i="6"/>
  <c r="P568" i="6"/>
  <c r="I569" i="6"/>
  <c r="J569" i="6"/>
  <c r="K569" i="6"/>
  <c r="L569" i="6"/>
  <c r="M569" i="6"/>
  <c r="N569" i="6"/>
  <c r="O569" i="6"/>
  <c r="P569" i="6"/>
  <c r="I570" i="6"/>
  <c r="J570" i="6"/>
  <c r="K570" i="6"/>
  <c r="L570" i="6"/>
  <c r="M570" i="6"/>
  <c r="N570" i="6"/>
  <c r="O570" i="6"/>
  <c r="P570" i="6"/>
  <c r="I571" i="6"/>
  <c r="J571" i="6"/>
  <c r="K571" i="6"/>
  <c r="L571" i="6"/>
  <c r="M571" i="6"/>
  <c r="N571" i="6"/>
  <c r="O571" i="6"/>
  <c r="P571" i="6"/>
  <c r="I572" i="6"/>
  <c r="J572" i="6"/>
  <c r="K572" i="6"/>
  <c r="L572" i="6"/>
  <c r="M572" i="6"/>
  <c r="N572" i="6"/>
  <c r="O572" i="6"/>
  <c r="P572" i="6"/>
  <c r="I573" i="6"/>
  <c r="J573" i="6"/>
  <c r="K573" i="6"/>
  <c r="L573" i="6"/>
  <c r="M573" i="6"/>
  <c r="N573" i="6"/>
  <c r="O573" i="6"/>
  <c r="P573" i="6"/>
  <c r="I574" i="6"/>
  <c r="J574" i="6"/>
  <c r="K574" i="6"/>
  <c r="L574" i="6"/>
  <c r="M574" i="6"/>
  <c r="N574" i="6"/>
  <c r="O574" i="6"/>
  <c r="P574" i="6"/>
  <c r="I575" i="6"/>
  <c r="J575" i="6"/>
  <c r="K575" i="6"/>
  <c r="L575" i="6"/>
  <c r="M575" i="6"/>
  <c r="N575" i="6"/>
  <c r="O575" i="6"/>
  <c r="P575" i="6"/>
  <c r="I576" i="6"/>
  <c r="J576" i="6"/>
  <c r="K576" i="6"/>
  <c r="L576" i="6"/>
  <c r="M576" i="6"/>
  <c r="N576" i="6"/>
  <c r="O576" i="6"/>
  <c r="P576" i="6"/>
  <c r="I577" i="6"/>
  <c r="J577" i="6"/>
  <c r="K577" i="6"/>
  <c r="L577" i="6"/>
  <c r="M577" i="6"/>
  <c r="N577" i="6"/>
  <c r="O577" i="6"/>
  <c r="P577" i="6"/>
  <c r="I578" i="6"/>
  <c r="J578" i="6"/>
  <c r="K578" i="6"/>
  <c r="L578" i="6"/>
  <c r="M578" i="6"/>
  <c r="N578" i="6"/>
  <c r="O578" i="6"/>
  <c r="P578" i="6"/>
  <c r="I579" i="6"/>
  <c r="J579" i="6"/>
  <c r="K579" i="6"/>
  <c r="L579" i="6"/>
  <c r="M579" i="6"/>
  <c r="N579" i="6"/>
  <c r="O579" i="6"/>
  <c r="P579" i="6"/>
  <c r="I580" i="6"/>
  <c r="J580" i="6"/>
  <c r="K580" i="6"/>
  <c r="L580" i="6"/>
  <c r="M580" i="6"/>
  <c r="N580" i="6"/>
  <c r="O580" i="6"/>
  <c r="P580" i="6"/>
  <c r="I581" i="6"/>
  <c r="J581" i="6"/>
  <c r="K581" i="6"/>
  <c r="L581" i="6"/>
  <c r="M581" i="6"/>
  <c r="N581" i="6"/>
  <c r="O581" i="6"/>
  <c r="P581" i="6"/>
  <c r="I582" i="6"/>
  <c r="J582" i="6"/>
  <c r="K582" i="6"/>
  <c r="L582" i="6"/>
  <c r="M582" i="6"/>
  <c r="N582" i="6"/>
  <c r="O582" i="6"/>
  <c r="P582" i="6"/>
  <c r="I583" i="6"/>
  <c r="J583" i="6"/>
  <c r="K583" i="6"/>
  <c r="L583" i="6"/>
  <c r="M583" i="6"/>
  <c r="N583" i="6"/>
  <c r="O583" i="6"/>
  <c r="P583" i="6"/>
  <c r="I584" i="6"/>
  <c r="J584" i="6"/>
  <c r="K584" i="6"/>
  <c r="L584" i="6"/>
  <c r="M584" i="6"/>
  <c r="N584" i="6"/>
  <c r="O584" i="6"/>
  <c r="P584" i="6"/>
  <c r="I585" i="6"/>
  <c r="J585" i="6"/>
  <c r="K585" i="6"/>
  <c r="L585" i="6"/>
  <c r="M585" i="6"/>
  <c r="N585" i="6"/>
  <c r="O585" i="6"/>
  <c r="P585" i="6"/>
  <c r="I586" i="6"/>
  <c r="J586" i="6"/>
  <c r="K586" i="6"/>
  <c r="L586" i="6"/>
  <c r="M586" i="6"/>
  <c r="N586" i="6"/>
  <c r="O586" i="6"/>
  <c r="P586" i="6"/>
  <c r="I587" i="6"/>
  <c r="J587" i="6"/>
  <c r="K587" i="6"/>
  <c r="L587" i="6"/>
  <c r="M587" i="6"/>
  <c r="N587" i="6"/>
  <c r="O587" i="6"/>
  <c r="P587" i="6"/>
  <c r="I588" i="6"/>
  <c r="J588" i="6"/>
  <c r="K588" i="6"/>
  <c r="L588" i="6"/>
  <c r="M588" i="6"/>
  <c r="N588" i="6"/>
  <c r="O588" i="6"/>
  <c r="P588" i="6"/>
  <c r="I589" i="6"/>
  <c r="J589" i="6"/>
  <c r="K589" i="6"/>
  <c r="L589" i="6"/>
  <c r="M589" i="6"/>
  <c r="N589" i="6"/>
  <c r="O589" i="6"/>
  <c r="P589" i="6"/>
  <c r="I590" i="6"/>
  <c r="J590" i="6"/>
  <c r="K590" i="6"/>
  <c r="L590" i="6"/>
  <c r="M590" i="6"/>
  <c r="N590" i="6"/>
  <c r="O590" i="6"/>
  <c r="P590" i="6"/>
  <c r="I591" i="6"/>
  <c r="J591" i="6"/>
  <c r="K591" i="6"/>
  <c r="L591" i="6"/>
  <c r="M591" i="6"/>
  <c r="N591" i="6"/>
  <c r="O591" i="6"/>
  <c r="P591" i="6"/>
  <c r="I592" i="6"/>
  <c r="J592" i="6"/>
  <c r="K592" i="6"/>
  <c r="L592" i="6"/>
  <c r="M592" i="6"/>
  <c r="N592" i="6"/>
  <c r="O592" i="6"/>
  <c r="P592" i="6"/>
  <c r="I593" i="6"/>
  <c r="J593" i="6"/>
  <c r="K593" i="6"/>
  <c r="L593" i="6"/>
  <c r="M593" i="6"/>
  <c r="N593" i="6"/>
  <c r="O593" i="6"/>
  <c r="P593" i="6"/>
  <c r="I594" i="6"/>
  <c r="J594" i="6"/>
  <c r="K594" i="6"/>
  <c r="L594" i="6"/>
  <c r="M594" i="6"/>
  <c r="N594" i="6"/>
  <c r="O594" i="6"/>
  <c r="P594" i="6"/>
  <c r="I595" i="6"/>
  <c r="J595" i="6"/>
  <c r="K595" i="6"/>
  <c r="L595" i="6"/>
  <c r="M595" i="6"/>
  <c r="N595" i="6"/>
  <c r="O595" i="6"/>
  <c r="P595" i="6"/>
  <c r="I596" i="6"/>
  <c r="J596" i="6"/>
  <c r="K596" i="6"/>
  <c r="L596" i="6"/>
  <c r="M596" i="6"/>
  <c r="N596" i="6"/>
  <c r="O596" i="6"/>
  <c r="P596" i="6"/>
  <c r="I597" i="6"/>
  <c r="J597" i="6"/>
  <c r="K597" i="6"/>
  <c r="L597" i="6"/>
  <c r="M597" i="6"/>
  <c r="N597" i="6"/>
  <c r="O597" i="6"/>
  <c r="P597" i="6"/>
  <c r="I598" i="6"/>
  <c r="J598" i="6"/>
  <c r="K598" i="6"/>
  <c r="L598" i="6"/>
  <c r="M598" i="6"/>
  <c r="N598" i="6"/>
  <c r="O598" i="6"/>
  <c r="P598" i="6"/>
  <c r="I599" i="6"/>
  <c r="J599" i="6"/>
  <c r="K599" i="6"/>
  <c r="L599" i="6"/>
  <c r="M599" i="6"/>
  <c r="N599" i="6"/>
  <c r="O599" i="6"/>
  <c r="P599" i="6"/>
  <c r="I600" i="6"/>
  <c r="J600" i="6"/>
  <c r="K600" i="6"/>
  <c r="L600" i="6"/>
  <c r="M600" i="6"/>
  <c r="N600" i="6"/>
  <c r="O600" i="6"/>
  <c r="P600" i="6"/>
  <c r="I601" i="6"/>
  <c r="J601" i="6"/>
  <c r="K601" i="6"/>
  <c r="L601" i="6"/>
  <c r="M601" i="6"/>
  <c r="N601" i="6"/>
  <c r="O601" i="6"/>
  <c r="P601" i="6"/>
  <c r="I602" i="6"/>
  <c r="J602" i="6"/>
  <c r="K602" i="6"/>
  <c r="L602" i="6"/>
  <c r="M602" i="6"/>
  <c r="N602" i="6"/>
  <c r="O602" i="6"/>
  <c r="P602" i="6"/>
  <c r="I603" i="6"/>
  <c r="J603" i="6"/>
  <c r="K603" i="6"/>
  <c r="L603" i="6"/>
  <c r="M603" i="6"/>
  <c r="N603" i="6"/>
  <c r="O603" i="6"/>
  <c r="P603" i="6"/>
  <c r="I604" i="6"/>
  <c r="J604" i="6"/>
  <c r="K604" i="6"/>
  <c r="L604" i="6"/>
  <c r="M604" i="6"/>
  <c r="N604" i="6"/>
  <c r="O604" i="6"/>
  <c r="P604" i="6"/>
  <c r="I605" i="6"/>
  <c r="J605" i="6"/>
  <c r="K605" i="6"/>
  <c r="L605" i="6"/>
  <c r="M605" i="6"/>
  <c r="N605" i="6"/>
  <c r="O605" i="6"/>
  <c r="P605" i="6"/>
  <c r="I606" i="6"/>
  <c r="J606" i="6"/>
  <c r="K606" i="6"/>
  <c r="L606" i="6"/>
  <c r="M606" i="6"/>
  <c r="N606" i="6"/>
  <c r="O606" i="6"/>
  <c r="P606" i="6"/>
  <c r="I607" i="6"/>
  <c r="J607" i="6"/>
  <c r="K607" i="6"/>
  <c r="L607" i="6"/>
  <c r="M607" i="6"/>
  <c r="N607" i="6"/>
  <c r="O607" i="6"/>
  <c r="P607" i="6"/>
  <c r="I608" i="6"/>
  <c r="J608" i="6"/>
  <c r="K608" i="6"/>
  <c r="L608" i="6"/>
  <c r="M608" i="6"/>
  <c r="N608" i="6"/>
  <c r="O608" i="6"/>
  <c r="P608" i="6"/>
  <c r="I609" i="6"/>
  <c r="J609" i="6"/>
  <c r="K609" i="6"/>
  <c r="L609" i="6"/>
  <c r="M609" i="6"/>
  <c r="N609" i="6"/>
  <c r="O609" i="6"/>
  <c r="P609" i="6"/>
  <c r="I610" i="6"/>
  <c r="J610" i="6"/>
  <c r="K610" i="6"/>
  <c r="L610" i="6"/>
  <c r="M610" i="6"/>
  <c r="N610" i="6"/>
  <c r="O610" i="6"/>
  <c r="P610" i="6"/>
  <c r="I611" i="6"/>
  <c r="J611" i="6"/>
  <c r="K611" i="6"/>
  <c r="L611" i="6"/>
  <c r="M611" i="6"/>
  <c r="N611" i="6"/>
  <c r="O611" i="6"/>
  <c r="P611" i="6"/>
  <c r="I612" i="6"/>
  <c r="J612" i="6"/>
  <c r="K612" i="6"/>
  <c r="L612" i="6"/>
  <c r="M612" i="6"/>
  <c r="N612" i="6"/>
  <c r="O612" i="6"/>
  <c r="P612" i="6"/>
  <c r="I613" i="6"/>
  <c r="J613" i="6"/>
  <c r="K613" i="6"/>
  <c r="L613" i="6"/>
  <c r="M613" i="6"/>
  <c r="N613" i="6"/>
  <c r="O613" i="6"/>
  <c r="P613" i="6"/>
  <c r="I614" i="6"/>
  <c r="J614" i="6"/>
  <c r="K614" i="6"/>
  <c r="L614" i="6"/>
  <c r="M614" i="6"/>
  <c r="N614" i="6"/>
  <c r="O614" i="6"/>
  <c r="P614" i="6"/>
  <c r="I615" i="6"/>
  <c r="J615" i="6"/>
  <c r="K615" i="6"/>
  <c r="L615" i="6"/>
  <c r="M615" i="6"/>
  <c r="N615" i="6"/>
  <c r="O615" i="6"/>
  <c r="P615" i="6"/>
  <c r="I616" i="6"/>
  <c r="J616" i="6"/>
  <c r="K616" i="6"/>
  <c r="L616" i="6"/>
  <c r="M616" i="6"/>
  <c r="N616" i="6"/>
  <c r="O616" i="6"/>
  <c r="P616" i="6"/>
  <c r="I617" i="6"/>
  <c r="J617" i="6"/>
  <c r="K617" i="6"/>
  <c r="L617" i="6"/>
  <c r="M617" i="6"/>
  <c r="N617" i="6"/>
  <c r="O617" i="6"/>
  <c r="P617" i="6"/>
  <c r="I618" i="6"/>
  <c r="J618" i="6"/>
  <c r="K618" i="6"/>
  <c r="L618" i="6"/>
  <c r="M618" i="6"/>
  <c r="N618" i="6"/>
  <c r="O618" i="6"/>
  <c r="P618" i="6"/>
  <c r="I619" i="6"/>
  <c r="J619" i="6"/>
  <c r="K619" i="6"/>
  <c r="L619" i="6"/>
  <c r="M619" i="6"/>
  <c r="N619" i="6"/>
  <c r="O619" i="6"/>
  <c r="P619" i="6"/>
  <c r="I620" i="6"/>
  <c r="J620" i="6"/>
  <c r="K620" i="6"/>
  <c r="L620" i="6"/>
  <c r="M620" i="6"/>
  <c r="N620" i="6"/>
  <c r="O620" i="6"/>
  <c r="P620" i="6"/>
  <c r="I621" i="6"/>
  <c r="J621" i="6"/>
  <c r="K621" i="6"/>
  <c r="L621" i="6"/>
  <c r="M621" i="6"/>
  <c r="N621" i="6"/>
  <c r="O621" i="6"/>
  <c r="P621" i="6"/>
  <c r="I622" i="6"/>
  <c r="J622" i="6"/>
  <c r="K622" i="6"/>
  <c r="L622" i="6"/>
  <c r="M622" i="6"/>
  <c r="N622" i="6"/>
  <c r="O622" i="6"/>
  <c r="P622" i="6"/>
  <c r="I623" i="6"/>
  <c r="J623" i="6"/>
  <c r="K623" i="6"/>
  <c r="L623" i="6"/>
  <c r="M623" i="6"/>
  <c r="N623" i="6"/>
  <c r="O623" i="6"/>
  <c r="P623" i="6"/>
  <c r="I624" i="6"/>
  <c r="J624" i="6"/>
  <c r="K624" i="6"/>
  <c r="L624" i="6"/>
  <c r="M624" i="6"/>
  <c r="N624" i="6"/>
  <c r="O624" i="6"/>
  <c r="P624" i="6"/>
  <c r="I625" i="6"/>
  <c r="J625" i="6"/>
  <c r="K625" i="6"/>
  <c r="L625" i="6"/>
  <c r="M625" i="6"/>
  <c r="N625" i="6"/>
  <c r="O625" i="6"/>
  <c r="P625" i="6"/>
  <c r="I626" i="6"/>
  <c r="J626" i="6"/>
  <c r="K626" i="6"/>
  <c r="L626" i="6"/>
  <c r="M626" i="6"/>
  <c r="N626" i="6"/>
  <c r="O626" i="6"/>
  <c r="P626" i="6"/>
  <c r="I627" i="6"/>
  <c r="J627" i="6"/>
  <c r="K627" i="6"/>
  <c r="L627" i="6"/>
  <c r="M627" i="6"/>
  <c r="N627" i="6"/>
  <c r="O627" i="6"/>
  <c r="P627" i="6"/>
  <c r="I628" i="6"/>
  <c r="J628" i="6"/>
  <c r="K628" i="6"/>
  <c r="L628" i="6"/>
  <c r="M628" i="6"/>
  <c r="N628" i="6"/>
  <c r="O628" i="6"/>
  <c r="P628" i="6"/>
  <c r="I629" i="6"/>
  <c r="J629" i="6"/>
  <c r="K629" i="6"/>
  <c r="L629" i="6"/>
  <c r="M629" i="6"/>
  <c r="N629" i="6"/>
  <c r="O629" i="6"/>
  <c r="P629" i="6"/>
  <c r="I630" i="6"/>
  <c r="J630" i="6"/>
  <c r="K630" i="6"/>
  <c r="L630" i="6"/>
  <c r="M630" i="6"/>
  <c r="N630" i="6"/>
  <c r="O630" i="6"/>
  <c r="P630" i="6"/>
  <c r="I631" i="6"/>
  <c r="J631" i="6"/>
  <c r="K631" i="6"/>
  <c r="L631" i="6"/>
  <c r="M631" i="6"/>
  <c r="N631" i="6"/>
  <c r="O631" i="6"/>
  <c r="P631" i="6"/>
  <c r="I632" i="6"/>
  <c r="J632" i="6"/>
  <c r="K632" i="6"/>
  <c r="L632" i="6"/>
  <c r="M632" i="6"/>
  <c r="N632" i="6"/>
  <c r="O632" i="6"/>
  <c r="P632" i="6"/>
  <c r="I633" i="6"/>
  <c r="J633" i="6"/>
  <c r="K633" i="6"/>
  <c r="L633" i="6"/>
  <c r="M633" i="6"/>
  <c r="N633" i="6"/>
  <c r="O633" i="6"/>
  <c r="P633" i="6"/>
  <c r="I634" i="6"/>
  <c r="J634" i="6"/>
  <c r="K634" i="6"/>
  <c r="L634" i="6"/>
  <c r="M634" i="6"/>
  <c r="N634" i="6"/>
  <c r="O634" i="6"/>
  <c r="P634" i="6"/>
  <c r="I635" i="6"/>
  <c r="J635" i="6"/>
  <c r="K635" i="6"/>
  <c r="L635" i="6"/>
  <c r="M635" i="6"/>
  <c r="N635" i="6"/>
  <c r="O635" i="6"/>
  <c r="P635" i="6"/>
  <c r="I636" i="6"/>
  <c r="J636" i="6"/>
  <c r="K636" i="6"/>
  <c r="L636" i="6"/>
  <c r="M636" i="6"/>
  <c r="N636" i="6"/>
  <c r="O636" i="6"/>
  <c r="P636" i="6"/>
  <c r="I637" i="6"/>
  <c r="J637" i="6"/>
  <c r="K637" i="6"/>
  <c r="L637" i="6"/>
  <c r="M637" i="6"/>
  <c r="N637" i="6"/>
  <c r="O637" i="6"/>
  <c r="P637" i="6"/>
  <c r="I638" i="6"/>
  <c r="J638" i="6"/>
  <c r="K638" i="6"/>
  <c r="L638" i="6"/>
  <c r="M638" i="6"/>
  <c r="N638" i="6"/>
  <c r="O638" i="6"/>
  <c r="P638" i="6"/>
  <c r="I639" i="6"/>
  <c r="J639" i="6"/>
  <c r="K639" i="6"/>
  <c r="L639" i="6"/>
  <c r="M639" i="6"/>
  <c r="N639" i="6"/>
  <c r="O639" i="6"/>
  <c r="P639" i="6"/>
  <c r="I640" i="6"/>
  <c r="J640" i="6"/>
  <c r="K640" i="6"/>
  <c r="L640" i="6"/>
  <c r="M640" i="6"/>
  <c r="N640" i="6"/>
  <c r="O640" i="6"/>
  <c r="P640" i="6"/>
  <c r="I641" i="6"/>
  <c r="J641" i="6"/>
  <c r="K641" i="6"/>
  <c r="L641" i="6"/>
  <c r="M641" i="6"/>
  <c r="N641" i="6"/>
  <c r="O641" i="6"/>
  <c r="P641" i="6"/>
  <c r="I642" i="6"/>
  <c r="J642" i="6"/>
  <c r="K642" i="6"/>
  <c r="L642" i="6"/>
  <c r="M642" i="6"/>
  <c r="N642" i="6"/>
  <c r="O642" i="6"/>
  <c r="P642" i="6"/>
  <c r="I643" i="6"/>
  <c r="J643" i="6"/>
  <c r="K643" i="6"/>
  <c r="L643" i="6"/>
  <c r="M643" i="6"/>
  <c r="N643" i="6"/>
  <c r="O643" i="6"/>
  <c r="P643" i="6"/>
  <c r="I644" i="6"/>
  <c r="J644" i="6"/>
  <c r="K644" i="6"/>
  <c r="L644" i="6"/>
  <c r="M644" i="6"/>
  <c r="N644" i="6"/>
  <c r="O644" i="6"/>
  <c r="P644" i="6"/>
  <c r="I645" i="6"/>
  <c r="J645" i="6"/>
  <c r="K645" i="6"/>
  <c r="L645" i="6"/>
  <c r="M645" i="6"/>
  <c r="N645" i="6"/>
  <c r="O645" i="6"/>
  <c r="P645" i="6"/>
  <c r="I646" i="6"/>
  <c r="J646" i="6"/>
  <c r="K646" i="6"/>
  <c r="L646" i="6"/>
  <c r="M646" i="6"/>
  <c r="N646" i="6"/>
  <c r="O646" i="6"/>
  <c r="P646" i="6"/>
  <c r="I647" i="6"/>
  <c r="J647" i="6"/>
  <c r="K647" i="6"/>
  <c r="L647" i="6"/>
  <c r="M647" i="6"/>
  <c r="N647" i="6"/>
  <c r="O647" i="6"/>
  <c r="P647" i="6"/>
  <c r="I648" i="6"/>
  <c r="J648" i="6"/>
  <c r="K648" i="6"/>
  <c r="L648" i="6"/>
  <c r="M648" i="6"/>
  <c r="N648" i="6"/>
  <c r="O648" i="6"/>
  <c r="P648" i="6"/>
  <c r="I649" i="6"/>
  <c r="J649" i="6"/>
  <c r="K649" i="6"/>
  <c r="L649" i="6"/>
  <c r="M649" i="6"/>
  <c r="N649" i="6"/>
  <c r="O649" i="6"/>
  <c r="P649" i="6"/>
  <c r="I650" i="6"/>
  <c r="J650" i="6"/>
  <c r="K650" i="6"/>
  <c r="L650" i="6"/>
  <c r="M650" i="6"/>
  <c r="N650" i="6"/>
  <c r="O650" i="6"/>
  <c r="P650" i="6"/>
  <c r="I651" i="6"/>
  <c r="J651" i="6"/>
  <c r="K651" i="6"/>
  <c r="L651" i="6"/>
  <c r="M651" i="6"/>
  <c r="N651" i="6"/>
  <c r="O651" i="6"/>
  <c r="P651" i="6"/>
  <c r="I652" i="6"/>
  <c r="J652" i="6"/>
  <c r="K652" i="6"/>
  <c r="L652" i="6"/>
  <c r="M652" i="6"/>
  <c r="N652" i="6"/>
  <c r="O652" i="6"/>
  <c r="P652" i="6"/>
  <c r="I653" i="6"/>
  <c r="J653" i="6"/>
  <c r="K653" i="6"/>
  <c r="L653" i="6"/>
  <c r="M653" i="6"/>
  <c r="N653" i="6"/>
  <c r="O653" i="6"/>
  <c r="P653" i="6"/>
  <c r="I654" i="6"/>
  <c r="J654" i="6"/>
  <c r="K654" i="6"/>
  <c r="L654" i="6"/>
  <c r="M654" i="6"/>
  <c r="N654" i="6"/>
  <c r="O654" i="6"/>
  <c r="P654" i="6"/>
  <c r="I655" i="6"/>
  <c r="J655" i="6"/>
  <c r="K655" i="6"/>
  <c r="L655" i="6"/>
  <c r="M655" i="6"/>
  <c r="N655" i="6"/>
  <c r="O655" i="6"/>
  <c r="P655" i="6"/>
  <c r="I656" i="6"/>
  <c r="J656" i="6"/>
  <c r="K656" i="6"/>
  <c r="L656" i="6"/>
  <c r="M656" i="6"/>
  <c r="N656" i="6"/>
  <c r="O656" i="6"/>
  <c r="P656" i="6"/>
  <c r="I657" i="6"/>
  <c r="J657" i="6"/>
  <c r="K657" i="6"/>
  <c r="L657" i="6"/>
  <c r="M657" i="6"/>
  <c r="N657" i="6"/>
  <c r="O657" i="6"/>
  <c r="P657" i="6"/>
  <c r="I658" i="6"/>
  <c r="J658" i="6"/>
  <c r="K658" i="6"/>
  <c r="L658" i="6"/>
  <c r="M658" i="6"/>
  <c r="N658" i="6"/>
  <c r="O658" i="6"/>
  <c r="P658" i="6"/>
  <c r="I659" i="6"/>
  <c r="J659" i="6"/>
  <c r="K659" i="6"/>
  <c r="L659" i="6"/>
  <c r="M659" i="6"/>
  <c r="N659" i="6"/>
  <c r="O659" i="6"/>
  <c r="P659" i="6"/>
  <c r="I660" i="6"/>
  <c r="J660" i="6"/>
  <c r="K660" i="6"/>
  <c r="L660" i="6"/>
  <c r="M660" i="6"/>
  <c r="N660" i="6"/>
  <c r="O660" i="6"/>
  <c r="P660" i="6"/>
  <c r="I661" i="6"/>
  <c r="J661" i="6"/>
  <c r="K661" i="6"/>
  <c r="L661" i="6"/>
  <c r="M661" i="6"/>
  <c r="N661" i="6"/>
  <c r="O661" i="6"/>
  <c r="P661" i="6"/>
  <c r="I662" i="6"/>
  <c r="J662" i="6"/>
  <c r="K662" i="6"/>
  <c r="L662" i="6"/>
  <c r="M662" i="6"/>
  <c r="N662" i="6"/>
  <c r="O662" i="6"/>
  <c r="P662" i="6"/>
  <c r="I663" i="6"/>
  <c r="J663" i="6"/>
  <c r="K663" i="6"/>
  <c r="L663" i="6"/>
  <c r="M663" i="6"/>
  <c r="N663" i="6"/>
  <c r="O663" i="6"/>
  <c r="P663" i="6"/>
  <c r="I664" i="6"/>
  <c r="J664" i="6"/>
  <c r="K664" i="6"/>
  <c r="L664" i="6"/>
  <c r="M664" i="6"/>
  <c r="N664" i="6"/>
  <c r="O664" i="6"/>
  <c r="P664" i="6"/>
  <c r="I665" i="6"/>
  <c r="J665" i="6"/>
  <c r="K665" i="6"/>
  <c r="L665" i="6"/>
  <c r="M665" i="6"/>
  <c r="N665" i="6"/>
  <c r="O665" i="6"/>
  <c r="P665" i="6"/>
  <c r="I666" i="6"/>
  <c r="J666" i="6"/>
  <c r="K666" i="6"/>
  <c r="L666" i="6"/>
  <c r="M666" i="6"/>
  <c r="N666" i="6"/>
  <c r="O666" i="6"/>
  <c r="P666" i="6"/>
  <c r="I667" i="6"/>
  <c r="J667" i="6"/>
  <c r="K667" i="6"/>
  <c r="L667" i="6"/>
  <c r="M667" i="6"/>
  <c r="N667" i="6"/>
  <c r="O667" i="6"/>
  <c r="P667" i="6"/>
  <c r="I668" i="6"/>
  <c r="J668" i="6"/>
  <c r="K668" i="6"/>
  <c r="L668" i="6"/>
  <c r="M668" i="6"/>
  <c r="N668" i="6"/>
  <c r="O668" i="6"/>
  <c r="P668" i="6"/>
  <c r="I669" i="6"/>
  <c r="J669" i="6"/>
  <c r="K669" i="6"/>
  <c r="L669" i="6"/>
  <c r="M669" i="6"/>
  <c r="N669" i="6"/>
  <c r="O669" i="6"/>
  <c r="P669" i="6"/>
  <c r="I670" i="6"/>
  <c r="J670" i="6"/>
  <c r="K670" i="6"/>
  <c r="L670" i="6"/>
  <c r="M670" i="6"/>
  <c r="N670" i="6"/>
  <c r="O670" i="6"/>
  <c r="P670" i="6"/>
  <c r="I671" i="6"/>
  <c r="J671" i="6"/>
  <c r="K671" i="6"/>
  <c r="L671" i="6"/>
  <c r="M671" i="6"/>
  <c r="N671" i="6"/>
  <c r="O671" i="6"/>
  <c r="P671" i="6"/>
  <c r="I672" i="6"/>
  <c r="J672" i="6"/>
  <c r="K672" i="6"/>
  <c r="L672" i="6"/>
  <c r="M672" i="6"/>
  <c r="N672" i="6"/>
  <c r="O672" i="6"/>
  <c r="P672" i="6"/>
  <c r="I673" i="6"/>
  <c r="J673" i="6"/>
  <c r="K673" i="6"/>
  <c r="L673" i="6"/>
  <c r="M673" i="6"/>
  <c r="N673" i="6"/>
  <c r="O673" i="6"/>
  <c r="P673" i="6"/>
  <c r="I674" i="6"/>
  <c r="J674" i="6"/>
  <c r="K674" i="6"/>
  <c r="L674" i="6"/>
  <c r="M674" i="6"/>
  <c r="N674" i="6"/>
  <c r="O674" i="6"/>
  <c r="P674" i="6"/>
  <c r="I675" i="6"/>
  <c r="J675" i="6"/>
  <c r="K675" i="6"/>
  <c r="L675" i="6"/>
  <c r="M675" i="6"/>
  <c r="N675" i="6"/>
  <c r="O675" i="6"/>
  <c r="P675" i="6"/>
  <c r="I676" i="6"/>
  <c r="J676" i="6"/>
  <c r="K676" i="6"/>
  <c r="L676" i="6"/>
  <c r="M676" i="6"/>
  <c r="N676" i="6"/>
  <c r="O676" i="6"/>
  <c r="P676" i="6"/>
  <c r="I677" i="6"/>
  <c r="J677" i="6"/>
  <c r="K677" i="6"/>
  <c r="L677" i="6"/>
  <c r="M677" i="6"/>
  <c r="N677" i="6"/>
  <c r="O677" i="6"/>
  <c r="P677" i="6"/>
  <c r="I678" i="6"/>
  <c r="J678" i="6"/>
  <c r="K678" i="6"/>
  <c r="L678" i="6"/>
  <c r="M678" i="6"/>
  <c r="N678" i="6"/>
  <c r="O678" i="6"/>
  <c r="P678" i="6"/>
  <c r="I679" i="6"/>
  <c r="J679" i="6"/>
  <c r="K679" i="6"/>
  <c r="L679" i="6"/>
  <c r="M679" i="6"/>
  <c r="N679" i="6"/>
  <c r="O679" i="6"/>
  <c r="P679" i="6"/>
  <c r="I680" i="6"/>
  <c r="J680" i="6"/>
  <c r="K680" i="6"/>
  <c r="L680" i="6"/>
  <c r="M680" i="6"/>
  <c r="N680" i="6"/>
  <c r="O680" i="6"/>
  <c r="P680" i="6"/>
  <c r="I681" i="6"/>
  <c r="J681" i="6"/>
  <c r="K681" i="6"/>
  <c r="L681" i="6"/>
  <c r="M681" i="6"/>
  <c r="N681" i="6"/>
  <c r="O681" i="6"/>
  <c r="P681" i="6"/>
  <c r="I682" i="6"/>
  <c r="J682" i="6"/>
  <c r="K682" i="6"/>
  <c r="L682" i="6"/>
  <c r="M682" i="6"/>
  <c r="N682" i="6"/>
  <c r="O682" i="6"/>
  <c r="P682" i="6"/>
  <c r="I683" i="6"/>
  <c r="J683" i="6"/>
  <c r="K683" i="6"/>
  <c r="L683" i="6"/>
  <c r="M683" i="6"/>
  <c r="N683" i="6"/>
  <c r="O683" i="6"/>
  <c r="P683" i="6"/>
  <c r="I684" i="6"/>
  <c r="J684" i="6"/>
  <c r="K684" i="6"/>
  <c r="L684" i="6"/>
  <c r="M684" i="6"/>
  <c r="N684" i="6"/>
  <c r="O684" i="6"/>
  <c r="P684" i="6"/>
  <c r="I685" i="6"/>
  <c r="J685" i="6"/>
  <c r="K685" i="6"/>
  <c r="L685" i="6"/>
  <c r="M685" i="6"/>
  <c r="N685" i="6"/>
  <c r="O685" i="6"/>
  <c r="P685" i="6"/>
  <c r="I686" i="6"/>
  <c r="J686" i="6"/>
  <c r="K686" i="6"/>
  <c r="L686" i="6"/>
  <c r="M686" i="6"/>
  <c r="N686" i="6"/>
  <c r="O686" i="6"/>
  <c r="P686" i="6"/>
  <c r="I687" i="6"/>
  <c r="J687" i="6"/>
  <c r="K687" i="6"/>
  <c r="L687" i="6"/>
  <c r="M687" i="6"/>
  <c r="N687" i="6"/>
  <c r="O687" i="6"/>
  <c r="P687" i="6"/>
  <c r="I688" i="6"/>
  <c r="J688" i="6"/>
  <c r="K688" i="6"/>
  <c r="L688" i="6"/>
  <c r="M688" i="6"/>
  <c r="N688" i="6"/>
  <c r="O688" i="6"/>
  <c r="P688" i="6"/>
  <c r="I689" i="6"/>
  <c r="J689" i="6"/>
  <c r="K689" i="6"/>
  <c r="L689" i="6"/>
  <c r="M689" i="6"/>
  <c r="N689" i="6"/>
  <c r="O689" i="6"/>
  <c r="P689" i="6"/>
  <c r="I690" i="6"/>
  <c r="J690" i="6"/>
  <c r="K690" i="6"/>
  <c r="L690" i="6"/>
  <c r="M690" i="6"/>
  <c r="N690" i="6"/>
  <c r="O690" i="6"/>
  <c r="P690" i="6"/>
  <c r="I691" i="6"/>
  <c r="J691" i="6"/>
  <c r="K691" i="6"/>
  <c r="L691" i="6"/>
  <c r="M691" i="6"/>
  <c r="N691" i="6"/>
  <c r="O691" i="6"/>
  <c r="P691" i="6"/>
  <c r="I692" i="6"/>
  <c r="J692" i="6"/>
  <c r="K692" i="6"/>
  <c r="L692" i="6"/>
  <c r="M692" i="6"/>
  <c r="N692" i="6"/>
  <c r="O692" i="6"/>
  <c r="P692" i="6"/>
  <c r="I693" i="6"/>
  <c r="J693" i="6"/>
  <c r="K693" i="6"/>
  <c r="L693" i="6"/>
  <c r="M693" i="6"/>
  <c r="N693" i="6"/>
  <c r="O693" i="6"/>
  <c r="P693" i="6"/>
  <c r="I694" i="6"/>
  <c r="J694" i="6"/>
  <c r="K694" i="6"/>
  <c r="L694" i="6"/>
  <c r="M694" i="6"/>
  <c r="N694" i="6"/>
  <c r="O694" i="6"/>
  <c r="P694" i="6"/>
  <c r="I695" i="6"/>
  <c r="J695" i="6"/>
  <c r="K695" i="6"/>
  <c r="L695" i="6"/>
  <c r="M695" i="6"/>
  <c r="N695" i="6"/>
  <c r="O695" i="6"/>
  <c r="P695" i="6"/>
  <c r="I696" i="6"/>
  <c r="J696" i="6"/>
  <c r="K696" i="6"/>
  <c r="L696" i="6"/>
  <c r="M696" i="6"/>
  <c r="N696" i="6"/>
  <c r="O696" i="6"/>
  <c r="P696" i="6"/>
  <c r="I697" i="6"/>
  <c r="J697" i="6"/>
  <c r="K697" i="6"/>
  <c r="L697" i="6"/>
  <c r="M697" i="6"/>
  <c r="N697" i="6"/>
  <c r="O697" i="6"/>
  <c r="P697" i="6"/>
  <c r="I698" i="6"/>
  <c r="J698" i="6"/>
  <c r="K698" i="6"/>
  <c r="L698" i="6"/>
  <c r="M698" i="6"/>
  <c r="N698" i="6"/>
  <c r="O698" i="6"/>
  <c r="P698" i="6"/>
  <c r="I699" i="6"/>
  <c r="J699" i="6"/>
  <c r="K699" i="6"/>
  <c r="L699" i="6"/>
  <c r="M699" i="6"/>
  <c r="N699" i="6"/>
  <c r="O699" i="6"/>
  <c r="P699" i="6"/>
  <c r="I700" i="6"/>
  <c r="J700" i="6"/>
  <c r="K700" i="6"/>
  <c r="L700" i="6"/>
  <c r="M700" i="6"/>
  <c r="N700" i="6"/>
  <c r="O700" i="6"/>
  <c r="P700" i="6"/>
  <c r="I701" i="6"/>
  <c r="J701" i="6"/>
  <c r="K701" i="6"/>
  <c r="L701" i="6"/>
  <c r="M701" i="6"/>
  <c r="N701" i="6"/>
  <c r="O701" i="6"/>
  <c r="P701" i="6"/>
  <c r="I702" i="6"/>
  <c r="J702" i="6"/>
  <c r="K702" i="6"/>
  <c r="L702" i="6"/>
  <c r="M702" i="6"/>
  <c r="N702" i="6"/>
  <c r="O702" i="6"/>
  <c r="P702" i="6"/>
  <c r="I703" i="6"/>
  <c r="J703" i="6"/>
  <c r="K703" i="6"/>
  <c r="L703" i="6"/>
  <c r="M703" i="6"/>
  <c r="N703" i="6"/>
  <c r="O703" i="6"/>
  <c r="P703" i="6"/>
  <c r="I704" i="6"/>
  <c r="J704" i="6"/>
  <c r="K704" i="6"/>
  <c r="L704" i="6"/>
  <c r="M704" i="6"/>
  <c r="N704" i="6"/>
  <c r="O704" i="6"/>
  <c r="P704" i="6"/>
  <c r="I705" i="6"/>
  <c r="J705" i="6"/>
  <c r="K705" i="6"/>
  <c r="L705" i="6"/>
  <c r="M705" i="6"/>
  <c r="N705" i="6"/>
  <c r="O705" i="6"/>
  <c r="P705" i="6"/>
  <c r="I706" i="6"/>
  <c r="J706" i="6"/>
  <c r="K706" i="6"/>
  <c r="L706" i="6"/>
  <c r="M706" i="6"/>
  <c r="N706" i="6"/>
  <c r="O706" i="6"/>
  <c r="P706" i="6"/>
  <c r="I707" i="6"/>
  <c r="J707" i="6"/>
  <c r="K707" i="6"/>
  <c r="L707" i="6"/>
  <c r="M707" i="6"/>
  <c r="N707" i="6"/>
  <c r="O707" i="6"/>
  <c r="P707" i="6"/>
  <c r="I708" i="6"/>
  <c r="J708" i="6"/>
  <c r="K708" i="6"/>
  <c r="L708" i="6"/>
  <c r="M708" i="6"/>
  <c r="N708" i="6"/>
  <c r="O708" i="6"/>
  <c r="P708" i="6"/>
  <c r="I709" i="6"/>
  <c r="J709" i="6"/>
  <c r="K709" i="6"/>
  <c r="L709" i="6"/>
  <c r="M709" i="6"/>
  <c r="N709" i="6"/>
  <c r="O709" i="6"/>
  <c r="P709" i="6"/>
  <c r="I710" i="6"/>
  <c r="J710" i="6"/>
  <c r="K710" i="6"/>
  <c r="L710" i="6"/>
  <c r="M710" i="6"/>
  <c r="N710" i="6"/>
  <c r="O710" i="6"/>
  <c r="P710" i="6"/>
  <c r="I711" i="6"/>
  <c r="J711" i="6"/>
  <c r="K711" i="6"/>
  <c r="L711" i="6"/>
  <c r="M711" i="6"/>
  <c r="N711" i="6"/>
  <c r="O711" i="6"/>
  <c r="P711" i="6"/>
  <c r="I712" i="6"/>
  <c r="J712" i="6"/>
  <c r="K712" i="6"/>
  <c r="L712" i="6"/>
  <c r="M712" i="6"/>
  <c r="N712" i="6"/>
  <c r="O712" i="6"/>
  <c r="P712" i="6"/>
  <c r="I713" i="6"/>
  <c r="J713" i="6"/>
  <c r="K713" i="6"/>
  <c r="L713" i="6"/>
  <c r="M713" i="6"/>
  <c r="N713" i="6"/>
  <c r="O713" i="6"/>
  <c r="P713" i="6"/>
  <c r="I714" i="6"/>
  <c r="J714" i="6"/>
  <c r="K714" i="6"/>
  <c r="L714" i="6"/>
  <c r="M714" i="6"/>
  <c r="N714" i="6"/>
  <c r="O714" i="6"/>
  <c r="P714" i="6"/>
  <c r="I715" i="6"/>
  <c r="J715" i="6"/>
  <c r="K715" i="6"/>
  <c r="L715" i="6"/>
  <c r="M715" i="6"/>
  <c r="N715" i="6"/>
  <c r="O715" i="6"/>
  <c r="P715" i="6"/>
  <c r="I716" i="6"/>
  <c r="J716" i="6"/>
  <c r="K716" i="6"/>
  <c r="L716" i="6"/>
  <c r="M716" i="6"/>
  <c r="N716" i="6"/>
  <c r="O716" i="6"/>
  <c r="P716" i="6"/>
  <c r="I717" i="6"/>
  <c r="J717" i="6"/>
  <c r="K717" i="6"/>
  <c r="L717" i="6"/>
  <c r="M717" i="6"/>
  <c r="N717" i="6"/>
  <c r="O717" i="6"/>
  <c r="P717" i="6"/>
  <c r="I718" i="6"/>
  <c r="J718" i="6"/>
  <c r="K718" i="6"/>
  <c r="L718" i="6"/>
  <c r="M718" i="6"/>
  <c r="N718" i="6"/>
  <c r="O718" i="6"/>
  <c r="P718" i="6"/>
  <c r="I719" i="6"/>
  <c r="J719" i="6"/>
  <c r="K719" i="6"/>
  <c r="L719" i="6"/>
  <c r="M719" i="6"/>
  <c r="N719" i="6"/>
  <c r="O719" i="6"/>
  <c r="P719" i="6"/>
  <c r="I720" i="6"/>
  <c r="J720" i="6"/>
  <c r="K720" i="6"/>
  <c r="L720" i="6"/>
  <c r="M720" i="6"/>
  <c r="N720" i="6"/>
  <c r="O720" i="6"/>
  <c r="P720" i="6"/>
  <c r="I721" i="6"/>
  <c r="J721" i="6"/>
  <c r="K721" i="6"/>
  <c r="L721" i="6"/>
  <c r="M721" i="6"/>
  <c r="N721" i="6"/>
  <c r="O721" i="6"/>
  <c r="P721" i="6"/>
  <c r="I722" i="6"/>
  <c r="J722" i="6"/>
  <c r="K722" i="6"/>
  <c r="L722" i="6"/>
  <c r="M722" i="6"/>
  <c r="N722" i="6"/>
  <c r="O722" i="6"/>
  <c r="P722" i="6"/>
  <c r="I723" i="6"/>
  <c r="J723" i="6"/>
  <c r="K723" i="6"/>
  <c r="L723" i="6"/>
  <c r="M723" i="6"/>
  <c r="N723" i="6"/>
  <c r="O723" i="6"/>
  <c r="P723" i="6"/>
  <c r="I724" i="6"/>
  <c r="J724" i="6"/>
  <c r="K724" i="6"/>
  <c r="L724" i="6"/>
  <c r="M724" i="6"/>
  <c r="N724" i="6"/>
  <c r="O724" i="6"/>
  <c r="P724" i="6"/>
  <c r="I725" i="6"/>
  <c r="J725" i="6"/>
  <c r="K725" i="6"/>
  <c r="L725" i="6"/>
  <c r="M725" i="6"/>
  <c r="N725" i="6"/>
  <c r="O725" i="6"/>
  <c r="P725" i="6"/>
  <c r="I726" i="6"/>
  <c r="J726" i="6"/>
  <c r="K726" i="6"/>
  <c r="L726" i="6"/>
  <c r="M726" i="6"/>
  <c r="N726" i="6"/>
  <c r="O726" i="6"/>
  <c r="P726" i="6"/>
  <c r="I727" i="6"/>
  <c r="J727" i="6"/>
  <c r="K727" i="6"/>
  <c r="L727" i="6"/>
  <c r="M727" i="6"/>
  <c r="N727" i="6"/>
  <c r="O727" i="6"/>
  <c r="P727" i="6"/>
  <c r="I728" i="6"/>
  <c r="J728" i="6"/>
  <c r="K728" i="6"/>
  <c r="L728" i="6"/>
  <c r="M728" i="6"/>
  <c r="N728" i="6"/>
  <c r="O728" i="6"/>
  <c r="P728" i="6"/>
  <c r="I729" i="6"/>
  <c r="J729" i="6"/>
  <c r="K729" i="6"/>
  <c r="L729" i="6"/>
  <c r="M729" i="6"/>
  <c r="N729" i="6"/>
  <c r="O729" i="6"/>
  <c r="P729" i="6"/>
  <c r="I730" i="6"/>
  <c r="J730" i="6"/>
  <c r="K730" i="6"/>
  <c r="L730" i="6"/>
  <c r="M730" i="6"/>
  <c r="N730" i="6"/>
  <c r="O730" i="6"/>
  <c r="P730" i="6"/>
  <c r="I731" i="6"/>
  <c r="J731" i="6"/>
  <c r="K731" i="6"/>
  <c r="L731" i="6"/>
  <c r="M731" i="6"/>
  <c r="N731" i="6"/>
  <c r="O731" i="6"/>
  <c r="P731" i="6"/>
  <c r="I732" i="6"/>
  <c r="J732" i="6"/>
  <c r="K732" i="6"/>
  <c r="L732" i="6"/>
  <c r="M732" i="6"/>
  <c r="N732" i="6"/>
  <c r="O732" i="6"/>
  <c r="P732" i="6"/>
  <c r="I733" i="6"/>
  <c r="J733" i="6"/>
  <c r="K733" i="6"/>
  <c r="L733" i="6"/>
  <c r="M733" i="6"/>
  <c r="N733" i="6"/>
  <c r="O733" i="6"/>
  <c r="P733" i="6"/>
  <c r="I734" i="6"/>
  <c r="J734" i="6"/>
  <c r="K734" i="6"/>
  <c r="L734" i="6"/>
  <c r="M734" i="6"/>
  <c r="N734" i="6"/>
  <c r="O734" i="6"/>
  <c r="P734" i="6"/>
  <c r="I735" i="6"/>
  <c r="J735" i="6"/>
  <c r="K735" i="6"/>
  <c r="L735" i="6"/>
  <c r="M735" i="6"/>
  <c r="N735" i="6"/>
  <c r="O735" i="6"/>
  <c r="P735" i="6"/>
  <c r="I736" i="6"/>
  <c r="J736" i="6"/>
  <c r="K736" i="6"/>
  <c r="L736" i="6"/>
  <c r="M736" i="6"/>
  <c r="N736" i="6"/>
  <c r="O736" i="6"/>
  <c r="P736" i="6"/>
  <c r="I737" i="6"/>
  <c r="J737" i="6"/>
  <c r="K737" i="6"/>
  <c r="L737" i="6"/>
  <c r="M737" i="6"/>
  <c r="N737" i="6"/>
  <c r="O737" i="6"/>
  <c r="P737" i="6"/>
  <c r="I738" i="6"/>
  <c r="J738" i="6"/>
  <c r="K738" i="6"/>
  <c r="L738" i="6"/>
  <c r="M738" i="6"/>
  <c r="N738" i="6"/>
  <c r="O738" i="6"/>
  <c r="P738" i="6"/>
  <c r="I739" i="6"/>
  <c r="J739" i="6"/>
  <c r="K739" i="6"/>
  <c r="L739" i="6"/>
  <c r="M739" i="6"/>
  <c r="N739" i="6"/>
  <c r="O739" i="6"/>
  <c r="P739" i="6"/>
  <c r="I740" i="6"/>
  <c r="J740" i="6"/>
  <c r="K740" i="6"/>
  <c r="L740" i="6"/>
  <c r="M740" i="6"/>
  <c r="N740" i="6"/>
  <c r="O740" i="6"/>
  <c r="P740" i="6"/>
  <c r="I741" i="6"/>
  <c r="J741" i="6"/>
  <c r="K741" i="6"/>
  <c r="L741" i="6"/>
  <c r="M741" i="6"/>
  <c r="N741" i="6"/>
  <c r="O741" i="6"/>
  <c r="P741" i="6"/>
  <c r="I742" i="6"/>
  <c r="J742" i="6"/>
  <c r="K742" i="6"/>
  <c r="L742" i="6"/>
  <c r="M742" i="6"/>
  <c r="N742" i="6"/>
  <c r="O742" i="6"/>
  <c r="P742" i="6"/>
  <c r="I743" i="6"/>
  <c r="J743" i="6"/>
  <c r="K743" i="6"/>
  <c r="L743" i="6"/>
  <c r="M743" i="6"/>
  <c r="N743" i="6"/>
  <c r="O743" i="6"/>
  <c r="P743" i="6"/>
  <c r="I744" i="6"/>
  <c r="J744" i="6"/>
  <c r="K744" i="6"/>
  <c r="L744" i="6"/>
  <c r="M744" i="6"/>
  <c r="N744" i="6"/>
  <c r="O744" i="6"/>
  <c r="P744" i="6"/>
  <c r="I745" i="6"/>
  <c r="J745" i="6"/>
  <c r="K745" i="6"/>
  <c r="L745" i="6"/>
  <c r="M745" i="6"/>
  <c r="N745" i="6"/>
  <c r="O745" i="6"/>
  <c r="P745" i="6"/>
  <c r="I746" i="6"/>
  <c r="J746" i="6"/>
  <c r="K746" i="6"/>
  <c r="L746" i="6"/>
  <c r="M746" i="6"/>
  <c r="N746" i="6"/>
  <c r="O746" i="6"/>
  <c r="P746" i="6"/>
  <c r="I747" i="6"/>
  <c r="J747" i="6"/>
  <c r="K747" i="6"/>
  <c r="L747" i="6"/>
  <c r="M747" i="6"/>
  <c r="N747" i="6"/>
  <c r="O747" i="6"/>
  <c r="P747" i="6"/>
  <c r="I748" i="6"/>
  <c r="J748" i="6"/>
  <c r="K748" i="6"/>
  <c r="L748" i="6"/>
  <c r="M748" i="6"/>
  <c r="N748" i="6"/>
  <c r="O748" i="6"/>
  <c r="P748" i="6"/>
  <c r="I749" i="6"/>
  <c r="J749" i="6"/>
  <c r="K749" i="6"/>
  <c r="L749" i="6"/>
  <c r="M749" i="6"/>
  <c r="N749" i="6"/>
  <c r="O749" i="6"/>
  <c r="P749" i="6"/>
  <c r="I750" i="6"/>
  <c r="J750" i="6"/>
  <c r="K750" i="6"/>
  <c r="L750" i="6"/>
  <c r="M750" i="6"/>
  <c r="N750" i="6"/>
  <c r="O750" i="6"/>
  <c r="P750" i="6"/>
  <c r="I751" i="6"/>
  <c r="J751" i="6"/>
  <c r="K751" i="6"/>
  <c r="L751" i="6"/>
  <c r="M751" i="6"/>
  <c r="N751" i="6"/>
  <c r="O751" i="6"/>
  <c r="P751" i="6"/>
  <c r="I752" i="6"/>
  <c r="J752" i="6"/>
  <c r="K752" i="6"/>
  <c r="L752" i="6"/>
  <c r="M752" i="6"/>
  <c r="N752" i="6"/>
  <c r="O752" i="6"/>
  <c r="P752" i="6"/>
  <c r="I753" i="6"/>
  <c r="J753" i="6"/>
  <c r="K753" i="6"/>
  <c r="L753" i="6"/>
  <c r="M753" i="6"/>
  <c r="N753" i="6"/>
  <c r="O753" i="6"/>
  <c r="P753" i="6"/>
  <c r="I754" i="6"/>
  <c r="J754" i="6"/>
  <c r="K754" i="6"/>
  <c r="L754" i="6"/>
  <c r="M754" i="6"/>
  <c r="N754" i="6"/>
  <c r="O754" i="6"/>
  <c r="P754" i="6"/>
  <c r="I755" i="6"/>
  <c r="J755" i="6"/>
  <c r="K755" i="6"/>
  <c r="L755" i="6"/>
  <c r="M755" i="6"/>
  <c r="N755" i="6"/>
  <c r="O755" i="6"/>
  <c r="P755" i="6"/>
  <c r="I756" i="6"/>
  <c r="J756" i="6"/>
  <c r="K756" i="6"/>
  <c r="L756" i="6"/>
  <c r="M756" i="6"/>
  <c r="N756" i="6"/>
  <c r="O756" i="6"/>
  <c r="P756" i="6"/>
  <c r="I757" i="6"/>
  <c r="J757" i="6"/>
  <c r="K757" i="6"/>
  <c r="L757" i="6"/>
  <c r="M757" i="6"/>
  <c r="N757" i="6"/>
  <c r="O757" i="6"/>
  <c r="P757" i="6"/>
  <c r="I758" i="6"/>
  <c r="J758" i="6"/>
  <c r="K758" i="6"/>
  <c r="L758" i="6"/>
  <c r="M758" i="6"/>
  <c r="N758" i="6"/>
  <c r="O758" i="6"/>
  <c r="P758" i="6"/>
  <c r="I759" i="6"/>
  <c r="J759" i="6"/>
  <c r="K759" i="6"/>
  <c r="L759" i="6"/>
  <c r="M759" i="6"/>
  <c r="N759" i="6"/>
  <c r="O759" i="6"/>
  <c r="P759" i="6"/>
  <c r="I760" i="6"/>
  <c r="J760" i="6"/>
  <c r="K760" i="6"/>
  <c r="L760" i="6"/>
  <c r="M760" i="6"/>
  <c r="N760" i="6"/>
  <c r="O760" i="6"/>
  <c r="P760" i="6"/>
  <c r="I761" i="6"/>
  <c r="J761" i="6"/>
  <c r="K761" i="6"/>
  <c r="L761" i="6"/>
  <c r="M761" i="6"/>
  <c r="N761" i="6"/>
  <c r="O761" i="6"/>
  <c r="P761" i="6"/>
  <c r="I762" i="6"/>
  <c r="J762" i="6"/>
  <c r="K762" i="6"/>
  <c r="L762" i="6"/>
  <c r="M762" i="6"/>
  <c r="N762" i="6"/>
  <c r="O762" i="6"/>
  <c r="P762" i="6"/>
  <c r="I763" i="6"/>
  <c r="J763" i="6"/>
  <c r="K763" i="6"/>
  <c r="L763" i="6"/>
  <c r="M763" i="6"/>
  <c r="N763" i="6"/>
  <c r="O763" i="6"/>
  <c r="P763" i="6"/>
  <c r="I764" i="6"/>
  <c r="J764" i="6"/>
  <c r="K764" i="6"/>
  <c r="L764" i="6"/>
  <c r="M764" i="6"/>
  <c r="N764" i="6"/>
  <c r="O764" i="6"/>
  <c r="P764" i="6"/>
  <c r="I765" i="6"/>
  <c r="J765" i="6"/>
  <c r="K765" i="6"/>
  <c r="L765" i="6"/>
  <c r="M765" i="6"/>
  <c r="N765" i="6"/>
  <c r="O765" i="6"/>
  <c r="P765" i="6"/>
  <c r="I766" i="6"/>
  <c r="J766" i="6"/>
  <c r="K766" i="6"/>
  <c r="L766" i="6"/>
  <c r="M766" i="6"/>
  <c r="N766" i="6"/>
  <c r="O766" i="6"/>
  <c r="P766" i="6"/>
  <c r="I767" i="6"/>
  <c r="J767" i="6"/>
  <c r="K767" i="6"/>
  <c r="L767" i="6"/>
  <c r="M767" i="6"/>
  <c r="N767" i="6"/>
  <c r="O767" i="6"/>
  <c r="P767" i="6"/>
  <c r="I768" i="6"/>
  <c r="J768" i="6"/>
  <c r="K768" i="6"/>
  <c r="L768" i="6"/>
  <c r="M768" i="6"/>
  <c r="N768" i="6"/>
  <c r="O768" i="6"/>
  <c r="P768" i="6"/>
  <c r="I769" i="6"/>
  <c r="J769" i="6"/>
  <c r="K769" i="6"/>
  <c r="L769" i="6"/>
  <c r="M769" i="6"/>
  <c r="N769" i="6"/>
  <c r="O769" i="6"/>
  <c r="P769" i="6"/>
  <c r="I770" i="6"/>
  <c r="J770" i="6"/>
  <c r="K770" i="6"/>
  <c r="L770" i="6"/>
  <c r="M770" i="6"/>
  <c r="N770" i="6"/>
  <c r="O770" i="6"/>
  <c r="P770" i="6"/>
  <c r="I771" i="6"/>
  <c r="J771" i="6"/>
  <c r="K771" i="6"/>
  <c r="L771" i="6"/>
  <c r="M771" i="6"/>
  <c r="N771" i="6"/>
  <c r="O771" i="6"/>
  <c r="P771" i="6"/>
  <c r="I772" i="6"/>
  <c r="J772" i="6"/>
  <c r="K772" i="6"/>
  <c r="L772" i="6"/>
  <c r="M772" i="6"/>
  <c r="N772" i="6"/>
  <c r="O772" i="6"/>
  <c r="P772" i="6"/>
  <c r="I773" i="6"/>
  <c r="J773" i="6"/>
  <c r="K773" i="6"/>
  <c r="L773" i="6"/>
  <c r="M773" i="6"/>
  <c r="N773" i="6"/>
  <c r="O773" i="6"/>
  <c r="P773" i="6"/>
  <c r="I774" i="6"/>
  <c r="J774" i="6"/>
  <c r="K774" i="6"/>
  <c r="L774" i="6"/>
  <c r="M774" i="6"/>
  <c r="N774" i="6"/>
  <c r="O774" i="6"/>
  <c r="P774" i="6"/>
  <c r="I775" i="6"/>
  <c r="J775" i="6"/>
  <c r="K775" i="6"/>
  <c r="L775" i="6"/>
  <c r="M775" i="6"/>
  <c r="N775" i="6"/>
  <c r="O775" i="6"/>
  <c r="P775" i="6"/>
  <c r="I776" i="6"/>
  <c r="J776" i="6"/>
  <c r="K776" i="6"/>
  <c r="L776" i="6"/>
  <c r="M776" i="6"/>
  <c r="N776" i="6"/>
  <c r="O776" i="6"/>
  <c r="P776" i="6"/>
  <c r="I777" i="6"/>
  <c r="J777" i="6"/>
  <c r="K777" i="6"/>
  <c r="L777" i="6"/>
  <c r="M777" i="6"/>
  <c r="N777" i="6"/>
  <c r="O777" i="6"/>
  <c r="P777" i="6"/>
  <c r="I778" i="6"/>
  <c r="J778" i="6"/>
  <c r="K778" i="6"/>
  <c r="L778" i="6"/>
  <c r="M778" i="6"/>
  <c r="N778" i="6"/>
  <c r="O778" i="6"/>
  <c r="P778" i="6"/>
  <c r="I779" i="6"/>
  <c r="J779" i="6"/>
  <c r="K779" i="6"/>
  <c r="L779" i="6"/>
  <c r="M779" i="6"/>
  <c r="N779" i="6"/>
  <c r="O779" i="6"/>
  <c r="P779" i="6"/>
  <c r="I780" i="6"/>
  <c r="J780" i="6"/>
  <c r="K780" i="6"/>
  <c r="L780" i="6"/>
  <c r="M780" i="6"/>
  <c r="N780" i="6"/>
  <c r="O780" i="6"/>
  <c r="P780" i="6"/>
  <c r="I781" i="6"/>
  <c r="J781" i="6"/>
  <c r="K781" i="6"/>
  <c r="L781" i="6"/>
  <c r="M781" i="6"/>
  <c r="N781" i="6"/>
  <c r="O781" i="6"/>
  <c r="P781" i="6"/>
  <c r="I782" i="6"/>
  <c r="J782" i="6"/>
  <c r="K782" i="6"/>
  <c r="L782" i="6"/>
  <c r="M782" i="6"/>
  <c r="N782" i="6"/>
  <c r="O782" i="6"/>
  <c r="P782" i="6"/>
  <c r="I783" i="6"/>
  <c r="J783" i="6"/>
  <c r="K783" i="6"/>
  <c r="L783" i="6"/>
  <c r="M783" i="6"/>
  <c r="N783" i="6"/>
  <c r="O783" i="6"/>
  <c r="P783" i="6"/>
  <c r="I784" i="6"/>
  <c r="J784" i="6"/>
  <c r="K784" i="6"/>
  <c r="L784" i="6"/>
  <c r="M784" i="6"/>
  <c r="N784" i="6"/>
  <c r="O784" i="6"/>
  <c r="P784" i="6"/>
  <c r="I785" i="6"/>
  <c r="J785" i="6"/>
  <c r="K785" i="6"/>
  <c r="L785" i="6"/>
  <c r="M785" i="6"/>
  <c r="N785" i="6"/>
  <c r="O785" i="6"/>
  <c r="P785" i="6"/>
  <c r="I786" i="6"/>
  <c r="J786" i="6"/>
  <c r="K786" i="6"/>
  <c r="L786" i="6"/>
  <c r="M786" i="6"/>
  <c r="N786" i="6"/>
  <c r="O786" i="6"/>
  <c r="P786" i="6"/>
  <c r="I787" i="6"/>
  <c r="J787" i="6"/>
  <c r="K787" i="6"/>
  <c r="L787" i="6"/>
  <c r="M787" i="6"/>
  <c r="N787" i="6"/>
  <c r="O787" i="6"/>
  <c r="P787" i="6"/>
  <c r="I788" i="6"/>
  <c r="J788" i="6"/>
  <c r="K788" i="6"/>
  <c r="L788" i="6"/>
  <c r="M788" i="6"/>
  <c r="N788" i="6"/>
  <c r="O788" i="6"/>
  <c r="P788" i="6"/>
  <c r="I789" i="6"/>
  <c r="J789" i="6"/>
  <c r="K789" i="6"/>
  <c r="L789" i="6"/>
  <c r="M789" i="6"/>
  <c r="N789" i="6"/>
  <c r="O789" i="6"/>
  <c r="P789" i="6"/>
  <c r="I790" i="6"/>
  <c r="J790" i="6"/>
  <c r="K790" i="6"/>
  <c r="L790" i="6"/>
  <c r="M790" i="6"/>
  <c r="N790" i="6"/>
  <c r="O790" i="6"/>
  <c r="P790" i="6"/>
  <c r="I791" i="6"/>
  <c r="J791" i="6"/>
  <c r="K791" i="6"/>
  <c r="L791" i="6"/>
  <c r="M791" i="6"/>
  <c r="N791" i="6"/>
  <c r="O791" i="6"/>
  <c r="P791" i="6"/>
  <c r="I792" i="6"/>
  <c r="J792" i="6"/>
  <c r="K792" i="6"/>
  <c r="L792" i="6"/>
  <c r="M792" i="6"/>
  <c r="N792" i="6"/>
  <c r="O792" i="6"/>
  <c r="P792" i="6"/>
  <c r="I793" i="6"/>
  <c r="J793" i="6"/>
  <c r="K793" i="6"/>
  <c r="L793" i="6"/>
  <c r="M793" i="6"/>
  <c r="N793" i="6"/>
  <c r="O793" i="6"/>
  <c r="P793" i="6"/>
  <c r="I794" i="6"/>
  <c r="J794" i="6"/>
  <c r="K794" i="6"/>
  <c r="L794" i="6"/>
  <c r="M794" i="6"/>
  <c r="N794" i="6"/>
  <c r="O794" i="6"/>
  <c r="P794" i="6"/>
  <c r="I795" i="6"/>
  <c r="J795" i="6"/>
  <c r="K795" i="6"/>
  <c r="L795" i="6"/>
  <c r="M795" i="6"/>
  <c r="N795" i="6"/>
  <c r="O795" i="6"/>
  <c r="P795" i="6"/>
  <c r="I796" i="6"/>
  <c r="J796" i="6"/>
  <c r="K796" i="6"/>
  <c r="L796" i="6"/>
  <c r="M796" i="6"/>
  <c r="N796" i="6"/>
  <c r="O796" i="6"/>
  <c r="P796" i="6"/>
  <c r="I797" i="6"/>
  <c r="J797" i="6"/>
  <c r="K797" i="6"/>
  <c r="L797" i="6"/>
  <c r="M797" i="6"/>
  <c r="N797" i="6"/>
  <c r="O797" i="6"/>
  <c r="P797" i="6"/>
  <c r="I798" i="6"/>
  <c r="J798" i="6"/>
  <c r="K798" i="6"/>
  <c r="L798" i="6"/>
  <c r="M798" i="6"/>
  <c r="N798" i="6"/>
  <c r="O798" i="6"/>
  <c r="P798" i="6"/>
  <c r="I799" i="6"/>
  <c r="J799" i="6"/>
  <c r="K799" i="6"/>
  <c r="L799" i="6"/>
  <c r="M799" i="6"/>
  <c r="N799" i="6"/>
  <c r="O799" i="6"/>
  <c r="P799" i="6"/>
  <c r="I800" i="6"/>
  <c r="J800" i="6"/>
  <c r="K800" i="6"/>
  <c r="L800" i="6"/>
  <c r="M800" i="6"/>
  <c r="N800" i="6"/>
  <c r="O800" i="6"/>
  <c r="P800" i="6"/>
  <c r="I801" i="6"/>
  <c r="J801" i="6"/>
  <c r="K801" i="6"/>
  <c r="L801" i="6"/>
  <c r="M801" i="6"/>
  <c r="N801" i="6"/>
  <c r="O801" i="6"/>
  <c r="P801" i="6"/>
  <c r="I802" i="6"/>
  <c r="J802" i="6"/>
  <c r="K802" i="6"/>
  <c r="L802" i="6"/>
  <c r="M802" i="6"/>
  <c r="N802" i="6"/>
  <c r="O802" i="6"/>
  <c r="P802" i="6"/>
  <c r="I803" i="6"/>
  <c r="J803" i="6"/>
  <c r="K803" i="6"/>
  <c r="L803" i="6"/>
  <c r="M803" i="6"/>
  <c r="N803" i="6"/>
  <c r="O803" i="6"/>
  <c r="P803" i="6"/>
  <c r="I804" i="6"/>
  <c r="J804" i="6"/>
  <c r="K804" i="6"/>
  <c r="L804" i="6"/>
  <c r="M804" i="6"/>
  <c r="N804" i="6"/>
  <c r="O804" i="6"/>
  <c r="P804" i="6"/>
  <c r="I805" i="6"/>
  <c r="J805" i="6"/>
  <c r="K805" i="6"/>
  <c r="L805" i="6"/>
  <c r="M805" i="6"/>
  <c r="N805" i="6"/>
  <c r="O805" i="6"/>
  <c r="P805" i="6"/>
  <c r="I806" i="6"/>
  <c r="J806" i="6"/>
  <c r="K806" i="6"/>
  <c r="L806" i="6"/>
  <c r="M806" i="6"/>
  <c r="N806" i="6"/>
  <c r="O806" i="6"/>
  <c r="P806" i="6"/>
  <c r="I807" i="6"/>
  <c r="J807" i="6"/>
  <c r="K807" i="6"/>
  <c r="L807" i="6"/>
  <c r="M807" i="6"/>
  <c r="N807" i="6"/>
  <c r="O807" i="6"/>
  <c r="P807" i="6"/>
  <c r="I808" i="6"/>
  <c r="J808" i="6"/>
  <c r="K808" i="6"/>
  <c r="L808" i="6"/>
  <c r="M808" i="6"/>
  <c r="N808" i="6"/>
  <c r="O808" i="6"/>
  <c r="P808" i="6"/>
  <c r="I809" i="6"/>
  <c r="J809" i="6"/>
  <c r="K809" i="6"/>
  <c r="L809" i="6"/>
  <c r="M809" i="6"/>
  <c r="N809" i="6"/>
  <c r="O809" i="6"/>
  <c r="P809" i="6"/>
  <c r="I810" i="6"/>
  <c r="J810" i="6"/>
  <c r="K810" i="6"/>
  <c r="L810" i="6"/>
  <c r="M810" i="6"/>
  <c r="N810" i="6"/>
  <c r="O810" i="6"/>
  <c r="P810" i="6"/>
  <c r="I811" i="6"/>
  <c r="J811" i="6"/>
  <c r="K811" i="6"/>
  <c r="L811" i="6"/>
  <c r="M811" i="6"/>
  <c r="N811" i="6"/>
  <c r="O811" i="6"/>
  <c r="P811" i="6"/>
  <c r="I812" i="6"/>
  <c r="J812" i="6"/>
  <c r="K812" i="6"/>
  <c r="L812" i="6"/>
  <c r="M812" i="6"/>
  <c r="N812" i="6"/>
  <c r="O812" i="6"/>
  <c r="P812" i="6"/>
  <c r="I813" i="6"/>
  <c r="J813" i="6"/>
  <c r="K813" i="6"/>
  <c r="L813" i="6"/>
  <c r="M813" i="6"/>
  <c r="N813" i="6"/>
  <c r="O813" i="6"/>
  <c r="P813" i="6"/>
  <c r="I814" i="6"/>
  <c r="J814" i="6"/>
  <c r="K814" i="6"/>
  <c r="L814" i="6"/>
  <c r="M814" i="6"/>
  <c r="N814" i="6"/>
  <c r="O814" i="6"/>
  <c r="P814" i="6"/>
  <c r="I815" i="6"/>
  <c r="J815" i="6"/>
  <c r="K815" i="6"/>
  <c r="L815" i="6"/>
  <c r="M815" i="6"/>
  <c r="N815" i="6"/>
  <c r="O815" i="6"/>
  <c r="P815" i="6"/>
  <c r="I816" i="6"/>
  <c r="J816" i="6"/>
  <c r="K816" i="6"/>
  <c r="L816" i="6"/>
  <c r="M816" i="6"/>
  <c r="N816" i="6"/>
  <c r="O816" i="6"/>
  <c r="P816" i="6"/>
  <c r="I817" i="6"/>
  <c r="J817" i="6"/>
  <c r="K817" i="6"/>
  <c r="L817" i="6"/>
  <c r="M817" i="6"/>
  <c r="N817" i="6"/>
  <c r="O817" i="6"/>
  <c r="P817" i="6"/>
  <c r="I818" i="6"/>
  <c r="J818" i="6"/>
  <c r="K818" i="6"/>
  <c r="L818" i="6"/>
  <c r="M818" i="6"/>
  <c r="N818" i="6"/>
  <c r="O818" i="6"/>
  <c r="P818" i="6"/>
  <c r="I819" i="6"/>
  <c r="J819" i="6"/>
  <c r="K819" i="6"/>
  <c r="L819" i="6"/>
  <c r="M819" i="6"/>
  <c r="N819" i="6"/>
  <c r="O819" i="6"/>
  <c r="P819" i="6"/>
  <c r="I820" i="6"/>
  <c r="J820" i="6"/>
  <c r="K820" i="6"/>
  <c r="L820" i="6"/>
  <c r="M820" i="6"/>
  <c r="N820" i="6"/>
  <c r="O820" i="6"/>
  <c r="P820" i="6"/>
  <c r="I821" i="6"/>
  <c r="J821" i="6"/>
  <c r="K821" i="6"/>
  <c r="L821" i="6"/>
  <c r="M821" i="6"/>
  <c r="N821" i="6"/>
  <c r="O821" i="6"/>
  <c r="P821" i="6"/>
  <c r="I822" i="6"/>
  <c r="J822" i="6"/>
  <c r="K822" i="6"/>
  <c r="L822" i="6"/>
  <c r="M822" i="6"/>
  <c r="N822" i="6"/>
  <c r="O822" i="6"/>
  <c r="P822" i="6"/>
  <c r="I823" i="6"/>
  <c r="J823" i="6"/>
  <c r="K823" i="6"/>
  <c r="L823" i="6"/>
  <c r="M823" i="6"/>
  <c r="N823" i="6"/>
  <c r="O823" i="6"/>
  <c r="P823" i="6"/>
  <c r="I824" i="6"/>
  <c r="J824" i="6"/>
  <c r="K824" i="6"/>
  <c r="L824" i="6"/>
  <c r="M824" i="6"/>
  <c r="N824" i="6"/>
  <c r="O824" i="6"/>
  <c r="P824" i="6"/>
  <c r="I825" i="6"/>
  <c r="J825" i="6"/>
  <c r="K825" i="6"/>
  <c r="L825" i="6"/>
  <c r="M825" i="6"/>
  <c r="N825" i="6"/>
  <c r="O825" i="6"/>
  <c r="P825" i="6"/>
  <c r="I826" i="6"/>
  <c r="J826" i="6"/>
  <c r="K826" i="6"/>
  <c r="L826" i="6"/>
  <c r="M826" i="6"/>
  <c r="N826" i="6"/>
  <c r="O826" i="6"/>
  <c r="P826" i="6"/>
  <c r="I827" i="6"/>
  <c r="J827" i="6"/>
  <c r="K827" i="6"/>
  <c r="L827" i="6"/>
  <c r="M827" i="6"/>
  <c r="N827" i="6"/>
  <c r="O827" i="6"/>
  <c r="P827" i="6"/>
  <c r="I828" i="6"/>
  <c r="J828" i="6"/>
  <c r="K828" i="6"/>
  <c r="L828" i="6"/>
  <c r="M828" i="6"/>
  <c r="N828" i="6"/>
  <c r="O828" i="6"/>
  <c r="P828" i="6"/>
  <c r="I829" i="6"/>
  <c r="J829" i="6"/>
  <c r="K829" i="6"/>
  <c r="L829" i="6"/>
  <c r="M829" i="6"/>
  <c r="N829" i="6"/>
  <c r="O829" i="6"/>
  <c r="P829" i="6"/>
  <c r="I830" i="6"/>
  <c r="J830" i="6"/>
  <c r="K830" i="6"/>
  <c r="L830" i="6"/>
  <c r="M830" i="6"/>
  <c r="N830" i="6"/>
  <c r="O830" i="6"/>
  <c r="P830" i="6"/>
  <c r="I831" i="6"/>
  <c r="J831" i="6"/>
  <c r="K831" i="6"/>
  <c r="L831" i="6"/>
  <c r="M831" i="6"/>
  <c r="N831" i="6"/>
  <c r="O831" i="6"/>
  <c r="P831" i="6"/>
  <c r="I832" i="6"/>
  <c r="J832" i="6"/>
  <c r="K832" i="6"/>
  <c r="L832" i="6"/>
  <c r="M832" i="6"/>
  <c r="N832" i="6"/>
  <c r="O832" i="6"/>
  <c r="P832" i="6"/>
  <c r="I833" i="6"/>
  <c r="J833" i="6"/>
  <c r="K833" i="6"/>
  <c r="L833" i="6"/>
  <c r="M833" i="6"/>
  <c r="N833" i="6"/>
  <c r="O833" i="6"/>
  <c r="P833" i="6"/>
  <c r="I834" i="6"/>
  <c r="J834" i="6"/>
  <c r="K834" i="6"/>
  <c r="L834" i="6"/>
  <c r="M834" i="6"/>
  <c r="N834" i="6"/>
  <c r="O834" i="6"/>
  <c r="P834" i="6"/>
  <c r="I835" i="6"/>
  <c r="J835" i="6"/>
  <c r="K835" i="6"/>
  <c r="L835" i="6"/>
  <c r="M835" i="6"/>
  <c r="N835" i="6"/>
  <c r="O835" i="6"/>
  <c r="P835" i="6"/>
  <c r="I836" i="6"/>
  <c r="J836" i="6"/>
  <c r="K836" i="6"/>
  <c r="L836" i="6"/>
  <c r="M836" i="6"/>
  <c r="N836" i="6"/>
  <c r="O836" i="6"/>
  <c r="P836" i="6"/>
  <c r="I837" i="6"/>
  <c r="J837" i="6"/>
  <c r="K837" i="6"/>
  <c r="L837" i="6"/>
  <c r="M837" i="6"/>
  <c r="N837" i="6"/>
  <c r="O837" i="6"/>
  <c r="P837" i="6"/>
  <c r="I838" i="6"/>
  <c r="J838" i="6"/>
  <c r="K838" i="6"/>
  <c r="L838" i="6"/>
  <c r="M838" i="6"/>
  <c r="N838" i="6"/>
  <c r="O838" i="6"/>
  <c r="P838" i="6"/>
  <c r="I839" i="6"/>
  <c r="J839" i="6"/>
  <c r="K839" i="6"/>
  <c r="L839" i="6"/>
  <c r="M839" i="6"/>
  <c r="N839" i="6"/>
  <c r="O839" i="6"/>
  <c r="P839" i="6"/>
  <c r="I840" i="6"/>
  <c r="J840" i="6"/>
  <c r="K840" i="6"/>
  <c r="L840" i="6"/>
  <c r="M840" i="6"/>
  <c r="N840" i="6"/>
  <c r="O840" i="6"/>
  <c r="P840" i="6"/>
  <c r="I841" i="6"/>
  <c r="J841" i="6"/>
  <c r="K841" i="6"/>
  <c r="L841" i="6"/>
  <c r="M841" i="6"/>
  <c r="N841" i="6"/>
  <c r="O841" i="6"/>
  <c r="P841" i="6"/>
  <c r="I842" i="6"/>
  <c r="J842" i="6"/>
  <c r="K842" i="6"/>
  <c r="L842" i="6"/>
  <c r="M842" i="6"/>
  <c r="N842" i="6"/>
  <c r="O842" i="6"/>
  <c r="P842" i="6"/>
  <c r="I843" i="6"/>
  <c r="J843" i="6"/>
  <c r="K843" i="6"/>
  <c r="L843" i="6"/>
  <c r="M843" i="6"/>
  <c r="N843" i="6"/>
  <c r="O843" i="6"/>
  <c r="P843" i="6"/>
  <c r="I844" i="6"/>
  <c r="J844" i="6"/>
  <c r="K844" i="6"/>
  <c r="L844" i="6"/>
  <c r="M844" i="6"/>
  <c r="N844" i="6"/>
  <c r="O844" i="6"/>
  <c r="P844" i="6"/>
  <c r="I845" i="6"/>
  <c r="J845" i="6"/>
  <c r="K845" i="6"/>
  <c r="L845" i="6"/>
  <c r="M845" i="6"/>
  <c r="N845" i="6"/>
  <c r="O845" i="6"/>
  <c r="P845" i="6"/>
  <c r="I846" i="6"/>
  <c r="J846" i="6"/>
  <c r="K846" i="6"/>
  <c r="L846" i="6"/>
  <c r="M846" i="6"/>
  <c r="N846" i="6"/>
  <c r="O846" i="6"/>
  <c r="P846" i="6"/>
  <c r="I847" i="6"/>
  <c r="J847" i="6"/>
  <c r="K847" i="6"/>
  <c r="L847" i="6"/>
  <c r="M847" i="6"/>
  <c r="N847" i="6"/>
  <c r="O847" i="6"/>
  <c r="P847" i="6"/>
  <c r="I848" i="6"/>
  <c r="J848" i="6"/>
  <c r="K848" i="6"/>
  <c r="L848" i="6"/>
  <c r="M848" i="6"/>
  <c r="N848" i="6"/>
  <c r="O848" i="6"/>
  <c r="P848" i="6"/>
  <c r="I849" i="6"/>
  <c r="J849" i="6"/>
  <c r="K849" i="6"/>
  <c r="L849" i="6"/>
  <c r="M849" i="6"/>
  <c r="N849" i="6"/>
  <c r="O849" i="6"/>
  <c r="P849" i="6"/>
  <c r="I850" i="6"/>
  <c r="J850" i="6"/>
  <c r="K850" i="6"/>
  <c r="L850" i="6"/>
  <c r="M850" i="6"/>
  <c r="N850" i="6"/>
  <c r="O850" i="6"/>
  <c r="P850" i="6"/>
  <c r="I851" i="6"/>
  <c r="J851" i="6"/>
  <c r="K851" i="6"/>
  <c r="L851" i="6"/>
  <c r="M851" i="6"/>
  <c r="N851" i="6"/>
  <c r="O851" i="6"/>
  <c r="P851" i="6"/>
  <c r="I852" i="6"/>
  <c r="J852" i="6"/>
  <c r="K852" i="6"/>
  <c r="L852" i="6"/>
  <c r="M852" i="6"/>
  <c r="N852" i="6"/>
  <c r="O852" i="6"/>
  <c r="P852" i="6"/>
  <c r="I853" i="6"/>
  <c r="J853" i="6"/>
  <c r="K853" i="6"/>
  <c r="L853" i="6"/>
  <c r="M853" i="6"/>
  <c r="N853" i="6"/>
  <c r="O853" i="6"/>
  <c r="P853" i="6"/>
  <c r="I854" i="6"/>
  <c r="J854" i="6"/>
  <c r="K854" i="6"/>
  <c r="L854" i="6"/>
  <c r="M854" i="6"/>
  <c r="N854" i="6"/>
  <c r="O854" i="6"/>
  <c r="P854" i="6"/>
  <c r="I855" i="6"/>
  <c r="J855" i="6"/>
  <c r="K855" i="6"/>
  <c r="L855" i="6"/>
  <c r="M855" i="6"/>
  <c r="N855" i="6"/>
  <c r="O855" i="6"/>
  <c r="P855" i="6"/>
  <c r="I856" i="6"/>
  <c r="J856" i="6"/>
  <c r="K856" i="6"/>
  <c r="L856" i="6"/>
  <c r="M856" i="6"/>
  <c r="N856" i="6"/>
  <c r="O856" i="6"/>
  <c r="P856" i="6"/>
  <c r="I857" i="6"/>
  <c r="J857" i="6"/>
  <c r="K857" i="6"/>
  <c r="L857" i="6"/>
  <c r="M857" i="6"/>
  <c r="N857" i="6"/>
  <c r="O857" i="6"/>
  <c r="P857" i="6"/>
  <c r="I858" i="6"/>
  <c r="J858" i="6"/>
  <c r="K858" i="6"/>
  <c r="L858" i="6"/>
  <c r="M858" i="6"/>
  <c r="N858" i="6"/>
  <c r="O858" i="6"/>
  <c r="P858" i="6"/>
  <c r="I859" i="6"/>
  <c r="J859" i="6"/>
  <c r="K859" i="6"/>
  <c r="L859" i="6"/>
  <c r="M859" i="6"/>
  <c r="N859" i="6"/>
  <c r="O859" i="6"/>
  <c r="P859" i="6"/>
  <c r="I860" i="6"/>
  <c r="J860" i="6"/>
  <c r="K860" i="6"/>
  <c r="L860" i="6"/>
  <c r="M860" i="6"/>
  <c r="N860" i="6"/>
  <c r="O860" i="6"/>
  <c r="P860" i="6"/>
  <c r="I861" i="6"/>
  <c r="J861" i="6"/>
  <c r="K861" i="6"/>
  <c r="L861" i="6"/>
  <c r="M861" i="6"/>
  <c r="N861" i="6"/>
  <c r="O861" i="6"/>
  <c r="P861" i="6"/>
  <c r="I862" i="6"/>
  <c r="J862" i="6"/>
  <c r="K862" i="6"/>
  <c r="L862" i="6"/>
  <c r="M862" i="6"/>
  <c r="N862" i="6"/>
  <c r="O862" i="6"/>
  <c r="P862" i="6"/>
  <c r="I863" i="6"/>
  <c r="J863" i="6"/>
  <c r="K863" i="6"/>
  <c r="L863" i="6"/>
  <c r="M863" i="6"/>
  <c r="N863" i="6"/>
  <c r="O863" i="6"/>
  <c r="P863" i="6"/>
  <c r="I864" i="6"/>
  <c r="J864" i="6"/>
  <c r="K864" i="6"/>
  <c r="L864" i="6"/>
  <c r="M864" i="6"/>
  <c r="N864" i="6"/>
  <c r="O864" i="6"/>
  <c r="P864" i="6"/>
  <c r="I865" i="6"/>
  <c r="J865" i="6"/>
  <c r="K865" i="6"/>
  <c r="L865" i="6"/>
  <c r="M865" i="6"/>
  <c r="N865" i="6"/>
  <c r="O865" i="6"/>
  <c r="P865" i="6"/>
  <c r="I866" i="6"/>
  <c r="J866" i="6"/>
  <c r="K866" i="6"/>
  <c r="L866" i="6"/>
  <c r="M866" i="6"/>
  <c r="N866" i="6"/>
  <c r="O866" i="6"/>
  <c r="P866" i="6"/>
  <c r="I867" i="6"/>
  <c r="J867" i="6"/>
  <c r="K867" i="6"/>
  <c r="L867" i="6"/>
  <c r="M867" i="6"/>
  <c r="N867" i="6"/>
  <c r="O867" i="6"/>
  <c r="P867" i="6"/>
  <c r="I868" i="6"/>
  <c r="J868" i="6"/>
  <c r="K868" i="6"/>
  <c r="L868" i="6"/>
  <c r="M868" i="6"/>
  <c r="N868" i="6"/>
  <c r="O868" i="6"/>
  <c r="P868" i="6"/>
  <c r="I869" i="6"/>
  <c r="J869" i="6"/>
  <c r="K869" i="6"/>
  <c r="L869" i="6"/>
  <c r="M869" i="6"/>
  <c r="N869" i="6"/>
  <c r="O869" i="6"/>
  <c r="P869" i="6"/>
  <c r="I870" i="6"/>
  <c r="J870" i="6"/>
  <c r="K870" i="6"/>
  <c r="L870" i="6"/>
  <c r="M870" i="6"/>
  <c r="N870" i="6"/>
  <c r="O870" i="6"/>
  <c r="P870" i="6"/>
  <c r="I871" i="6"/>
  <c r="J871" i="6"/>
  <c r="K871" i="6"/>
  <c r="L871" i="6"/>
  <c r="M871" i="6"/>
  <c r="N871" i="6"/>
  <c r="O871" i="6"/>
  <c r="P871" i="6"/>
  <c r="I872" i="6"/>
  <c r="J872" i="6"/>
  <c r="K872" i="6"/>
  <c r="L872" i="6"/>
  <c r="M872" i="6"/>
  <c r="N872" i="6"/>
  <c r="O872" i="6"/>
  <c r="P872" i="6"/>
  <c r="I873" i="6"/>
  <c r="J873" i="6"/>
  <c r="K873" i="6"/>
  <c r="L873" i="6"/>
  <c r="M873" i="6"/>
  <c r="N873" i="6"/>
  <c r="O873" i="6"/>
  <c r="P873" i="6"/>
  <c r="I874" i="6"/>
  <c r="J874" i="6"/>
  <c r="K874" i="6"/>
  <c r="L874" i="6"/>
  <c r="M874" i="6"/>
  <c r="N874" i="6"/>
  <c r="O874" i="6"/>
  <c r="P874" i="6"/>
  <c r="I875" i="6"/>
  <c r="J875" i="6"/>
  <c r="K875" i="6"/>
  <c r="L875" i="6"/>
  <c r="M875" i="6"/>
  <c r="N875" i="6"/>
  <c r="O875" i="6"/>
  <c r="P875" i="6"/>
  <c r="I876" i="6"/>
  <c r="J876" i="6"/>
  <c r="K876" i="6"/>
  <c r="L876" i="6"/>
  <c r="M876" i="6"/>
  <c r="N876" i="6"/>
  <c r="O876" i="6"/>
  <c r="P876" i="6"/>
  <c r="I877" i="6"/>
  <c r="J877" i="6"/>
  <c r="K877" i="6"/>
  <c r="L877" i="6"/>
  <c r="M877" i="6"/>
  <c r="N877" i="6"/>
  <c r="O877" i="6"/>
  <c r="P877" i="6"/>
  <c r="I878" i="6"/>
  <c r="J878" i="6"/>
  <c r="K878" i="6"/>
  <c r="L878" i="6"/>
  <c r="M878" i="6"/>
  <c r="N878" i="6"/>
  <c r="O878" i="6"/>
  <c r="P878" i="6"/>
  <c r="I879" i="6"/>
  <c r="J879" i="6"/>
  <c r="K879" i="6"/>
  <c r="L879" i="6"/>
  <c r="M879" i="6"/>
  <c r="N879" i="6"/>
  <c r="O879" i="6"/>
  <c r="P879" i="6"/>
  <c r="I880" i="6"/>
  <c r="J880" i="6"/>
  <c r="K880" i="6"/>
  <c r="L880" i="6"/>
  <c r="M880" i="6"/>
  <c r="N880" i="6"/>
  <c r="O880" i="6"/>
  <c r="P880" i="6"/>
  <c r="I881" i="6"/>
  <c r="J881" i="6"/>
  <c r="K881" i="6"/>
  <c r="L881" i="6"/>
  <c r="M881" i="6"/>
  <c r="N881" i="6"/>
  <c r="O881" i="6"/>
  <c r="P881" i="6"/>
  <c r="I882" i="6"/>
  <c r="J882" i="6"/>
  <c r="K882" i="6"/>
  <c r="L882" i="6"/>
  <c r="M882" i="6"/>
  <c r="N882" i="6"/>
  <c r="O882" i="6"/>
  <c r="P882" i="6"/>
  <c r="I883" i="6"/>
  <c r="J883" i="6"/>
  <c r="K883" i="6"/>
  <c r="L883" i="6"/>
  <c r="M883" i="6"/>
  <c r="N883" i="6"/>
  <c r="O883" i="6"/>
  <c r="P883" i="6"/>
  <c r="I884" i="6"/>
  <c r="J884" i="6"/>
  <c r="K884" i="6"/>
  <c r="L884" i="6"/>
  <c r="M884" i="6"/>
  <c r="N884" i="6"/>
  <c r="O884" i="6"/>
  <c r="P884" i="6"/>
  <c r="I885" i="6"/>
  <c r="J885" i="6"/>
  <c r="K885" i="6"/>
  <c r="L885" i="6"/>
  <c r="M885" i="6"/>
  <c r="N885" i="6"/>
  <c r="O885" i="6"/>
  <c r="P885" i="6"/>
  <c r="I886" i="6"/>
  <c r="J886" i="6"/>
  <c r="K886" i="6"/>
  <c r="L886" i="6"/>
  <c r="M886" i="6"/>
  <c r="N886" i="6"/>
  <c r="O886" i="6"/>
  <c r="P886" i="6"/>
  <c r="I887" i="6"/>
  <c r="J887" i="6"/>
  <c r="K887" i="6"/>
  <c r="L887" i="6"/>
  <c r="M887" i="6"/>
  <c r="N887" i="6"/>
  <c r="O887" i="6"/>
  <c r="P887" i="6"/>
  <c r="I888" i="6"/>
  <c r="J888" i="6"/>
  <c r="K888" i="6"/>
  <c r="L888" i="6"/>
  <c r="M888" i="6"/>
  <c r="N888" i="6"/>
  <c r="O888" i="6"/>
  <c r="P888" i="6"/>
  <c r="I889" i="6"/>
  <c r="J889" i="6"/>
  <c r="K889" i="6"/>
  <c r="L889" i="6"/>
  <c r="M889" i="6"/>
  <c r="N889" i="6"/>
  <c r="O889" i="6"/>
  <c r="P889" i="6"/>
  <c r="I890" i="6"/>
  <c r="J890" i="6"/>
  <c r="K890" i="6"/>
  <c r="L890" i="6"/>
  <c r="M890" i="6"/>
  <c r="N890" i="6"/>
  <c r="O890" i="6"/>
  <c r="P890" i="6"/>
  <c r="I891" i="6"/>
  <c r="J891" i="6"/>
  <c r="K891" i="6"/>
  <c r="L891" i="6"/>
  <c r="M891" i="6"/>
  <c r="N891" i="6"/>
  <c r="O891" i="6"/>
  <c r="P891" i="6"/>
  <c r="I892" i="6"/>
  <c r="J892" i="6"/>
  <c r="K892" i="6"/>
  <c r="L892" i="6"/>
  <c r="M892" i="6"/>
  <c r="N892" i="6"/>
  <c r="O892" i="6"/>
  <c r="P892" i="6"/>
  <c r="I893" i="6"/>
  <c r="J893" i="6"/>
  <c r="K893" i="6"/>
  <c r="L893" i="6"/>
  <c r="M893" i="6"/>
  <c r="N893" i="6"/>
  <c r="O893" i="6"/>
  <c r="P893" i="6"/>
  <c r="I894" i="6"/>
  <c r="J894" i="6"/>
  <c r="K894" i="6"/>
  <c r="L894" i="6"/>
  <c r="M894" i="6"/>
  <c r="N894" i="6"/>
  <c r="O894" i="6"/>
  <c r="P894" i="6"/>
  <c r="I895" i="6"/>
  <c r="J895" i="6"/>
  <c r="K895" i="6"/>
  <c r="L895" i="6"/>
  <c r="M895" i="6"/>
  <c r="N895" i="6"/>
  <c r="O895" i="6"/>
  <c r="P895" i="6"/>
  <c r="I896" i="6"/>
  <c r="J896" i="6"/>
  <c r="K896" i="6"/>
  <c r="L896" i="6"/>
  <c r="M896" i="6"/>
  <c r="N896" i="6"/>
  <c r="O896" i="6"/>
  <c r="P896" i="6"/>
  <c r="I897" i="6"/>
  <c r="J897" i="6"/>
  <c r="K897" i="6"/>
  <c r="L897" i="6"/>
  <c r="M897" i="6"/>
  <c r="N897" i="6"/>
  <c r="O897" i="6"/>
  <c r="P897" i="6"/>
  <c r="I898" i="6"/>
  <c r="J898" i="6"/>
  <c r="K898" i="6"/>
  <c r="L898" i="6"/>
  <c r="M898" i="6"/>
  <c r="N898" i="6"/>
  <c r="O898" i="6"/>
  <c r="P898" i="6"/>
  <c r="I899" i="6"/>
  <c r="J899" i="6"/>
  <c r="K899" i="6"/>
  <c r="L899" i="6"/>
  <c r="M899" i="6"/>
  <c r="N899" i="6"/>
  <c r="O899" i="6"/>
  <c r="P899" i="6"/>
  <c r="I900" i="6"/>
  <c r="J900" i="6"/>
  <c r="K900" i="6"/>
  <c r="L900" i="6"/>
  <c r="M900" i="6"/>
  <c r="N900" i="6"/>
  <c r="O900" i="6"/>
  <c r="P900" i="6"/>
  <c r="I901" i="6"/>
  <c r="J901" i="6"/>
  <c r="K901" i="6"/>
  <c r="L901" i="6"/>
  <c r="M901" i="6"/>
  <c r="N901" i="6"/>
  <c r="O901" i="6"/>
  <c r="P901" i="6"/>
  <c r="I902" i="6"/>
  <c r="J902" i="6"/>
  <c r="K902" i="6"/>
  <c r="L902" i="6"/>
  <c r="M902" i="6"/>
  <c r="N902" i="6"/>
  <c r="O902" i="6"/>
  <c r="P902" i="6"/>
  <c r="I903" i="6"/>
  <c r="J903" i="6"/>
  <c r="K903" i="6"/>
  <c r="L903" i="6"/>
  <c r="M903" i="6"/>
  <c r="N903" i="6"/>
  <c r="O903" i="6"/>
  <c r="P903" i="6"/>
  <c r="I904" i="6"/>
  <c r="J904" i="6"/>
  <c r="K904" i="6"/>
  <c r="L904" i="6"/>
  <c r="M904" i="6"/>
  <c r="N904" i="6"/>
  <c r="O904" i="6"/>
  <c r="P904" i="6"/>
  <c r="I905" i="6"/>
  <c r="J905" i="6"/>
  <c r="K905" i="6"/>
  <c r="L905" i="6"/>
  <c r="M905" i="6"/>
  <c r="N905" i="6"/>
  <c r="O905" i="6"/>
  <c r="P905" i="6"/>
  <c r="I906" i="6"/>
  <c r="J906" i="6"/>
  <c r="K906" i="6"/>
  <c r="L906" i="6"/>
  <c r="M906" i="6"/>
  <c r="N906" i="6"/>
  <c r="O906" i="6"/>
  <c r="P906" i="6"/>
  <c r="I907" i="6"/>
  <c r="J907" i="6"/>
  <c r="K907" i="6"/>
  <c r="L907" i="6"/>
  <c r="M907" i="6"/>
  <c r="N907" i="6"/>
  <c r="O907" i="6"/>
  <c r="P907" i="6"/>
  <c r="I908" i="6"/>
  <c r="J908" i="6"/>
  <c r="K908" i="6"/>
  <c r="L908" i="6"/>
  <c r="M908" i="6"/>
  <c r="N908" i="6"/>
  <c r="O908" i="6"/>
  <c r="P908" i="6"/>
  <c r="I909" i="6"/>
  <c r="J909" i="6"/>
  <c r="K909" i="6"/>
  <c r="L909" i="6"/>
  <c r="M909" i="6"/>
  <c r="N909" i="6"/>
  <c r="O909" i="6"/>
  <c r="P909" i="6"/>
  <c r="I910" i="6"/>
  <c r="J910" i="6"/>
  <c r="K910" i="6"/>
  <c r="L910" i="6"/>
  <c r="M910" i="6"/>
  <c r="N910" i="6"/>
  <c r="O910" i="6"/>
  <c r="P910" i="6"/>
  <c r="I911" i="6"/>
  <c r="J911" i="6"/>
  <c r="K911" i="6"/>
  <c r="L911" i="6"/>
  <c r="M911" i="6"/>
  <c r="N911" i="6"/>
  <c r="O911" i="6"/>
  <c r="P911" i="6"/>
  <c r="I912" i="6"/>
  <c r="J912" i="6"/>
  <c r="K912" i="6"/>
  <c r="L912" i="6"/>
  <c r="M912" i="6"/>
  <c r="N912" i="6"/>
  <c r="O912" i="6"/>
  <c r="P912" i="6"/>
  <c r="I913" i="6"/>
  <c r="J913" i="6"/>
  <c r="K913" i="6"/>
  <c r="L913" i="6"/>
  <c r="M913" i="6"/>
  <c r="N913" i="6"/>
  <c r="O913" i="6"/>
  <c r="P913" i="6"/>
  <c r="I914" i="6"/>
  <c r="J914" i="6"/>
  <c r="K914" i="6"/>
  <c r="L914" i="6"/>
  <c r="M914" i="6"/>
  <c r="N914" i="6"/>
  <c r="O914" i="6"/>
  <c r="P914" i="6"/>
  <c r="I915" i="6"/>
  <c r="J915" i="6"/>
  <c r="K915" i="6"/>
  <c r="L915" i="6"/>
  <c r="M915" i="6"/>
  <c r="N915" i="6"/>
  <c r="O915" i="6"/>
  <c r="P915" i="6"/>
  <c r="I916" i="6"/>
  <c r="J916" i="6"/>
  <c r="K916" i="6"/>
  <c r="L916" i="6"/>
  <c r="M916" i="6"/>
  <c r="N916" i="6"/>
  <c r="O916" i="6"/>
  <c r="P916" i="6"/>
  <c r="I917" i="6"/>
  <c r="J917" i="6"/>
  <c r="K917" i="6"/>
  <c r="L917" i="6"/>
  <c r="M917" i="6"/>
  <c r="N917" i="6"/>
  <c r="O917" i="6"/>
  <c r="P917" i="6"/>
  <c r="I918" i="6"/>
  <c r="J918" i="6"/>
  <c r="K918" i="6"/>
  <c r="L918" i="6"/>
  <c r="M918" i="6"/>
  <c r="N918" i="6"/>
  <c r="O918" i="6"/>
  <c r="P918" i="6"/>
  <c r="I919" i="6"/>
  <c r="J919" i="6"/>
  <c r="K919" i="6"/>
  <c r="L919" i="6"/>
  <c r="M919" i="6"/>
  <c r="N919" i="6"/>
  <c r="O919" i="6"/>
  <c r="P919" i="6"/>
  <c r="I920" i="6"/>
  <c r="J920" i="6"/>
  <c r="K920" i="6"/>
  <c r="L920" i="6"/>
  <c r="M920" i="6"/>
  <c r="N920" i="6"/>
  <c r="O920" i="6"/>
  <c r="P920" i="6"/>
  <c r="I921" i="6"/>
  <c r="J921" i="6"/>
  <c r="K921" i="6"/>
  <c r="L921" i="6"/>
  <c r="M921" i="6"/>
  <c r="N921" i="6"/>
  <c r="O921" i="6"/>
  <c r="P921" i="6"/>
  <c r="I922" i="6"/>
  <c r="J922" i="6"/>
  <c r="K922" i="6"/>
  <c r="L922" i="6"/>
  <c r="M922" i="6"/>
  <c r="N922" i="6"/>
  <c r="O922" i="6"/>
  <c r="P922" i="6"/>
  <c r="I923" i="6"/>
  <c r="J923" i="6"/>
  <c r="K923" i="6"/>
  <c r="L923" i="6"/>
  <c r="M923" i="6"/>
  <c r="N923" i="6"/>
  <c r="O923" i="6"/>
  <c r="P923" i="6"/>
  <c r="I924" i="6"/>
  <c r="J924" i="6"/>
  <c r="K924" i="6"/>
  <c r="L924" i="6"/>
  <c r="M924" i="6"/>
  <c r="N924" i="6"/>
  <c r="O924" i="6"/>
  <c r="P924" i="6"/>
  <c r="I925" i="6"/>
  <c r="J925" i="6"/>
  <c r="K925" i="6"/>
  <c r="L925" i="6"/>
  <c r="M925" i="6"/>
  <c r="N925" i="6"/>
  <c r="O925" i="6"/>
  <c r="P925" i="6"/>
  <c r="I926" i="6"/>
  <c r="J926" i="6"/>
  <c r="K926" i="6"/>
  <c r="L926" i="6"/>
  <c r="M926" i="6"/>
  <c r="N926" i="6"/>
  <c r="O926" i="6"/>
  <c r="P926" i="6"/>
  <c r="I927" i="6"/>
  <c r="J927" i="6"/>
  <c r="K927" i="6"/>
  <c r="L927" i="6"/>
  <c r="M927" i="6"/>
  <c r="N927" i="6"/>
  <c r="O927" i="6"/>
  <c r="P927" i="6"/>
  <c r="I928" i="6"/>
  <c r="J928" i="6"/>
  <c r="K928" i="6"/>
  <c r="L928" i="6"/>
  <c r="M928" i="6"/>
  <c r="N928" i="6"/>
  <c r="O928" i="6"/>
  <c r="P928" i="6"/>
  <c r="I929" i="6"/>
  <c r="J929" i="6"/>
  <c r="K929" i="6"/>
  <c r="L929" i="6"/>
  <c r="M929" i="6"/>
  <c r="N929" i="6"/>
  <c r="O929" i="6"/>
  <c r="P929" i="6"/>
  <c r="I930" i="6"/>
  <c r="J930" i="6"/>
  <c r="K930" i="6"/>
  <c r="L930" i="6"/>
  <c r="M930" i="6"/>
  <c r="N930" i="6"/>
  <c r="O930" i="6"/>
  <c r="P930" i="6"/>
  <c r="I931" i="6"/>
  <c r="J931" i="6"/>
  <c r="K931" i="6"/>
  <c r="L931" i="6"/>
  <c r="M931" i="6"/>
  <c r="N931" i="6"/>
  <c r="O931" i="6"/>
  <c r="P931" i="6"/>
  <c r="I932" i="6"/>
  <c r="J932" i="6"/>
  <c r="K932" i="6"/>
  <c r="L932" i="6"/>
  <c r="M932" i="6"/>
  <c r="N932" i="6"/>
  <c r="O932" i="6"/>
  <c r="P932" i="6"/>
  <c r="I933" i="6"/>
  <c r="J933" i="6"/>
  <c r="K933" i="6"/>
  <c r="L933" i="6"/>
  <c r="M933" i="6"/>
  <c r="N933" i="6"/>
  <c r="O933" i="6"/>
  <c r="P933" i="6"/>
  <c r="I934" i="6"/>
  <c r="J934" i="6"/>
  <c r="K934" i="6"/>
  <c r="L934" i="6"/>
  <c r="M934" i="6"/>
  <c r="N934" i="6"/>
  <c r="O934" i="6"/>
  <c r="P934" i="6"/>
  <c r="I935" i="6"/>
  <c r="J935" i="6"/>
  <c r="K935" i="6"/>
  <c r="L935" i="6"/>
  <c r="M935" i="6"/>
  <c r="N935" i="6"/>
  <c r="O935" i="6"/>
  <c r="P935" i="6"/>
  <c r="I936" i="6"/>
  <c r="J936" i="6"/>
  <c r="K936" i="6"/>
  <c r="L936" i="6"/>
  <c r="M936" i="6"/>
  <c r="N936" i="6"/>
  <c r="O936" i="6"/>
  <c r="P936" i="6"/>
  <c r="I937" i="6"/>
  <c r="J937" i="6"/>
  <c r="K937" i="6"/>
  <c r="L937" i="6"/>
  <c r="M937" i="6"/>
  <c r="N937" i="6"/>
  <c r="O937" i="6"/>
  <c r="P937" i="6"/>
  <c r="I938" i="6"/>
  <c r="J938" i="6"/>
  <c r="K938" i="6"/>
  <c r="L938" i="6"/>
  <c r="M938" i="6"/>
  <c r="N938" i="6"/>
  <c r="O938" i="6"/>
  <c r="P938" i="6"/>
  <c r="I939" i="6"/>
  <c r="J939" i="6"/>
  <c r="K939" i="6"/>
  <c r="L939" i="6"/>
  <c r="M939" i="6"/>
  <c r="N939" i="6"/>
  <c r="O939" i="6"/>
  <c r="P939" i="6"/>
  <c r="I940" i="6"/>
  <c r="J940" i="6"/>
  <c r="K940" i="6"/>
  <c r="L940" i="6"/>
  <c r="M940" i="6"/>
  <c r="N940" i="6"/>
  <c r="O940" i="6"/>
  <c r="P940" i="6"/>
  <c r="I941" i="6"/>
  <c r="J941" i="6"/>
  <c r="K941" i="6"/>
  <c r="L941" i="6"/>
  <c r="M941" i="6"/>
  <c r="N941" i="6"/>
  <c r="O941" i="6"/>
  <c r="P941" i="6"/>
  <c r="I942" i="6"/>
  <c r="J942" i="6"/>
  <c r="K942" i="6"/>
  <c r="L942" i="6"/>
  <c r="M942" i="6"/>
  <c r="N942" i="6"/>
  <c r="O942" i="6"/>
  <c r="P942" i="6"/>
  <c r="I943" i="6"/>
  <c r="J943" i="6"/>
  <c r="K943" i="6"/>
  <c r="L943" i="6"/>
  <c r="M943" i="6"/>
  <c r="N943" i="6"/>
  <c r="O943" i="6"/>
  <c r="P943" i="6"/>
  <c r="I944" i="6"/>
  <c r="J944" i="6"/>
  <c r="K944" i="6"/>
  <c r="L944" i="6"/>
  <c r="M944" i="6"/>
  <c r="N944" i="6"/>
  <c r="O944" i="6"/>
  <c r="P944" i="6"/>
  <c r="I945" i="6"/>
  <c r="J945" i="6"/>
  <c r="K945" i="6"/>
  <c r="L945" i="6"/>
  <c r="M945" i="6"/>
  <c r="N945" i="6"/>
  <c r="O945" i="6"/>
  <c r="P945" i="6"/>
  <c r="I946" i="6"/>
  <c r="J946" i="6"/>
  <c r="K946" i="6"/>
  <c r="L946" i="6"/>
  <c r="M946" i="6"/>
  <c r="N946" i="6"/>
  <c r="O946" i="6"/>
  <c r="P946" i="6"/>
  <c r="I947" i="6"/>
  <c r="J947" i="6"/>
  <c r="K947" i="6"/>
  <c r="L947" i="6"/>
  <c r="M947" i="6"/>
  <c r="N947" i="6"/>
  <c r="O947" i="6"/>
  <c r="P947" i="6"/>
  <c r="I948" i="6"/>
  <c r="J948" i="6"/>
  <c r="K948" i="6"/>
  <c r="L948" i="6"/>
  <c r="M948" i="6"/>
  <c r="N948" i="6"/>
  <c r="O948" i="6"/>
  <c r="P948" i="6"/>
  <c r="I949" i="6"/>
  <c r="J949" i="6"/>
  <c r="K949" i="6"/>
  <c r="L949" i="6"/>
  <c r="M949" i="6"/>
  <c r="N949" i="6"/>
  <c r="O949" i="6"/>
  <c r="P949" i="6"/>
  <c r="I950" i="6"/>
  <c r="J950" i="6"/>
  <c r="K950" i="6"/>
  <c r="L950" i="6"/>
  <c r="M950" i="6"/>
  <c r="N950" i="6"/>
  <c r="O950" i="6"/>
  <c r="P950" i="6"/>
  <c r="I951" i="6"/>
  <c r="J951" i="6"/>
  <c r="K951" i="6"/>
  <c r="L951" i="6"/>
  <c r="M951" i="6"/>
  <c r="N951" i="6"/>
  <c r="O951" i="6"/>
  <c r="P951" i="6"/>
  <c r="I952" i="6"/>
  <c r="J952" i="6"/>
  <c r="K952" i="6"/>
  <c r="L952" i="6"/>
  <c r="M952" i="6"/>
  <c r="N952" i="6"/>
  <c r="O952" i="6"/>
  <c r="P952" i="6"/>
  <c r="I953" i="6"/>
  <c r="J953" i="6"/>
  <c r="K953" i="6"/>
  <c r="L953" i="6"/>
  <c r="M953" i="6"/>
  <c r="N953" i="6"/>
  <c r="O953" i="6"/>
  <c r="P953" i="6"/>
  <c r="I954" i="6"/>
  <c r="J954" i="6"/>
  <c r="K954" i="6"/>
  <c r="L954" i="6"/>
  <c r="M954" i="6"/>
  <c r="N954" i="6"/>
  <c r="O954" i="6"/>
  <c r="P954" i="6"/>
  <c r="I955" i="6"/>
  <c r="J955" i="6"/>
  <c r="K955" i="6"/>
  <c r="L955" i="6"/>
  <c r="M955" i="6"/>
  <c r="N955" i="6"/>
  <c r="O955" i="6"/>
  <c r="P955" i="6"/>
  <c r="I956" i="6"/>
  <c r="J956" i="6"/>
  <c r="K956" i="6"/>
  <c r="L956" i="6"/>
  <c r="M956" i="6"/>
  <c r="N956" i="6"/>
  <c r="O956" i="6"/>
  <c r="P956" i="6"/>
  <c r="I957" i="6"/>
  <c r="J957" i="6"/>
  <c r="K957" i="6"/>
  <c r="L957" i="6"/>
  <c r="M957" i="6"/>
  <c r="N957" i="6"/>
  <c r="O957" i="6"/>
  <c r="P957" i="6"/>
  <c r="I958" i="6"/>
  <c r="J958" i="6"/>
  <c r="K958" i="6"/>
  <c r="L958" i="6"/>
  <c r="M958" i="6"/>
  <c r="N958" i="6"/>
  <c r="O958" i="6"/>
  <c r="P958" i="6"/>
  <c r="I959" i="6"/>
  <c r="J959" i="6"/>
  <c r="K959" i="6"/>
  <c r="L959" i="6"/>
  <c r="M959" i="6"/>
  <c r="N959" i="6"/>
  <c r="O959" i="6"/>
  <c r="P959" i="6"/>
  <c r="I960" i="6"/>
  <c r="J960" i="6"/>
  <c r="K960" i="6"/>
  <c r="L960" i="6"/>
  <c r="M960" i="6"/>
  <c r="N960" i="6"/>
  <c r="O960" i="6"/>
  <c r="P960" i="6"/>
  <c r="I961" i="6"/>
  <c r="J961" i="6"/>
  <c r="K961" i="6"/>
  <c r="L961" i="6"/>
  <c r="M961" i="6"/>
  <c r="N961" i="6"/>
  <c r="O961" i="6"/>
  <c r="P961" i="6"/>
  <c r="I962" i="6"/>
  <c r="J962" i="6"/>
  <c r="K962" i="6"/>
  <c r="L962" i="6"/>
  <c r="M962" i="6"/>
  <c r="N962" i="6"/>
  <c r="O962" i="6"/>
  <c r="P962" i="6"/>
  <c r="I963" i="6"/>
  <c r="J963" i="6"/>
  <c r="K963" i="6"/>
  <c r="L963" i="6"/>
  <c r="M963" i="6"/>
  <c r="N963" i="6"/>
  <c r="O963" i="6"/>
  <c r="P963" i="6"/>
  <c r="I964" i="6"/>
  <c r="J964" i="6"/>
  <c r="K964" i="6"/>
  <c r="L964" i="6"/>
  <c r="M964" i="6"/>
  <c r="N964" i="6"/>
  <c r="O964" i="6"/>
  <c r="P964" i="6"/>
  <c r="I965" i="6"/>
  <c r="J965" i="6"/>
  <c r="K965" i="6"/>
  <c r="L965" i="6"/>
  <c r="M965" i="6"/>
  <c r="N965" i="6"/>
  <c r="O965" i="6"/>
  <c r="P965" i="6"/>
  <c r="I966" i="6"/>
  <c r="J966" i="6"/>
  <c r="K966" i="6"/>
  <c r="L966" i="6"/>
  <c r="M966" i="6"/>
  <c r="N966" i="6"/>
  <c r="O966" i="6"/>
  <c r="P966" i="6"/>
  <c r="I967" i="6"/>
  <c r="J967" i="6"/>
  <c r="K967" i="6"/>
  <c r="L967" i="6"/>
  <c r="M967" i="6"/>
  <c r="N967" i="6"/>
  <c r="O967" i="6"/>
  <c r="P967" i="6"/>
  <c r="I968" i="6"/>
  <c r="J968" i="6"/>
  <c r="K968" i="6"/>
  <c r="L968" i="6"/>
  <c r="M968" i="6"/>
  <c r="N968" i="6"/>
  <c r="O968" i="6"/>
  <c r="P968" i="6"/>
  <c r="I969" i="6"/>
  <c r="J969" i="6"/>
  <c r="K969" i="6"/>
  <c r="L969" i="6"/>
  <c r="M969" i="6"/>
  <c r="N969" i="6"/>
  <c r="O969" i="6"/>
  <c r="P969" i="6"/>
  <c r="I970" i="6"/>
  <c r="J970" i="6"/>
  <c r="K970" i="6"/>
  <c r="L970" i="6"/>
  <c r="M970" i="6"/>
  <c r="N970" i="6"/>
  <c r="O970" i="6"/>
  <c r="P970" i="6"/>
  <c r="I971" i="6"/>
  <c r="J971" i="6"/>
  <c r="K971" i="6"/>
  <c r="L971" i="6"/>
  <c r="M971" i="6"/>
  <c r="N971" i="6"/>
  <c r="O971" i="6"/>
  <c r="P971" i="6"/>
  <c r="I972" i="6"/>
  <c r="J972" i="6"/>
  <c r="K972" i="6"/>
  <c r="L972" i="6"/>
  <c r="M972" i="6"/>
  <c r="N972" i="6"/>
  <c r="O972" i="6"/>
  <c r="P972" i="6"/>
  <c r="I973" i="6"/>
  <c r="J973" i="6"/>
  <c r="K973" i="6"/>
  <c r="L973" i="6"/>
  <c r="M973" i="6"/>
  <c r="N973" i="6"/>
  <c r="O973" i="6"/>
  <c r="P973" i="6"/>
  <c r="I974" i="6"/>
  <c r="J974" i="6"/>
  <c r="K974" i="6"/>
  <c r="L974" i="6"/>
  <c r="M974" i="6"/>
  <c r="N974" i="6"/>
  <c r="O974" i="6"/>
  <c r="P974" i="6"/>
  <c r="I975" i="6"/>
  <c r="J975" i="6"/>
  <c r="K975" i="6"/>
  <c r="L975" i="6"/>
  <c r="M975" i="6"/>
  <c r="N975" i="6"/>
  <c r="O975" i="6"/>
  <c r="P975" i="6"/>
  <c r="I976" i="6"/>
  <c r="J976" i="6"/>
  <c r="K976" i="6"/>
  <c r="L976" i="6"/>
  <c r="M976" i="6"/>
  <c r="N976" i="6"/>
  <c r="O976" i="6"/>
  <c r="P976" i="6"/>
  <c r="I977" i="6"/>
  <c r="J977" i="6"/>
  <c r="K977" i="6"/>
  <c r="L977" i="6"/>
  <c r="M977" i="6"/>
  <c r="N977" i="6"/>
  <c r="O977" i="6"/>
  <c r="P977" i="6"/>
  <c r="I978" i="6"/>
  <c r="J978" i="6"/>
  <c r="K978" i="6"/>
  <c r="L978" i="6"/>
  <c r="M978" i="6"/>
  <c r="N978" i="6"/>
  <c r="O978" i="6"/>
  <c r="P978" i="6"/>
  <c r="I979" i="6"/>
  <c r="J979" i="6"/>
  <c r="K979" i="6"/>
  <c r="L979" i="6"/>
  <c r="M979" i="6"/>
  <c r="N979" i="6"/>
  <c r="O979" i="6"/>
  <c r="P979" i="6"/>
  <c r="I980" i="6"/>
  <c r="J980" i="6"/>
  <c r="K980" i="6"/>
  <c r="L980" i="6"/>
  <c r="M980" i="6"/>
  <c r="N980" i="6"/>
  <c r="O980" i="6"/>
  <c r="P980" i="6"/>
  <c r="I981" i="6"/>
  <c r="J981" i="6"/>
  <c r="K981" i="6"/>
  <c r="L981" i="6"/>
  <c r="M981" i="6"/>
  <c r="N981" i="6"/>
  <c r="O981" i="6"/>
  <c r="P981" i="6"/>
  <c r="I982" i="6"/>
  <c r="J982" i="6"/>
  <c r="K982" i="6"/>
  <c r="L982" i="6"/>
  <c r="M982" i="6"/>
  <c r="N982" i="6"/>
  <c r="O982" i="6"/>
  <c r="P982" i="6"/>
  <c r="I983" i="6"/>
  <c r="J983" i="6"/>
  <c r="K983" i="6"/>
  <c r="L983" i="6"/>
  <c r="M983" i="6"/>
  <c r="N983" i="6"/>
  <c r="O983" i="6"/>
  <c r="P983" i="6"/>
  <c r="I984" i="6"/>
  <c r="J984" i="6"/>
  <c r="K984" i="6"/>
  <c r="L984" i="6"/>
  <c r="M984" i="6"/>
  <c r="N984" i="6"/>
  <c r="O984" i="6"/>
  <c r="P984" i="6"/>
  <c r="I985" i="6"/>
  <c r="J985" i="6"/>
  <c r="K985" i="6"/>
  <c r="L985" i="6"/>
  <c r="M985" i="6"/>
  <c r="N985" i="6"/>
  <c r="O985" i="6"/>
  <c r="P985" i="6"/>
  <c r="I986" i="6"/>
  <c r="J986" i="6"/>
  <c r="K986" i="6"/>
  <c r="L986" i="6"/>
  <c r="M986" i="6"/>
  <c r="N986" i="6"/>
  <c r="O986" i="6"/>
  <c r="P986" i="6"/>
  <c r="I987" i="6"/>
  <c r="J987" i="6"/>
  <c r="K987" i="6"/>
  <c r="L987" i="6"/>
  <c r="M987" i="6"/>
  <c r="N987" i="6"/>
  <c r="O987" i="6"/>
  <c r="P987" i="6"/>
  <c r="I988" i="6"/>
  <c r="J988" i="6"/>
  <c r="K988" i="6"/>
  <c r="L988" i="6"/>
  <c r="M988" i="6"/>
  <c r="N988" i="6"/>
  <c r="O988" i="6"/>
  <c r="P988" i="6"/>
  <c r="I989" i="6"/>
  <c r="J989" i="6"/>
  <c r="K989" i="6"/>
  <c r="L989" i="6"/>
  <c r="M989" i="6"/>
  <c r="N989" i="6"/>
  <c r="O989" i="6"/>
  <c r="P989" i="6"/>
  <c r="I990" i="6"/>
  <c r="J990" i="6"/>
  <c r="K990" i="6"/>
  <c r="L990" i="6"/>
  <c r="M990" i="6"/>
  <c r="N990" i="6"/>
  <c r="O990" i="6"/>
  <c r="P990" i="6"/>
  <c r="I991" i="6"/>
  <c r="J991" i="6"/>
  <c r="K991" i="6"/>
  <c r="L991" i="6"/>
  <c r="M991" i="6"/>
  <c r="N991" i="6"/>
  <c r="O991" i="6"/>
  <c r="P991" i="6"/>
  <c r="I992" i="6"/>
  <c r="J992" i="6"/>
  <c r="K992" i="6"/>
  <c r="L992" i="6"/>
  <c r="M992" i="6"/>
  <c r="N992" i="6"/>
  <c r="O992" i="6"/>
  <c r="P992" i="6"/>
  <c r="I993" i="6"/>
  <c r="J993" i="6"/>
  <c r="K993" i="6"/>
  <c r="L993" i="6"/>
  <c r="M993" i="6"/>
  <c r="N993" i="6"/>
  <c r="O993" i="6"/>
  <c r="P993" i="6"/>
  <c r="I994" i="6"/>
  <c r="J994" i="6"/>
  <c r="K994" i="6"/>
  <c r="L994" i="6"/>
  <c r="M994" i="6"/>
  <c r="N994" i="6"/>
  <c r="O994" i="6"/>
  <c r="P994" i="6"/>
  <c r="I995" i="6"/>
  <c r="J995" i="6"/>
  <c r="K995" i="6"/>
  <c r="L995" i="6"/>
  <c r="M995" i="6"/>
  <c r="N995" i="6"/>
  <c r="O995" i="6"/>
  <c r="P995" i="6"/>
  <c r="I996" i="6"/>
  <c r="J996" i="6"/>
  <c r="K996" i="6"/>
  <c r="L996" i="6"/>
  <c r="M996" i="6"/>
  <c r="N996" i="6"/>
  <c r="O996" i="6"/>
  <c r="P996" i="6"/>
  <c r="I997" i="6"/>
  <c r="J997" i="6"/>
  <c r="K997" i="6"/>
  <c r="L997" i="6"/>
  <c r="M997" i="6"/>
  <c r="N997" i="6"/>
  <c r="O997" i="6"/>
  <c r="P997" i="6"/>
  <c r="I998" i="6"/>
  <c r="J998" i="6"/>
  <c r="K998" i="6"/>
  <c r="L998" i="6"/>
  <c r="M998" i="6"/>
  <c r="N998" i="6"/>
  <c r="O998" i="6"/>
  <c r="P998" i="6"/>
  <c r="I999" i="6"/>
  <c r="J999" i="6"/>
  <c r="K999" i="6"/>
  <c r="L999" i="6"/>
  <c r="M999" i="6"/>
  <c r="N999" i="6"/>
  <c r="O999" i="6"/>
  <c r="P999" i="6"/>
  <c r="I1000" i="6"/>
  <c r="J1000" i="6"/>
  <c r="K1000" i="6"/>
  <c r="L1000" i="6"/>
  <c r="M1000" i="6"/>
  <c r="N1000" i="6"/>
  <c r="O1000" i="6"/>
  <c r="P1000" i="6"/>
  <c r="I1001" i="6"/>
  <c r="J1001" i="6"/>
  <c r="K1001" i="6"/>
  <c r="L1001" i="6"/>
  <c r="M1001" i="6"/>
  <c r="N1001" i="6"/>
  <c r="O1001" i="6"/>
  <c r="P1001" i="6"/>
  <c r="I1002" i="6"/>
  <c r="J1002" i="6"/>
  <c r="K1002" i="6"/>
  <c r="L1002" i="6"/>
  <c r="M1002" i="6"/>
  <c r="N1002" i="6"/>
  <c r="O1002" i="6"/>
  <c r="P1002" i="6"/>
  <c r="I1003" i="6"/>
  <c r="J1003" i="6"/>
  <c r="K1003" i="6"/>
  <c r="L1003" i="6"/>
  <c r="M1003" i="6"/>
  <c r="N1003" i="6"/>
  <c r="O1003" i="6"/>
  <c r="P1003" i="6"/>
  <c r="I1004" i="6"/>
  <c r="J1004" i="6"/>
  <c r="K1004" i="6"/>
  <c r="L1004" i="6"/>
  <c r="M1004" i="6"/>
  <c r="N1004" i="6"/>
  <c r="O1004" i="6"/>
  <c r="P1004" i="6"/>
  <c r="I1005" i="6"/>
  <c r="J1005" i="6"/>
  <c r="K1005" i="6"/>
  <c r="L1005" i="6"/>
  <c r="M1005" i="6"/>
  <c r="N1005" i="6"/>
  <c r="O1005" i="6"/>
  <c r="P1005" i="6"/>
  <c r="I1006" i="6"/>
  <c r="J1006" i="6"/>
  <c r="K1006" i="6"/>
  <c r="L1006" i="6"/>
  <c r="M1006" i="6"/>
  <c r="N1006" i="6"/>
  <c r="O1006" i="6"/>
  <c r="P1006" i="6"/>
  <c r="P7" i="6"/>
  <c r="O7" i="6"/>
  <c r="N7" i="6"/>
  <c r="M7" i="6"/>
  <c r="L7" i="6"/>
  <c r="K7" i="6"/>
  <c r="J7" i="6"/>
  <c r="I7" i="6"/>
  <c r="I2001" i="1"/>
  <c r="I2000" i="3"/>
  <c r="D13" i="5"/>
  <c r="C13" i="5"/>
  <c r="B13" i="5"/>
  <c r="A13" i="5"/>
  <c r="G2002" i="4"/>
  <c r="F2002" i="4"/>
  <c r="E2002" i="4"/>
  <c r="D2002" i="4"/>
  <c r="C2002" i="4"/>
  <c r="G2002" i="3"/>
  <c r="F2002" i="3"/>
  <c r="E2002" i="3"/>
  <c r="D2002" i="3"/>
  <c r="C2002" i="3"/>
  <c r="C2002" i="2"/>
  <c r="G2002" i="1"/>
  <c r="F2002" i="1"/>
  <c r="E2002" i="1"/>
  <c r="D2002" i="1"/>
  <c r="C2002" i="1"/>
  <c r="G2002" i="2"/>
  <c r="F2002" i="2"/>
  <c r="E2002" i="2"/>
  <c r="D2002" i="2"/>
  <c r="J2002" i="1" l="1"/>
  <c r="I2003" i="1" s="1"/>
  <c r="J2002" i="3"/>
  <c r="I2003" i="3" s="1"/>
  <c r="J2002" i="2"/>
  <c r="I2003" i="2" s="1"/>
  <c r="J2002" i="4"/>
  <c r="I2003" i="4" s="1"/>
</calcChain>
</file>

<file path=xl/sharedStrings.xml><?xml version="1.0" encoding="utf-8"?>
<sst xmlns="http://schemas.openxmlformats.org/spreadsheetml/2006/main" count="8097" uniqueCount="48">
  <si>
    <t>TestControllerAgent_Origin(Clone)</t>
  </si>
  <si>
    <t>TestTotalAgent_Origin(Clone)</t>
  </si>
  <si>
    <t>TestTotalAgent_MissReward(Clone)</t>
  </si>
  <si>
    <t>TestControllerAgent_MissReward(Clone)</t>
  </si>
  <si>
    <t>열1</t>
  </si>
  <si>
    <t>총 공격 횟수</t>
    <phoneticPr fontId="1" type="noConversion"/>
  </si>
  <si>
    <t>명중률</t>
    <phoneticPr fontId="1" type="noConversion"/>
  </si>
  <si>
    <t>명중률</t>
    <phoneticPr fontId="1" type="noConversion"/>
  </si>
  <si>
    <t>승률</t>
    <phoneticPr fontId="1" type="noConversion"/>
  </si>
  <si>
    <t>CA_Origin</t>
  </si>
  <si>
    <t>TT_Origin</t>
    <phoneticPr fontId="1" type="noConversion"/>
  </si>
  <si>
    <t>TT_MissReward</t>
    <phoneticPr fontId="1" type="noConversion"/>
  </si>
  <si>
    <t>CA_MissReward</t>
  </si>
  <si>
    <r>
      <t xml:space="preserve">CA_Origin </t>
    </r>
    <r>
      <rPr>
        <b/>
        <sz val="11"/>
        <color theme="1"/>
        <rFont val="맑은 고딕"/>
        <family val="3"/>
        <charset val="129"/>
        <scheme val="minor"/>
      </rPr>
      <t>VS</t>
    </r>
    <phoneticPr fontId="1" type="noConversion"/>
  </si>
  <si>
    <r>
      <t xml:space="preserve">CA_MissReward </t>
    </r>
    <r>
      <rPr>
        <b/>
        <sz val="11"/>
        <color theme="1"/>
        <rFont val="맑은 고딕"/>
        <family val="3"/>
        <charset val="129"/>
        <scheme val="minor"/>
      </rPr>
      <t>VS</t>
    </r>
    <phoneticPr fontId="1" type="noConversion"/>
  </si>
  <si>
    <t>전체 게임</t>
    <phoneticPr fontId="1" type="noConversion"/>
  </si>
  <si>
    <t>승리 게임</t>
    <phoneticPr fontId="1" type="noConversion"/>
  </si>
  <si>
    <t>패배 게임</t>
    <phoneticPr fontId="1" type="noConversion"/>
  </si>
  <si>
    <r>
      <t xml:space="preserve">TT_Origin </t>
    </r>
    <r>
      <rPr>
        <b/>
        <sz val="11"/>
        <color theme="1"/>
        <rFont val="맑은 고딕"/>
        <family val="3"/>
        <charset val="129"/>
        <scheme val="minor"/>
      </rPr>
      <t>VS</t>
    </r>
    <phoneticPr fontId="1" type="noConversion"/>
  </si>
  <si>
    <r>
      <t xml:space="preserve">TT_MissReward </t>
    </r>
    <r>
      <rPr>
        <b/>
        <sz val="11"/>
        <color theme="1"/>
        <rFont val="맑은 고딕"/>
        <family val="3"/>
        <charset val="129"/>
        <scheme val="minor"/>
      </rPr>
      <t>VS</t>
    </r>
    <phoneticPr fontId="1" type="noConversion"/>
  </si>
  <si>
    <t>명중률 평균</t>
  </si>
  <si>
    <t>명중률 평균</t>
    <phoneticPr fontId="1" type="noConversion"/>
  </si>
  <si>
    <t>공격성공횟수</t>
  </si>
  <si>
    <t>공격성공횟수</t>
    <phoneticPr fontId="1" type="noConversion"/>
  </si>
  <si>
    <t>피격횟수</t>
  </si>
  <si>
    <t>피격횟수</t>
    <phoneticPr fontId="1" type="noConversion"/>
  </si>
  <si>
    <t>승리</t>
  </si>
  <si>
    <t>승리</t>
    <phoneticPr fontId="1" type="noConversion"/>
  </si>
  <si>
    <t>패배</t>
  </si>
  <si>
    <t>패배</t>
    <phoneticPr fontId="1" type="noConversion"/>
  </si>
  <si>
    <t>에이전트</t>
  </si>
  <si>
    <t>에이전트</t>
    <phoneticPr fontId="1" type="noConversion"/>
  </si>
  <si>
    <t>Controller Agent Original</t>
    <phoneticPr fontId="1" type="noConversion"/>
  </si>
  <si>
    <t>Controller Agent MissReward</t>
    <phoneticPr fontId="1" type="noConversion"/>
  </si>
  <si>
    <t>Total Agent Original</t>
    <phoneticPr fontId="1" type="noConversion"/>
  </si>
  <si>
    <t>Total Agent MissReward</t>
    <phoneticPr fontId="1" type="noConversion"/>
  </si>
  <si>
    <t>보조 열</t>
    <phoneticPr fontId="1" type="noConversion"/>
  </si>
  <si>
    <t>기존 에이전트와 명중 패널티를 추가한 에이전트가 같은 적을 상대로 명중률이 얼마나 변화하는지 확인</t>
    <phoneticPr fontId="1" type="noConversion"/>
  </si>
  <si>
    <r>
      <rPr>
        <sz val="11"/>
        <color theme="1"/>
        <rFont val="Cambria Math"/>
        <family val="1"/>
        <charset val="1"/>
      </rPr>
      <t>₀</t>
    </r>
    <r>
      <rPr>
        <sz val="11"/>
        <color theme="1"/>
        <rFont val="맑은 고딕"/>
        <family val="3"/>
        <charset val="129"/>
        <scheme val="minor"/>
      </rPr>
      <t xml:space="preserve"> ₁ ₂ ₃ ₄ </t>
    </r>
    <r>
      <rPr>
        <sz val="11"/>
        <color theme="1"/>
        <rFont val="Cambria Math"/>
        <family val="1"/>
        <charset val="1"/>
      </rPr>
      <t>₅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Cambria Math"/>
        <family val="1"/>
        <charset val="1"/>
      </rPr>
      <t>₆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Cambria Math"/>
        <family val="1"/>
        <charset val="1"/>
      </rPr>
      <t>₇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Cambria Math"/>
        <family val="1"/>
        <charset val="1"/>
      </rPr>
      <t>₈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Cambria Math"/>
        <family val="1"/>
        <charset val="1"/>
      </rPr>
      <t>₉</t>
    </r>
    <phoneticPr fontId="1" type="noConversion"/>
  </si>
  <si>
    <t>M₁</t>
    <phoneticPr fontId="1" type="noConversion"/>
  </si>
  <si>
    <t>M₂</t>
    <phoneticPr fontId="1" type="noConversion"/>
  </si>
  <si>
    <t>T₁</t>
    <phoneticPr fontId="1" type="noConversion"/>
  </si>
  <si>
    <t>T₂</t>
    <phoneticPr fontId="1" type="noConversion"/>
  </si>
  <si>
    <t>Against T₁</t>
    <phoneticPr fontId="1" type="noConversion"/>
  </si>
  <si>
    <t>Against T₂</t>
    <phoneticPr fontId="1" type="noConversion"/>
  </si>
  <si>
    <t>Against M₁</t>
    <phoneticPr fontId="1" type="noConversion"/>
  </si>
  <si>
    <t>Against M₂</t>
    <phoneticPr fontId="1" type="noConversion"/>
  </si>
  <si>
    <t>공격실패횟수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</si>
</sst>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4" tint="-0.249977111117893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3" tint="0.249977111117893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color theme="1"/>
      <name val="Consolas"/>
      <family val="3"/>
    </font>
    <font>
      <sz val="11"/>
      <color theme="1"/>
      <name val="Calibri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Cambria Math"/>
      <family val="1"/>
      <charset val="1"/>
    </font>
    <font>
      <sz val="11"/>
      <color theme="1"/>
      <name val="맑은 고딕"/>
      <family val="1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56082"/>
        <bgColor rgb="FF156082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5" xfId="0" applyFont="1" applyBorder="1">
      <alignment vertical="center"/>
    </xf>
    <xf numFmtId="0" fontId="9" fillId="3" borderId="6" xfId="0" applyFont="1" applyFill="1" applyBorder="1">
      <alignment vertical="center"/>
    </xf>
    <xf numFmtId="0" fontId="9" fillId="3" borderId="7" xfId="0" applyFont="1" applyFill="1" applyBorder="1">
      <alignment vertical="center"/>
    </xf>
    <xf numFmtId="0" fontId="9" fillId="3" borderId="8" xfId="0" applyFont="1" applyFill="1" applyBorder="1">
      <alignment vertical="center"/>
    </xf>
    <xf numFmtId="0" fontId="12" fillId="0" borderId="0" xfId="0" applyFont="1" applyAlignment="1">
      <alignment vertical="center" wrapText="1"/>
    </xf>
    <xf numFmtId="0" fontId="15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4" borderId="9" xfId="0" applyFont="1" applyFill="1" applyBorder="1">
      <alignment vertical="center"/>
    </xf>
    <xf numFmtId="0" fontId="0" fillId="0" borderId="9" xfId="0" applyFont="1" applyBorder="1">
      <alignment vertical="center"/>
    </xf>
  </cellXfs>
  <cellStyles count="1">
    <cellStyle name="표준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  <cx:data id="1">
      <cx:numDim type="val">
        <cx:f>_xlchart.v1.15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rPr>
              <a:t>Against T₁ </a:t>
            </a:r>
            <a:endParaRPr lang="ko-K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endParaRPr>
          </a:p>
        </cx:rich>
      </cx:tx>
    </cx:title>
    <cx:plotArea>
      <cx:plotAreaRegion>
        <cx:series layoutId="boxWhisker" uniqueId="{51FE051D-A4ED-4127-8627-06AB9EAAD377}">
          <cx:tx>
            <cx:txData>
              <cx:f>_xlchart.v1.12</cx:f>
              <cx:v>M₁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113AFC76-FE69-41C0-8FA4-1E874075021D}">
          <cx:tx>
            <cx:txData>
              <cx:f>_xlchart.v1.14</cx:f>
              <cx:v>M₂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Controller Agent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lang="ko-KR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ko-KR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rPr>
                <a:t>Controller Agent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ko-K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/>
        <cx:title>
          <cx:tx>
            <cx:txData>
              <cx:v>Attack Accuracy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lang="ko-KR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ko-KR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rPr>
                <a:t>Attack Accuracy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lang="ko-KR" sz="11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ko-KR" altLang="en-U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lang="ko-K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ko-KR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rial" panose="020B0604020202020204" pitchFamily="34" charset="0"/>
            <a:ea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rPr>
              <a:t>Against T₂ </a:t>
            </a:r>
            <a:endParaRPr lang="ko-K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endParaRPr>
          </a:p>
        </cx:rich>
      </cx:tx>
    </cx:title>
    <cx:plotArea>
      <cx:plotAreaRegion>
        <cx:series layoutId="boxWhisker" uniqueId="{F803579D-DB83-4AEA-AF91-5F391D593097}">
          <cx:tx>
            <cx:txData>
              <cx:f>_xlchart.v1.4</cx:f>
              <cx:v>M₁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3B30049-7264-4E27-8644-393C389205B0}">
          <cx:tx>
            <cx:txData>
              <cx:f>_xlchart.v1.6</cx:f>
              <cx:v>M₂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Controller Agent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lang="ko-KR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n-US" altLang="ko-KR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rPr>
                <a:t>Controller Agent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ko-K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/>
        <cx:title>
          <cx:tx>
            <cx:txData>
              <cx:v>Attack Accuracy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lang="ko-KR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ko-KR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rPr>
                <a:t>Attack Accuracy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lang="ko-KR" sz="11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ko-KR" altLang="en-U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endParaRPr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lang="ko-K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ko-KR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rial" panose="020B0604020202020204" pitchFamily="34" charset="0"/>
            <a:ea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  <cx:data id="1">
      <cx:numDim type="val">
        <cx:f>_xlchart.v1.11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rPr>
              <a:t>Against M₁</a:t>
            </a:r>
            <a:endParaRPr lang="ko-K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endParaRPr>
          </a:p>
        </cx:rich>
      </cx:tx>
    </cx:title>
    <cx:plotArea>
      <cx:plotAreaRegion>
        <cx:series layoutId="boxWhisker" uniqueId="{230D4309-B6DA-4BA0-A79E-616A2929EEFC}">
          <cx:tx>
            <cx:txData>
              <cx:f>_xlchart.v1.8</cx:f>
              <cx:v>T₁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2F72A4AB-4B8F-4D6C-94E8-F3A6CA4C6739}">
          <cx:tx>
            <cx:txData>
              <cx:f>_xlchart.v1.10</cx:f>
              <cx:v>T₂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Traditional Agent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lang="ko-KR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n-US" altLang="ko-KR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rPr>
                <a:t>Traditional Agent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ko-K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/>
        <cx:title>
          <cx:tx>
            <cx:txData>
              <cx:v>Attack Accuracy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lang="ko-KR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n-US" altLang="ko-KR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rPr>
                <a:t>Attack Accuracy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lang="ko-KR" sz="11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ko-KR" altLang="en-U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endParaRPr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lang="ko-K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ko-KR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rial" panose="020B0604020202020204" pitchFamily="34" charset="0"/>
            <a:ea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rPr>
              <a:t>Against M₂</a:t>
            </a:r>
            <a:endParaRPr lang="ko-K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endParaRPr>
          </a:p>
        </cx:rich>
      </cx:tx>
    </cx:title>
    <cx:plotArea>
      <cx:plotAreaRegion>
        <cx:series layoutId="boxWhisker" uniqueId="{C56BEAFE-C1D3-4412-9392-18F514227D30}">
          <cx:tx>
            <cx:txData>
              <cx:f>_xlchart.v1.0</cx:f>
              <cx:v>T₁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6AB6A78-920B-48C8-9C62-2A11A83D7593}">
          <cx:tx>
            <cx:txData>
              <cx:f>_xlchart.v1.2</cx:f>
              <cx:v>T₂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Traditional Agent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lang="ko-KR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n-US" altLang="ko-KR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rPr>
                <a:t>Traditional Agent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ko-K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/>
        <cx:title>
          <cx:tx>
            <cx:txData>
              <cx:v>Attack Accuracy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lang="ko-KR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n-US" altLang="ko-KR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rPr>
                <a:t>Attack Accuracy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lang="ko-KR" sz="11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ko-KR" altLang="en-U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endParaRPr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lang="ko-K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ko-KR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rial" panose="020B0604020202020204" pitchFamily="34" charset="0"/>
            <a:ea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597938</xdr:colOff>
      <xdr:row>4</xdr:row>
      <xdr:rowOff>110701</xdr:rowOff>
    </xdr:from>
    <xdr:to>
      <xdr:col>22</xdr:col>
      <xdr:colOff>119123</xdr:colOff>
      <xdr:row>20</xdr:row>
      <xdr:rowOff>124819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차트 5">
              <a:extLst>
                <a:ext uri="{FF2B5EF4-FFF2-40B4-BE49-F238E27FC236}">
                  <a16:creationId xmlns:a16="http://schemas.microsoft.com/office/drawing/2014/main" id="{E0EA22C8-85B7-4E72-84CB-6468118B6F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97458" y="1832821"/>
              <a:ext cx="2873985" cy="35497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22</xdr:col>
      <xdr:colOff>185241</xdr:colOff>
      <xdr:row>4</xdr:row>
      <xdr:rowOff>154242</xdr:rowOff>
    </xdr:from>
    <xdr:to>
      <xdr:col>26</xdr:col>
      <xdr:colOff>378188</xdr:colOff>
      <xdr:row>20</xdr:row>
      <xdr:rowOff>168360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차트 7">
              <a:extLst>
                <a:ext uri="{FF2B5EF4-FFF2-40B4-BE49-F238E27FC236}">
                  <a16:creationId xmlns:a16="http://schemas.microsoft.com/office/drawing/2014/main" id="{C6BEE6C6-B179-4E68-B139-3448CC6212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37561" y="1876362"/>
              <a:ext cx="2875187" cy="35497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17</xdr:col>
      <xdr:colOff>574064</xdr:colOff>
      <xdr:row>21</xdr:row>
      <xdr:rowOff>41050</xdr:rowOff>
    </xdr:from>
    <xdr:to>
      <xdr:col>22</xdr:col>
      <xdr:colOff>95249</xdr:colOff>
      <xdr:row>37</xdr:row>
      <xdr:rowOff>55168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차트 9">
              <a:extLst>
                <a:ext uri="{FF2B5EF4-FFF2-40B4-BE49-F238E27FC236}">
                  <a16:creationId xmlns:a16="http://schemas.microsoft.com/office/drawing/2014/main" id="{BDC25C6A-D01A-43B8-A13E-21FCE5188B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73584" y="5519830"/>
              <a:ext cx="2873985" cy="35497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22</xdr:col>
      <xdr:colOff>255260</xdr:colOff>
      <xdr:row>21</xdr:row>
      <xdr:rowOff>40850</xdr:rowOff>
    </xdr:from>
    <xdr:to>
      <xdr:col>26</xdr:col>
      <xdr:colOff>448207</xdr:colOff>
      <xdr:row>37</xdr:row>
      <xdr:rowOff>51429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차트 11">
              <a:extLst>
                <a:ext uri="{FF2B5EF4-FFF2-40B4-BE49-F238E27FC236}">
                  <a16:creationId xmlns:a16="http://schemas.microsoft.com/office/drawing/2014/main" id="{2C603C63-DB14-40B2-9746-F33A151458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007580" y="5519630"/>
              <a:ext cx="2875187" cy="35462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oneCellAnchor>
    <xdr:from>
      <xdr:col>14</xdr:col>
      <xdr:colOff>261257</xdr:colOff>
      <xdr:row>17</xdr:row>
      <xdr:rowOff>108857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12384E7-BA64-CF5E-CA9C-4E1BD67D8243}"/>
            </a:ext>
          </a:extLst>
        </xdr:cNvPr>
        <xdr:cNvSpPr txBox="1"/>
      </xdr:nvSpPr>
      <xdr:spPr>
        <a:xfrm>
          <a:off x="9710057" y="3810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6F8EE9-48B3-4DF1-8AC2-383B01E911A9}" name="표5" displayName="표5" ref="A1:H2002" totalsRowCount="1">
  <autoFilter ref="A1:H2001" xr:uid="{5D6F8EE9-48B3-4DF1-8AC2-383B01E911A9}">
    <filterColumn colId="1">
      <filters>
        <filter val="TestControllerAgent_Origin(Clone)"/>
      </filters>
    </filterColumn>
  </autoFilter>
  <tableColumns count="8">
    <tableColumn id="1" xr3:uid="{2DAF1B49-C830-4968-BED5-93FFF07D7FED}" name="열1"/>
    <tableColumn id="2" xr3:uid="{3663E47A-4355-42C7-8DA5-3DA3956BEB89}" name="에이전트"/>
    <tableColumn id="3" xr3:uid="{529E33F6-3BCB-4DF9-BC37-715C3CF52212}" name="승리" totalsRowFunction="custom">
      <totalsRowFormula xml:space="preserve"> SUBTOTAL(9, C1:C2001)</totalsRowFormula>
    </tableColumn>
    <tableColumn id="4" xr3:uid="{F4FC76E4-E0DF-49AA-B6A6-6B51F8C14DAE}" name="공격성공횟수" totalsRowFunction="custom">
      <totalsRowFormula xml:space="preserve"> SUBTOTAL(9, D1:D2001)</totalsRowFormula>
    </tableColumn>
    <tableColumn id="5" xr3:uid="{0AE6F58E-D190-4B2A-A608-5A82B3510284}" name="공격실패횟수" totalsRowFunction="custom">
      <totalsRowFormula xml:space="preserve"> SUBTOTAL(9, E1:E2001)</totalsRowFormula>
    </tableColumn>
    <tableColumn id="6" xr3:uid="{4078EBC1-BCD6-4B3B-B06F-5A4E3DAD7884}" name="피격횟수" totalsRowFunction="custom">
      <totalsRowFormula xml:space="preserve"> SUBTOTAL(9, F1:F2001)</totalsRowFormula>
    </tableColumn>
    <tableColumn id="7" xr3:uid="{2A5EE120-740F-45EA-9182-D94EC6F6681B}" name="패배" totalsRowFunction="custom">
      <totalsRowFormula xml:space="preserve"> SUBTOTAL(9, G1:G2001)</totalsRowFormula>
    </tableColumn>
    <tableColumn id="15" xr3:uid="{D3B1104D-F7B0-4207-BE8D-4F869D16C371}" name="명중률 평균" dataDxfId="3">
      <calculatedColumnFormula>표5[[#This Row],[공격성공횟수]]/(표5[[#This Row],[공격실패횟수]]+표5[[#This Row],[공격성공횟수]])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4E0C98-F225-4E8B-9D47-ADB632352973}" name="표2" displayName="표2" ref="A1:H2002" totalsRowCount="1">
  <autoFilter ref="A1:H2001" xr:uid="{AC4E0C98-F225-4E8B-9D47-ADB632352973}">
    <filterColumn colId="1">
      <filters>
        <filter val="TestControllerAgent_Origin(Clone)"/>
      </filters>
    </filterColumn>
  </autoFilter>
  <tableColumns count="8">
    <tableColumn id="1" xr3:uid="{9386AE0E-0093-465D-B2C3-BFE41BF743FA}" name="열1"/>
    <tableColumn id="2" xr3:uid="{02666DD6-B0F2-4782-9EB2-F914421D0BE0}" name="에이전트"/>
    <tableColumn id="3" xr3:uid="{85D8E6A2-7DFF-4D16-B8AA-F31E117CED0D}" name="승리" totalsRowFunction="custom">
      <totalsRowFormula xml:space="preserve"> SUBTOTAL(9,C1:C2001)</totalsRowFormula>
    </tableColumn>
    <tableColumn id="4" xr3:uid="{23E2EA15-C965-4913-9827-1FF84C6618A1}" name="공격성공횟수" totalsRowFunction="custom">
      <totalsRowFormula xml:space="preserve"> SUBTOTAL(9,D1:D2001)</totalsRowFormula>
    </tableColumn>
    <tableColumn id="5" xr3:uid="{47E10F1B-9732-4420-A5F0-F587451F8C2B}" name="공격실패횟수" totalsRowFunction="custom">
      <totalsRowFormula xml:space="preserve"> SUBTOTAL(9,E1:E2001)</totalsRowFormula>
    </tableColumn>
    <tableColumn id="6" xr3:uid="{572892E6-6978-4776-AFFB-EB5AF5143963}" name="피격횟수" totalsRowFunction="custom">
      <totalsRowFormula xml:space="preserve"> SUBTOTAL(9,F1:F2001)</totalsRowFormula>
    </tableColumn>
    <tableColumn id="7" xr3:uid="{322D288B-6D9B-4983-98D6-FA8B6BC14AD0}" name="패배" totalsRowFunction="custom">
      <totalsRowFormula xml:space="preserve"> SUBTOTAL(9,G1:G2001)</totalsRowFormula>
    </tableColumn>
    <tableColumn id="9" xr3:uid="{04239297-3F0A-4F26-9911-51E6ED3ECC85}" name="명중률 평균" dataDxfId="2">
      <calculatedColumnFormula>표2[[#This Row],[공격성공횟수]]/(표2[[#This Row],[공격실패횟수]]+표2[[#This Row],[공격성공횟수]])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ABA49B-8A7F-41CA-9444-2287114FE996}" name="표3" displayName="표3" ref="A1:H2002" totalsRowCount="1">
  <autoFilter ref="A1:H2001" xr:uid="{D0ABA49B-8A7F-41CA-9444-2287114FE996}">
    <filterColumn colId="1">
      <filters>
        <filter val="TestControllerAgent_MissReward(Clone)"/>
      </filters>
    </filterColumn>
  </autoFilter>
  <tableColumns count="8">
    <tableColumn id="1" xr3:uid="{3EEC85C4-2ECE-4865-9AD7-ED92F400084E}" name="열1"/>
    <tableColumn id="2" xr3:uid="{28526503-78F4-47E4-B413-99DD2468D41E}" name="에이전트"/>
    <tableColumn id="3" xr3:uid="{8EAFC6C6-40FE-418B-85CB-D6704888D624}" name="승리" totalsRowFunction="custom">
      <totalsRowFormula xml:space="preserve"> SUBTOTAL(9,C1:C2001)</totalsRowFormula>
    </tableColumn>
    <tableColumn id="4" xr3:uid="{DC6AD856-203D-4308-A405-8C7EE4AF6DD3}" name="공격성공횟수" totalsRowFunction="custom">
      <totalsRowFormula xml:space="preserve"> SUBTOTAL(9,D1:D2001)</totalsRowFormula>
    </tableColumn>
    <tableColumn id="5" xr3:uid="{B6699C03-872F-4D9A-9169-1FDA2FEF7C4E}" name="공격실패횟수" totalsRowFunction="custom">
      <totalsRowFormula xml:space="preserve"> SUBTOTAL(9,E1:E2001)</totalsRowFormula>
    </tableColumn>
    <tableColumn id="6" xr3:uid="{A8400FD0-67BC-4670-BA1B-6AFFD0E9381F}" name="피격횟수" totalsRowFunction="custom">
      <totalsRowFormula xml:space="preserve"> SUBTOTAL(9,F1:F2001)</totalsRowFormula>
    </tableColumn>
    <tableColumn id="7" xr3:uid="{F3779587-A015-47B2-AC0B-6E1521AB990C}" name="패배" totalsRowFunction="custom">
      <totalsRowFormula xml:space="preserve"> SUBTOTAL(9,G1:G2001)</totalsRowFormula>
    </tableColumn>
    <tableColumn id="8" xr3:uid="{BE5606C2-37D9-47E6-9CA5-127B16B1DCA5}" name="명중률 평균" dataDxfId="1">
      <calculatedColumnFormula>표3[[#This Row],[공격성공횟수]]/(표3[[#This Row],[공격실패횟수]]+표3[[#This Row],[공격성공횟수]])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30B6D51-F80A-43C1-BFE2-9437C40B24B5}" name="표4" displayName="표4" ref="A1:H2002" totalsRowCount="1">
  <autoFilter ref="A1:H2001" xr:uid="{530B6D51-F80A-43C1-BFE2-9437C40B24B5}">
    <filterColumn colId="1">
      <filters>
        <filter val="TestControllerAgent_MissReward(Clone)"/>
      </filters>
    </filterColumn>
  </autoFilter>
  <tableColumns count="8">
    <tableColumn id="1" xr3:uid="{D767592B-1145-4D3E-8D05-963BCFEAC91C}" name="열1"/>
    <tableColumn id="2" xr3:uid="{D45222E6-B6FA-4B9A-9542-9D7C392C57BD}" name="에이전트"/>
    <tableColumn id="3" xr3:uid="{0821F19A-293F-48B6-9A29-8DBF13D9B59E}" name="승리" totalsRowFunction="custom">
      <totalsRowFormula xml:space="preserve"> SUBTOTAL(9,C1:C2001)</totalsRowFormula>
    </tableColumn>
    <tableColumn id="4" xr3:uid="{449A89E2-6874-4B86-897E-A4E2285E3B23}" name="공격성공횟수" totalsRowFunction="custom">
      <totalsRowFormula xml:space="preserve"> SUBTOTAL(9,D1:D2001)</totalsRowFormula>
    </tableColumn>
    <tableColumn id="5" xr3:uid="{3D631B27-52E4-4F2C-A5FD-023EFFE42123}" name="공격실패횟수" totalsRowFunction="custom">
      <totalsRowFormula xml:space="preserve"> SUBTOTAL(9,E1:E2001)</totalsRowFormula>
    </tableColumn>
    <tableColumn id="6" xr3:uid="{5BB14690-CFB8-4EE3-9749-E40EBC9A701D}" name="피격횟수" totalsRowFunction="custom">
      <totalsRowFormula xml:space="preserve"> SUBTOTAL(9,F1:F2001)</totalsRowFormula>
    </tableColumn>
    <tableColumn id="7" xr3:uid="{3970F5CC-8EE4-4C45-8C16-1CBB10D8014D}" name="패배" totalsRowFunction="custom">
      <totalsRowFormula xml:space="preserve"> SUBTOTAL(9,G1:G2001)</totalsRowFormula>
    </tableColumn>
    <tableColumn id="8" xr3:uid="{49E24B1B-D910-49C5-9079-0A25674D73C8}" name="명중률 평균" dataDxfId="0">
      <calculatedColumnFormula>표4[[#This Row],[공격성공횟수]]/(표4[[#This Row],[공격실패횟수]]+표4[[#This Row],[공격성공횟수]])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C9E9D-7895-44DD-8CDF-681EC37F12E3}">
  <dimension ref="A1:L2003"/>
  <sheetViews>
    <sheetView topLeftCell="A1930" zoomScale="70" zoomScaleNormal="70" workbookViewId="0">
      <selection activeCell="H2" sqref="H2:H2000"/>
    </sheetView>
  </sheetViews>
  <sheetFormatPr defaultRowHeight="17.399999999999999" x14ac:dyDescent="0.4"/>
  <cols>
    <col min="3" max="3" width="9.3984375" bestFit="1" customWidth="1"/>
    <col min="8" max="8" width="12.59765625" customWidth="1"/>
  </cols>
  <sheetData>
    <row r="1" spans="1:8" x14ac:dyDescent="0.4">
      <c r="A1" t="s">
        <v>4</v>
      </c>
      <c r="B1" t="s">
        <v>31</v>
      </c>
      <c r="C1" t="s">
        <v>27</v>
      </c>
      <c r="D1" t="s">
        <v>23</v>
      </c>
      <c r="E1" t="s">
        <v>47</v>
      </c>
      <c r="F1" t="s">
        <v>25</v>
      </c>
      <c r="G1" t="s">
        <v>29</v>
      </c>
      <c r="H1" t="s">
        <v>21</v>
      </c>
    </row>
    <row r="2" spans="1:8" x14ac:dyDescent="0.4">
      <c r="A2">
        <v>1</v>
      </c>
      <c r="B2" t="s">
        <v>0</v>
      </c>
      <c r="C2">
        <v>1</v>
      </c>
      <c r="D2">
        <v>4</v>
      </c>
      <c r="E2">
        <v>12</v>
      </c>
      <c r="F2">
        <v>2</v>
      </c>
      <c r="G2">
        <v>0</v>
      </c>
      <c r="H2">
        <f>표5[[#This Row],[공격성공횟수]]/(표5[[#This Row],[공격실패횟수]]+표5[[#This Row],[공격성공횟수]])</f>
        <v>0.25</v>
      </c>
    </row>
    <row r="3" spans="1:8" hidden="1" x14ac:dyDescent="0.4">
      <c r="A3">
        <v>1</v>
      </c>
      <c r="B3" t="s">
        <v>1</v>
      </c>
      <c r="C3">
        <v>0</v>
      </c>
      <c r="D3">
        <v>2</v>
      </c>
      <c r="E3">
        <v>13</v>
      </c>
      <c r="F3">
        <v>4</v>
      </c>
      <c r="G3">
        <v>1</v>
      </c>
      <c r="H3">
        <f>표5[[#This Row],[공격성공횟수]]/(표5[[#This Row],[공격실패횟수]]+표5[[#This Row],[공격성공횟수]])</f>
        <v>0.13333333333333333</v>
      </c>
    </row>
    <row r="4" spans="1:8" x14ac:dyDescent="0.4">
      <c r="A4">
        <v>2</v>
      </c>
      <c r="B4" t="s">
        <v>0</v>
      </c>
      <c r="C4">
        <v>1</v>
      </c>
      <c r="D4">
        <v>4</v>
      </c>
      <c r="E4">
        <v>6</v>
      </c>
      <c r="F4">
        <v>0</v>
      </c>
      <c r="G4">
        <v>0</v>
      </c>
      <c r="H4">
        <f>표5[[#This Row],[공격성공횟수]]/(표5[[#This Row],[공격실패횟수]]+표5[[#This Row],[공격성공횟수]])</f>
        <v>0.4</v>
      </c>
    </row>
    <row r="5" spans="1:8" hidden="1" x14ac:dyDescent="0.4">
      <c r="A5">
        <v>2</v>
      </c>
      <c r="B5" t="s">
        <v>1</v>
      </c>
      <c r="C5">
        <v>0</v>
      </c>
      <c r="D5">
        <v>0</v>
      </c>
      <c r="E5">
        <v>10</v>
      </c>
      <c r="F5">
        <v>4</v>
      </c>
      <c r="G5">
        <v>1</v>
      </c>
      <c r="H5">
        <f>표5[[#This Row],[공격성공횟수]]/(표5[[#This Row],[공격실패횟수]]+표5[[#This Row],[공격성공횟수]])</f>
        <v>0</v>
      </c>
    </row>
    <row r="6" spans="1:8" x14ac:dyDescent="0.4">
      <c r="A6">
        <v>3</v>
      </c>
      <c r="B6" t="s">
        <v>0</v>
      </c>
      <c r="C6">
        <v>0</v>
      </c>
      <c r="D6">
        <v>0</v>
      </c>
      <c r="E6">
        <v>19</v>
      </c>
      <c r="F6">
        <v>4</v>
      </c>
      <c r="G6">
        <v>1</v>
      </c>
      <c r="H6">
        <f>표5[[#This Row],[공격성공횟수]]/(표5[[#This Row],[공격실패횟수]]+표5[[#This Row],[공격성공횟수]])</f>
        <v>0</v>
      </c>
    </row>
    <row r="7" spans="1:8" hidden="1" x14ac:dyDescent="0.4">
      <c r="A7">
        <v>3</v>
      </c>
      <c r="B7" t="s">
        <v>1</v>
      </c>
      <c r="C7">
        <v>1</v>
      </c>
      <c r="D7">
        <v>4</v>
      </c>
      <c r="E7">
        <v>16</v>
      </c>
      <c r="F7">
        <v>0</v>
      </c>
      <c r="G7">
        <v>0</v>
      </c>
      <c r="H7">
        <f>표5[[#This Row],[공격성공횟수]]/(표5[[#This Row],[공격실패횟수]]+표5[[#This Row],[공격성공횟수]])</f>
        <v>0.2</v>
      </c>
    </row>
    <row r="8" spans="1:8" x14ac:dyDescent="0.4">
      <c r="A8">
        <v>4</v>
      </c>
      <c r="B8" t="s">
        <v>0</v>
      </c>
      <c r="C8">
        <v>1</v>
      </c>
      <c r="D8">
        <v>4</v>
      </c>
      <c r="E8">
        <v>10</v>
      </c>
      <c r="F8">
        <v>1</v>
      </c>
      <c r="G8">
        <v>0</v>
      </c>
      <c r="H8">
        <f>표5[[#This Row],[공격성공횟수]]/(표5[[#This Row],[공격실패횟수]]+표5[[#This Row],[공격성공횟수]])</f>
        <v>0.2857142857142857</v>
      </c>
    </row>
    <row r="9" spans="1:8" hidden="1" x14ac:dyDescent="0.4">
      <c r="A9">
        <v>4</v>
      </c>
      <c r="B9" t="s">
        <v>1</v>
      </c>
      <c r="C9">
        <v>0</v>
      </c>
      <c r="D9">
        <v>1</v>
      </c>
      <c r="E9">
        <v>12</v>
      </c>
      <c r="F9">
        <v>4</v>
      </c>
      <c r="G9">
        <v>1</v>
      </c>
      <c r="H9">
        <f>표5[[#This Row],[공격성공횟수]]/(표5[[#This Row],[공격실패횟수]]+표5[[#This Row],[공격성공횟수]])</f>
        <v>7.6923076923076927E-2</v>
      </c>
    </row>
    <row r="10" spans="1:8" x14ac:dyDescent="0.4">
      <c r="A10">
        <v>5</v>
      </c>
      <c r="B10" t="s">
        <v>0</v>
      </c>
      <c r="C10">
        <v>1</v>
      </c>
      <c r="D10">
        <v>4</v>
      </c>
      <c r="E10">
        <v>7</v>
      </c>
      <c r="F10">
        <v>0</v>
      </c>
      <c r="G10">
        <v>0</v>
      </c>
      <c r="H10">
        <f>표5[[#This Row],[공격성공횟수]]/(표5[[#This Row],[공격실패횟수]]+표5[[#This Row],[공격성공횟수]])</f>
        <v>0.36363636363636365</v>
      </c>
    </row>
    <row r="11" spans="1:8" hidden="1" x14ac:dyDescent="0.4">
      <c r="A11">
        <v>5</v>
      </c>
      <c r="B11" t="s">
        <v>1</v>
      </c>
      <c r="C11">
        <v>0</v>
      </c>
      <c r="D11">
        <v>0</v>
      </c>
      <c r="E11">
        <v>10</v>
      </c>
      <c r="F11">
        <v>4</v>
      </c>
      <c r="G11">
        <v>1</v>
      </c>
      <c r="H11">
        <f>표5[[#This Row],[공격성공횟수]]/(표5[[#This Row],[공격실패횟수]]+표5[[#This Row],[공격성공횟수]])</f>
        <v>0</v>
      </c>
    </row>
    <row r="12" spans="1:8" x14ac:dyDescent="0.4">
      <c r="A12">
        <v>6</v>
      </c>
      <c r="B12" t="s">
        <v>0</v>
      </c>
      <c r="C12">
        <v>1</v>
      </c>
      <c r="D12">
        <v>4</v>
      </c>
      <c r="E12">
        <v>6</v>
      </c>
      <c r="F12">
        <v>0</v>
      </c>
      <c r="G12">
        <v>0</v>
      </c>
      <c r="H12">
        <f>표5[[#This Row],[공격성공횟수]]/(표5[[#This Row],[공격실패횟수]]+표5[[#This Row],[공격성공횟수]])</f>
        <v>0.4</v>
      </c>
    </row>
    <row r="13" spans="1:8" hidden="1" x14ac:dyDescent="0.4">
      <c r="A13">
        <v>6</v>
      </c>
      <c r="B13" t="s">
        <v>1</v>
      </c>
      <c r="C13">
        <v>0</v>
      </c>
      <c r="D13">
        <v>0</v>
      </c>
      <c r="E13">
        <v>10</v>
      </c>
      <c r="F13">
        <v>4</v>
      </c>
      <c r="G13">
        <v>1</v>
      </c>
      <c r="H13">
        <f>표5[[#This Row],[공격성공횟수]]/(표5[[#This Row],[공격실패횟수]]+표5[[#This Row],[공격성공횟수]])</f>
        <v>0</v>
      </c>
    </row>
    <row r="14" spans="1:8" x14ac:dyDescent="0.4">
      <c r="A14">
        <v>7</v>
      </c>
      <c r="B14" t="s">
        <v>0</v>
      </c>
      <c r="C14">
        <v>1</v>
      </c>
      <c r="D14">
        <v>4</v>
      </c>
      <c r="E14">
        <v>7</v>
      </c>
      <c r="F14">
        <v>1</v>
      </c>
      <c r="G14">
        <v>0</v>
      </c>
      <c r="H14">
        <f>표5[[#This Row],[공격성공횟수]]/(표5[[#This Row],[공격실패횟수]]+표5[[#This Row],[공격성공횟수]])</f>
        <v>0.36363636363636365</v>
      </c>
    </row>
    <row r="15" spans="1:8" hidden="1" x14ac:dyDescent="0.4">
      <c r="A15">
        <v>7</v>
      </c>
      <c r="B15" t="s">
        <v>1</v>
      </c>
      <c r="C15">
        <v>0</v>
      </c>
      <c r="D15">
        <v>1</v>
      </c>
      <c r="E15">
        <v>11</v>
      </c>
      <c r="F15">
        <v>4</v>
      </c>
      <c r="G15">
        <v>1</v>
      </c>
      <c r="H15">
        <f>표5[[#This Row],[공격성공횟수]]/(표5[[#This Row],[공격실패횟수]]+표5[[#This Row],[공격성공횟수]])</f>
        <v>8.3333333333333329E-2</v>
      </c>
    </row>
    <row r="16" spans="1:8" x14ac:dyDescent="0.4">
      <c r="A16">
        <v>8</v>
      </c>
      <c r="B16" t="s">
        <v>0</v>
      </c>
      <c r="C16">
        <v>1</v>
      </c>
      <c r="D16">
        <v>4</v>
      </c>
      <c r="E16">
        <v>6</v>
      </c>
      <c r="F16">
        <v>0</v>
      </c>
      <c r="G16">
        <v>0</v>
      </c>
      <c r="H16">
        <f>표5[[#This Row],[공격성공횟수]]/(표5[[#This Row],[공격실패횟수]]+표5[[#This Row],[공격성공횟수]])</f>
        <v>0.4</v>
      </c>
    </row>
    <row r="17" spans="1:8" hidden="1" x14ac:dyDescent="0.4">
      <c r="A17">
        <v>8</v>
      </c>
      <c r="B17" t="s">
        <v>1</v>
      </c>
      <c r="C17">
        <v>0</v>
      </c>
      <c r="D17">
        <v>0</v>
      </c>
      <c r="E17">
        <v>10</v>
      </c>
      <c r="F17">
        <v>4</v>
      </c>
      <c r="G17">
        <v>1</v>
      </c>
      <c r="H17">
        <f>표5[[#This Row],[공격성공횟수]]/(표5[[#This Row],[공격실패횟수]]+표5[[#This Row],[공격성공횟수]])</f>
        <v>0</v>
      </c>
    </row>
    <row r="18" spans="1:8" x14ac:dyDescent="0.4">
      <c r="A18">
        <v>9</v>
      </c>
      <c r="B18" t="s">
        <v>0</v>
      </c>
      <c r="C18">
        <v>1</v>
      </c>
      <c r="D18">
        <v>4</v>
      </c>
      <c r="E18">
        <v>10</v>
      </c>
      <c r="F18">
        <v>0</v>
      </c>
      <c r="G18">
        <v>0</v>
      </c>
      <c r="H18">
        <f>표5[[#This Row],[공격성공횟수]]/(표5[[#This Row],[공격실패횟수]]+표5[[#This Row],[공격성공횟수]])</f>
        <v>0.2857142857142857</v>
      </c>
    </row>
    <row r="19" spans="1:8" hidden="1" x14ac:dyDescent="0.4">
      <c r="A19">
        <v>9</v>
      </c>
      <c r="B19" t="s">
        <v>1</v>
      </c>
      <c r="C19">
        <v>0</v>
      </c>
      <c r="D19">
        <v>0</v>
      </c>
      <c r="E19">
        <v>18</v>
      </c>
      <c r="F19">
        <v>4</v>
      </c>
      <c r="G19">
        <v>1</v>
      </c>
      <c r="H19">
        <f>표5[[#This Row],[공격성공횟수]]/(표5[[#This Row],[공격실패횟수]]+표5[[#This Row],[공격성공횟수]])</f>
        <v>0</v>
      </c>
    </row>
    <row r="20" spans="1:8" x14ac:dyDescent="0.4">
      <c r="A20">
        <v>10</v>
      </c>
      <c r="B20" t="s">
        <v>0</v>
      </c>
      <c r="C20">
        <v>0</v>
      </c>
      <c r="D20">
        <v>0</v>
      </c>
      <c r="E20">
        <v>20</v>
      </c>
      <c r="F20">
        <v>4</v>
      </c>
      <c r="G20">
        <v>1</v>
      </c>
      <c r="H20">
        <f>표5[[#This Row],[공격성공횟수]]/(표5[[#This Row],[공격실패횟수]]+표5[[#This Row],[공격성공횟수]])</f>
        <v>0</v>
      </c>
    </row>
    <row r="21" spans="1:8" hidden="1" x14ac:dyDescent="0.4">
      <c r="A21">
        <v>10</v>
      </c>
      <c r="B21" t="s">
        <v>1</v>
      </c>
      <c r="C21">
        <v>1</v>
      </c>
      <c r="D21">
        <v>4</v>
      </c>
      <c r="E21">
        <v>17</v>
      </c>
      <c r="F21">
        <v>0</v>
      </c>
      <c r="G21">
        <v>0</v>
      </c>
      <c r="H21">
        <f>표5[[#This Row],[공격성공횟수]]/(표5[[#This Row],[공격실패횟수]]+표5[[#This Row],[공격성공횟수]])</f>
        <v>0.19047619047619047</v>
      </c>
    </row>
    <row r="22" spans="1:8" x14ac:dyDescent="0.4">
      <c r="A22">
        <v>11</v>
      </c>
      <c r="B22" t="s">
        <v>0</v>
      </c>
      <c r="C22">
        <v>1</v>
      </c>
      <c r="D22">
        <v>4</v>
      </c>
      <c r="E22">
        <v>30</v>
      </c>
      <c r="F22">
        <v>2</v>
      </c>
      <c r="G22">
        <v>0</v>
      </c>
      <c r="H22">
        <f>표5[[#This Row],[공격성공횟수]]/(표5[[#This Row],[공격실패횟수]]+표5[[#This Row],[공격성공횟수]])</f>
        <v>0.11764705882352941</v>
      </c>
    </row>
    <row r="23" spans="1:8" hidden="1" x14ac:dyDescent="0.4">
      <c r="A23">
        <v>11</v>
      </c>
      <c r="B23" t="s">
        <v>1</v>
      </c>
      <c r="C23">
        <v>0</v>
      </c>
      <c r="D23">
        <v>2</v>
      </c>
      <c r="E23">
        <v>30</v>
      </c>
      <c r="F23">
        <v>4</v>
      </c>
      <c r="G23">
        <v>1</v>
      </c>
      <c r="H23">
        <f>표5[[#This Row],[공격성공횟수]]/(표5[[#This Row],[공격실패횟수]]+표5[[#This Row],[공격성공횟수]])</f>
        <v>6.25E-2</v>
      </c>
    </row>
    <row r="24" spans="1:8" x14ac:dyDescent="0.4">
      <c r="A24">
        <v>12</v>
      </c>
      <c r="B24" t="s">
        <v>0</v>
      </c>
      <c r="C24">
        <v>1</v>
      </c>
      <c r="D24">
        <v>4</v>
      </c>
      <c r="E24">
        <v>17</v>
      </c>
      <c r="F24">
        <v>1</v>
      </c>
      <c r="G24">
        <v>0</v>
      </c>
      <c r="H24">
        <f>표5[[#This Row],[공격성공횟수]]/(표5[[#This Row],[공격실패횟수]]+표5[[#This Row],[공격성공횟수]])</f>
        <v>0.19047619047619047</v>
      </c>
    </row>
    <row r="25" spans="1:8" hidden="1" x14ac:dyDescent="0.4">
      <c r="A25">
        <v>12</v>
      </c>
      <c r="B25" t="s">
        <v>1</v>
      </c>
      <c r="C25">
        <v>0</v>
      </c>
      <c r="D25">
        <v>1</v>
      </c>
      <c r="E25">
        <v>20</v>
      </c>
      <c r="F25">
        <v>4</v>
      </c>
      <c r="G25">
        <v>1</v>
      </c>
      <c r="H25">
        <f>표5[[#This Row],[공격성공횟수]]/(표5[[#This Row],[공격실패횟수]]+표5[[#This Row],[공격성공횟수]])</f>
        <v>4.7619047619047616E-2</v>
      </c>
    </row>
    <row r="26" spans="1:8" x14ac:dyDescent="0.4">
      <c r="A26">
        <v>13</v>
      </c>
      <c r="B26" t="s">
        <v>0</v>
      </c>
      <c r="C26">
        <v>1</v>
      </c>
      <c r="D26">
        <v>4</v>
      </c>
      <c r="E26">
        <v>4</v>
      </c>
      <c r="F26">
        <v>0</v>
      </c>
      <c r="G26">
        <v>0</v>
      </c>
      <c r="H26">
        <f>표5[[#This Row],[공격성공횟수]]/(표5[[#This Row],[공격실패횟수]]+표5[[#This Row],[공격성공횟수]])</f>
        <v>0.5</v>
      </c>
    </row>
    <row r="27" spans="1:8" hidden="1" x14ac:dyDescent="0.4">
      <c r="A27">
        <v>13</v>
      </c>
      <c r="B27" t="s">
        <v>1</v>
      </c>
      <c r="C27">
        <v>0</v>
      </c>
      <c r="D27">
        <v>0</v>
      </c>
      <c r="E27">
        <v>8</v>
      </c>
      <c r="F27">
        <v>4</v>
      </c>
      <c r="G27">
        <v>1</v>
      </c>
      <c r="H27">
        <f>표5[[#This Row],[공격성공횟수]]/(표5[[#This Row],[공격실패횟수]]+표5[[#This Row],[공격성공횟수]])</f>
        <v>0</v>
      </c>
    </row>
    <row r="28" spans="1:8" x14ac:dyDescent="0.4">
      <c r="A28">
        <v>14</v>
      </c>
      <c r="B28" t="s">
        <v>0</v>
      </c>
      <c r="C28">
        <v>1</v>
      </c>
      <c r="D28">
        <v>4</v>
      </c>
      <c r="E28">
        <v>9</v>
      </c>
      <c r="F28">
        <v>3</v>
      </c>
      <c r="G28">
        <v>0</v>
      </c>
      <c r="H28">
        <f>표5[[#This Row],[공격성공횟수]]/(표5[[#This Row],[공격실패횟수]]+표5[[#This Row],[공격성공횟수]])</f>
        <v>0.30769230769230771</v>
      </c>
    </row>
    <row r="29" spans="1:8" hidden="1" x14ac:dyDescent="0.4">
      <c r="A29">
        <v>14</v>
      </c>
      <c r="B29" t="s">
        <v>1</v>
      </c>
      <c r="C29">
        <v>0</v>
      </c>
      <c r="D29">
        <v>3</v>
      </c>
      <c r="E29">
        <v>9</v>
      </c>
      <c r="F29">
        <v>4</v>
      </c>
      <c r="G29">
        <v>1</v>
      </c>
      <c r="H29">
        <f>표5[[#This Row],[공격성공횟수]]/(표5[[#This Row],[공격실패횟수]]+표5[[#This Row],[공격성공횟수]])</f>
        <v>0.25</v>
      </c>
    </row>
    <row r="30" spans="1:8" x14ac:dyDescent="0.4">
      <c r="A30">
        <v>15</v>
      </c>
      <c r="B30" t="s">
        <v>0</v>
      </c>
      <c r="C30">
        <v>1</v>
      </c>
      <c r="D30">
        <v>4</v>
      </c>
      <c r="E30">
        <v>5</v>
      </c>
      <c r="F30">
        <v>1</v>
      </c>
      <c r="G30">
        <v>0</v>
      </c>
      <c r="H30">
        <f>표5[[#This Row],[공격성공횟수]]/(표5[[#This Row],[공격실패횟수]]+표5[[#This Row],[공격성공횟수]])</f>
        <v>0.44444444444444442</v>
      </c>
    </row>
    <row r="31" spans="1:8" hidden="1" x14ac:dyDescent="0.4">
      <c r="A31">
        <v>15</v>
      </c>
      <c r="B31" t="s">
        <v>1</v>
      </c>
      <c r="C31">
        <v>0</v>
      </c>
      <c r="D31">
        <v>1</v>
      </c>
      <c r="E31">
        <v>8</v>
      </c>
      <c r="F31">
        <v>4</v>
      </c>
      <c r="G31">
        <v>1</v>
      </c>
      <c r="H31">
        <f>표5[[#This Row],[공격성공횟수]]/(표5[[#This Row],[공격실패횟수]]+표5[[#This Row],[공격성공횟수]])</f>
        <v>0.1111111111111111</v>
      </c>
    </row>
    <row r="32" spans="1:8" x14ac:dyDescent="0.4">
      <c r="A32">
        <v>16</v>
      </c>
      <c r="B32" t="s">
        <v>0</v>
      </c>
      <c r="C32">
        <v>1</v>
      </c>
      <c r="D32">
        <v>4</v>
      </c>
      <c r="E32">
        <v>4</v>
      </c>
      <c r="F32">
        <v>2</v>
      </c>
      <c r="G32">
        <v>0</v>
      </c>
      <c r="H32">
        <f>표5[[#This Row],[공격성공횟수]]/(표5[[#This Row],[공격실패횟수]]+표5[[#This Row],[공격성공횟수]])</f>
        <v>0.5</v>
      </c>
    </row>
    <row r="33" spans="1:8" hidden="1" x14ac:dyDescent="0.4">
      <c r="A33">
        <v>16</v>
      </c>
      <c r="B33" t="s">
        <v>1</v>
      </c>
      <c r="C33">
        <v>0</v>
      </c>
      <c r="D33">
        <v>2</v>
      </c>
      <c r="E33">
        <v>6</v>
      </c>
      <c r="F33">
        <v>4</v>
      </c>
      <c r="G33">
        <v>1</v>
      </c>
      <c r="H33">
        <f>표5[[#This Row],[공격성공횟수]]/(표5[[#This Row],[공격실패횟수]]+표5[[#This Row],[공격성공횟수]])</f>
        <v>0.25</v>
      </c>
    </row>
    <row r="34" spans="1:8" x14ac:dyDescent="0.4">
      <c r="A34">
        <v>17</v>
      </c>
      <c r="B34" t="s">
        <v>0</v>
      </c>
      <c r="C34">
        <v>0</v>
      </c>
      <c r="D34">
        <v>0</v>
      </c>
      <c r="E34">
        <v>10</v>
      </c>
      <c r="F34">
        <v>4</v>
      </c>
      <c r="G34">
        <v>1</v>
      </c>
      <c r="H34">
        <f>표5[[#This Row],[공격성공횟수]]/(표5[[#This Row],[공격실패횟수]]+표5[[#This Row],[공격성공횟수]])</f>
        <v>0</v>
      </c>
    </row>
    <row r="35" spans="1:8" hidden="1" x14ac:dyDescent="0.4">
      <c r="A35">
        <v>17</v>
      </c>
      <c r="B35" t="s">
        <v>1</v>
      </c>
      <c r="C35">
        <v>1</v>
      </c>
      <c r="D35">
        <v>4</v>
      </c>
      <c r="E35">
        <v>7</v>
      </c>
      <c r="F35">
        <v>0</v>
      </c>
      <c r="G35">
        <v>0</v>
      </c>
      <c r="H35">
        <f>표5[[#This Row],[공격성공횟수]]/(표5[[#This Row],[공격실패횟수]]+표5[[#This Row],[공격성공횟수]])</f>
        <v>0.36363636363636365</v>
      </c>
    </row>
    <row r="36" spans="1:8" x14ac:dyDescent="0.4">
      <c r="A36">
        <v>18</v>
      </c>
      <c r="B36" t="s">
        <v>0</v>
      </c>
      <c r="C36">
        <v>1</v>
      </c>
      <c r="D36">
        <v>4</v>
      </c>
      <c r="E36">
        <v>10</v>
      </c>
      <c r="F36">
        <v>3</v>
      </c>
      <c r="G36">
        <v>0</v>
      </c>
      <c r="H36">
        <f>표5[[#This Row],[공격성공횟수]]/(표5[[#This Row],[공격실패횟수]]+표5[[#This Row],[공격성공횟수]])</f>
        <v>0.2857142857142857</v>
      </c>
    </row>
    <row r="37" spans="1:8" hidden="1" x14ac:dyDescent="0.4">
      <c r="A37">
        <v>18</v>
      </c>
      <c r="B37" t="s">
        <v>1</v>
      </c>
      <c r="C37">
        <v>0</v>
      </c>
      <c r="D37">
        <v>3</v>
      </c>
      <c r="E37">
        <v>11</v>
      </c>
      <c r="F37">
        <v>4</v>
      </c>
      <c r="G37">
        <v>1</v>
      </c>
      <c r="H37">
        <f>표5[[#This Row],[공격성공횟수]]/(표5[[#This Row],[공격실패횟수]]+표5[[#This Row],[공격성공횟수]])</f>
        <v>0.21428571428571427</v>
      </c>
    </row>
    <row r="38" spans="1:8" x14ac:dyDescent="0.4">
      <c r="A38">
        <v>19</v>
      </c>
      <c r="B38" t="s">
        <v>0</v>
      </c>
      <c r="C38">
        <v>1</v>
      </c>
      <c r="D38">
        <v>4</v>
      </c>
      <c r="E38">
        <v>8</v>
      </c>
      <c r="F38">
        <v>0</v>
      </c>
      <c r="G38">
        <v>0</v>
      </c>
      <c r="H38">
        <f>표5[[#This Row],[공격성공횟수]]/(표5[[#This Row],[공격실패횟수]]+표5[[#This Row],[공격성공횟수]])</f>
        <v>0.33333333333333331</v>
      </c>
    </row>
    <row r="39" spans="1:8" hidden="1" x14ac:dyDescent="0.4">
      <c r="A39">
        <v>19</v>
      </c>
      <c r="B39" t="s">
        <v>1</v>
      </c>
      <c r="C39">
        <v>0</v>
      </c>
      <c r="D39">
        <v>0</v>
      </c>
      <c r="E39">
        <v>14</v>
      </c>
      <c r="F39">
        <v>4</v>
      </c>
      <c r="G39">
        <v>1</v>
      </c>
      <c r="H39">
        <f>표5[[#This Row],[공격성공횟수]]/(표5[[#This Row],[공격실패횟수]]+표5[[#This Row],[공격성공횟수]])</f>
        <v>0</v>
      </c>
    </row>
    <row r="40" spans="1:8" x14ac:dyDescent="0.4">
      <c r="A40">
        <v>20</v>
      </c>
      <c r="B40" t="s">
        <v>0</v>
      </c>
      <c r="C40">
        <v>1</v>
      </c>
      <c r="D40">
        <v>4</v>
      </c>
      <c r="E40">
        <v>20</v>
      </c>
      <c r="F40">
        <v>2</v>
      </c>
      <c r="G40">
        <v>0</v>
      </c>
      <c r="H40">
        <f>표5[[#This Row],[공격성공횟수]]/(표5[[#This Row],[공격실패횟수]]+표5[[#This Row],[공격성공횟수]])</f>
        <v>0.16666666666666666</v>
      </c>
    </row>
    <row r="41" spans="1:8" hidden="1" x14ac:dyDescent="0.4">
      <c r="A41">
        <v>20</v>
      </c>
      <c r="B41" t="s">
        <v>1</v>
      </c>
      <c r="C41">
        <v>0</v>
      </c>
      <c r="D41">
        <v>2</v>
      </c>
      <c r="E41">
        <v>22</v>
      </c>
      <c r="F41">
        <v>4</v>
      </c>
      <c r="G41">
        <v>1</v>
      </c>
      <c r="H41">
        <f>표5[[#This Row],[공격성공횟수]]/(표5[[#This Row],[공격실패횟수]]+표5[[#This Row],[공격성공횟수]])</f>
        <v>8.3333333333333329E-2</v>
      </c>
    </row>
    <row r="42" spans="1:8" x14ac:dyDescent="0.4">
      <c r="A42">
        <v>21</v>
      </c>
      <c r="B42" t="s">
        <v>0</v>
      </c>
      <c r="C42">
        <v>1</v>
      </c>
      <c r="D42">
        <v>4</v>
      </c>
      <c r="E42">
        <v>6</v>
      </c>
      <c r="F42">
        <v>0</v>
      </c>
      <c r="G42">
        <v>0</v>
      </c>
      <c r="H42">
        <f>표5[[#This Row],[공격성공횟수]]/(표5[[#This Row],[공격실패횟수]]+표5[[#This Row],[공격성공횟수]])</f>
        <v>0.4</v>
      </c>
    </row>
    <row r="43" spans="1:8" hidden="1" x14ac:dyDescent="0.4">
      <c r="A43">
        <v>21</v>
      </c>
      <c r="B43" t="s">
        <v>1</v>
      </c>
      <c r="C43">
        <v>0</v>
      </c>
      <c r="D43">
        <v>0</v>
      </c>
      <c r="E43">
        <v>12</v>
      </c>
      <c r="F43">
        <v>4</v>
      </c>
      <c r="G43">
        <v>1</v>
      </c>
      <c r="H43">
        <f>표5[[#This Row],[공격성공횟수]]/(표5[[#This Row],[공격실패횟수]]+표5[[#This Row],[공격성공횟수]])</f>
        <v>0</v>
      </c>
    </row>
    <row r="44" spans="1:8" x14ac:dyDescent="0.4">
      <c r="A44">
        <v>22</v>
      </c>
      <c r="B44" t="s">
        <v>0</v>
      </c>
      <c r="C44">
        <v>1</v>
      </c>
      <c r="D44">
        <v>4</v>
      </c>
      <c r="E44">
        <v>6</v>
      </c>
      <c r="F44">
        <v>1</v>
      </c>
      <c r="G44">
        <v>0</v>
      </c>
      <c r="H44">
        <f>표5[[#This Row],[공격성공횟수]]/(표5[[#This Row],[공격실패횟수]]+표5[[#This Row],[공격성공횟수]])</f>
        <v>0.4</v>
      </c>
    </row>
    <row r="45" spans="1:8" hidden="1" x14ac:dyDescent="0.4">
      <c r="A45">
        <v>22</v>
      </c>
      <c r="B45" t="s">
        <v>1</v>
      </c>
      <c r="C45">
        <v>0</v>
      </c>
      <c r="D45">
        <v>1</v>
      </c>
      <c r="E45">
        <v>9</v>
      </c>
      <c r="F45">
        <v>4</v>
      </c>
      <c r="G45">
        <v>1</v>
      </c>
      <c r="H45">
        <f>표5[[#This Row],[공격성공횟수]]/(표5[[#This Row],[공격실패횟수]]+표5[[#This Row],[공격성공횟수]])</f>
        <v>0.1</v>
      </c>
    </row>
    <row r="46" spans="1:8" x14ac:dyDescent="0.4">
      <c r="A46">
        <v>23</v>
      </c>
      <c r="B46" t="s">
        <v>0</v>
      </c>
      <c r="C46">
        <v>1</v>
      </c>
      <c r="D46">
        <v>4</v>
      </c>
      <c r="E46">
        <v>20</v>
      </c>
      <c r="F46">
        <v>2</v>
      </c>
      <c r="G46">
        <v>0</v>
      </c>
      <c r="H46">
        <f>표5[[#This Row],[공격성공횟수]]/(표5[[#This Row],[공격실패횟수]]+표5[[#This Row],[공격성공횟수]])</f>
        <v>0.16666666666666666</v>
      </c>
    </row>
    <row r="47" spans="1:8" hidden="1" x14ac:dyDescent="0.4">
      <c r="A47">
        <v>23</v>
      </c>
      <c r="B47" t="s">
        <v>1</v>
      </c>
      <c r="C47">
        <v>0</v>
      </c>
      <c r="D47">
        <v>2</v>
      </c>
      <c r="E47">
        <v>21</v>
      </c>
      <c r="F47">
        <v>4</v>
      </c>
      <c r="G47">
        <v>1</v>
      </c>
      <c r="H47">
        <f>표5[[#This Row],[공격성공횟수]]/(표5[[#This Row],[공격실패횟수]]+표5[[#This Row],[공격성공횟수]])</f>
        <v>8.6956521739130432E-2</v>
      </c>
    </row>
    <row r="48" spans="1:8" x14ac:dyDescent="0.4">
      <c r="A48">
        <v>24</v>
      </c>
      <c r="B48" t="s">
        <v>0</v>
      </c>
      <c r="C48">
        <v>1</v>
      </c>
      <c r="D48">
        <v>4</v>
      </c>
      <c r="E48">
        <v>4</v>
      </c>
      <c r="F48">
        <v>1</v>
      </c>
      <c r="G48">
        <v>0</v>
      </c>
      <c r="H48">
        <f>표5[[#This Row],[공격성공횟수]]/(표5[[#This Row],[공격실패횟수]]+표5[[#This Row],[공격성공횟수]])</f>
        <v>0.5</v>
      </c>
    </row>
    <row r="49" spans="1:8" hidden="1" x14ac:dyDescent="0.4">
      <c r="A49">
        <v>24</v>
      </c>
      <c r="B49" t="s">
        <v>1</v>
      </c>
      <c r="C49">
        <v>0</v>
      </c>
      <c r="D49">
        <v>1</v>
      </c>
      <c r="E49">
        <v>6</v>
      </c>
      <c r="F49">
        <v>4</v>
      </c>
      <c r="G49">
        <v>1</v>
      </c>
      <c r="H49">
        <f>표5[[#This Row],[공격성공횟수]]/(표5[[#This Row],[공격실패횟수]]+표5[[#This Row],[공격성공횟수]])</f>
        <v>0.14285714285714285</v>
      </c>
    </row>
    <row r="50" spans="1:8" x14ac:dyDescent="0.4">
      <c r="A50">
        <v>25</v>
      </c>
      <c r="B50" t="s">
        <v>0</v>
      </c>
      <c r="C50">
        <v>1</v>
      </c>
      <c r="D50">
        <v>4</v>
      </c>
      <c r="E50">
        <v>7</v>
      </c>
      <c r="F50">
        <v>1</v>
      </c>
      <c r="G50">
        <v>0</v>
      </c>
      <c r="H50">
        <f>표5[[#This Row],[공격성공횟수]]/(표5[[#This Row],[공격실패횟수]]+표5[[#This Row],[공격성공횟수]])</f>
        <v>0.36363636363636365</v>
      </c>
    </row>
    <row r="51" spans="1:8" hidden="1" x14ac:dyDescent="0.4">
      <c r="A51">
        <v>25</v>
      </c>
      <c r="B51" t="s">
        <v>1</v>
      </c>
      <c r="C51">
        <v>0</v>
      </c>
      <c r="D51">
        <v>1</v>
      </c>
      <c r="E51">
        <v>10</v>
      </c>
      <c r="F51">
        <v>4</v>
      </c>
      <c r="G51">
        <v>1</v>
      </c>
      <c r="H51">
        <f>표5[[#This Row],[공격성공횟수]]/(표5[[#This Row],[공격실패횟수]]+표5[[#This Row],[공격성공횟수]])</f>
        <v>9.0909090909090912E-2</v>
      </c>
    </row>
    <row r="52" spans="1:8" x14ac:dyDescent="0.4">
      <c r="A52">
        <v>26</v>
      </c>
      <c r="B52" t="s">
        <v>0</v>
      </c>
      <c r="C52">
        <v>0</v>
      </c>
      <c r="D52">
        <v>1</v>
      </c>
      <c r="E52">
        <v>22</v>
      </c>
      <c r="F52">
        <v>4</v>
      </c>
      <c r="G52">
        <v>1</v>
      </c>
      <c r="H52">
        <f>표5[[#This Row],[공격성공횟수]]/(표5[[#This Row],[공격실패횟수]]+표5[[#This Row],[공격성공횟수]])</f>
        <v>4.3478260869565216E-2</v>
      </c>
    </row>
    <row r="53" spans="1:8" hidden="1" x14ac:dyDescent="0.4">
      <c r="A53">
        <v>26</v>
      </c>
      <c r="B53" t="s">
        <v>1</v>
      </c>
      <c r="C53">
        <v>1</v>
      </c>
      <c r="D53">
        <v>4</v>
      </c>
      <c r="E53">
        <v>20</v>
      </c>
      <c r="F53">
        <v>1</v>
      </c>
      <c r="G53">
        <v>0</v>
      </c>
      <c r="H53">
        <f>표5[[#This Row],[공격성공횟수]]/(표5[[#This Row],[공격실패횟수]]+표5[[#This Row],[공격성공횟수]])</f>
        <v>0.16666666666666666</v>
      </c>
    </row>
    <row r="54" spans="1:8" x14ac:dyDescent="0.4">
      <c r="A54">
        <v>27</v>
      </c>
      <c r="B54" t="s">
        <v>0</v>
      </c>
      <c r="C54">
        <v>1</v>
      </c>
      <c r="D54">
        <v>4</v>
      </c>
      <c r="E54">
        <v>20</v>
      </c>
      <c r="F54">
        <v>0</v>
      </c>
      <c r="G54">
        <v>0</v>
      </c>
      <c r="H54">
        <f>표5[[#This Row],[공격성공횟수]]/(표5[[#This Row],[공격실패횟수]]+표5[[#This Row],[공격성공횟수]])</f>
        <v>0.16666666666666666</v>
      </c>
    </row>
    <row r="55" spans="1:8" hidden="1" x14ac:dyDescent="0.4">
      <c r="A55">
        <v>27</v>
      </c>
      <c r="B55" t="s">
        <v>1</v>
      </c>
      <c r="C55">
        <v>0</v>
      </c>
      <c r="D55">
        <v>0</v>
      </c>
      <c r="E55">
        <v>22</v>
      </c>
      <c r="F55">
        <v>4</v>
      </c>
      <c r="G55">
        <v>1</v>
      </c>
      <c r="H55">
        <f>표5[[#This Row],[공격성공횟수]]/(표5[[#This Row],[공격실패횟수]]+표5[[#This Row],[공격성공횟수]])</f>
        <v>0</v>
      </c>
    </row>
    <row r="56" spans="1:8" x14ac:dyDescent="0.4">
      <c r="A56">
        <v>28</v>
      </c>
      <c r="B56" t="s">
        <v>0</v>
      </c>
      <c r="C56">
        <v>1</v>
      </c>
      <c r="D56">
        <v>4</v>
      </c>
      <c r="E56">
        <v>20</v>
      </c>
      <c r="F56">
        <v>3</v>
      </c>
      <c r="G56">
        <v>0</v>
      </c>
      <c r="H56">
        <f>표5[[#This Row],[공격성공횟수]]/(표5[[#This Row],[공격실패횟수]]+표5[[#This Row],[공격성공횟수]])</f>
        <v>0.16666666666666666</v>
      </c>
    </row>
    <row r="57" spans="1:8" hidden="1" x14ac:dyDescent="0.4">
      <c r="A57">
        <v>28</v>
      </c>
      <c r="B57" t="s">
        <v>1</v>
      </c>
      <c r="C57">
        <v>0</v>
      </c>
      <c r="D57">
        <v>3</v>
      </c>
      <c r="E57">
        <v>22</v>
      </c>
      <c r="F57">
        <v>4</v>
      </c>
      <c r="G57">
        <v>1</v>
      </c>
      <c r="H57">
        <f>표5[[#This Row],[공격성공횟수]]/(표5[[#This Row],[공격실패횟수]]+표5[[#This Row],[공격성공횟수]])</f>
        <v>0.12</v>
      </c>
    </row>
    <row r="58" spans="1:8" x14ac:dyDescent="0.4">
      <c r="A58">
        <v>29</v>
      </c>
      <c r="B58" t="s">
        <v>0</v>
      </c>
      <c r="C58">
        <v>0</v>
      </c>
      <c r="D58">
        <v>1</v>
      </c>
      <c r="E58">
        <v>31</v>
      </c>
      <c r="F58">
        <v>4</v>
      </c>
      <c r="G58">
        <v>1</v>
      </c>
      <c r="H58">
        <f>표5[[#This Row],[공격성공횟수]]/(표5[[#This Row],[공격실패횟수]]+표5[[#This Row],[공격성공횟수]])</f>
        <v>3.125E-2</v>
      </c>
    </row>
    <row r="59" spans="1:8" hidden="1" x14ac:dyDescent="0.4">
      <c r="A59">
        <v>29</v>
      </c>
      <c r="B59" t="s">
        <v>1</v>
      </c>
      <c r="C59">
        <v>1</v>
      </c>
      <c r="D59">
        <v>4</v>
      </c>
      <c r="E59">
        <v>28</v>
      </c>
      <c r="F59">
        <v>1</v>
      </c>
      <c r="G59">
        <v>0</v>
      </c>
      <c r="H59">
        <f>표5[[#This Row],[공격성공횟수]]/(표5[[#This Row],[공격실패횟수]]+표5[[#This Row],[공격성공횟수]])</f>
        <v>0.125</v>
      </c>
    </row>
    <row r="60" spans="1:8" x14ac:dyDescent="0.4">
      <c r="A60">
        <v>30</v>
      </c>
      <c r="B60" t="s">
        <v>0</v>
      </c>
      <c r="C60">
        <v>1</v>
      </c>
      <c r="D60">
        <v>4</v>
      </c>
      <c r="E60">
        <v>8</v>
      </c>
      <c r="F60">
        <v>2</v>
      </c>
      <c r="G60">
        <v>0</v>
      </c>
      <c r="H60">
        <f>표5[[#This Row],[공격성공횟수]]/(표5[[#This Row],[공격실패횟수]]+표5[[#This Row],[공격성공횟수]])</f>
        <v>0.33333333333333331</v>
      </c>
    </row>
    <row r="61" spans="1:8" hidden="1" x14ac:dyDescent="0.4">
      <c r="A61">
        <v>30</v>
      </c>
      <c r="B61" t="s">
        <v>1</v>
      </c>
      <c r="C61">
        <v>0</v>
      </c>
      <c r="D61">
        <v>2</v>
      </c>
      <c r="E61">
        <v>9</v>
      </c>
      <c r="F61">
        <v>4</v>
      </c>
      <c r="G61">
        <v>1</v>
      </c>
      <c r="H61">
        <f>표5[[#This Row],[공격성공횟수]]/(표5[[#This Row],[공격실패횟수]]+표5[[#This Row],[공격성공횟수]])</f>
        <v>0.18181818181818182</v>
      </c>
    </row>
    <row r="62" spans="1:8" x14ac:dyDescent="0.4">
      <c r="A62">
        <v>31</v>
      </c>
      <c r="B62" t="s">
        <v>0</v>
      </c>
      <c r="C62">
        <v>0</v>
      </c>
      <c r="D62">
        <v>0</v>
      </c>
      <c r="E62">
        <v>26</v>
      </c>
      <c r="F62">
        <v>4</v>
      </c>
      <c r="G62">
        <v>1</v>
      </c>
      <c r="H62">
        <f>표5[[#This Row],[공격성공횟수]]/(표5[[#This Row],[공격실패횟수]]+표5[[#This Row],[공격성공횟수]])</f>
        <v>0</v>
      </c>
    </row>
    <row r="63" spans="1:8" hidden="1" x14ac:dyDescent="0.4">
      <c r="A63">
        <v>31</v>
      </c>
      <c r="B63" t="s">
        <v>1</v>
      </c>
      <c r="C63">
        <v>1</v>
      </c>
      <c r="D63">
        <v>4</v>
      </c>
      <c r="E63">
        <v>22</v>
      </c>
      <c r="F63">
        <v>0</v>
      </c>
      <c r="G63">
        <v>0</v>
      </c>
      <c r="H63">
        <f>표5[[#This Row],[공격성공횟수]]/(표5[[#This Row],[공격실패횟수]]+표5[[#This Row],[공격성공횟수]])</f>
        <v>0.15384615384615385</v>
      </c>
    </row>
    <row r="64" spans="1:8" x14ac:dyDescent="0.4">
      <c r="A64">
        <v>32</v>
      </c>
      <c r="B64" t="s">
        <v>0</v>
      </c>
      <c r="C64">
        <v>0</v>
      </c>
      <c r="D64">
        <v>0</v>
      </c>
      <c r="E64">
        <v>23</v>
      </c>
      <c r="F64">
        <v>4</v>
      </c>
      <c r="G64">
        <v>1</v>
      </c>
      <c r="H64">
        <f>표5[[#This Row],[공격성공횟수]]/(표5[[#This Row],[공격실패횟수]]+표5[[#This Row],[공격성공횟수]])</f>
        <v>0</v>
      </c>
    </row>
    <row r="65" spans="1:8" hidden="1" x14ac:dyDescent="0.4">
      <c r="A65">
        <v>32</v>
      </c>
      <c r="B65" t="s">
        <v>1</v>
      </c>
      <c r="C65">
        <v>1</v>
      </c>
      <c r="D65">
        <v>4</v>
      </c>
      <c r="E65">
        <v>19</v>
      </c>
      <c r="F65">
        <v>0</v>
      </c>
      <c r="G65">
        <v>0</v>
      </c>
      <c r="H65">
        <f>표5[[#This Row],[공격성공횟수]]/(표5[[#This Row],[공격실패횟수]]+표5[[#This Row],[공격성공횟수]])</f>
        <v>0.17391304347826086</v>
      </c>
    </row>
    <row r="66" spans="1:8" x14ac:dyDescent="0.4">
      <c r="A66">
        <v>33</v>
      </c>
      <c r="B66" t="s">
        <v>0</v>
      </c>
      <c r="C66">
        <v>0</v>
      </c>
      <c r="D66">
        <v>2</v>
      </c>
      <c r="E66">
        <v>21</v>
      </c>
      <c r="F66">
        <v>4</v>
      </c>
      <c r="G66">
        <v>1</v>
      </c>
      <c r="H66">
        <f>표5[[#This Row],[공격성공횟수]]/(표5[[#This Row],[공격실패횟수]]+표5[[#This Row],[공격성공횟수]])</f>
        <v>8.6956521739130432E-2</v>
      </c>
    </row>
    <row r="67" spans="1:8" hidden="1" x14ac:dyDescent="0.4">
      <c r="A67">
        <v>33</v>
      </c>
      <c r="B67" t="s">
        <v>1</v>
      </c>
      <c r="C67">
        <v>1</v>
      </c>
      <c r="D67">
        <v>4</v>
      </c>
      <c r="E67">
        <v>19</v>
      </c>
      <c r="F67">
        <v>2</v>
      </c>
      <c r="G67">
        <v>0</v>
      </c>
      <c r="H67">
        <f>표5[[#This Row],[공격성공횟수]]/(표5[[#This Row],[공격실패횟수]]+표5[[#This Row],[공격성공횟수]])</f>
        <v>0.17391304347826086</v>
      </c>
    </row>
    <row r="68" spans="1:8" x14ac:dyDescent="0.4">
      <c r="A68">
        <v>34</v>
      </c>
      <c r="B68" t="s">
        <v>0</v>
      </c>
      <c r="C68">
        <v>1</v>
      </c>
      <c r="D68">
        <v>4</v>
      </c>
      <c r="E68">
        <v>3</v>
      </c>
      <c r="F68">
        <v>0</v>
      </c>
      <c r="G68">
        <v>0</v>
      </c>
      <c r="H68">
        <f>표5[[#This Row],[공격성공횟수]]/(표5[[#This Row],[공격실패횟수]]+표5[[#This Row],[공격성공횟수]])</f>
        <v>0.5714285714285714</v>
      </c>
    </row>
    <row r="69" spans="1:8" hidden="1" x14ac:dyDescent="0.4">
      <c r="A69">
        <v>34</v>
      </c>
      <c r="B69" t="s">
        <v>1</v>
      </c>
      <c r="C69">
        <v>0</v>
      </c>
      <c r="D69">
        <v>0</v>
      </c>
      <c r="E69">
        <v>6</v>
      </c>
      <c r="F69">
        <v>4</v>
      </c>
      <c r="G69">
        <v>1</v>
      </c>
      <c r="H69">
        <f>표5[[#This Row],[공격성공횟수]]/(표5[[#This Row],[공격실패횟수]]+표5[[#This Row],[공격성공횟수]])</f>
        <v>0</v>
      </c>
    </row>
    <row r="70" spans="1:8" x14ac:dyDescent="0.4">
      <c r="A70">
        <v>35</v>
      </c>
      <c r="B70" t="s">
        <v>0</v>
      </c>
      <c r="C70">
        <v>1</v>
      </c>
      <c r="D70">
        <v>4</v>
      </c>
      <c r="E70">
        <v>11</v>
      </c>
      <c r="F70">
        <v>1</v>
      </c>
      <c r="G70">
        <v>0</v>
      </c>
      <c r="H70">
        <f>표5[[#This Row],[공격성공횟수]]/(표5[[#This Row],[공격실패횟수]]+표5[[#This Row],[공격성공횟수]])</f>
        <v>0.26666666666666666</v>
      </c>
    </row>
    <row r="71" spans="1:8" hidden="1" x14ac:dyDescent="0.4">
      <c r="A71">
        <v>35</v>
      </c>
      <c r="B71" t="s">
        <v>1</v>
      </c>
      <c r="C71">
        <v>0</v>
      </c>
      <c r="D71">
        <v>1</v>
      </c>
      <c r="E71">
        <v>16</v>
      </c>
      <c r="F71">
        <v>4</v>
      </c>
      <c r="G71">
        <v>1</v>
      </c>
      <c r="H71">
        <f>표5[[#This Row],[공격성공횟수]]/(표5[[#This Row],[공격실패횟수]]+표5[[#This Row],[공격성공횟수]])</f>
        <v>5.8823529411764705E-2</v>
      </c>
    </row>
    <row r="72" spans="1:8" x14ac:dyDescent="0.4">
      <c r="A72">
        <v>36</v>
      </c>
      <c r="B72" t="s">
        <v>0</v>
      </c>
      <c r="C72">
        <v>1</v>
      </c>
      <c r="D72">
        <v>4</v>
      </c>
      <c r="E72">
        <v>25</v>
      </c>
      <c r="F72">
        <v>3</v>
      </c>
      <c r="G72">
        <v>0</v>
      </c>
      <c r="H72">
        <f>표5[[#This Row],[공격성공횟수]]/(표5[[#This Row],[공격실패횟수]]+표5[[#This Row],[공격성공횟수]])</f>
        <v>0.13793103448275862</v>
      </c>
    </row>
    <row r="73" spans="1:8" hidden="1" x14ac:dyDescent="0.4">
      <c r="A73">
        <v>36</v>
      </c>
      <c r="B73" t="s">
        <v>1</v>
      </c>
      <c r="C73">
        <v>0</v>
      </c>
      <c r="D73">
        <v>3</v>
      </c>
      <c r="E73">
        <v>26</v>
      </c>
      <c r="F73">
        <v>4</v>
      </c>
      <c r="G73">
        <v>1</v>
      </c>
      <c r="H73">
        <f>표5[[#This Row],[공격성공횟수]]/(표5[[#This Row],[공격실패횟수]]+표5[[#This Row],[공격성공횟수]])</f>
        <v>0.10344827586206896</v>
      </c>
    </row>
    <row r="74" spans="1:8" x14ac:dyDescent="0.4">
      <c r="A74">
        <v>37</v>
      </c>
      <c r="B74" t="s">
        <v>0</v>
      </c>
      <c r="C74">
        <v>0</v>
      </c>
      <c r="D74">
        <v>2</v>
      </c>
      <c r="E74">
        <v>35</v>
      </c>
      <c r="F74">
        <v>4</v>
      </c>
      <c r="G74">
        <v>1</v>
      </c>
      <c r="H74">
        <f>표5[[#This Row],[공격성공횟수]]/(표5[[#This Row],[공격실패횟수]]+표5[[#This Row],[공격성공횟수]])</f>
        <v>5.4054054054054057E-2</v>
      </c>
    </row>
    <row r="75" spans="1:8" hidden="1" x14ac:dyDescent="0.4">
      <c r="A75">
        <v>37</v>
      </c>
      <c r="B75" t="s">
        <v>1</v>
      </c>
      <c r="C75">
        <v>1</v>
      </c>
      <c r="D75">
        <v>4</v>
      </c>
      <c r="E75">
        <v>33</v>
      </c>
      <c r="F75">
        <v>2</v>
      </c>
      <c r="G75">
        <v>0</v>
      </c>
      <c r="H75">
        <f>표5[[#This Row],[공격성공횟수]]/(표5[[#This Row],[공격실패횟수]]+표5[[#This Row],[공격성공횟수]])</f>
        <v>0.10810810810810811</v>
      </c>
    </row>
    <row r="76" spans="1:8" x14ac:dyDescent="0.4">
      <c r="A76">
        <v>38</v>
      </c>
      <c r="B76" t="s">
        <v>0</v>
      </c>
      <c r="C76">
        <v>1</v>
      </c>
      <c r="D76">
        <v>4</v>
      </c>
      <c r="E76">
        <v>33</v>
      </c>
      <c r="F76">
        <v>3</v>
      </c>
      <c r="G76">
        <v>0</v>
      </c>
      <c r="H76">
        <f>표5[[#This Row],[공격성공횟수]]/(표5[[#This Row],[공격실패횟수]]+표5[[#This Row],[공격성공횟수]])</f>
        <v>0.10810810810810811</v>
      </c>
    </row>
    <row r="77" spans="1:8" hidden="1" x14ac:dyDescent="0.4">
      <c r="A77">
        <v>38</v>
      </c>
      <c r="B77" t="s">
        <v>1</v>
      </c>
      <c r="C77">
        <v>0</v>
      </c>
      <c r="D77">
        <v>3</v>
      </c>
      <c r="E77">
        <v>32</v>
      </c>
      <c r="F77">
        <v>4</v>
      </c>
      <c r="G77">
        <v>1</v>
      </c>
      <c r="H77">
        <f>표5[[#This Row],[공격성공횟수]]/(표5[[#This Row],[공격실패횟수]]+표5[[#This Row],[공격성공횟수]])</f>
        <v>8.5714285714285715E-2</v>
      </c>
    </row>
    <row r="78" spans="1:8" x14ac:dyDescent="0.4">
      <c r="A78">
        <v>39</v>
      </c>
      <c r="B78" t="s">
        <v>0</v>
      </c>
      <c r="C78">
        <v>1</v>
      </c>
      <c r="D78">
        <v>4</v>
      </c>
      <c r="E78">
        <v>26</v>
      </c>
      <c r="F78">
        <v>2</v>
      </c>
      <c r="G78">
        <v>0</v>
      </c>
      <c r="H78">
        <f>표5[[#This Row],[공격성공횟수]]/(표5[[#This Row],[공격실패횟수]]+표5[[#This Row],[공격성공횟수]])</f>
        <v>0.13333333333333333</v>
      </c>
    </row>
    <row r="79" spans="1:8" hidden="1" x14ac:dyDescent="0.4">
      <c r="A79">
        <v>39</v>
      </c>
      <c r="B79" t="s">
        <v>1</v>
      </c>
      <c r="C79">
        <v>0</v>
      </c>
      <c r="D79">
        <v>2</v>
      </c>
      <c r="E79">
        <v>27</v>
      </c>
      <c r="F79">
        <v>4</v>
      </c>
      <c r="G79">
        <v>1</v>
      </c>
      <c r="H79">
        <f>표5[[#This Row],[공격성공횟수]]/(표5[[#This Row],[공격실패횟수]]+표5[[#This Row],[공격성공횟수]])</f>
        <v>6.8965517241379309E-2</v>
      </c>
    </row>
    <row r="80" spans="1:8" x14ac:dyDescent="0.4">
      <c r="A80">
        <v>40</v>
      </c>
      <c r="B80" t="s">
        <v>0</v>
      </c>
      <c r="C80">
        <v>1</v>
      </c>
      <c r="D80">
        <v>4</v>
      </c>
      <c r="E80">
        <v>5</v>
      </c>
      <c r="F80">
        <v>0</v>
      </c>
      <c r="G80">
        <v>0</v>
      </c>
      <c r="H80">
        <f>표5[[#This Row],[공격성공횟수]]/(표5[[#This Row],[공격실패횟수]]+표5[[#This Row],[공격성공횟수]])</f>
        <v>0.44444444444444442</v>
      </c>
    </row>
    <row r="81" spans="1:8" hidden="1" x14ac:dyDescent="0.4">
      <c r="A81">
        <v>40</v>
      </c>
      <c r="B81" t="s">
        <v>1</v>
      </c>
      <c r="C81">
        <v>0</v>
      </c>
      <c r="D81">
        <v>0</v>
      </c>
      <c r="E81">
        <v>9</v>
      </c>
      <c r="F81">
        <v>4</v>
      </c>
      <c r="G81">
        <v>1</v>
      </c>
      <c r="H81">
        <f>표5[[#This Row],[공격성공횟수]]/(표5[[#This Row],[공격실패횟수]]+표5[[#This Row],[공격성공횟수]])</f>
        <v>0</v>
      </c>
    </row>
    <row r="82" spans="1:8" x14ac:dyDescent="0.4">
      <c r="A82">
        <v>41</v>
      </c>
      <c r="B82" t="s">
        <v>0</v>
      </c>
      <c r="C82">
        <v>1</v>
      </c>
      <c r="D82">
        <v>4</v>
      </c>
      <c r="E82">
        <v>15</v>
      </c>
      <c r="F82">
        <v>3</v>
      </c>
      <c r="G82">
        <v>0</v>
      </c>
      <c r="H82">
        <f>표5[[#This Row],[공격성공횟수]]/(표5[[#This Row],[공격실패횟수]]+표5[[#This Row],[공격성공횟수]])</f>
        <v>0.21052631578947367</v>
      </c>
    </row>
    <row r="83" spans="1:8" hidden="1" x14ac:dyDescent="0.4">
      <c r="A83">
        <v>41</v>
      </c>
      <c r="B83" t="s">
        <v>1</v>
      </c>
      <c r="C83">
        <v>0</v>
      </c>
      <c r="D83">
        <v>3</v>
      </c>
      <c r="E83">
        <v>16</v>
      </c>
      <c r="F83">
        <v>4</v>
      </c>
      <c r="G83">
        <v>1</v>
      </c>
      <c r="H83">
        <f>표5[[#This Row],[공격성공횟수]]/(표5[[#This Row],[공격실패횟수]]+표5[[#This Row],[공격성공횟수]])</f>
        <v>0.15789473684210525</v>
      </c>
    </row>
    <row r="84" spans="1:8" x14ac:dyDescent="0.4">
      <c r="A84">
        <v>42</v>
      </c>
      <c r="B84" t="s">
        <v>0</v>
      </c>
      <c r="C84">
        <v>1</v>
      </c>
      <c r="D84">
        <v>4</v>
      </c>
      <c r="E84">
        <v>7</v>
      </c>
      <c r="F84">
        <v>3</v>
      </c>
      <c r="G84">
        <v>0</v>
      </c>
      <c r="H84">
        <f>표5[[#This Row],[공격성공횟수]]/(표5[[#This Row],[공격실패횟수]]+표5[[#This Row],[공격성공횟수]])</f>
        <v>0.36363636363636365</v>
      </c>
    </row>
    <row r="85" spans="1:8" hidden="1" x14ac:dyDescent="0.4">
      <c r="A85">
        <v>42</v>
      </c>
      <c r="B85" t="s">
        <v>1</v>
      </c>
      <c r="C85">
        <v>0</v>
      </c>
      <c r="D85">
        <v>3</v>
      </c>
      <c r="E85">
        <v>9</v>
      </c>
      <c r="F85">
        <v>4</v>
      </c>
      <c r="G85">
        <v>1</v>
      </c>
      <c r="H85">
        <f>표5[[#This Row],[공격성공횟수]]/(표5[[#This Row],[공격실패횟수]]+표5[[#This Row],[공격성공횟수]])</f>
        <v>0.25</v>
      </c>
    </row>
    <row r="86" spans="1:8" x14ac:dyDescent="0.4">
      <c r="A86">
        <v>43</v>
      </c>
      <c r="B86" t="s">
        <v>0</v>
      </c>
      <c r="C86">
        <v>0</v>
      </c>
      <c r="D86">
        <v>2</v>
      </c>
      <c r="E86">
        <v>24</v>
      </c>
      <c r="F86">
        <v>4</v>
      </c>
      <c r="G86">
        <v>1</v>
      </c>
      <c r="H86">
        <f>표5[[#This Row],[공격성공횟수]]/(표5[[#This Row],[공격실패횟수]]+표5[[#This Row],[공격성공횟수]])</f>
        <v>7.6923076923076927E-2</v>
      </c>
    </row>
    <row r="87" spans="1:8" hidden="1" x14ac:dyDescent="0.4">
      <c r="A87">
        <v>43</v>
      </c>
      <c r="B87" t="s">
        <v>1</v>
      </c>
      <c r="C87">
        <v>1</v>
      </c>
      <c r="D87">
        <v>4</v>
      </c>
      <c r="E87">
        <v>22</v>
      </c>
      <c r="F87">
        <v>2</v>
      </c>
      <c r="G87">
        <v>0</v>
      </c>
      <c r="H87">
        <f>표5[[#This Row],[공격성공횟수]]/(표5[[#This Row],[공격실패횟수]]+표5[[#This Row],[공격성공횟수]])</f>
        <v>0.15384615384615385</v>
      </c>
    </row>
    <row r="88" spans="1:8" x14ac:dyDescent="0.4">
      <c r="A88">
        <v>44</v>
      </c>
      <c r="B88" t="s">
        <v>0</v>
      </c>
      <c r="C88">
        <v>1</v>
      </c>
      <c r="D88">
        <v>4</v>
      </c>
      <c r="E88">
        <v>23</v>
      </c>
      <c r="F88">
        <v>3</v>
      </c>
      <c r="G88">
        <v>0</v>
      </c>
      <c r="H88">
        <f>표5[[#This Row],[공격성공횟수]]/(표5[[#This Row],[공격실패횟수]]+표5[[#This Row],[공격성공횟수]])</f>
        <v>0.14814814814814814</v>
      </c>
    </row>
    <row r="89" spans="1:8" hidden="1" x14ac:dyDescent="0.4">
      <c r="A89">
        <v>44</v>
      </c>
      <c r="B89" t="s">
        <v>1</v>
      </c>
      <c r="C89">
        <v>0</v>
      </c>
      <c r="D89">
        <v>3</v>
      </c>
      <c r="E89">
        <v>23</v>
      </c>
      <c r="F89">
        <v>4</v>
      </c>
      <c r="G89">
        <v>1</v>
      </c>
      <c r="H89">
        <f>표5[[#This Row],[공격성공횟수]]/(표5[[#This Row],[공격실패횟수]]+표5[[#This Row],[공격성공횟수]])</f>
        <v>0.11538461538461539</v>
      </c>
    </row>
    <row r="90" spans="1:8" x14ac:dyDescent="0.4">
      <c r="A90">
        <v>45</v>
      </c>
      <c r="B90" t="s">
        <v>0</v>
      </c>
      <c r="C90">
        <v>1</v>
      </c>
      <c r="D90">
        <v>4</v>
      </c>
      <c r="E90">
        <v>5</v>
      </c>
      <c r="F90">
        <v>0</v>
      </c>
      <c r="G90">
        <v>0</v>
      </c>
      <c r="H90">
        <f>표5[[#This Row],[공격성공횟수]]/(표5[[#This Row],[공격실패횟수]]+표5[[#This Row],[공격성공횟수]])</f>
        <v>0.44444444444444442</v>
      </c>
    </row>
    <row r="91" spans="1:8" hidden="1" x14ac:dyDescent="0.4">
      <c r="A91">
        <v>45</v>
      </c>
      <c r="B91" t="s">
        <v>1</v>
      </c>
      <c r="C91">
        <v>0</v>
      </c>
      <c r="D91">
        <v>0</v>
      </c>
      <c r="E91">
        <v>8</v>
      </c>
      <c r="F91">
        <v>4</v>
      </c>
      <c r="G91">
        <v>1</v>
      </c>
      <c r="H91">
        <f>표5[[#This Row],[공격성공횟수]]/(표5[[#This Row],[공격실패횟수]]+표5[[#This Row],[공격성공횟수]])</f>
        <v>0</v>
      </c>
    </row>
    <row r="92" spans="1:8" x14ac:dyDescent="0.4">
      <c r="A92">
        <v>46</v>
      </c>
      <c r="B92" t="s">
        <v>0</v>
      </c>
      <c r="C92">
        <v>0</v>
      </c>
      <c r="D92">
        <v>0</v>
      </c>
      <c r="E92">
        <v>17</v>
      </c>
      <c r="F92">
        <v>4</v>
      </c>
      <c r="G92">
        <v>1</v>
      </c>
      <c r="H92">
        <f>표5[[#This Row],[공격성공횟수]]/(표5[[#This Row],[공격실패횟수]]+표5[[#This Row],[공격성공횟수]])</f>
        <v>0</v>
      </c>
    </row>
    <row r="93" spans="1:8" hidden="1" x14ac:dyDescent="0.4">
      <c r="A93">
        <v>46</v>
      </c>
      <c r="B93" t="s">
        <v>1</v>
      </c>
      <c r="C93">
        <v>1</v>
      </c>
      <c r="D93">
        <v>4</v>
      </c>
      <c r="E93">
        <v>14</v>
      </c>
      <c r="F93">
        <v>0</v>
      </c>
      <c r="G93">
        <v>0</v>
      </c>
      <c r="H93">
        <f>표5[[#This Row],[공격성공횟수]]/(표5[[#This Row],[공격실패횟수]]+표5[[#This Row],[공격성공횟수]])</f>
        <v>0.22222222222222221</v>
      </c>
    </row>
    <row r="94" spans="1:8" x14ac:dyDescent="0.4">
      <c r="A94">
        <v>47</v>
      </c>
      <c r="B94" t="s">
        <v>0</v>
      </c>
      <c r="C94">
        <v>1</v>
      </c>
      <c r="D94">
        <v>4</v>
      </c>
      <c r="E94">
        <v>13</v>
      </c>
      <c r="F94">
        <v>1</v>
      </c>
      <c r="G94">
        <v>0</v>
      </c>
      <c r="H94">
        <f>표5[[#This Row],[공격성공횟수]]/(표5[[#This Row],[공격실패횟수]]+표5[[#This Row],[공격성공횟수]])</f>
        <v>0.23529411764705882</v>
      </c>
    </row>
    <row r="95" spans="1:8" hidden="1" x14ac:dyDescent="0.4">
      <c r="A95">
        <v>47</v>
      </c>
      <c r="B95" t="s">
        <v>1</v>
      </c>
      <c r="C95">
        <v>0</v>
      </c>
      <c r="D95">
        <v>1</v>
      </c>
      <c r="E95">
        <v>15</v>
      </c>
      <c r="F95">
        <v>4</v>
      </c>
      <c r="G95">
        <v>1</v>
      </c>
      <c r="H95">
        <f>표5[[#This Row],[공격성공횟수]]/(표5[[#This Row],[공격실패횟수]]+표5[[#This Row],[공격성공횟수]])</f>
        <v>6.25E-2</v>
      </c>
    </row>
    <row r="96" spans="1:8" x14ac:dyDescent="0.4">
      <c r="A96">
        <v>48</v>
      </c>
      <c r="B96" t="s">
        <v>0</v>
      </c>
      <c r="C96">
        <v>1</v>
      </c>
      <c r="D96">
        <v>4</v>
      </c>
      <c r="E96">
        <v>20</v>
      </c>
      <c r="F96">
        <v>2</v>
      </c>
      <c r="G96">
        <v>0</v>
      </c>
      <c r="H96">
        <f>표5[[#This Row],[공격성공횟수]]/(표5[[#This Row],[공격실패횟수]]+표5[[#This Row],[공격성공횟수]])</f>
        <v>0.16666666666666666</v>
      </c>
    </row>
    <row r="97" spans="1:8" hidden="1" x14ac:dyDescent="0.4">
      <c r="A97">
        <v>48</v>
      </c>
      <c r="B97" t="s">
        <v>1</v>
      </c>
      <c r="C97">
        <v>0</v>
      </c>
      <c r="D97">
        <v>2</v>
      </c>
      <c r="E97">
        <v>22</v>
      </c>
      <c r="F97">
        <v>4</v>
      </c>
      <c r="G97">
        <v>1</v>
      </c>
      <c r="H97">
        <f>표5[[#This Row],[공격성공횟수]]/(표5[[#This Row],[공격실패횟수]]+표5[[#This Row],[공격성공횟수]])</f>
        <v>8.3333333333333329E-2</v>
      </c>
    </row>
    <row r="98" spans="1:8" x14ac:dyDescent="0.4">
      <c r="A98">
        <v>49</v>
      </c>
      <c r="B98" t="s">
        <v>0</v>
      </c>
      <c r="C98">
        <v>1</v>
      </c>
      <c r="D98">
        <v>4</v>
      </c>
      <c r="E98">
        <v>11</v>
      </c>
      <c r="F98">
        <v>3</v>
      </c>
      <c r="G98">
        <v>0</v>
      </c>
      <c r="H98">
        <f>표5[[#This Row],[공격성공횟수]]/(표5[[#This Row],[공격실패횟수]]+표5[[#This Row],[공격성공횟수]])</f>
        <v>0.26666666666666666</v>
      </c>
    </row>
    <row r="99" spans="1:8" hidden="1" x14ac:dyDescent="0.4">
      <c r="A99">
        <v>49</v>
      </c>
      <c r="B99" t="s">
        <v>1</v>
      </c>
      <c r="C99">
        <v>0</v>
      </c>
      <c r="D99">
        <v>3</v>
      </c>
      <c r="E99">
        <v>12</v>
      </c>
      <c r="F99">
        <v>4</v>
      </c>
      <c r="G99">
        <v>1</v>
      </c>
      <c r="H99">
        <f>표5[[#This Row],[공격성공횟수]]/(표5[[#This Row],[공격실패횟수]]+표5[[#This Row],[공격성공횟수]])</f>
        <v>0.2</v>
      </c>
    </row>
    <row r="100" spans="1:8" x14ac:dyDescent="0.4">
      <c r="A100">
        <v>50</v>
      </c>
      <c r="B100" t="s">
        <v>0</v>
      </c>
      <c r="C100">
        <v>1</v>
      </c>
      <c r="D100">
        <v>4</v>
      </c>
      <c r="E100">
        <v>5</v>
      </c>
      <c r="F100">
        <v>0</v>
      </c>
      <c r="G100">
        <v>0</v>
      </c>
      <c r="H100">
        <f>표5[[#This Row],[공격성공횟수]]/(표5[[#This Row],[공격실패횟수]]+표5[[#This Row],[공격성공횟수]])</f>
        <v>0.44444444444444442</v>
      </c>
    </row>
    <row r="101" spans="1:8" hidden="1" x14ac:dyDescent="0.4">
      <c r="A101">
        <v>50</v>
      </c>
      <c r="B101" t="s">
        <v>1</v>
      </c>
      <c r="C101">
        <v>0</v>
      </c>
      <c r="D101">
        <v>0</v>
      </c>
      <c r="E101">
        <v>9</v>
      </c>
      <c r="F101">
        <v>4</v>
      </c>
      <c r="G101">
        <v>1</v>
      </c>
      <c r="H101">
        <f>표5[[#This Row],[공격성공횟수]]/(표5[[#This Row],[공격실패횟수]]+표5[[#This Row],[공격성공횟수]])</f>
        <v>0</v>
      </c>
    </row>
    <row r="102" spans="1:8" x14ac:dyDescent="0.4">
      <c r="A102">
        <v>51</v>
      </c>
      <c r="B102" t="s">
        <v>0</v>
      </c>
      <c r="C102">
        <v>1</v>
      </c>
      <c r="D102">
        <v>4</v>
      </c>
      <c r="E102">
        <v>10</v>
      </c>
      <c r="F102">
        <v>3</v>
      </c>
      <c r="G102">
        <v>0</v>
      </c>
      <c r="H102">
        <f>표5[[#This Row],[공격성공횟수]]/(표5[[#This Row],[공격실패횟수]]+표5[[#This Row],[공격성공횟수]])</f>
        <v>0.2857142857142857</v>
      </c>
    </row>
    <row r="103" spans="1:8" hidden="1" x14ac:dyDescent="0.4">
      <c r="A103">
        <v>51</v>
      </c>
      <c r="B103" t="s">
        <v>1</v>
      </c>
      <c r="C103">
        <v>0</v>
      </c>
      <c r="D103">
        <v>3</v>
      </c>
      <c r="E103">
        <v>11</v>
      </c>
      <c r="F103">
        <v>4</v>
      </c>
      <c r="G103">
        <v>1</v>
      </c>
      <c r="H103">
        <f>표5[[#This Row],[공격성공횟수]]/(표5[[#This Row],[공격실패횟수]]+표5[[#This Row],[공격성공횟수]])</f>
        <v>0.21428571428571427</v>
      </c>
    </row>
    <row r="104" spans="1:8" x14ac:dyDescent="0.4">
      <c r="A104">
        <v>52</v>
      </c>
      <c r="B104" t="s">
        <v>0</v>
      </c>
      <c r="C104">
        <v>1</v>
      </c>
      <c r="D104">
        <v>4</v>
      </c>
      <c r="E104">
        <v>5</v>
      </c>
      <c r="F104">
        <v>2</v>
      </c>
      <c r="G104">
        <v>0</v>
      </c>
      <c r="H104">
        <f>표5[[#This Row],[공격성공횟수]]/(표5[[#This Row],[공격실패횟수]]+표5[[#This Row],[공격성공횟수]])</f>
        <v>0.44444444444444442</v>
      </c>
    </row>
    <row r="105" spans="1:8" hidden="1" x14ac:dyDescent="0.4">
      <c r="A105">
        <v>52</v>
      </c>
      <c r="B105" t="s">
        <v>1</v>
      </c>
      <c r="C105">
        <v>0</v>
      </c>
      <c r="D105">
        <v>2</v>
      </c>
      <c r="E105">
        <v>7</v>
      </c>
      <c r="F105">
        <v>4</v>
      </c>
      <c r="G105">
        <v>1</v>
      </c>
      <c r="H105">
        <f>표5[[#This Row],[공격성공횟수]]/(표5[[#This Row],[공격실패횟수]]+표5[[#This Row],[공격성공횟수]])</f>
        <v>0.22222222222222221</v>
      </c>
    </row>
    <row r="106" spans="1:8" x14ac:dyDescent="0.4">
      <c r="A106">
        <v>53</v>
      </c>
      <c r="B106" t="s">
        <v>0</v>
      </c>
      <c r="C106">
        <v>1</v>
      </c>
      <c r="D106">
        <v>4</v>
      </c>
      <c r="E106">
        <v>31</v>
      </c>
      <c r="F106">
        <v>3</v>
      </c>
      <c r="G106">
        <v>0</v>
      </c>
      <c r="H106">
        <f>표5[[#This Row],[공격성공횟수]]/(표5[[#This Row],[공격실패횟수]]+표5[[#This Row],[공격성공횟수]])</f>
        <v>0.11428571428571428</v>
      </c>
    </row>
    <row r="107" spans="1:8" hidden="1" x14ac:dyDescent="0.4">
      <c r="A107">
        <v>53</v>
      </c>
      <c r="B107" t="s">
        <v>1</v>
      </c>
      <c r="C107">
        <v>0</v>
      </c>
      <c r="D107">
        <v>3</v>
      </c>
      <c r="E107">
        <v>31</v>
      </c>
      <c r="F107">
        <v>4</v>
      </c>
      <c r="G107">
        <v>1</v>
      </c>
      <c r="H107">
        <f>표5[[#This Row],[공격성공횟수]]/(표5[[#This Row],[공격실패횟수]]+표5[[#This Row],[공격성공횟수]])</f>
        <v>8.8235294117647065E-2</v>
      </c>
    </row>
    <row r="108" spans="1:8" x14ac:dyDescent="0.4">
      <c r="A108">
        <v>54</v>
      </c>
      <c r="B108" t="s">
        <v>0</v>
      </c>
      <c r="C108">
        <v>0</v>
      </c>
      <c r="D108">
        <v>0</v>
      </c>
      <c r="E108">
        <v>42</v>
      </c>
      <c r="F108">
        <v>4</v>
      </c>
      <c r="G108">
        <v>1</v>
      </c>
      <c r="H108">
        <f>표5[[#This Row],[공격성공횟수]]/(표5[[#This Row],[공격실패횟수]]+표5[[#This Row],[공격성공횟수]])</f>
        <v>0</v>
      </c>
    </row>
    <row r="109" spans="1:8" hidden="1" x14ac:dyDescent="0.4">
      <c r="A109">
        <v>54</v>
      </c>
      <c r="B109" t="s">
        <v>1</v>
      </c>
      <c r="C109">
        <v>1</v>
      </c>
      <c r="D109">
        <v>4</v>
      </c>
      <c r="E109">
        <v>38</v>
      </c>
      <c r="F109">
        <v>0</v>
      </c>
      <c r="G109">
        <v>0</v>
      </c>
      <c r="H109">
        <f>표5[[#This Row],[공격성공횟수]]/(표5[[#This Row],[공격실패횟수]]+표5[[#This Row],[공격성공횟수]])</f>
        <v>9.5238095238095233E-2</v>
      </c>
    </row>
    <row r="110" spans="1:8" x14ac:dyDescent="0.4">
      <c r="A110">
        <v>55</v>
      </c>
      <c r="B110" t="s">
        <v>0</v>
      </c>
      <c r="C110">
        <v>1</v>
      </c>
      <c r="D110">
        <v>4</v>
      </c>
      <c r="E110">
        <v>6</v>
      </c>
      <c r="F110">
        <v>1</v>
      </c>
      <c r="G110">
        <v>0</v>
      </c>
      <c r="H110">
        <f>표5[[#This Row],[공격성공횟수]]/(표5[[#This Row],[공격실패횟수]]+표5[[#This Row],[공격성공횟수]])</f>
        <v>0.4</v>
      </c>
    </row>
    <row r="111" spans="1:8" hidden="1" x14ac:dyDescent="0.4">
      <c r="A111">
        <v>55</v>
      </c>
      <c r="B111" t="s">
        <v>1</v>
      </c>
      <c r="C111">
        <v>0</v>
      </c>
      <c r="D111">
        <v>1</v>
      </c>
      <c r="E111">
        <v>8</v>
      </c>
      <c r="F111">
        <v>4</v>
      </c>
      <c r="G111">
        <v>1</v>
      </c>
      <c r="H111">
        <f>표5[[#This Row],[공격성공횟수]]/(표5[[#This Row],[공격실패횟수]]+표5[[#This Row],[공격성공횟수]])</f>
        <v>0.1111111111111111</v>
      </c>
    </row>
    <row r="112" spans="1:8" x14ac:dyDescent="0.4">
      <c r="A112">
        <v>56</v>
      </c>
      <c r="B112" t="s">
        <v>0</v>
      </c>
      <c r="C112">
        <v>0</v>
      </c>
      <c r="D112">
        <v>3</v>
      </c>
      <c r="E112">
        <v>40</v>
      </c>
      <c r="F112">
        <v>4</v>
      </c>
      <c r="G112">
        <v>1</v>
      </c>
      <c r="H112">
        <f>표5[[#This Row],[공격성공횟수]]/(표5[[#This Row],[공격실패횟수]]+표5[[#This Row],[공격성공횟수]])</f>
        <v>6.9767441860465115E-2</v>
      </c>
    </row>
    <row r="113" spans="1:8" hidden="1" x14ac:dyDescent="0.4">
      <c r="A113">
        <v>56</v>
      </c>
      <c r="B113" t="s">
        <v>1</v>
      </c>
      <c r="C113">
        <v>1</v>
      </c>
      <c r="D113">
        <v>4</v>
      </c>
      <c r="E113">
        <v>39</v>
      </c>
      <c r="F113">
        <v>3</v>
      </c>
      <c r="G113">
        <v>0</v>
      </c>
      <c r="H113">
        <f>표5[[#This Row],[공격성공횟수]]/(표5[[#This Row],[공격실패횟수]]+표5[[#This Row],[공격성공횟수]])</f>
        <v>9.3023255813953487E-2</v>
      </c>
    </row>
    <row r="114" spans="1:8" x14ac:dyDescent="0.4">
      <c r="A114">
        <v>57</v>
      </c>
      <c r="B114" t="s">
        <v>0</v>
      </c>
      <c r="C114">
        <v>1</v>
      </c>
      <c r="D114">
        <v>4</v>
      </c>
      <c r="E114">
        <v>7</v>
      </c>
      <c r="F114">
        <v>0</v>
      </c>
      <c r="G114">
        <v>0</v>
      </c>
      <c r="H114">
        <f>표5[[#This Row],[공격성공횟수]]/(표5[[#This Row],[공격실패횟수]]+표5[[#This Row],[공격성공횟수]])</f>
        <v>0.36363636363636365</v>
      </c>
    </row>
    <row r="115" spans="1:8" hidden="1" x14ac:dyDescent="0.4">
      <c r="A115">
        <v>57</v>
      </c>
      <c r="B115" t="s">
        <v>1</v>
      </c>
      <c r="C115">
        <v>0</v>
      </c>
      <c r="D115">
        <v>0</v>
      </c>
      <c r="E115">
        <v>10</v>
      </c>
      <c r="F115">
        <v>4</v>
      </c>
      <c r="G115">
        <v>1</v>
      </c>
      <c r="H115">
        <f>표5[[#This Row],[공격성공횟수]]/(표5[[#This Row],[공격실패횟수]]+표5[[#This Row],[공격성공횟수]])</f>
        <v>0</v>
      </c>
    </row>
    <row r="116" spans="1:8" x14ac:dyDescent="0.4">
      <c r="A116">
        <v>58</v>
      </c>
      <c r="B116" t="s">
        <v>0</v>
      </c>
      <c r="C116">
        <v>1</v>
      </c>
      <c r="D116">
        <v>4</v>
      </c>
      <c r="E116">
        <v>8</v>
      </c>
      <c r="F116">
        <v>1</v>
      </c>
      <c r="G116">
        <v>0</v>
      </c>
      <c r="H116">
        <f>표5[[#This Row],[공격성공횟수]]/(표5[[#This Row],[공격실패횟수]]+표5[[#This Row],[공격성공횟수]])</f>
        <v>0.33333333333333331</v>
      </c>
    </row>
    <row r="117" spans="1:8" hidden="1" x14ac:dyDescent="0.4">
      <c r="A117">
        <v>58</v>
      </c>
      <c r="B117" t="s">
        <v>1</v>
      </c>
      <c r="C117">
        <v>0</v>
      </c>
      <c r="D117">
        <v>1</v>
      </c>
      <c r="E117">
        <v>11</v>
      </c>
      <c r="F117">
        <v>4</v>
      </c>
      <c r="G117">
        <v>1</v>
      </c>
      <c r="H117">
        <f>표5[[#This Row],[공격성공횟수]]/(표5[[#This Row],[공격실패횟수]]+표5[[#This Row],[공격성공횟수]])</f>
        <v>8.3333333333333329E-2</v>
      </c>
    </row>
    <row r="118" spans="1:8" x14ac:dyDescent="0.4">
      <c r="A118">
        <v>59</v>
      </c>
      <c r="B118" t="s">
        <v>0</v>
      </c>
      <c r="C118">
        <v>1</v>
      </c>
      <c r="D118">
        <v>4</v>
      </c>
      <c r="E118">
        <v>24</v>
      </c>
      <c r="F118">
        <v>3</v>
      </c>
      <c r="G118">
        <v>0</v>
      </c>
      <c r="H118">
        <f>표5[[#This Row],[공격성공횟수]]/(표5[[#This Row],[공격실패횟수]]+표5[[#This Row],[공격성공횟수]])</f>
        <v>0.14285714285714285</v>
      </c>
    </row>
    <row r="119" spans="1:8" hidden="1" x14ac:dyDescent="0.4">
      <c r="A119">
        <v>59</v>
      </c>
      <c r="B119" t="s">
        <v>1</v>
      </c>
      <c r="C119">
        <v>0</v>
      </c>
      <c r="D119">
        <v>3</v>
      </c>
      <c r="E119">
        <v>24</v>
      </c>
      <c r="F119">
        <v>4</v>
      </c>
      <c r="G119">
        <v>1</v>
      </c>
      <c r="H119">
        <f>표5[[#This Row],[공격성공횟수]]/(표5[[#This Row],[공격실패횟수]]+표5[[#This Row],[공격성공횟수]])</f>
        <v>0.1111111111111111</v>
      </c>
    </row>
    <row r="120" spans="1:8" x14ac:dyDescent="0.4">
      <c r="A120">
        <v>60</v>
      </c>
      <c r="B120" t="s">
        <v>0</v>
      </c>
      <c r="C120">
        <v>0</v>
      </c>
      <c r="D120">
        <v>0</v>
      </c>
      <c r="E120">
        <v>27</v>
      </c>
      <c r="F120">
        <v>4</v>
      </c>
      <c r="G120">
        <v>1</v>
      </c>
      <c r="H120">
        <f>표5[[#This Row],[공격성공횟수]]/(표5[[#This Row],[공격실패횟수]]+표5[[#This Row],[공격성공횟수]])</f>
        <v>0</v>
      </c>
    </row>
    <row r="121" spans="1:8" hidden="1" x14ac:dyDescent="0.4">
      <c r="A121">
        <v>60</v>
      </c>
      <c r="B121" t="s">
        <v>1</v>
      </c>
      <c r="C121">
        <v>1</v>
      </c>
      <c r="D121">
        <v>4</v>
      </c>
      <c r="E121">
        <v>23</v>
      </c>
      <c r="F121">
        <v>0</v>
      </c>
      <c r="G121">
        <v>0</v>
      </c>
      <c r="H121">
        <f>표5[[#This Row],[공격성공횟수]]/(표5[[#This Row],[공격실패횟수]]+표5[[#This Row],[공격성공횟수]])</f>
        <v>0.14814814814814814</v>
      </c>
    </row>
    <row r="122" spans="1:8" x14ac:dyDescent="0.4">
      <c r="A122">
        <v>61</v>
      </c>
      <c r="B122" t="s">
        <v>0</v>
      </c>
      <c r="C122">
        <v>1</v>
      </c>
      <c r="D122">
        <v>4</v>
      </c>
      <c r="E122">
        <v>10</v>
      </c>
      <c r="F122">
        <v>0</v>
      </c>
      <c r="G122">
        <v>0</v>
      </c>
      <c r="H122">
        <f>표5[[#This Row],[공격성공횟수]]/(표5[[#This Row],[공격실패횟수]]+표5[[#This Row],[공격성공횟수]])</f>
        <v>0.2857142857142857</v>
      </c>
    </row>
    <row r="123" spans="1:8" hidden="1" x14ac:dyDescent="0.4">
      <c r="A123">
        <v>61</v>
      </c>
      <c r="B123" t="s">
        <v>1</v>
      </c>
      <c r="C123">
        <v>0</v>
      </c>
      <c r="D123">
        <v>0</v>
      </c>
      <c r="E123">
        <v>12</v>
      </c>
      <c r="F123">
        <v>4</v>
      </c>
      <c r="G123">
        <v>1</v>
      </c>
      <c r="H123">
        <f>표5[[#This Row],[공격성공횟수]]/(표5[[#This Row],[공격실패횟수]]+표5[[#This Row],[공격성공횟수]])</f>
        <v>0</v>
      </c>
    </row>
    <row r="124" spans="1:8" x14ac:dyDescent="0.4">
      <c r="A124">
        <v>62</v>
      </c>
      <c r="B124" t="s">
        <v>0</v>
      </c>
      <c r="C124">
        <v>1</v>
      </c>
      <c r="D124">
        <v>4</v>
      </c>
      <c r="E124">
        <v>11</v>
      </c>
      <c r="F124">
        <v>0</v>
      </c>
      <c r="G124">
        <v>0</v>
      </c>
      <c r="H124">
        <f>표5[[#This Row],[공격성공횟수]]/(표5[[#This Row],[공격실패횟수]]+표5[[#This Row],[공격성공횟수]])</f>
        <v>0.26666666666666666</v>
      </c>
    </row>
    <row r="125" spans="1:8" hidden="1" x14ac:dyDescent="0.4">
      <c r="A125">
        <v>62</v>
      </c>
      <c r="B125" t="s">
        <v>1</v>
      </c>
      <c r="C125">
        <v>0</v>
      </c>
      <c r="D125">
        <v>0</v>
      </c>
      <c r="E125">
        <v>15</v>
      </c>
      <c r="F125">
        <v>4</v>
      </c>
      <c r="G125">
        <v>1</v>
      </c>
      <c r="H125">
        <f>표5[[#This Row],[공격성공횟수]]/(표5[[#This Row],[공격실패횟수]]+표5[[#This Row],[공격성공횟수]])</f>
        <v>0</v>
      </c>
    </row>
    <row r="126" spans="1:8" x14ac:dyDescent="0.4">
      <c r="A126">
        <v>63</v>
      </c>
      <c r="B126" t="s">
        <v>0</v>
      </c>
      <c r="C126">
        <v>1</v>
      </c>
      <c r="D126">
        <v>4</v>
      </c>
      <c r="E126">
        <v>7</v>
      </c>
      <c r="F126">
        <v>0</v>
      </c>
      <c r="G126">
        <v>0</v>
      </c>
      <c r="H126">
        <f>표5[[#This Row],[공격성공횟수]]/(표5[[#This Row],[공격실패횟수]]+표5[[#This Row],[공격성공횟수]])</f>
        <v>0.36363636363636365</v>
      </c>
    </row>
    <row r="127" spans="1:8" hidden="1" x14ac:dyDescent="0.4">
      <c r="A127">
        <v>63</v>
      </c>
      <c r="B127" t="s">
        <v>1</v>
      </c>
      <c r="C127">
        <v>0</v>
      </c>
      <c r="D127">
        <v>0</v>
      </c>
      <c r="E127">
        <v>10</v>
      </c>
      <c r="F127">
        <v>4</v>
      </c>
      <c r="G127">
        <v>1</v>
      </c>
      <c r="H127">
        <f>표5[[#This Row],[공격성공횟수]]/(표5[[#This Row],[공격실패횟수]]+표5[[#This Row],[공격성공횟수]])</f>
        <v>0</v>
      </c>
    </row>
    <row r="128" spans="1:8" x14ac:dyDescent="0.4">
      <c r="A128">
        <v>64</v>
      </c>
      <c r="B128" t="s">
        <v>0</v>
      </c>
      <c r="C128">
        <v>1</v>
      </c>
      <c r="D128">
        <v>4</v>
      </c>
      <c r="E128">
        <v>10</v>
      </c>
      <c r="F128">
        <v>0</v>
      </c>
      <c r="G128">
        <v>0</v>
      </c>
      <c r="H128">
        <f>표5[[#This Row],[공격성공횟수]]/(표5[[#This Row],[공격실패횟수]]+표5[[#This Row],[공격성공횟수]])</f>
        <v>0.2857142857142857</v>
      </c>
    </row>
    <row r="129" spans="1:8" hidden="1" x14ac:dyDescent="0.4">
      <c r="A129">
        <v>64</v>
      </c>
      <c r="B129" t="s">
        <v>1</v>
      </c>
      <c r="C129">
        <v>0</v>
      </c>
      <c r="D129">
        <v>0</v>
      </c>
      <c r="E129">
        <v>14</v>
      </c>
      <c r="F129">
        <v>4</v>
      </c>
      <c r="G129">
        <v>1</v>
      </c>
      <c r="H129">
        <f>표5[[#This Row],[공격성공횟수]]/(표5[[#This Row],[공격실패횟수]]+표5[[#This Row],[공격성공횟수]])</f>
        <v>0</v>
      </c>
    </row>
    <row r="130" spans="1:8" x14ac:dyDescent="0.4">
      <c r="A130">
        <v>65</v>
      </c>
      <c r="B130" t="s">
        <v>0</v>
      </c>
      <c r="C130">
        <v>1</v>
      </c>
      <c r="D130">
        <v>4</v>
      </c>
      <c r="E130">
        <v>6</v>
      </c>
      <c r="F130">
        <v>0</v>
      </c>
      <c r="G130">
        <v>0</v>
      </c>
      <c r="H130">
        <f>표5[[#This Row],[공격성공횟수]]/(표5[[#This Row],[공격실패횟수]]+표5[[#This Row],[공격성공횟수]])</f>
        <v>0.4</v>
      </c>
    </row>
    <row r="131" spans="1:8" hidden="1" x14ac:dyDescent="0.4">
      <c r="A131">
        <v>65</v>
      </c>
      <c r="B131" t="s">
        <v>1</v>
      </c>
      <c r="C131">
        <v>0</v>
      </c>
      <c r="D131">
        <v>0</v>
      </c>
      <c r="E131">
        <v>10</v>
      </c>
      <c r="F131">
        <v>4</v>
      </c>
      <c r="G131">
        <v>1</v>
      </c>
      <c r="H131">
        <f>표5[[#This Row],[공격성공횟수]]/(표5[[#This Row],[공격실패횟수]]+표5[[#This Row],[공격성공횟수]])</f>
        <v>0</v>
      </c>
    </row>
    <row r="132" spans="1:8" x14ac:dyDescent="0.4">
      <c r="A132">
        <v>66</v>
      </c>
      <c r="B132" t="s">
        <v>0</v>
      </c>
      <c r="C132">
        <v>1</v>
      </c>
      <c r="D132">
        <v>4</v>
      </c>
      <c r="E132">
        <v>15</v>
      </c>
      <c r="F132">
        <v>1</v>
      </c>
      <c r="G132">
        <v>0</v>
      </c>
      <c r="H132">
        <f>표5[[#This Row],[공격성공횟수]]/(표5[[#This Row],[공격실패횟수]]+표5[[#This Row],[공격성공횟수]])</f>
        <v>0.21052631578947367</v>
      </c>
    </row>
    <row r="133" spans="1:8" hidden="1" x14ac:dyDescent="0.4">
      <c r="A133">
        <v>66</v>
      </c>
      <c r="B133" t="s">
        <v>1</v>
      </c>
      <c r="C133">
        <v>0</v>
      </c>
      <c r="D133">
        <v>1</v>
      </c>
      <c r="E133">
        <v>17</v>
      </c>
      <c r="F133">
        <v>4</v>
      </c>
      <c r="G133">
        <v>1</v>
      </c>
      <c r="H133">
        <f>표5[[#This Row],[공격성공횟수]]/(표5[[#This Row],[공격실패횟수]]+표5[[#This Row],[공격성공횟수]])</f>
        <v>5.5555555555555552E-2</v>
      </c>
    </row>
    <row r="134" spans="1:8" x14ac:dyDescent="0.4">
      <c r="A134">
        <v>67</v>
      </c>
      <c r="B134" t="s">
        <v>0</v>
      </c>
      <c r="C134">
        <v>1</v>
      </c>
      <c r="D134">
        <v>4</v>
      </c>
      <c r="E134">
        <v>17</v>
      </c>
      <c r="F134">
        <v>0</v>
      </c>
      <c r="G134">
        <v>0</v>
      </c>
      <c r="H134">
        <f>표5[[#This Row],[공격성공횟수]]/(표5[[#This Row],[공격실패횟수]]+표5[[#This Row],[공격성공횟수]])</f>
        <v>0.19047619047619047</v>
      </c>
    </row>
    <row r="135" spans="1:8" hidden="1" x14ac:dyDescent="0.4">
      <c r="A135">
        <v>67</v>
      </c>
      <c r="B135" t="s">
        <v>1</v>
      </c>
      <c r="C135">
        <v>0</v>
      </c>
      <c r="D135">
        <v>0</v>
      </c>
      <c r="E135">
        <v>21</v>
      </c>
      <c r="F135">
        <v>4</v>
      </c>
      <c r="G135">
        <v>1</v>
      </c>
      <c r="H135">
        <f>표5[[#This Row],[공격성공횟수]]/(표5[[#This Row],[공격실패횟수]]+표5[[#This Row],[공격성공횟수]])</f>
        <v>0</v>
      </c>
    </row>
    <row r="136" spans="1:8" x14ac:dyDescent="0.4">
      <c r="A136">
        <v>68</v>
      </c>
      <c r="B136" t="s">
        <v>0</v>
      </c>
      <c r="C136">
        <v>1</v>
      </c>
      <c r="D136">
        <v>4</v>
      </c>
      <c r="E136">
        <v>8</v>
      </c>
      <c r="F136">
        <v>1</v>
      </c>
      <c r="G136">
        <v>0</v>
      </c>
      <c r="H136">
        <f>표5[[#This Row],[공격성공횟수]]/(표5[[#This Row],[공격실패횟수]]+표5[[#This Row],[공격성공횟수]])</f>
        <v>0.33333333333333331</v>
      </c>
    </row>
    <row r="137" spans="1:8" hidden="1" x14ac:dyDescent="0.4">
      <c r="A137">
        <v>68</v>
      </c>
      <c r="B137" t="s">
        <v>1</v>
      </c>
      <c r="C137">
        <v>0</v>
      </c>
      <c r="D137">
        <v>1</v>
      </c>
      <c r="E137">
        <v>11</v>
      </c>
      <c r="F137">
        <v>4</v>
      </c>
      <c r="G137">
        <v>1</v>
      </c>
      <c r="H137">
        <f>표5[[#This Row],[공격성공횟수]]/(표5[[#This Row],[공격실패횟수]]+표5[[#This Row],[공격성공횟수]])</f>
        <v>8.3333333333333329E-2</v>
      </c>
    </row>
    <row r="138" spans="1:8" x14ac:dyDescent="0.4">
      <c r="A138">
        <v>69</v>
      </c>
      <c r="B138" t="s">
        <v>0</v>
      </c>
      <c r="C138">
        <v>1</v>
      </c>
      <c r="D138">
        <v>4</v>
      </c>
      <c r="E138">
        <v>9</v>
      </c>
      <c r="F138">
        <v>1</v>
      </c>
      <c r="G138">
        <v>0</v>
      </c>
      <c r="H138">
        <f>표5[[#This Row],[공격성공횟수]]/(표5[[#This Row],[공격실패횟수]]+표5[[#This Row],[공격성공횟수]])</f>
        <v>0.30769230769230771</v>
      </c>
    </row>
    <row r="139" spans="1:8" hidden="1" x14ac:dyDescent="0.4">
      <c r="A139">
        <v>69</v>
      </c>
      <c r="B139" t="s">
        <v>1</v>
      </c>
      <c r="C139">
        <v>0</v>
      </c>
      <c r="D139">
        <v>1</v>
      </c>
      <c r="E139">
        <v>12</v>
      </c>
      <c r="F139">
        <v>4</v>
      </c>
      <c r="G139">
        <v>1</v>
      </c>
      <c r="H139">
        <f>표5[[#This Row],[공격성공횟수]]/(표5[[#This Row],[공격실패횟수]]+표5[[#This Row],[공격성공횟수]])</f>
        <v>7.6923076923076927E-2</v>
      </c>
    </row>
    <row r="140" spans="1:8" x14ac:dyDescent="0.4">
      <c r="A140">
        <v>70</v>
      </c>
      <c r="B140" t="s">
        <v>0</v>
      </c>
      <c r="C140">
        <v>1</v>
      </c>
      <c r="D140">
        <v>4</v>
      </c>
      <c r="E140">
        <v>10</v>
      </c>
      <c r="F140">
        <v>2</v>
      </c>
      <c r="G140">
        <v>0</v>
      </c>
      <c r="H140">
        <f>표5[[#This Row],[공격성공횟수]]/(표5[[#This Row],[공격실패횟수]]+표5[[#This Row],[공격성공횟수]])</f>
        <v>0.2857142857142857</v>
      </c>
    </row>
    <row r="141" spans="1:8" hidden="1" x14ac:dyDescent="0.4">
      <c r="A141">
        <v>70</v>
      </c>
      <c r="B141" t="s">
        <v>1</v>
      </c>
      <c r="C141">
        <v>0</v>
      </c>
      <c r="D141">
        <v>2</v>
      </c>
      <c r="E141">
        <v>12</v>
      </c>
      <c r="F141">
        <v>4</v>
      </c>
      <c r="G141">
        <v>1</v>
      </c>
      <c r="H141">
        <f>표5[[#This Row],[공격성공횟수]]/(표5[[#This Row],[공격실패횟수]]+표5[[#This Row],[공격성공횟수]])</f>
        <v>0.14285714285714285</v>
      </c>
    </row>
    <row r="142" spans="1:8" x14ac:dyDescent="0.4">
      <c r="A142">
        <v>71</v>
      </c>
      <c r="B142" t="s">
        <v>0</v>
      </c>
      <c r="C142">
        <v>1</v>
      </c>
      <c r="D142">
        <v>4</v>
      </c>
      <c r="E142">
        <v>26</v>
      </c>
      <c r="F142">
        <v>3</v>
      </c>
      <c r="G142">
        <v>0</v>
      </c>
      <c r="H142">
        <f>표5[[#This Row],[공격성공횟수]]/(표5[[#This Row],[공격실패횟수]]+표5[[#This Row],[공격성공횟수]])</f>
        <v>0.13333333333333333</v>
      </c>
    </row>
    <row r="143" spans="1:8" hidden="1" x14ac:dyDescent="0.4">
      <c r="A143">
        <v>71</v>
      </c>
      <c r="B143" t="s">
        <v>1</v>
      </c>
      <c r="C143">
        <v>0</v>
      </c>
      <c r="D143">
        <v>3</v>
      </c>
      <c r="E143">
        <v>26</v>
      </c>
      <c r="F143">
        <v>4</v>
      </c>
      <c r="G143">
        <v>1</v>
      </c>
      <c r="H143">
        <f>표5[[#This Row],[공격성공횟수]]/(표5[[#This Row],[공격실패횟수]]+표5[[#This Row],[공격성공횟수]])</f>
        <v>0.10344827586206896</v>
      </c>
    </row>
    <row r="144" spans="1:8" x14ac:dyDescent="0.4">
      <c r="A144">
        <v>72</v>
      </c>
      <c r="B144" t="s">
        <v>0</v>
      </c>
      <c r="C144">
        <v>1</v>
      </c>
      <c r="D144">
        <v>4</v>
      </c>
      <c r="E144">
        <v>13</v>
      </c>
      <c r="F144">
        <v>0</v>
      </c>
      <c r="G144">
        <v>0</v>
      </c>
      <c r="H144">
        <f>표5[[#This Row],[공격성공횟수]]/(표5[[#This Row],[공격실패횟수]]+표5[[#This Row],[공격성공횟수]])</f>
        <v>0.23529411764705882</v>
      </c>
    </row>
    <row r="145" spans="1:8" hidden="1" x14ac:dyDescent="0.4">
      <c r="A145">
        <v>72</v>
      </c>
      <c r="B145" t="s">
        <v>1</v>
      </c>
      <c r="C145">
        <v>0</v>
      </c>
      <c r="D145">
        <v>0</v>
      </c>
      <c r="E145">
        <v>20</v>
      </c>
      <c r="F145">
        <v>4</v>
      </c>
      <c r="G145">
        <v>1</v>
      </c>
      <c r="H145">
        <f>표5[[#This Row],[공격성공횟수]]/(표5[[#This Row],[공격실패횟수]]+표5[[#This Row],[공격성공횟수]])</f>
        <v>0</v>
      </c>
    </row>
    <row r="146" spans="1:8" x14ac:dyDescent="0.4">
      <c r="A146">
        <v>73</v>
      </c>
      <c r="B146" t="s">
        <v>0</v>
      </c>
      <c r="C146">
        <v>1</v>
      </c>
      <c r="D146">
        <v>4</v>
      </c>
      <c r="E146">
        <v>13</v>
      </c>
      <c r="F146">
        <v>0</v>
      </c>
      <c r="G146">
        <v>0</v>
      </c>
      <c r="H146">
        <f>표5[[#This Row],[공격성공횟수]]/(표5[[#This Row],[공격실패횟수]]+표5[[#This Row],[공격성공횟수]])</f>
        <v>0.23529411764705882</v>
      </c>
    </row>
    <row r="147" spans="1:8" hidden="1" x14ac:dyDescent="0.4">
      <c r="A147">
        <v>73</v>
      </c>
      <c r="B147" t="s">
        <v>1</v>
      </c>
      <c r="C147">
        <v>0</v>
      </c>
      <c r="D147">
        <v>0</v>
      </c>
      <c r="E147">
        <v>17</v>
      </c>
      <c r="F147">
        <v>4</v>
      </c>
      <c r="G147">
        <v>1</v>
      </c>
      <c r="H147">
        <f>표5[[#This Row],[공격성공횟수]]/(표5[[#This Row],[공격실패횟수]]+표5[[#This Row],[공격성공횟수]])</f>
        <v>0</v>
      </c>
    </row>
    <row r="148" spans="1:8" x14ac:dyDescent="0.4">
      <c r="A148">
        <v>74</v>
      </c>
      <c r="B148" t="s">
        <v>0</v>
      </c>
      <c r="C148">
        <v>1</v>
      </c>
      <c r="D148">
        <v>4</v>
      </c>
      <c r="E148">
        <v>5</v>
      </c>
      <c r="F148">
        <v>1</v>
      </c>
      <c r="G148">
        <v>0</v>
      </c>
      <c r="H148">
        <f>표5[[#This Row],[공격성공횟수]]/(표5[[#This Row],[공격실패횟수]]+표5[[#This Row],[공격성공횟수]])</f>
        <v>0.44444444444444442</v>
      </c>
    </row>
    <row r="149" spans="1:8" hidden="1" x14ac:dyDescent="0.4">
      <c r="A149">
        <v>74</v>
      </c>
      <c r="B149" t="s">
        <v>1</v>
      </c>
      <c r="C149">
        <v>0</v>
      </c>
      <c r="D149">
        <v>1</v>
      </c>
      <c r="E149">
        <v>10</v>
      </c>
      <c r="F149">
        <v>4</v>
      </c>
      <c r="G149">
        <v>1</v>
      </c>
      <c r="H149">
        <f>표5[[#This Row],[공격성공횟수]]/(표5[[#This Row],[공격실패횟수]]+표5[[#This Row],[공격성공횟수]])</f>
        <v>9.0909090909090912E-2</v>
      </c>
    </row>
    <row r="150" spans="1:8" x14ac:dyDescent="0.4">
      <c r="A150">
        <v>75</v>
      </c>
      <c r="B150" t="s">
        <v>0</v>
      </c>
      <c r="C150">
        <v>1</v>
      </c>
      <c r="D150">
        <v>4</v>
      </c>
      <c r="E150">
        <v>10</v>
      </c>
      <c r="F150">
        <v>2</v>
      </c>
      <c r="G150">
        <v>0</v>
      </c>
      <c r="H150">
        <f>표5[[#This Row],[공격성공횟수]]/(표5[[#This Row],[공격실패횟수]]+표5[[#This Row],[공격성공횟수]])</f>
        <v>0.2857142857142857</v>
      </c>
    </row>
    <row r="151" spans="1:8" hidden="1" x14ac:dyDescent="0.4">
      <c r="A151">
        <v>75</v>
      </c>
      <c r="B151" t="s">
        <v>1</v>
      </c>
      <c r="C151">
        <v>0</v>
      </c>
      <c r="D151">
        <v>2</v>
      </c>
      <c r="E151">
        <v>11</v>
      </c>
      <c r="F151">
        <v>4</v>
      </c>
      <c r="G151">
        <v>1</v>
      </c>
      <c r="H151">
        <f>표5[[#This Row],[공격성공횟수]]/(표5[[#This Row],[공격실패횟수]]+표5[[#This Row],[공격성공횟수]])</f>
        <v>0.15384615384615385</v>
      </c>
    </row>
    <row r="152" spans="1:8" x14ac:dyDescent="0.4">
      <c r="A152">
        <v>76</v>
      </c>
      <c r="B152" t="s">
        <v>0</v>
      </c>
      <c r="C152">
        <v>1</v>
      </c>
      <c r="D152">
        <v>4</v>
      </c>
      <c r="E152">
        <v>11</v>
      </c>
      <c r="F152">
        <v>2</v>
      </c>
      <c r="G152">
        <v>0</v>
      </c>
      <c r="H152">
        <f>표5[[#This Row],[공격성공횟수]]/(표5[[#This Row],[공격실패횟수]]+표5[[#This Row],[공격성공횟수]])</f>
        <v>0.26666666666666666</v>
      </c>
    </row>
    <row r="153" spans="1:8" hidden="1" x14ac:dyDescent="0.4">
      <c r="A153">
        <v>76</v>
      </c>
      <c r="B153" t="s">
        <v>1</v>
      </c>
      <c r="C153">
        <v>0</v>
      </c>
      <c r="D153">
        <v>2</v>
      </c>
      <c r="E153">
        <v>13</v>
      </c>
      <c r="F153">
        <v>4</v>
      </c>
      <c r="G153">
        <v>1</v>
      </c>
      <c r="H153">
        <f>표5[[#This Row],[공격성공횟수]]/(표5[[#This Row],[공격실패횟수]]+표5[[#This Row],[공격성공횟수]])</f>
        <v>0.13333333333333333</v>
      </c>
    </row>
    <row r="154" spans="1:8" x14ac:dyDescent="0.4">
      <c r="A154">
        <v>77</v>
      </c>
      <c r="B154" t="s">
        <v>0</v>
      </c>
      <c r="C154">
        <v>1</v>
      </c>
      <c r="D154">
        <v>4</v>
      </c>
      <c r="E154">
        <v>7</v>
      </c>
      <c r="F154">
        <v>1</v>
      </c>
      <c r="G154">
        <v>0</v>
      </c>
      <c r="H154">
        <f>표5[[#This Row],[공격성공횟수]]/(표5[[#This Row],[공격실패횟수]]+표5[[#This Row],[공격성공횟수]])</f>
        <v>0.36363636363636365</v>
      </c>
    </row>
    <row r="155" spans="1:8" hidden="1" x14ac:dyDescent="0.4">
      <c r="A155">
        <v>77</v>
      </c>
      <c r="B155" t="s">
        <v>1</v>
      </c>
      <c r="C155">
        <v>0</v>
      </c>
      <c r="D155">
        <v>1</v>
      </c>
      <c r="E155">
        <v>11</v>
      </c>
      <c r="F155">
        <v>4</v>
      </c>
      <c r="G155">
        <v>1</v>
      </c>
      <c r="H155">
        <f>표5[[#This Row],[공격성공횟수]]/(표5[[#This Row],[공격실패횟수]]+표5[[#This Row],[공격성공횟수]])</f>
        <v>8.3333333333333329E-2</v>
      </c>
    </row>
    <row r="156" spans="1:8" x14ac:dyDescent="0.4">
      <c r="A156">
        <v>78</v>
      </c>
      <c r="B156" t="s">
        <v>0</v>
      </c>
      <c r="C156">
        <v>1</v>
      </c>
      <c r="D156">
        <v>4</v>
      </c>
      <c r="E156">
        <v>12</v>
      </c>
      <c r="F156">
        <v>0</v>
      </c>
      <c r="G156">
        <v>0</v>
      </c>
      <c r="H156">
        <f>표5[[#This Row],[공격성공횟수]]/(표5[[#This Row],[공격실패횟수]]+표5[[#This Row],[공격성공횟수]])</f>
        <v>0.25</v>
      </c>
    </row>
    <row r="157" spans="1:8" hidden="1" x14ac:dyDescent="0.4">
      <c r="A157">
        <v>78</v>
      </c>
      <c r="B157" t="s">
        <v>1</v>
      </c>
      <c r="C157">
        <v>0</v>
      </c>
      <c r="D157">
        <v>0</v>
      </c>
      <c r="E157">
        <v>16</v>
      </c>
      <c r="F157">
        <v>4</v>
      </c>
      <c r="G157">
        <v>1</v>
      </c>
      <c r="H157">
        <f>표5[[#This Row],[공격성공횟수]]/(표5[[#This Row],[공격실패횟수]]+표5[[#This Row],[공격성공횟수]])</f>
        <v>0</v>
      </c>
    </row>
    <row r="158" spans="1:8" x14ac:dyDescent="0.4">
      <c r="A158">
        <v>79</v>
      </c>
      <c r="B158" t="s">
        <v>0</v>
      </c>
      <c r="C158">
        <v>1</v>
      </c>
      <c r="D158">
        <v>4</v>
      </c>
      <c r="E158">
        <v>13</v>
      </c>
      <c r="F158">
        <v>2</v>
      </c>
      <c r="G158">
        <v>0</v>
      </c>
      <c r="H158">
        <f>표5[[#This Row],[공격성공횟수]]/(표5[[#This Row],[공격실패횟수]]+표5[[#This Row],[공격성공횟수]])</f>
        <v>0.23529411764705882</v>
      </c>
    </row>
    <row r="159" spans="1:8" hidden="1" x14ac:dyDescent="0.4">
      <c r="A159">
        <v>79</v>
      </c>
      <c r="B159" t="s">
        <v>1</v>
      </c>
      <c r="C159">
        <v>0</v>
      </c>
      <c r="D159">
        <v>2</v>
      </c>
      <c r="E159">
        <v>14</v>
      </c>
      <c r="F159">
        <v>4</v>
      </c>
      <c r="G159">
        <v>1</v>
      </c>
      <c r="H159">
        <f>표5[[#This Row],[공격성공횟수]]/(표5[[#This Row],[공격실패횟수]]+표5[[#This Row],[공격성공횟수]])</f>
        <v>0.125</v>
      </c>
    </row>
    <row r="160" spans="1:8" x14ac:dyDescent="0.4">
      <c r="A160">
        <v>80</v>
      </c>
      <c r="B160" t="s">
        <v>0</v>
      </c>
      <c r="C160">
        <v>0</v>
      </c>
      <c r="D160">
        <v>1</v>
      </c>
      <c r="E160">
        <v>11</v>
      </c>
      <c r="F160">
        <v>4</v>
      </c>
      <c r="G160">
        <v>1</v>
      </c>
      <c r="H160">
        <f>표5[[#This Row],[공격성공횟수]]/(표5[[#This Row],[공격실패횟수]]+표5[[#This Row],[공격성공횟수]])</f>
        <v>8.3333333333333329E-2</v>
      </c>
    </row>
    <row r="161" spans="1:8" hidden="1" x14ac:dyDescent="0.4">
      <c r="A161">
        <v>80</v>
      </c>
      <c r="B161" t="s">
        <v>1</v>
      </c>
      <c r="C161">
        <v>1</v>
      </c>
      <c r="D161">
        <v>4</v>
      </c>
      <c r="E161">
        <v>8</v>
      </c>
      <c r="F161">
        <v>1</v>
      </c>
      <c r="G161">
        <v>0</v>
      </c>
      <c r="H161">
        <f>표5[[#This Row],[공격성공횟수]]/(표5[[#This Row],[공격실패횟수]]+표5[[#This Row],[공격성공횟수]])</f>
        <v>0.33333333333333331</v>
      </c>
    </row>
    <row r="162" spans="1:8" x14ac:dyDescent="0.4">
      <c r="A162">
        <v>81</v>
      </c>
      <c r="B162" t="s">
        <v>0</v>
      </c>
      <c r="C162">
        <v>1</v>
      </c>
      <c r="D162">
        <v>4</v>
      </c>
      <c r="E162">
        <v>6</v>
      </c>
      <c r="F162">
        <v>0</v>
      </c>
      <c r="G162">
        <v>0</v>
      </c>
      <c r="H162">
        <f>표5[[#This Row],[공격성공횟수]]/(표5[[#This Row],[공격실패횟수]]+표5[[#This Row],[공격성공횟수]])</f>
        <v>0.4</v>
      </c>
    </row>
    <row r="163" spans="1:8" hidden="1" x14ac:dyDescent="0.4">
      <c r="A163">
        <v>81</v>
      </c>
      <c r="B163" t="s">
        <v>1</v>
      </c>
      <c r="C163">
        <v>0</v>
      </c>
      <c r="D163">
        <v>0</v>
      </c>
      <c r="E163">
        <v>9</v>
      </c>
      <c r="F163">
        <v>4</v>
      </c>
      <c r="G163">
        <v>1</v>
      </c>
      <c r="H163">
        <f>표5[[#This Row],[공격성공횟수]]/(표5[[#This Row],[공격실패횟수]]+표5[[#This Row],[공격성공횟수]])</f>
        <v>0</v>
      </c>
    </row>
    <row r="164" spans="1:8" x14ac:dyDescent="0.4">
      <c r="A164">
        <v>82</v>
      </c>
      <c r="B164" t="s">
        <v>0</v>
      </c>
      <c r="C164">
        <v>1</v>
      </c>
      <c r="D164">
        <v>4</v>
      </c>
      <c r="E164">
        <v>10</v>
      </c>
      <c r="F164">
        <v>3</v>
      </c>
      <c r="G164">
        <v>0</v>
      </c>
      <c r="H164">
        <f>표5[[#This Row],[공격성공횟수]]/(표5[[#This Row],[공격실패횟수]]+표5[[#This Row],[공격성공횟수]])</f>
        <v>0.2857142857142857</v>
      </c>
    </row>
    <row r="165" spans="1:8" hidden="1" x14ac:dyDescent="0.4">
      <c r="A165">
        <v>82</v>
      </c>
      <c r="B165" t="s">
        <v>1</v>
      </c>
      <c r="C165">
        <v>0</v>
      </c>
      <c r="D165">
        <v>3</v>
      </c>
      <c r="E165">
        <v>11</v>
      </c>
      <c r="F165">
        <v>4</v>
      </c>
      <c r="G165">
        <v>1</v>
      </c>
      <c r="H165">
        <f>표5[[#This Row],[공격성공횟수]]/(표5[[#This Row],[공격실패횟수]]+표5[[#This Row],[공격성공횟수]])</f>
        <v>0.21428571428571427</v>
      </c>
    </row>
    <row r="166" spans="1:8" x14ac:dyDescent="0.4">
      <c r="A166">
        <v>83</v>
      </c>
      <c r="B166" t="s">
        <v>0</v>
      </c>
      <c r="C166">
        <v>1</v>
      </c>
      <c r="D166">
        <v>4</v>
      </c>
      <c r="E166">
        <v>6</v>
      </c>
      <c r="F166">
        <v>3</v>
      </c>
      <c r="G166">
        <v>0</v>
      </c>
      <c r="H166">
        <f>표5[[#This Row],[공격성공횟수]]/(표5[[#This Row],[공격실패횟수]]+표5[[#This Row],[공격성공횟수]])</f>
        <v>0.4</v>
      </c>
    </row>
    <row r="167" spans="1:8" hidden="1" x14ac:dyDescent="0.4">
      <c r="A167">
        <v>83</v>
      </c>
      <c r="B167" t="s">
        <v>1</v>
      </c>
      <c r="C167">
        <v>0</v>
      </c>
      <c r="D167">
        <v>3</v>
      </c>
      <c r="E167">
        <v>7</v>
      </c>
      <c r="F167">
        <v>4</v>
      </c>
      <c r="G167">
        <v>1</v>
      </c>
      <c r="H167">
        <f>표5[[#This Row],[공격성공횟수]]/(표5[[#This Row],[공격실패횟수]]+표5[[#This Row],[공격성공횟수]])</f>
        <v>0.3</v>
      </c>
    </row>
    <row r="168" spans="1:8" x14ac:dyDescent="0.4">
      <c r="A168">
        <v>84</v>
      </c>
      <c r="B168" t="s">
        <v>0</v>
      </c>
      <c r="C168">
        <v>1</v>
      </c>
      <c r="D168">
        <v>4</v>
      </c>
      <c r="E168">
        <v>12</v>
      </c>
      <c r="F168">
        <v>0</v>
      </c>
      <c r="G168">
        <v>0</v>
      </c>
      <c r="H168">
        <f>표5[[#This Row],[공격성공횟수]]/(표5[[#This Row],[공격실패횟수]]+표5[[#This Row],[공격성공횟수]])</f>
        <v>0.25</v>
      </c>
    </row>
    <row r="169" spans="1:8" hidden="1" x14ac:dyDescent="0.4">
      <c r="A169">
        <v>84</v>
      </c>
      <c r="B169" t="s">
        <v>1</v>
      </c>
      <c r="C169">
        <v>0</v>
      </c>
      <c r="D169">
        <v>0</v>
      </c>
      <c r="E169">
        <v>16</v>
      </c>
      <c r="F169">
        <v>4</v>
      </c>
      <c r="G169">
        <v>1</v>
      </c>
      <c r="H169">
        <f>표5[[#This Row],[공격성공횟수]]/(표5[[#This Row],[공격실패횟수]]+표5[[#This Row],[공격성공횟수]])</f>
        <v>0</v>
      </c>
    </row>
    <row r="170" spans="1:8" x14ac:dyDescent="0.4">
      <c r="A170">
        <v>85</v>
      </c>
      <c r="B170" t="s">
        <v>0</v>
      </c>
      <c r="C170">
        <v>1</v>
      </c>
      <c r="D170">
        <v>4</v>
      </c>
      <c r="E170">
        <v>7</v>
      </c>
      <c r="F170">
        <v>1</v>
      </c>
      <c r="G170">
        <v>0</v>
      </c>
      <c r="H170">
        <f>표5[[#This Row],[공격성공횟수]]/(표5[[#This Row],[공격실패횟수]]+표5[[#This Row],[공격성공횟수]])</f>
        <v>0.36363636363636365</v>
      </c>
    </row>
    <row r="171" spans="1:8" hidden="1" x14ac:dyDescent="0.4">
      <c r="A171">
        <v>85</v>
      </c>
      <c r="B171" t="s">
        <v>1</v>
      </c>
      <c r="C171">
        <v>0</v>
      </c>
      <c r="D171">
        <v>1</v>
      </c>
      <c r="E171">
        <v>10</v>
      </c>
      <c r="F171">
        <v>4</v>
      </c>
      <c r="G171">
        <v>1</v>
      </c>
      <c r="H171">
        <f>표5[[#This Row],[공격성공횟수]]/(표5[[#This Row],[공격실패횟수]]+표5[[#This Row],[공격성공횟수]])</f>
        <v>9.0909090909090912E-2</v>
      </c>
    </row>
    <row r="172" spans="1:8" x14ac:dyDescent="0.4">
      <c r="A172">
        <v>86</v>
      </c>
      <c r="B172" t="s">
        <v>0</v>
      </c>
      <c r="C172">
        <v>1</v>
      </c>
      <c r="D172">
        <v>4</v>
      </c>
      <c r="E172">
        <v>39</v>
      </c>
      <c r="F172">
        <v>2</v>
      </c>
      <c r="G172">
        <v>0</v>
      </c>
      <c r="H172">
        <f>표5[[#This Row],[공격성공횟수]]/(표5[[#This Row],[공격실패횟수]]+표5[[#This Row],[공격성공횟수]])</f>
        <v>9.3023255813953487E-2</v>
      </c>
    </row>
    <row r="173" spans="1:8" hidden="1" x14ac:dyDescent="0.4">
      <c r="A173">
        <v>86</v>
      </c>
      <c r="B173" t="s">
        <v>1</v>
      </c>
      <c r="C173">
        <v>0</v>
      </c>
      <c r="D173">
        <v>2</v>
      </c>
      <c r="E173">
        <v>40</v>
      </c>
      <c r="F173">
        <v>4</v>
      </c>
      <c r="G173">
        <v>1</v>
      </c>
      <c r="H173">
        <f>표5[[#This Row],[공격성공횟수]]/(표5[[#This Row],[공격실패횟수]]+표5[[#This Row],[공격성공횟수]])</f>
        <v>4.7619047619047616E-2</v>
      </c>
    </row>
    <row r="174" spans="1:8" x14ac:dyDescent="0.4">
      <c r="A174">
        <v>87</v>
      </c>
      <c r="B174" t="s">
        <v>0</v>
      </c>
      <c r="C174">
        <v>1</v>
      </c>
      <c r="D174">
        <v>4</v>
      </c>
      <c r="E174">
        <v>14</v>
      </c>
      <c r="F174">
        <v>0</v>
      </c>
      <c r="G174">
        <v>0</v>
      </c>
      <c r="H174">
        <f>표5[[#This Row],[공격성공횟수]]/(표5[[#This Row],[공격실패횟수]]+표5[[#This Row],[공격성공횟수]])</f>
        <v>0.22222222222222221</v>
      </c>
    </row>
    <row r="175" spans="1:8" hidden="1" x14ac:dyDescent="0.4">
      <c r="A175">
        <v>87</v>
      </c>
      <c r="B175" t="s">
        <v>1</v>
      </c>
      <c r="C175">
        <v>0</v>
      </c>
      <c r="D175">
        <v>0</v>
      </c>
      <c r="E175">
        <v>22</v>
      </c>
      <c r="F175">
        <v>4</v>
      </c>
      <c r="G175">
        <v>1</v>
      </c>
      <c r="H175">
        <f>표5[[#This Row],[공격성공횟수]]/(표5[[#This Row],[공격실패횟수]]+표5[[#This Row],[공격성공횟수]])</f>
        <v>0</v>
      </c>
    </row>
    <row r="176" spans="1:8" x14ac:dyDescent="0.4">
      <c r="A176">
        <v>88</v>
      </c>
      <c r="B176" t="s">
        <v>0</v>
      </c>
      <c r="C176">
        <v>1</v>
      </c>
      <c r="D176">
        <v>4</v>
      </c>
      <c r="E176">
        <v>16</v>
      </c>
      <c r="F176">
        <v>1</v>
      </c>
      <c r="G176">
        <v>0</v>
      </c>
      <c r="H176">
        <f>표5[[#This Row],[공격성공횟수]]/(표5[[#This Row],[공격실패횟수]]+표5[[#This Row],[공격성공횟수]])</f>
        <v>0.2</v>
      </c>
    </row>
    <row r="177" spans="1:8" hidden="1" x14ac:dyDescent="0.4">
      <c r="A177">
        <v>88</v>
      </c>
      <c r="B177" t="s">
        <v>1</v>
      </c>
      <c r="C177">
        <v>0</v>
      </c>
      <c r="D177">
        <v>1</v>
      </c>
      <c r="E177">
        <v>18</v>
      </c>
      <c r="F177">
        <v>4</v>
      </c>
      <c r="G177">
        <v>1</v>
      </c>
      <c r="H177">
        <f>표5[[#This Row],[공격성공횟수]]/(표5[[#This Row],[공격실패횟수]]+표5[[#This Row],[공격성공횟수]])</f>
        <v>5.2631578947368418E-2</v>
      </c>
    </row>
    <row r="178" spans="1:8" x14ac:dyDescent="0.4">
      <c r="A178">
        <v>89</v>
      </c>
      <c r="B178" t="s">
        <v>0</v>
      </c>
      <c r="C178">
        <v>0</v>
      </c>
      <c r="D178">
        <v>0</v>
      </c>
      <c r="E178">
        <v>19</v>
      </c>
      <c r="F178">
        <v>4</v>
      </c>
      <c r="G178">
        <v>1</v>
      </c>
      <c r="H178">
        <f>표5[[#This Row],[공격성공횟수]]/(표5[[#This Row],[공격실패횟수]]+표5[[#This Row],[공격성공횟수]])</f>
        <v>0</v>
      </c>
    </row>
    <row r="179" spans="1:8" hidden="1" x14ac:dyDescent="0.4">
      <c r="A179">
        <v>89</v>
      </c>
      <c r="B179" t="s">
        <v>1</v>
      </c>
      <c r="C179">
        <v>1</v>
      </c>
      <c r="D179">
        <v>4</v>
      </c>
      <c r="E179">
        <v>16</v>
      </c>
      <c r="F179">
        <v>0</v>
      </c>
      <c r="G179">
        <v>0</v>
      </c>
      <c r="H179">
        <f>표5[[#This Row],[공격성공횟수]]/(표5[[#This Row],[공격실패횟수]]+표5[[#This Row],[공격성공횟수]])</f>
        <v>0.2</v>
      </c>
    </row>
    <row r="180" spans="1:8" x14ac:dyDescent="0.4">
      <c r="A180">
        <v>90</v>
      </c>
      <c r="B180" t="s">
        <v>0</v>
      </c>
      <c r="C180">
        <v>1</v>
      </c>
      <c r="D180">
        <v>4</v>
      </c>
      <c r="E180">
        <v>11</v>
      </c>
      <c r="F180">
        <v>2</v>
      </c>
      <c r="G180">
        <v>0</v>
      </c>
      <c r="H180">
        <f>표5[[#This Row],[공격성공횟수]]/(표5[[#This Row],[공격실패횟수]]+표5[[#This Row],[공격성공횟수]])</f>
        <v>0.26666666666666666</v>
      </c>
    </row>
    <row r="181" spans="1:8" hidden="1" x14ac:dyDescent="0.4">
      <c r="A181">
        <v>90</v>
      </c>
      <c r="B181" t="s">
        <v>1</v>
      </c>
      <c r="C181">
        <v>0</v>
      </c>
      <c r="D181">
        <v>2</v>
      </c>
      <c r="E181">
        <v>12</v>
      </c>
      <c r="F181">
        <v>4</v>
      </c>
      <c r="G181">
        <v>1</v>
      </c>
      <c r="H181">
        <f>표5[[#This Row],[공격성공횟수]]/(표5[[#This Row],[공격실패횟수]]+표5[[#This Row],[공격성공횟수]])</f>
        <v>0.14285714285714285</v>
      </c>
    </row>
    <row r="182" spans="1:8" x14ac:dyDescent="0.4">
      <c r="A182">
        <v>91</v>
      </c>
      <c r="B182" t="s">
        <v>0</v>
      </c>
      <c r="C182">
        <v>1</v>
      </c>
      <c r="D182">
        <v>4</v>
      </c>
      <c r="E182">
        <v>16</v>
      </c>
      <c r="F182">
        <v>0</v>
      </c>
      <c r="G182">
        <v>0</v>
      </c>
      <c r="H182">
        <f>표5[[#This Row],[공격성공횟수]]/(표5[[#This Row],[공격실패횟수]]+표5[[#This Row],[공격성공횟수]])</f>
        <v>0.2</v>
      </c>
    </row>
    <row r="183" spans="1:8" hidden="1" x14ac:dyDescent="0.4">
      <c r="A183">
        <v>91</v>
      </c>
      <c r="B183" t="s">
        <v>1</v>
      </c>
      <c r="C183">
        <v>0</v>
      </c>
      <c r="D183">
        <v>0</v>
      </c>
      <c r="E183">
        <v>24</v>
      </c>
      <c r="F183">
        <v>4</v>
      </c>
      <c r="G183">
        <v>1</v>
      </c>
      <c r="H183">
        <f>표5[[#This Row],[공격성공횟수]]/(표5[[#This Row],[공격실패횟수]]+표5[[#This Row],[공격성공횟수]])</f>
        <v>0</v>
      </c>
    </row>
    <row r="184" spans="1:8" x14ac:dyDescent="0.4">
      <c r="A184">
        <v>92</v>
      </c>
      <c r="B184" t="s">
        <v>0</v>
      </c>
      <c r="C184">
        <v>1</v>
      </c>
      <c r="D184">
        <v>4</v>
      </c>
      <c r="E184">
        <v>11</v>
      </c>
      <c r="F184">
        <v>0</v>
      </c>
      <c r="G184">
        <v>0</v>
      </c>
      <c r="H184">
        <f>표5[[#This Row],[공격성공횟수]]/(표5[[#This Row],[공격실패횟수]]+표5[[#This Row],[공격성공횟수]])</f>
        <v>0.26666666666666666</v>
      </c>
    </row>
    <row r="185" spans="1:8" hidden="1" x14ac:dyDescent="0.4">
      <c r="A185">
        <v>92</v>
      </c>
      <c r="B185" t="s">
        <v>1</v>
      </c>
      <c r="C185">
        <v>0</v>
      </c>
      <c r="D185">
        <v>0</v>
      </c>
      <c r="E185">
        <v>15</v>
      </c>
      <c r="F185">
        <v>4</v>
      </c>
      <c r="G185">
        <v>1</v>
      </c>
      <c r="H185">
        <f>표5[[#This Row],[공격성공횟수]]/(표5[[#This Row],[공격실패횟수]]+표5[[#This Row],[공격성공횟수]])</f>
        <v>0</v>
      </c>
    </row>
    <row r="186" spans="1:8" x14ac:dyDescent="0.4">
      <c r="A186">
        <v>93</v>
      </c>
      <c r="B186" t="s">
        <v>0</v>
      </c>
      <c r="C186">
        <v>1</v>
      </c>
      <c r="D186">
        <v>4</v>
      </c>
      <c r="E186">
        <v>8</v>
      </c>
      <c r="F186">
        <v>1</v>
      </c>
      <c r="G186">
        <v>0</v>
      </c>
      <c r="H186">
        <f>표5[[#This Row],[공격성공횟수]]/(표5[[#This Row],[공격실패횟수]]+표5[[#This Row],[공격성공횟수]])</f>
        <v>0.33333333333333331</v>
      </c>
    </row>
    <row r="187" spans="1:8" hidden="1" x14ac:dyDescent="0.4">
      <c r="A187">
        <v>93</v>
      </c>
      <c r="B187" t="s">
        <v>1</v>
      </c>
      <c r="C187">
        <v>0</v>
      </c>
      <c r="D187">
        <v>1</v>
      </c>
      <c r="E187">
        <v>10</v>
      </c>
      <c r="F187">
        <v>4</v>
      </c>
      <c r="G187">
        <v>1</v>
      </c>
      <c r="H187">
        <f>표5[[#This Row],[공격성공횟수]]/(표5[[#This Row],[공격실패횟수]]+표5[[#This Row],[공격성공횟수]])</f>
        <v>9.0909090909090912E-2</v>
      </c>
    </row>
    <row r="188" spans="1:8" x14ac:dyDescent="0.4">
      <c r="A188">
        <v>94</v>
      </c>
      <c r="B188" t="s">
        <v>0</v>
      </c>
      <c r="C188">
        <v>1</v>
      </c>
      <c r="D188">
        <v>4</v>
      </c>
      <c r="E188">
        <v>4</v>
      </c>
      <c r="F188">
        <v>0</v>
      </c>
      <c r="G188">
        <v>0</v>
      </c>
      <c r="H188">
        <f>표5[[#This Row],[공격성공횟수]]/(표5[[#This Row],[공격실패횟수]]+표5[[#This Row],[공격성공횟수]])</f>
        <v>0.5</v>
      </c>
    </row>
    <row r="189" spans="1:8" hidden="1" x14ac:dyDescent="0.4">
      <c r="A189">
        <v>94</v>
      </c>
      <c r="B189" t="s">
        <v>1</v>
      </c>
      <c r="C189">
        <v>0</v>
      </c>
      <c r="D189">
        <v>0</v>
      </c>
      <c r="E189">
        <v>8</v>
      </c>
      <c r="F189">
        <v>4</v>
      </c>
      <c r="G189">
        <v>1</v>
      </c>
      <c r="H189">
        <f>표5[[#This Row],[공격성공횟수]]/(표5[[#This Row],[공격실패횟수]]+표5[[#This Row],[공격성공횟수]])</f>
        <v>0</v>
      </c>
    </row>
    <row r="190" spans="1:8" x14ac:dyDescent="0.4">
      <c r="A190">
        <v>95</v>
      </c>
      <c r="B190" t="s">
        <v>0</v>
      </c>
      <c r="C190">
        <v>1</v>
      </c>
      <c r="D190">
        <v>4</v>
      </c>
      <c r="E190">
        <v>31</v>
      </c>
      <c r="F190">
        <v>1</v>
      </c>
      <c r="G190">
        <v>0</v>
      </c>
      <c r="H190">
        <f>표5[[#This Row],[공격성공횟수]]/(표5[[#This Row],[공격실패횟수]]+표5[[#This Row],[공격성공횟수]])</f>
        <v>0.11428571428571428</v>
      </c>
    </row>
    <row r="191" spans="1:8" hidden="1" x14ac:dyDescent="0.4">
      <c r="A191">
        <v>95</v>
      </c>
      <c r="B191" t="s">
        <v>1</v>
      </c>
      <c r="C191">
        <v>0</v>
      </c>
      <c r="D191">
        <v>1</v>
      </c>
      <c r="E191">
        <v>34</v>
      </c>
      <c r="F191">
        <v>4</v>
      </c>
      <c r="G191">
        <v>1</v>
      </c>
      <c r="H191">
        <f>표5[[#This Row],[공격성공횟수]]/(표5[[#This Row],[공격실패횟수]]+표5[[#This Row],[공격성공횟수]])</f>
        <v>2.8571428571428571E-2</v>
      </c>
    </row>
    <row r="192" spans="1:8" x14ac:dyDescent="0.4">
      <c r="A192">
        <v>96</v>
      </c>
      <c r="B192" t="s">
        <v>0</v>
      </c>
      <c r="C192">
        <v>1</v>
      </c>
      <c r="D192">
        <v>4</v>
      </c>
      <c r="E192">
        <v>6</v>
      </c>
      <c r="F192">
        <v>1</v>
      </c>
      <c r="G192">
        <v>0</v>
      </c>
      <c r="H192">
        <f>표5[[#This Row],[공격성공횟수]]/(표5[[#This Row],[공격실패횟수]]+표5[[#This Row],[공격성공횟수]])</f>
        <v>0.4</v>
      </c>
    </row>
    <row r="193" spans="1:8" hidden="1" x14ac:dyDescent="0.4">
      <c r="A193">
        <v>96</v>
      </c>
      <c r="B193" t="s">
        <v>1</v>
      </c>
      <c r="C193">
        <v>0</v>
      </c>
      <c r="D193">
        <v>1</v>
      </c>
      <c r="E193">
        <v>9</v>
      </c>
      <c r="F193">
        <v>4</v>
      </c>
      <c r="G193">
        <v>1</v>
      </c>
      <c r="H193">
        <f>표5[[#This Row],[공격성공횟수]]/(표5[[#This Row],[공격실패횟수]]+표5[[#This Row],[공격성공횟수]])</f>
        <v>0.1</v>
      </c>
    </row>
    <row r="194" spans="1:8" x14ac:dyDescent="0.4">
      <c r="A194">
        <v>97</v>
      </c>
      <c r="B194" t="s">
        <v>0</v>
      </c>
      <c r="C194">
        <v>1</v>
      </c>
      <c r="D194">
        <v>4</v>
      </c>
      <c r="E194">
        <v>4</v>
      </c>
      <c r="F194">
        <v>0</v>
      </c>
      <c r="G194">
        <v>0</v>
      </c>
      <c r="H194">
        <f>표5[[#This Row],[공격성공횟수]]/(표5[[#This Row],[공격실패횟수]]+표5[[#This Row],[공격성공횟수]])</f>
        <v>0.5</v>
      </c>
    </row>
    <row r="195" spans="1:8" hidden="1" x14ac:dyDescent="0.4">
      <c r="A195">
        <v>97</v>
      </c>
      <c r="B195" t="s">
        <v>1</v>
      </c>
      <c r="C195">
        <v>0</v>
      </c>
      <c r="D195">
        <v>0</v>
      </c>
      <c r="E195">
        <v>8</v>
      </c>
      <c r="F195">
        <v>4</v>
      </c>
      <c r="G195">
        <v>1</v>
      </c>
      <c r="H195">
        <f>표5[[#This Row],[공격성공횟수]]/(표5[[#This Row],[공격실패횟수]]+표5[[#This Row],[공격성공횟수]])</f>
        <v>0</v>
      </c>
    </row>
    <row r="196" spans="1:8" x14ac:dyDescent="0.4">
      <c r="A196">
        <v>98</v>
      </c>
      <c r="B196" t="s">
        <v>0</v>
      </c>
      <c r="C196">
        <v>1</v>
      </c>
      <c r="D196">
        <v>4</v>
      </c>
      <c r="E196">
        <v>9</v>
      </c>
      <c r="F196">
        <v>1</v>
      </c>
      <c r="G196">
        <v>0</v>
      </c>
      <c r="H196">
        <f>표5[[#This Row],[공격성공횟수]]/(표5[[#This Row],[공격실패횟수]]+표5[[#This Row],[공격성공횟수]])</f>
        <v>0.30769230769230771</v>
      </c>
    </row>
    <row r="197" spans="1:8" hidden="1" x14ac:dyDescent="0.4">
      <c r="A197">
        <v>98</v>
      </c>
      <c r="B197" t="s">
        <v>1</v>
      </c>
      <c r="C197">
        <v>0</v>
      </c>
      <c r="D197">
        <v>1</v>
      </c>
      <c r="E197">
        <v>12</v>
      </c>
      <c r="F197">
        <v>4</v>
      </c>
      <c r="G197">
        <v>1</v>
      </c>
      <c r="H197">
        <f>표5[[#This Row],[공격성공횟수]]/(표5[[#This Row],[공격실패횟수]]+표5[[#This Row],[공격성공횟수]])</f>
        <v>7.6923076923076927E-2</v>
      </c>
    </row>
    <row r="198" spans="1:8" x14ac:dyDescent="0.4">
      <c r="A198">
        <v>99</v>
      </c>
      <c r="B198" t="s">
        <v>0</v>
      </c>
      <c r="C198">
        <v>1</v>
      </c>
      <c r="D198">
        <v>4</v>
      </c>
      <c r="E198">
        <v>4</v>
      </c>
      <c r="F198">
        <v>0</v>
      </c>
      <c r="G198">
        <v>0</v>
      </c>
      <c r="H198">
        <f>표5[[#This Row],[공격성공횟수]]/(표5[[#This Row],[공격실패횟수]]+표5[[#This Row],[공격성공횟수]])</f>
        <v>0.5</v>
      </c>
    </row>
    <row r="199" spans="1:8" hidden="1" x14ac:dyDescent="0.4">
      <c r="A199">
        <v>99</v>
      </c>
      <c r="B199" t="s">
        <v>1</v>
      </c>
      <c r="C199">
        <v>0</v>
      </c>
      <c r="D199">
        <v>0</v>
      </c>
      <c r="E199">
        <v>8</v>
      </c>
      <c r="F199">
        <v>4</v>
      </c>
      <c r="G199">
        <v>1</v>
      </c>
      <c r="H199">
        <f>표5[[#This Row],[공격성공횟수]]/(표5[[#This Row],[공격실패횟수]]+표5[[#This Row],[공격성공횟수]])</f>
        <v>0</v>
      </c>
    </row>
    <row r="200" spans="1:8" x14ac:dyDescent="0.4">
      <c r="A200">
        <v>100</v>
      </c>
      <c r="B200" t="s">
        <v>0</v>
      </c>
      <c r="C200">
        <v>1</v>
      </c>
      <c r="D200">
        <v>4</v>
      </c>
      <c r="E200">
        <v>13</v>
      </c>
      <c r="F200">
        <v>0</v>
      </c>
      <c r="G200">
        <v>0</v>
      </c>
      <c r="H200">
        <f>표5[[#This Row],[공격성공횟수]]/(표5[[#This Row],[공격실패횟수]]+표5[[#This Row],[공격성공횟수]])</f>
        <v>0.23529411764705882</v>
      </c>
    </row>
    <row r="201" spans="1:8" hidden="1" x14ac:dyDescent="0.4">
      <c r="A201">
        <v>100</v>
      </c>
      <c r="B201" t="s">
        <v>1</v>
      </c>
      <c r="C201">
        <v>0</v>
      </c>
      <c r="D201">
        <v>0</v>
      </c>
      <c r="E201">
        <v>18</v>
      </c>
      <c r="F201">
        <v>4</v>
      </c>
      <c r="G201">
        <v>1</v>
      </c>
      <c r="H201">
        <f>표5[[#This Row],[공격성공횟수]]/(표5[[#This Row],[공격실패횟수]]+표5[[#This Row],[공격성공횟수]])</f>
        <v>0</v>
      </c>
    </row>
    <row r="202" spans="1:8" x14ac:dyDescent="0.4">
      <c r="A202">
        <v>101</v>
      </c>
      <c r="B202" t="s">
        <v>0</v>
      </c>
      <c r="C202">
        <v>1</v>
      </c>
      <c r="D202">
        <v>4</v>
      </c>
      <c r="E202">
        <v>8</v>
      </c>
      <c r="F202">
        <v>3</v>
      </c>
      <c r="G202">
        <v>0</v>
      </c>
      <c r="H202">
        <f>표5[[#This Row],[공격성공횟수]]/(표5[[#This Row],[공격실패횟수]]+표5[[#This Row],[공격성공횟수]])</f>
        <v>0.33333333333333331</v>
      </c>
    </row>
    <row r="203" spans="1:8" hidden="1" x14ac:dyDescent="0.4">
      <c r="A203">
        <v>101</v>
      </c>
      <c r="B203" t="s">
        <v>1</v>
      </c>
      <c r="C203">
        <v>0</v>
      </c>
      <c r="D203">
        <v>3</v>
      </c>
      <c r="E203">
        <v>9</v>
      </c>
      <c r="F203">
        <v>4</v>
      </c>
      <c r="G203">
        <v>1</v>
      </c>
      <c r="H203">
        <f>표5[[#This Row],[공격성공횟수]]/(표5[[#This Row],[공격실패횟수]]+표5[[#This Row],[공격성공횟수]])</f>
        <v>0.25</v>
      </c>
    </row>
    <row r="204" spans="1:8" x14ac:dyDescent="0.4">
      <c r="A204">
        <v>102</v>
      </c>
      <c r="B204" t="s">
        <v>0</v>
      </c>
      <c r="C204">
        <v>1</v>
      </c>
      <c r="D204">
        <v>4</v>
      </c>
      <c r="E204">
        <v>4</v>
      </c>
      <c r="F204">
        <v>0</v>
      </c>
      <c r="G204">
        <v>0</v>
      </c>
      <c r="H204">
        <f>표5[[#This Row],[공격성공횟수]]/(표5[[#This Row],[공격실패횟수]]+표5[[#This Row],[공격성공횟수]])</f>
        <v>0.5</v>
      </c>
    </row>
    <row r="205" spans="1:8" hidden="1" x14ac:dyDescent="0.4">
      <c r="A205">
        <v>102</v>
      </c>
      <c r="B205" t="s">
        <v>1</v>
      </c>
      <c r="C205">
        <v>0</v>
      </c>
      <c r="D205">
        <v>0</v>
      </c>
      <c r="E205">
        <v>8</v>
      </c>
      <c r="F205">
        <v>4</v>
      </c>
      <c r="G205">
        <v>1</v>
      </c>
      <c r="H205">
        <f>표5[[#This Row],[공격성공횟수]]/(표5[[#This Row],[공격실패횟수]]+표5[[#This Row],[공격성공횟수]])</f>
        <v>0</v>
      </c>
    </row>
    <row r="206" spans="1:8" x14ac:dyDescent="0.4">
      <c r="A206">
        <v>103</v>
      </c>
      <c r="B206" t="s">
        <v>0</v>
      </c>
      <c r="C206">
        <v>1</v>
      </c>
      <c r="D206">
        <v>4</v>
      </c>
      <c r="E206">
        <v>17</v>
      </c>
      <c r="F206">
        <v>0</v>
      </c>
      <c r="G206">
        <v>0</v>
      </c>
      <c r="H206">
        <f>표5[[#This Row],[공격성공횟수]]/(표5[[#This Row],[공격실패횟수]]+표5[[#This Row],[공격성공횟수]])</f>
        <v>0.19047619047619047</v>
      </c>
    </row>
    <row r="207" spans="1:8" hidden="1" x14ac:dyDescent="0.4">
      <c r="A207">
        <v>103</v>
      </c>
      <c r="B207" t="s">
        <v>1</v>
      </c>
      <c r="C207">
        <v>0</v>
      </c>
      <c r="D207">
        <v>0</v>
      </c>
      <c r="E207">
        <v>24</v>
      </c>
      <c r="F207">
        <v>4</v>
      </c>
      <c r="G207">
        <v>1</v>
      </c>
      <c r="H207">
        <f>표5[[#This Row],[공격성공횟수]]/(표5[[#This Row],[공격실패횟수]]+표5[[#This Row],[공격성공횟수]])</f>
        <v>0</v>
      </c>
    </row>
    <row r="208" spans="1:8" x14ac:dyDescent="0.4">
      <c r="A208">
        <v>104</v>
      </c>
      <c r="B208" t="s">
        <v>0</v>
      </c>
      <c r="C208">
        <v>1</v>
      </c>
      <c r="D208">
        <v>4</v>
      </c>
      <c r="E208">
        <v>6</v>
      </c>
      <c r="F208">
        <v>1</v>
      </c>
      <c r="G208">
        <v>0</v>
      </c>
      <c r="H208">
        <f>표5[[#This Row],[공격성공횟수]]/(표5[[#This Row],[공격실패횟수]]+표5[[#This Row],[공격성공횟수]])</f>
        <v>0.4</v>
      </c>
    </row>
    <row r="209" spans="1:8" hidden="1" x14ac:dyDescent="0.4">
      <c r="A209">
        <v>104</v>
      </c>
      <c r="B209" t="s">
        <v>1</v>
      </c>
      <c r="C209">
        <v>0</v>
      </c>
      <c r="D209">
        <v>1</v>
      </c>
      <c r="E209">
        <v>9</v>
      </c>
      <c r="F209">
        <v>4</v>
      </c>
      <c r="G209">
        <v>1</v>
      </c>
      <c r="H209">
        <f>표5[[#This Row],[공격성공횟수]]/(표5[[#This Row],[공격실패횟수]]+표5[[#This Row],[공격성공횟수]])</f>
        <v>0.1</v>
      </c>
    </row>
    <row r="210" spans="1:8" x14ac:dyDescent="0.4">
      <c r="A210">
        <v>105</v>
      </c>
      <c r="B210" t="s">
        <v>0</v>
      </c>
      <c r="C210">
        <v>1</v>
      </c>
      <c r="D210">
        <v>4</v>
      </c>
      <c r="E210">
        <v>9</v>
      </c>
      <c r="F210">
        <v>1</v>
      </c>
      <c r="G210">
        <v>0</v>
      </c>
      <c r="H210">
        <f>표5[[#This Row],[공격성공횟수]]/(표5[[#This Row],[공격실패횟수]]+표5[[#This Row],[공격성공횟수]])</f>
        <v>0.30769230769230771</v>
      </c>
    </row>
    <row r="211" spans="1:8" hidden="1" x14ac:dyDescent="0.4">
      <c r="A211">
        <v>105</v>
      </c>
      <c r="B211" t="s">
        <v>1</v>
      </c>
      <c r="C211">
        <v>0</v>
      </c>
      <c r="D211">
        <v>1</v>
      </c>
      <c r="E211">
        <v>11</v>
      </c>
      <c r="F211">
        <v>4</v>
      </c>
      <c r="G211">
        <v>1</v>
      </c>
      <c r="H211">
        <f>표5[[#This Row],[공격성공횟수]]/(표5[[#This Row],[공격실패횟수]]+표5[[#This Row],[공격성공횟수]])</f>
        <v>8.3333333333333329E-2</v>
      </c>
    </row>
    <row r="212" spans="1:8" x14ac:dyDescent="0.4">
      <c r="A212">
        <v>106</v>
      </c>
      <c r="B212" t="s">
        <v>0</v>
      </c>
      <c r="C212">
        <v>0</v>
      </c>
      <c r="D212">
        <v>0</v>
      </c>
      <c r="E212">
        <v>19</v>
      </c>
      <c r="F212">
        <v>4</v>
      </c>
      <c r="G212">
        <v>1</v>
      </c>
      <c r="H212">
        <f>표5[[#This Row],[공격성공횟수]]/(표5[[#This Row],[공격실패횟수]]+표5[[#This Row],[공격성공횟수]])</f>
        <v>0</v>
      </c>
    </row>
    <row r="213" spans="1:8" hidden="1" x14ac:dyDescent="0.4">
      <c r="A213">
        <v>106</v>
      </c>
      <c r="B213" t="s">
        <v>1</v>
      </c>
      <c r="C213">
        <v>1</v>
      </c>
      <c r="D213">
        <v>4</v>
      </c>
      <c r="E213">
        <v>16</v>
      </c>
      <c r="F213">
        <v>0</v>
      </c>
      <c r="G213">
        <v>0</v>
      </c>
      <c r="H213">
        <f>표5[[#This Row],[공격성공횟수]]/(표5[[#This Row],[공격실패횟수]]+표5[[#This Row],[공격성공횟수]])</f>
        <v>0.2</v>
      </c>
    </row>
    <row r="214" spans="1:8" x14ac:dyDescent="0.4">
      <c r="A214">
        <v>107</v>
      </c>
      <c r="B214" t="s">
        <v>0</v>
      </c>
      <c r="C214">
        <v>1</v>
      </c>
      <c r="D214">
        <v>4</v>
      </c>
      <c r="E214">
        <v>41</v>
      </c>
      <c r="F214">
        <v>3</v>
      </c>
      <c r="G214">
        <v>0</v>
      </c>
      <c r="H214">
        <f>표5[[#This Row],[공격성공횟수]]/(표5[[#This Row],[공격실패횟수]]+표5[[#This Row],[공격성공횟수]])</f>
        <v>8.8888888888888892E-2</v>
      </c>
    </row>
    <row r="215" spans="1:8" hidden="1" x14ac:dyDescent="0.4">
      <c r="A215">
        <v>107</v>
      </c>
      <c r="B215" t="s">
        <v>1</v>
      </c>
      <c r="C215">
        <v>0</v>
      </c>
      <c r="D215">
        <v>3</v>
      </c>
      <c r="E215">
        <v>40</v>
      </c>
      <c r="F215">
        <v>4</v>
      </c>
      <c r="G215">
        <v>1</v>
      </c>
      <c r="H215">
        <f>표5[[#This Row],[공격성공횟수]]/(표5[[#This Row],[공격실패횟수]]+표5[[#This Row],[공격성공횟수]])</f>
        <v>6.9767441860465115E-2</v>
      </c>
    </row>
    <row r="216" spans="1:8" x14ac:dyDescent="0.4">
      <c r="A216">
        <v>108</v>
      </c>
      <c r="B216" t="s">
        <v>0</v>
      </c>
      <c r="C216">
        <v>1</v>
      </c>
      <c r="D216">
        <v>4</v>
      </c>
      <c r="E216">
        <v>22</v>
      </c>
      <c r="F216">
        <v>3</v>
      </c>
      <c r="G216">
        <v>0</v>
      </c>
      <c r="H216">
        <f>표5[[#This Row],[공격성공횟수]]/(표5[[#This Row],[공격실패횟수]]+표5[[#This Row],[공격성공횟수]])</f>
        <v>0.15384615384615385</v>
      </c>
    </row>
    <row r="217" spans="1:8" hidden="1" x14ac:dyDescent="0.4">
      <c r="A217">
        <v>108</v>
      </c>
      <c r="B217" t="s">
        <v>1</v>
      </c>
      <c r="C217">
        <v>0</v>
      </c>
      <c r="D217">
        <v>3</v>
      </c>
      <c r="E217">
        <v>22</v>
      </c>
      <c r="F217">
        <v>4</v>
      </c>
      <c r="G217">
        <v>1</v>
      </c>
      <c r="H217">
        <f>표5[[#This Row],[공격성공횟수]]/(표5[[#This Row],[공격실패횟수]]+표5[[#This Row],[공격성공횟수]])</f>
        <v>0.12</v>
      </c>
    </row>
    <row r="218" spans="1:8" x14ac:dyDescent="0.4">
      <c r="A218">
        <v>109</v>
      </c>
      <c r="B218" t="s">
        <v>0</v>
      </c>
      <c r="C218">
        <v>1</v>
      </c>
      <c r="D218">
        <v>4</v>
      </c>
      <c r="E218">
        <v>8</v>
      </c>
      <c r="F218">
        <v>1</v>
      </c>
      <c r="G218">
        <v>0</v>
      </c>
      <c r="H218">
        <f>표5[[#This Row],[공격성공횟수]]/(표5[[#This Row],[공격실패횟수]]+표5[[#This Row],[공격성공횟수]])</f>
        <v>0.33333333333333331</v>
      </c>
    </row>
    <row r="219" spans="1:8" hidden="1" x14ac:dyDescent="0.4">
      <c r="A219">
        <v>109</v>
      </c>
      <c r="B219" t="s">
        <v>1</v>
      </c>
      <c r="C219">
        <v>0</v>
      </c>
      <c r="D219">
        <v>1</v>
      </c>
      <c r="E219">
        <v>11</v>
      </c>
      <c r="F219">
        <v>4</v>
      </c>
      <c r="G219">
        <v>1</v>
      </c>
      <c r="H219">
        <f>표5[[#This Row],[공격성공횟수]]/(표5[[#This Row],[공격실패횟수]]+표5[[#This Row],[공격성공횟수]])</f>
        <v>8.3333333333333329E-2</v>
      </c>
    </row>
    <row r="220" spans="1:8" x14ac:dyDescent="0.4">
      <c r="A220">
        <v>110</v>
      </c>
      <c r="B220" t="s">
        <v>0</v>
      </c>
      <c r="C220">
        <v>1</v>
      </c>
      <c r="D220">
        <v>4</v>
      </c>
      <c r="E220">
        <v>22</v>
      </c>
      <c r="F220">
        <v>1</v>
      </c>
      <c r="G220">
        <v>0</v>
      </c>
      <c r="H220">
        <f>표5[[#This Row],[공격성공횟수]]/(표5[[#This Row],[공격실패횟수]]+표5[[#This Row],[공격성공횟수]])</f>
        <v>0.15384615384615385</v>
      </c>
    </row>
    <row r="221" spans="1:8" hidden="1" x14ac:dyDescent="0.4">
      <c r="A221">
        <v>110</v>
      </c>
      <c r="B221" t="s">
        <v>1</v>
      </c>
      <c r="C221">
        <v>0</v>
      </c>
      <c r="D221">
        <v>1</v>
      </c>
      <c r="E221">
        <v>24</v>
      </c>
      <c r="F221">
        <v>4</v>
      </c>
      <c r="G221">
        <v>1</v>
      </c>
      <c r="H221">
        <f>표5[[#This Row],[공격성공횟수]]/(표5[[#This Row],[공격실패횟수]]+표5[[#This Row],[공격성공횟수]])</f>
        <v>0.04</v>
      </c>
    </row>
    <row r="222" spans="1:8" x14ac:dyDescent="0.4">
      <c r="A222">
        <v>111</v>
      </c>
      <c r="B222" t="s">
        <v>0</v>
      </c>
      <c r="C222">
        <v>0</v>
      </c>
      <c r="D222">
        <v>1</v>
      </c>
      <c r="E222">
        <v>15</v>
      </c>
      <c r="F222">
        <v>4</v>
      </c>
      <c r="G222">
        <v>1</v>
      </c>
      <c r="H222">
        <f>표5[[#This Row],[공격성공횟수]]/(표5[[#This Row],[공격실패횟수]]+표5[[#This Row],[공격성공횟수]])</f>
        <v>6.25E-2</v>
      </c>
    </row>
    <row r="223" spans="1:8" hidden="1" x14ac:dyDescent="0.4">
      <c r="A223">
        <v>111</v>
      </c>
      <c r="B223" t="s">
        <v>1</v>
      </c>
      <c r="C223">
        <v>1</v>
      </c>
      <c r="D223">
        <v>4</v>
      </c>
      <c r="E223">
        <v>12</v>
      </c>
      <c r="F223">
        <v>1</v>
      </c>
      <c r="G223">
        <v>0</v>
      </c>
      <c r="H223">
        <f>표5[[#This Row],[공격성공횟수]]/(표5[[#This Row],[공격실패횟수]]+표5[[#This Row],[공격성공횟수]])</f>
        <v>0.25</v>
      </c>
    </row>
    <row r="224" spans="1:8" x14ac:dyDescent="0.4">
      <c r="A224">
        <v>112</v>
      </c>
      <c r="B224" t="s">
        <v>0</v>
      </c>
      <c r="C224">
        <v>0</v>
      </c>
      <c r="D224">
        <v>0</v>
      </c>
      <c r="E224">
        <v>13</v>
      </c>
      <c r="F224">
        <v>4</v>
      </c>
      <c r="G224">
        <v>1</v>
      </c>
      <c r="H224">
        <f>표5[[#This Row],[공격성공횟수]]/(표5[[#This Row],[공격실패횟수]]+표5[[#This Row],[공격성공횟수]])</f>
        <v>0</v>
      </c>
    </row>
    <row r="225" spans="1:8" hidden="1" x14ac:dyDescent="0.4">
      <c r="A225">
        <v>112</v>
      </c>
      <c r="B225" t="s">
        <v>1</v>
      </c>
      <c r="C225">
        <v>1</v>
      </c>
      <c r="D225">
        <v>4</v>
      </c>
      <c r="E225">
        <v>9</v>
      </c>
      <c r="F225">
        <v>0</v>
      </c>
      <c r="G225">
        <v>0</v>
      </c>
      <c r="H225">
        <f>표5[[#This Row],[공격성공횟수]]/(표5[[#This Row],[공격실패횟수]]+표5[[#This Row],[공격성공횟수]])</f>
        <v>0.30769230769230771</v>
      </c>
    </row>
    <row r="226" spans="1:8" x14ac:dyDescent="0.4">
      <c r="A226">
        <v>113</v>
      </c>
      <c r="B226" t="s">
        <v>0</v>
      </c>
      <c r="C226">
        <v>1</v>
      </c>
      <c r="D226">
        <v>4</v>
      </c>
      <c r="E226">
        <v>22</v>
      </c>
      <c r="F226">
        <v>1</v>
      </c>
      <c r="G226">
        <v>0</v>
      </c>
      <c r="H226">
        <f>표5[[#This Row],[공격성공횟수]]/(표5[[#This Row],[공격실패횟수]]+표5[[#This Row],[공격성공횟수]])</f>
        <v>0.15384615384615385</v>
      </c>
    </row>
    <row r="227" spans="1:8" hidden="1" x14ac:dyDescent="0.4">
      <c r="A227">
        <v>113</v>
      </c>
      <c r="B227" t="s">
        <v>1</v>
      </c>
      <c r="C227">
        <v>0</v>
      </c>
      <c r="D227">
        <v>1</v>
      </c>
      <c r="E227">
        <v>23</v>
      </c>
      <c r="F227">
        <v>4</v>
      </c>
      <c r="G227">
        <v>1</v>
      </c>
      <c r="H227">
        <f>표5[[#This Row],[공격성공횟수]]/(표5[[#This Row],[공격실패횟수]]+표5[[#This Row],[공격성공횟수]])</f>
        <v>4.1666666666666664E-2</v>
      </c>
    </row>
    <row r="228" spans="1:8" x14ac:dyDescent="0.4">
      <c r="A228">
        <v>114</v>
      </c>
      <c r="B228" t="s">
        <v>0</v>
      </c>
      <c r="C228">
        <v>1</v>
      </c>
      <c r="D228">
        <v>4</v>
      </c>
      <c r="E228">
        <v>19</v>
      </c>
      <c r="F228">
        <v>0</v>
      </c>
      <c r="G228">
        <v>0</v>
      </c>
      <c r="H228">
        <f>표5[[#This Row],[공격성공횟수]]/(표5[[#This Row],[공격실패횟수]]+표5[[#This Row],[공격성공횟수]])</f>
        <v>0.17391304347826086</v>
      </c>
    </row>
    <row r="229" spans="1:8" hidden="1" x14ac:dyDescent="0.4">
      <c r="A229">
        <v>114</v>
      </c>
      <c r="B229" t="s">
        <v>1</v>
      </c>
      <c r="C229">
        <v>0</v>
      </c>
      <c r="D229">
        <v>0</v>
      </c>
      <c r="E229">
        <v>27</v>
      </c>
      <c r="F229">
        <v>4</v>
      </c>
      <c r="G229">
        <v>1</v>
      </c>
      <c r="H229">
        <f>표5[[#This Row],[공격성공횟수]]/(표5[[#This Row],[공격실패횟수]]+표5[[#This Row],[공격성공횟수]])</f>
        <v>0</v>
      </c>
    </row>
    <row r="230" spans="1:8" x14ac:dyDescent="0.4">
      <c r="A230">
        <v>115</v>
      </c>
      <c r="B230" t="s">
        <v>0</v>
      </c>
      <c r="C230">
        <v>1</v>
      </c>
      <c r="D230">
        <v>4</v>
      </c>
      <c r="E230">
        <v>10</v>
      </c>
      <c r="F230">
        <v>0</v>
      </c>
      <c r="G230">
        <v>0</v>
      </c>
      <c r="H230">
        <f>표5[[#This Row],[공격성공횟수]]/(표5[[#This Row],[공격실패횟수]]+표5[[#This Row],[공격성공횟수]])</f>
        <v>0.2857142857142857</v>
      </c>
    </row>
    <row r="231" spans="1:8" hidden="1" x14ac:dyDescent="0.4">
      <c r="A231">
        <v>115</v>
      </c>
      <c r="B231" t="s">
        <v>1</v>
      </c>
      <c r="C231">
        <v>0</v>
      </c>
      <c r="D231">
        <v>0</v>
      </c>
      <c r="E231">
        <v>14</v>
      </c>
      <c r="F231">
        <v>4</v>
      </c>
      <c r="G231">
        <v>1</v>
      </c>
      <c r="H231">
        <f>표5[[#This Row],[공격성공횟수]]/(표5[[#This Row],[공격실패횟수]]+표5[[#This Row],[공격성공횟수]])</f>
        <v>0</v>
      </c>
    </row>
    <row r="232" spans="1:8" x14ac:dyDescent="0.4">
      <c r="A232">
        <v>116</v>
      </c>
      <c r="B232" t="s">
        <v>0</v>
      </c>
      <c r="C232">
        <v>1</v>
      </c>
      <c r="D232">
        <v>4</v>
      </c>
      <c r="E232">
        <v>7</v>
      </c>
      <c r="F232">
        <v>0</v>
      </c>
      <c r="G232">
        <v>0</v>
      </c>
      <c r="H232">
        <f>표5[[#This Row],[공격성공횟수]]/(표5[[#This Row],[공격실패횟수]]+표5[[#This Row],[공격성공횟수]])</f>
        <v>0.36363636363636365</v>
      </c>
    </row>
    <row r="233" spans="1:8" hidden="1" x14ac:dyDescent="0.4">
      <c r="A233">
        <v>116</v>
      </c>
      <c r="B233" t="s">
        <v>1</v>
      </c>
      <c r="C233">
        <v>0</v>
      </c>
      <c r="D233">
        <v>0</v>
      </c>
      <c r="E233">
        <v>11</v>
      </c>
      <c r="F233">
        <v>4</v>
      </c>
      <c r="G233">
        <v>1</v>
      </c>
      <c r="H233">
        <f>표5[[#This Row],[공격성공횟수]]/(표5[[#This Row],[공격실패횟수]]+표5[[#This Row],[공격성공횟수]])</f>
        <v>0</v>
      </c>
    </row>
    <row r="234" spans="1:8" x14ac:dyDescent="0.4">
      <c r="A234">
        <v>117</v>
      </c>
      <c r="B234" t="s">
        <v>0</v>
      </c>
      <c r="C234">
        <v>1</v>
      </c>
      <c r="D234">
        <v>4</v>
      </c>
      <c r="E234">
        <v>10</v>
      </c>
      <c r="F234">
        <v>1</v>
      </c>
      <c r="G234">
        <v>0</v>
      </c>
      <c r="H234">
        <f>표5[[#This Row],[공격성공횟수]]/(표5[[#This Row],[공격실패횟수]]+표5[[#This Row],[공격성공횟수]])</f>
        <v>0.2857142857142857</v>
      </c>
    </row>
    <row r="235" spans="1:8" hidden="1" x14ac:dyDescent="0.4">
      <c r="A235">
        <v>117</v>
      </c>
      <c r="B235" t="s">
        <v>1</v>
      </c>
      <c r="C235">
        <v>0</v>
      </c>
      <c r="D235">
        <v>1</v>
      </c>
      <c r="E235">
        <v>13</v>
      </c>
      <c r="F235">
        <v>4</v>
      </c>
      <c r="G235">
        <v>1</v>
      </c>
      <c r="H235">
        <f>표5[[#This Row],[공격성공횟수]]/(표5[[#This Row],[공격실패횟수]]+표5[[#This Row],[공격성공횟수]])</f>
        <v>7.1428571428571425E-2</v>
      </c>
    </row>
    <row r="236" spans="1:8" x14ac:dyDescent="0.4">
      <c r="A236">
        <v>118</v>
      </c>
      <c r="B236" t="s">
        <v>0</v>
      </c>
      <c r="C236">
        <v>1</v>
      </c>
      <c r="D236">
        <v>4</v>
      </c>
      <c r="E236">
        <v>41</v>
      </c>
      <c r="F236">
        <v>2</v>
      </c>
      <c r="G236">
        <v>0</v>
      </c>
      <c r="H236">
        <f>표5[[#This Row],[공격성공횟수]]/(표5[[#This Row],[공격실패횟수]]+표5[[#This Row],[공격성공횟수]])</f>
        <v>8.8888888888888892E-2</v>
      </c>
    </row>
    <row r="237" spans="1:8" hidden="1" x14ac:dyDescent="0.4">
      <c r="A237">
        <v>118</v>
      </c>
      <c r="B237" t="s">
        <v>1</v>
      </c>
      <c r="C237">
        <v>0</v>
      </c>
      <c r="D237">
        <v>2</v>
      </c>
      <c r="E237">
        <v>41</v>
      </c>
      <c r="F237">
        <v>4</v>
      </c>
      <c r="G237">
        <v>1</v>
      </c>
      <c r="H237">
        <f>표5[[#This Row],[공격성공횟수]]/(표5[[#This Row],[공격실패횟수]]+표5[[#This Row],[공격성공횟수]])</f>
        <v>4.6511627906976744E-2</v>
      </c>
    </row>
    <row r="238" spans="1:8" x14ac:dyDescent="0.4">
      <c r="A238">
        <v>119</v>
      </c>
      <c r="B238" t="s">
        <v>0</v>
      </c>
      <c r="C238">
        <v>1</v>
      </c>
      <c r="D238">
        <v>4</v>
      </c>
      <c r="E238">
        <v>6</v>
      </c>
      <c r="F238">
        <v>0</v>
      </c>
      <c r="G238">
        <v>0</v>
      </c>
      <c r="H238">
        <f>표5[[#This Row],[공격성공횟수]]/(표5[[#This Row],[공격실패횟수]]+표5[[#This Row],[공격성공횟수]])</f>
        <v>0.4</v>
      </c>
    </row>
    <row r="239" spans="1:8" hidden="1" x14ac:dyDescent="0.4">
      <c r="A239">
        <v>119</v>
      </c>
      <c r="B239" t="s">
        <v>1</v>
      </c>
      <c r="C239">
        <v>0</v>
      </c>
      <c r="D239">
        <v>0</v>
      </c>
      <c r="E239">
        <v>10</v>
      </c>
      <c r="F239">
        <v>4</v>
      </c>
      <c r="G239">
        <v>1</v>
      </c>
      <c r="H239">
        <f>표5[[#This Row],[공격성공횟수]]/(표5[[#This Row],[공격실패횟수]]+표5[[#This Row],[공격성공횟수]])</f>
        <v>0</v>
      </c>
    </row>
    <row r="240" spans="1:8" x14ac:dyDescent="0.4">
      <c r="A240">
        <v>120</v>
      </c>
      <c r="B240" t="s">
        <v>0</v>
      </c>
      <c r="C240">
        <v>1</v>
      </c>
      <c r="D240">
        <v>4</v>
      </c>
      <c r="E240">
        <v>5</v>
      </c>
      <c r="F240">
        <v>0</v>
      </c>
      <c r="G240">
        <v>0</v>
      </c>
      <c r="H240">
        <f>표5[[#This Row],[공격성공횟수]]/(표5[[#This Row],[공격실패횟수]]+표5[[#This Row],[공격성공횟수]])</f>
        <v>0.44444444444444442</v>
      </c>
    </row>
    <row r="241" spans="1:8" hidden="1" x14ac:dyDescent="0.4">
      <c r="A241">
        <v>120</v>
      </c>
      <c r="B241" t="s">
        <v>1</v>
      </c>
      <c r="C241">
        <v>0</v>
      </c>
      <c r="D241">
        <v>0</v>
      </c>
      <c r="E241">
        <v>9</v>
      </c>
      <c r="F241">
        <v>4</v>
      </c>
      <c r="G241">
        <v>1</v>
      </c>
      <c r="H241">
        <f>표5[[#This Row],[공격성공횟수]]/(표5[[#This Row],[공격실패횟수]]+표5[[#This Row],[공격성공횟수]])</f>
        <v>0</v>
      </c>
    </row>
    <row r="242" spans="1:8" x14ac:dyDescent="0.4">
      <c r="A242">
        <v>121</v>
      </c>
      <c r="B242" t="s">
        <v>0</v>
      </c>
      <c r="C242">
        <v>0</v>
      </c>
      <c r="D242">
        <v>2</v>
      </c>
      <c r="E242">
        <v>20</v>
      </c>
      <c r="F242">
        <v>4</v>
      </c>
      <c r="G242">
        <v>1</v>
      </c>
      <c r="H242">
        <f>표5[[#This Row],[공격성공횟수]]/(표5[[#This Row],[공격실패횟수]]+표5[[#This Row],[공격성공횟수]])</f>
        <v>9.0909090909090912E-2</v>
      </c>
    </row>
    <row r="243" spans="1:8" hidden="1" x14ac:dyDescent="0.4">
      <c r="A243">
        <v>121</v>
      </c>
      <c r="B243" t="s">
        <v>1</v>
      </c>
      <c r="C243">
        <v>1</v>
      </c>
      <c r="D243">
        <v>4</v>
      </c>
      <c r="E243">
        <v>19</v>
      </c>
      <c r="F243">
        <v>2</v>
      </c>
      <c r="G243">
        <v>0</v>
      </c>
      <c r="H243">
        <f>표5[[#This Row],[공격성공횟수]]/(표5[[#This Row],[공격실패횟수]]+표5[[#This Row],[공격성공횟수]])</f>
        <v>0.17391304347826086</v>
      </c>
    </row>
    <row r="244" spans="1:8" x14ac:dyDescent="0.4">
      <c r="A244">
        <v>122</v>
      </c>
      <c r="B244" t="s">
        <v>0</v>
      </c>
      <c r="C244">
        <v>1</v>
      </c>
      <c r="D244">
        <v>4</v>
      </c>
      <c r="E244">
        <v>23</v>
      </c>
      <c r="F244">
        <v>1</v>
      </c>
      <c r="G244">
        <v>0</v>
      </c>
      <c r="H244">
        <f>표5[[#This Row],[공격성공횟수]]/(표5[[#This Row],[공격실패횟수]]+표5[[#This Row],[공격성공횟수]])</f>
        <v>0.14814814814814814</v>
      </c>
    </row>
    <row r="245" spans="1:8" hidden="1" x14ac:dyDescent="0.4">
      <c r="A245">
        <v>122</v>
      </c>
      <c r="B245" t="s">
        <v>1</v>
      </c>
      <c r="C245">
        <v>0</v>
      </c>
      <c r="D245">
        <v>1</v>
      </c>
      <c r="E245">
        <v>24</v>
      </c>
      <c r="F245">
        <v>4</v>
      </c>
      <c r="G245">
        <v>1</v>
      </c>
      <c r="H245">
        <f>표5[[#This Row],[공격성공횟수]]/(표5[[#This Row],[공격실패횟수]]+표5[[#This Row],[공격성공횟수]])</f>
        <v>0.04</v>
      </c>
    </row>
    <row r="246" spans="1:8" x14ac:dyDescent="0.4">
      <c r="A246">
        <v>123</v>
      </c>
      <c r="B246" t="s">
        <v>0</v>
      </c>
      <c r="C246">
        <v>0</v>
      </c>
      <c r="D246">
        <v>0</v>
      </c>
      <c r="E246">
        <v>28</v>
      </c>
      <c r="F246">
        <v>4</v>
      </c>
      <c r="G246">
        <v>1</v>
      </c>
      <c r="H246">
        <f>표5[[#This Row],[공격성공횟수]]/(표5[[#This Row],[공격실패횟수]]+표5[[#This Row],[공격성공횟수]])</f>
        <v>0</v>
      </c>
    </row>
    <row r="247" spans="1:8" hidden="1" x14ac:dyDescent="0.4">
      <c r="A247">
        <v>123</v>
      </c>
      <c r="B247" t="s">
        <v>1</v>
      </c>
      <c r="C247">
        <v>1</v>
      </c>
      <c r="D247">
        <v>4</v>
      </c>
      <c r="E247">
        <v>24</v>
      </c>
      <c r="F247">
        <v>0</v>
      </c>
      <c r="G247">
        <v>0</v>
      </c>
      <c r="H247">
        <f>표5[[#This Row],[공격성공횟수]]/(표5[[#This Row],[공격실패횟수]]+표5[[#This Row],[공격성공횟수]])</f>
        <v>0.14285714285714285</v>
      </c>
    </row>
    <row r="248" spans="1:8" x14ac:dyDescent="0.4">
      <c r="A248">
        <v>124</v>
      </c>
      <c r="B248" t="s">
        <v>0</v>
      </c>
      <c r="C248">
        <v>1</v>
      </c>
      <c r="D248">
        <v>4</v>
      </c>
      <c r="E248">
        <v>8</v>
      </c>
      <c r="F248">
        <v>2</v>
      </c>
      <c r="G248">
        <v>0</v>
      </c>
      <c r="H248">
        <f>표5[[#This Row],[공격성공횟수]]/(표5[[#This Row],[공격실패횟수]]+표5[[#This Row],[공격성공횟수]])</f>
        <v>0.33333333333333331</v>
      </c>
    </row>
    <row r="249" spans="1:8" hidden="1" x14ac:dyDescent="0.4">
      <c r="A249">
        <v>124</v>
      </c>
      <c r="B249" t="s">
        <v>1</v>
      </c>
      <c r="C249">
        <v>0</v>
      </c>
      <c r="D249">
        <v>2</v>
      </c>
      <c r="E249">
        <v>8</v>
      </c>
      <c r="F249">
        <v>4</v>
      </c>
      <c r="G249">
        <v>1</v>
      </c>
      <c r="H249">
        <f>표5[[#This Row],[공격성공횟수]]/(표5[[#This Row],[공격실패횟수]]+표5[[#This Row],[공격성공횟수]])</f>
        <v>0.2</v>
      </c>
    </row>
    <row r="250" spans="1:8" x14ac:dyDescent="0.4">
      <c r="A250">
        <v>125</v>
      </c>
      <c r="B250" t="s">
        <v>0</v>
      </c>
      <c r="C250">
        <v>1</v>
      </c>
      <c r="D250">
        <v>4</v>
      </c>
      <c r="E250">
        <v>10</v>
      </c>
      <c r="F250">
        <v>3</v>
      </c>
      <c r="G250">
        <v>0</v>
      </c>
      <c r="H250">
        <f>표5[[#This Row],[공격성공횟수]]/(표5[[#This Row],[공격실패횟수]]+표5[[#This Row],[공격성공횟수]])</f>
        <v>0.2857142857142857</v>
      </c>
    </row>
    <row r="251" spans="1:8" hidden="1" x14ac:dyDescent="0.4">
      <c r="A251">
        <v>125</v>
      </c>
      <c r="B251" t="s">
        <v>1</v>
      </c>
      <c r="C251">
        <v>0</v>
      </c>
      <c r="D251">
        <v>3</v>
      </c>
      <c r="E251">
        <v>11</v>
      </c>
      <c r="F251">
        <v>4</v>
      </c>
      <c r="G251">
        <v>1</v>
      </c>
      <c r="H251">
        <f>표5[[#This Row],[공격성공횟수]]/(표5[[#This Row],[공격실패횟수]]+표5[[#This Row],[공격성공횟수]])</f>
        <v>0.21428571428571427</v>
      </c>
    </row>
    <row r="252" spans="1:8" x14ac:dyDescent="0.4">
      <c r="A252">
        <v>126</v>
      </c>
      <c r="B252" t="s">
        <v>0</v>
      </c>
      <c r="C252">
        <v>1</v>
      </c>
      <c r="D252">
        <v>4</v>
      </c>
      <c r="E252">
        <v>9</v>
      </c>
      <c r="F252">
        <v>2</v>
      </c>
      <c r="G252">
        <v>0</v>
      </c>
      <c r="H252">
        <f>표5[[#This Row],[공격성공횟수]]/(표5[[#This Row],[공격실패횟수]]+표5[[#This Row],[공격성공횟수]])</f>
        <v>0.30769230769230771</v>
      </c>
    </row>
    <row r="253" spans="1:8" hidden="1" x14ac:dyDescent="0.4">
      <c r="A253">
        <v>126</v>
      </c>
      <c r="B253" t="s">
        <v>1</v>
      </c>
      <c r="C253">
        <v>0</v>
      </c>
      <c r="D253">
        <v>2</v>
      </c>
      <c r="E253">
        <v>12</v>
      </c>
      <c r="F253">
        <v>4</v>
      </c>
      <c r="G253">
        <v>1</v>
      </c>
      <c r="H253">
        <f>표5[[#This Row],[공격성공횟수]]/(표5[[#This Row],[공격실패횟수]]+표5[[#This Row],[공격성공횟수]])</f>
        <v>0.14285714285714285</v>
      </c>
    </row>
    <row r="254" spans="1:8" x14ac:dyDescent="0.4">
      <c r="A254">
        <v>127</v>
      </c>
      <c r="B254" t="s">
        <v>0</v>
      </c>
      <c r="C254">
        <v>1</v>
      </c>
      <c r="D254">
        <v>4</v>
      </c>
      <c r="E254">
        <v>5</v>
      </c>
      <c r="F254">
        <v>1</v>
      </c>
      <c r="G254">
        <v>0</v>
      </c>
      <c r="H254">
        <f>표5[[#This Row],[공격성공횟수]]/(표5[[#This Row],[공격실패횟수]]+표5[[#This Row],[공격성공횟수]])</f>
        <v>0.44444444444444442</v>
      </c>
    </row>
    <row r="255" spans="1:8" hidden="1" x14ac:dyDescent="0.4">
      <c r="A255">
        <v>127</v>
      </c>
      <c r="B255" t="s">
        <v>1</v>
      </c>
      <c r="C255">
        <v>0</v>
      </c>
      <c r="D255">
        <v>1</v>
      </c>
      <c r="E255">
        <v>8</v>
      </c>
      <c r="F255">
        <v>4</v>
      </c>
      <c r="G255">
        <v>1</v>
      </c>
      <c r="H255">
        <f>표5[[#This Row],[공격성공횟수]]/(표5[[#This Row],[공격실패횟수]]+표5[[#This Row],[공격성공횟수]])</f>
        <v>0.1111111111111111</v>
      </c>
    </row>
    <row r="256" spans="1:8" x14ac:dyDescent="0.4">
      <c r="A256">
        <v>128</v>
      </c>
      <c r="B256" t="s">
        <v>0</v>
      </c>
      <c r="C256">
        <v>1</v>
      </c>
      <c r="D256">
        <v>4</v>
      </c>
      <c r="E256">
        <v>26</v>
      </c>
      <c r="F256">
        <v>2</v>
      </c>
      <c r="G256">
        <v>0</v>
      </c>
      <c r="H256">
        <f>표5[[#This Row],[공격성공횟수]]/(표5[[#This Row],[공격실패횟수]]+표5[[#This Row],[공격성공횟수]])</f>
        <v>0.13333333333333333</v>
      </c>
    </row>
    <row r="257" spans="1:8" hidden="1" x14ac:dyDescent="0.4">
      <c r="A257">
        <v>128</v>
      </c>
      <c r="B257" t="s">
        <v>1</v>
      </c>
      <c r="C257">
        <v>0</v>
      </c>
      <c r="D257">
        <v>2</v>
      </c>
      <c r="E257">
        <v>28</v>
      </c>
      <c r="F257">
        <v>4</v>
      </c>
      <c r="G257">
        <v>1</v>
      </c>
      <c r="H257">
        <f>표5[[#This Row],[공격성공횟수]]/(표5[[#This Row],[공격실패횟수]]+표5[[#This Row],[공격성공횟수]])</f>
        <v>6.6666666666666666E-2</v>
      </c>
    </row>
    <row r="258" spans="1:8" x14ac:dyDescent="0.4">
      <c r="A258">
        <v>129</v>
      </c>
      <c r="B258" t="s">
        <v>0</v>
      </c>
      <c r="C258">
        <v>1</v>
      </c>
      <c r="D258">
        <v>4</v>
      </c>
      <c r="E258">
        <v>7</v>
      </c>
      <c r="F258">
        <v>0</v>
      </c>
      <c r="G258">
        <v>0</v>
      </c>
      <c r="H258">
        <f>표5[[#This Row],[공격성공횟수]]/(표5[[#This Row],[공격실패횟수]]+표5[[#This Row],[공격성공횟수]])</f>
        <v>0.36363636363636365</v>
      </c>
    </row>
    <row r="259" spans="1:8" hidden="1" x14ac:dyDescent="0.4">
      <c r="A259">
        <v>129</v>
      </c>
      <c r="B259" t="s">
        <v>1</v>
      </c>
      <c r="C259">
        <v>0</v>
      </c>
      <c r="D259">
        <v>0</v>
      </c>
      <c r="E259">
        <v>11</v>
      </c>
      <c r="F259">
        <v>4</v>
      </c>
      <c r="G259">
        <v>1</v>
      </c>
      <c r="H259">
        <f>표5[[#This Row],[공격성공횟수]]/(표5[[#This Row],[공격실패횟수]]+표5[[#This Row],[공격성공횟수]])</f>
        <v>0</v>
      </c>
    </row>
    <row r="260" spans="1:8" x14ac:dyDescent="0.4">
      <c r="A260">
        <v>130</v>
      </c>
      <c r="B260" t="s">
        <v>0</v>
      </c>
      <c r="C260">
        <v>1</v>
      </c>
      <c r="D260">
        <v>4</v>
      </c>
      <c r="E260">
        <v>10</v>
      </c>
      <c r="F260">
        <v>1</v>
      </c>
      <c r="G260">
        <v>0</v>
      </c>
      <c r="H260">
        <f>표5[[#This Row],[공격성공횟수]]/(표5[[#This Row],[공격실패횟수]]+표5[[#This Row],[공격성공횟수]])</f>
        <v>0.2857142857142857</v>
      </c>
    </row>
    <row r="261" spans="1:8" hidden="1" x14ac:dyDescent="0.4">
      <c r="A261">
        <v>130</v>
      </c>
      <c r="B261" t="s">
        <v>1</v>
      </c>
      <c r="C261">
        <v>0</v>
      </c>
      <c r="D261">
        <v>1</v>
      </c>
      <c r="E261">
        <v>14</v>
      </c>
      <c r="F261">
        <v>4</v>
      </c>
      <c r="G261">
        <v>1</v>
      </c>
      <c r="H261">
        <f>표5[[#This Row],[공격성공횟수]]/(표5[[#This Row],[공격실패횟수]]+표5[[#This Row],[공격성공횟수]])</f>
        <v>6.6666666666666666E-2</v>
      </c>
    </row>
    <row r="262" spans="1:8" x14ac:dyDescent="0.4">
      <c r="A262">
        <v>131</v>
      </c>
      <c r="B262" t="s">
        <v>0</v>
      </c>
      <c r="C262">
        <v>1</v>
      </c>
      <c r="D262">
        <v>4</v>
      </c>
      <c r="E262">
        <v>24</v>
      </c>
      <c r="F262">
        <v>3</v>
      </c>
      <c r="G262">
        <v>0</v>
      </c>
      <c r="H262">
        <f>표5[[#This Row],[공격성공횟수]]/(표5[[#This Row],[공격실패횟수]]+표5[[#This Row],[공격성공횟수]])</f>
        <v>0.14285714285714285</v>
      </c>
    </row>
    <row r="263" spans="1:8" hidden="1" x14ac:dyDescent="0.4">
      <c r="A263">
        <v>131</v>
      </c>
      <c r="B263" t="s">
        <v>1</v>
      </c>
      <c r="C263">
        <v>0</v>
      </c>
      <c r="D263">
        <v>3</v>
      </c>
      <c r="E263">
        <v>24</v>
      </c>
      <c r="F263">
        <v>4</v>
      </c>
      <c r="G263">
        <v>1</v>
      </c>
      <c r="H263">
        <f>표5[[#This Row],[공격성공횟수]]/(표5[[#This Row],[공격실패횟수]]+표5[[#This Row],[공격성공횟수]])</f>
        <v>0.1111111111111111</v>
      </c>
    </row>
    <row r="264" spans="1:8" x14ac:dyDescent="0.4">
      <c r="A264">
        <v>132</v>
      </c>
      <c r="B264" t="s">
        <v>0</v>
      </c>
      <c r="C264">
        <v>1</v>
      </c>
      <c r="D264">
        <v>4</v>
      </c>
      <c r="E264">
        <v>11</v>
      </c>
      <c r="F264">
        <v>0</v>
      </c>
      <c r="G264">
        <v>0</v>
      </c>
      <c r="H264">
        <f>표5[[#This Row],[공격성공횟수]]/(표5[[#This Row],[공격실패횟수]]+표5[[#This Row],[공격성공횟수]])</f>
        <v>0.26666666666666666</v>
      </c>
    </row>
    <row r="265" spans="1:8" hidden="1" x14ac:dyDescent="0.4">
      <c r="A265">
        <v>132</v>
      </c>
      <c r="B265" t="s">
        <v>1</v>
      </c>
      <c r="C265">
        <v>0</v>
      </c>
      <c r="D265">
        <v>0</v>
      </c>
      <c r="E265">
        <v>19</v>
      </c>
      <c r="F265">
        <v>4</v>
      </c>
      <c r="G265">
        <v>1</v>
      </c>
      <c r="H265">
        <f>표5[[#This Row],[공격성공횟수]]/(표5[[#This Row],[공격실패횟수]]+표5[[#This Row],[공격성공횟수]])</f>
        <v>0</v>
      </c>
    </row>
    <row r="266" spans="1:8" x14ac:dyDescent="0.4">
      <c r="A266">
        <v>133</v>
      </c>
      <c r="B266" t="s">
        <v>0</v>
      </c>
      <c r="C266">
        <v>1</v>
      </c>
      <c r="D266">
        <v>4</v>
      </c>
      <c r="E266">
        <v>16</v>
      </c>
      <c r="F266">
        <v>1</v>
      </c>
      <c r="G266">
        <v>0</v>
      </c>
      <c r="H266">
        <f>표5[[#This Row],[공격성공횟수]]/(표5[[#This Row],[공격실패횟수]]+표5[[#This Row],[공격성공횟수]])</f>
        <v>0.2</v>
      </c>
    </row>
    <row r="267" spans="1:8" hidden="1" x14ac:dyDescent="0.4">
      <c r="A267">
        <v>133</v>
      </c>
      <c r="B267" t="s">
        <v>1</v>
      </c>
      <c r="C267">
        <v>0</v>
      </c>
      <c r="D267">
        <v>1</v>
      </c>
      <c r="E267">
        <v>18</v>
      </c>
      <c r="F267">
        <v>4</v>
      </c>
      <c r="G267">
        <v>1</v>
      </c>
      <c r="H267">
        <f>표5[[#This Row],[공격성공횟수]]/(표5[[#This Row],[공격실패횟수]]+표5[[#This Row],[공격성공횟수]])</f>
        <v>5.2631578947368418E-2</v>
      </c>
    </row>
    <row r="268" spans="1:8" x14ac:dyDescent="0.4">
      <c r="A268">
        <v>134</v>
      </c>
      <c r="B268" t="s">
        <v>0</v>
      </c>
      <c r="C268">
        <v>1</v>
      </c>
      <c r="D268">
        <v>4</v>
      </c>
      <c r="E268">
        <v>8</v>
      </c>
      <c r="F268">
        <v>1</v>
      </c>
      <c r="G268">
        <v>0</v>
      </c>
      <c r="H268">
        <f>표5[[#This Row],[공격성공횟수]]/(표5[[#This Row],[공격실패횟수]]+표5[[#This Row],[공격성공횟수]])</f>
        <v>0.33333333333333331</v>
      </c>
    </row>
    <row r="269" spans="1:8" hidden="1" x14ac:dyDescent="0.4">
      <c r="A269">
        <v>134</v>
      </c>
      <c r="B269" t="s">
        <v>1</v>
      </c>
      <c r="C269">
        <v>0</v>
      </c>
      <c r="D269">
        <v>1</v>
      </c>
      <c r="E269">
        <v>11</v>
      </c>
      <c r="F269">
        <v>4</v>
      </c>
      <c r="G269">
        <v>1</v>
      </c>
      <c r="H269">
        <f>표5[[#This Row],[공격성공횟수]]/(표5[[#This Row],[공격실패횟수]]+표5[[#This Row],[공격성공횟수]])</f>
        <v>8.3333333333333329E-2</v>
      </c>
    </row>
    <row r="270" spans="1:8" x14ac:dyDescent="0.4">
      <c r="A270">
        <v>135</v>
      </c>
      <c r="B270" t="s">
        <v>0</v>
      </c>
      <c r="C270">
        <v>1</v>
      </c>
      <c r="D270">
        <v>4</v>
      </c>
      <c r="E270">
        <v>22</v>
      </c>
      <c r="F270">
        <v>0</v>
      </c>
      <c r="G270">
        <v>0</v>
      </c>
      <c r="H270">
        <f>표5[[#This Row],[공격성공횟수]]/(표5[[#This Row],[공격실패횟수]]+표5[[#This Row],[공격성공횟수]])</f>
        <v>0.15384615384615385</v>
      </c>
    </row>
    <row r="271" spans="1:8" hidden="1" x14ac:dyDescent="0.4">
      <c r="A271">
        <v>135</v>
      </c>
      <c r="B271" t="s">
        <v>1</v>
      </c>
      <c r="C271">
        <v>0</v>
      </c>
      <c r="D271">
        <v>0</v>
      </c>
      <c r="E271">
        <v>25</v>
      </c>
      <c r="F271">
        <v>4</v>
      </c>
      <c r="G271">
        <v>1</v>
      </c>
      <c r="H271">
        <f>표5[[#This Row],[공격성공횟수]]/(표5[[#This Row],[공격실패횟수]]+표5[[#This Row],[공격성공횟수]])</f>
        <v>0</v>
      </c>
    </row>
    <row r="272" spans="1:8" x14ac:dyDescent="0.4">
      <c r="A272">
        <v>136</v>
      </c>
      <c r="B272" t="s">
        <v>0</v>
      </c>
      <c r="C272">
        <v>1</v>
      </c>
      <c r="D272">
        <v>4</v>
      </c>
      <c r="E272">
        <v>6</v>
      </c>
      <c r="F272">
        <v>0</v>
      </c>
      <c r="G272">
        <v>0</v>
      </c>
      <c r="H272">
        <f>표5[[#This Row],[공격성공횟수]]/(표5[[#This Row],[공격실패횟수]]+표5[[#This Row],[공격성공횟수]])</f>
        <v>0.4</v>
      </c>
    </row>
    <row r="273" spans="1:8" hidden="1" x14ac:dyDescent="0.4">
      <c r="A273">
        <v>136</v>
      </c>
      <c r="B273" t="s">
        <v>1</v>
      </c>
      <c r="C273">
        <v>0</v>
      </c>
      <c r="D273">
        <v>0</v>
      </c>
      <c r="E273">
        <v>10</v>
      </c>
      <c r="F273">
        <v>4</v>
      </c>
      <c r="G273">
        <v>1</v>
      </c>
      <c r="H273">
        <f>표5[[#This Row],[공격성공횟수]]/(표5[[#This Row],[공격실패횟수]]+표5[[#This Row],[공격성공횟수]])</f>
        <v>0</v>
      </c>
    </row>
    <row r="274" spans="1:8" x14ac:dyDescent="0.4">
      <c r="A274">
        <v>137</v>
      </c>
      <c r="B274" t="s">
        <v>0</v>
      </c>
      <c r="C274">
        <v>1</v>
      </c>
      <c r="D274">
        <v>4</v>
      </c>
      <c r="E274">
        <v>6</v>
      </c>
      <c r="F274">
        <v>0</v>
      </c>
      <c r="G274">
        <v>0</v>
      </c>
      <c r="H274">
        <f>표5[[#This Row],[공격성공횟수]]/(표5[[#This Row],[공격실패횟수]]+표5[[#This Row],[공격성공횟수]])</f>
        <v>0.4</v>
      </c>
    </row>
    <row r="275" spans="1:8" hidden="1" x14ac:dyDescent="0.4">
      <c r="A275">
        <v>137</v>
      </c>
      <c r="B275" t="s">
        <v>1</v>
      </c>
      <c r="C275">
        <v>0</v>
      </c>
      <c r="D275">
        <v>0</v>
      </c>
      <c r="E275">
        <v>9</v>
      </c>
      <c r="F275">
        <v>4</v>
      </c>
      <c r="G275">
        <v>1</v>
      </c>
      <c r="H275">
        <f>표5[[#This Row],[공격성공횟수]]/(표5[[#This Row],[공격실패횟수]]+표5[[#This Row],[공격성공횟수]])</f>
        <v>0</v>
      </c>
    </row>
    <row r="276" spans="1:8" x14ac:dyDescent="0.4">
      <c r="A276">
        <v>138</v>
      </c>
      <c r="B276" t="s">
        <v>0</v>
      </c>
      <c r="C276">
        <v>1</v>
      </c>
      <c r="D276">
        <v>4</v>
      </c>
      <c r="E276">
        <v>22</v>
      </c>
      <c r="F276">
        <v>1</v>
      </c>
      <c r="G276">
        <v>0</v>
      </c>
      <c r="H276">
        <f>표5[[#This Row],[공격성공횟수]]/(표5[[#This Row],[공격실패횟수]]+표5[[#This Row],[공격성공횟수]])</f>
        <v>0.15384615384615385</v>
      </c>
    </row>
    <row r="277" spans="1:8" hidden="1" x14ac:dyDescent="0.4">
      <c r="A277">
        <v>138</v>
      </c>
      <c r="B277" t="s">
        <v>1</v>
      </c>
      <c r="C277">
        <v>0</v>
      </c>
      <c r="D277">
        <v>1</v>
      </c>
      <c r="E277">
        <v>25</v>
      </c>
      <c r="F277">
        <v>4</v>
      </c>
      <c r="G277">
        <v>1</v>
      </c>
      <c r="H277">
        <f>표5[[#This Row],[공격성공횟수]]/(표5[[#This Row],[공격실패횟수]]+표5[[#This Row],[공격성공횟수]])</f>
        <v>3.8461538461538464E-2</v>
      </c>
    </row>
    <row r="278" spans="1:8" x14ac:dyDescent="0.4">
      <c r="A278">
        <v>139</v>
      </c>
      <c r="B278" t="s">
        <v>0</v>
      </c>
      <c r="C278">
        <v>1</v>
      </c>
      <c r="D278">
        <v>4</v>
      </c>
      <c r="E278">
        <v>15</v>
      </c>
      <c r="F278">
        <v>3</v>
      </c>
      <c r="G278">
        <v>0</v>
      </c>
      <c r="H278">
        <f>표5[[#This Row],[공격성공횟수]]/(표5[[#This Row],[공격실패횟수]]+표5[[#This Row],[공격성공횟수]])</f>
        <v>0.21052631578947367</v>
      </c>
    </row>
    <row r="279" spans="1:8" hidden="1" x14ac:dyDescent="0.4">
      <c r="A279">
        <v>139</v>
      </c>
      <c r="B279" t="s">
        <v>1</v>
      </c>
      <c r="C279">
        <v>0</v>
      </c>
      <c r="D279">
        <v>3</v>
      </c>
      <c r="E279">
        <v>16</v>
      </c>
      <c r="F279">
        <v>4</v>
      </c>
      <c r="G279">
        <v>1</v>
      </c>
      <c r="H279">
        <f>표5[[#This Row],[공격성공횟수]]/(표5[[#This Row],[공격실패횟수]]+표5[[#This Row],[공격성공횟수]])</f>
        <v>0.15789473684210525</v>
      </c>
    </row>
    <row r="280" spans="1:8" x14ac:dyDescent="0.4">
      <c r="A280">
        <v>140</v>
      </c>
      <c r="B280" t="s">
        <v>0</v>
      </c>
      <c r="C280">
        <v>1</v>
      </c>
      <c r="D280">
        <v>4</v>
      </c>
      <c r="E280">
        <v>6</v>
      </c>
      <c r="F280">
        <v>2</v>
      </c>
      <c r="G280">
        <v>0</v>
      </c>
      <c r="H280">
        <f>표5[[#This Row],[공격성공횟수]]/(표5[[#This Row],[공격실패횟수]]+표5[[#This Row],[공격성공횟수]])</f>
        <v>0.4</v>
      </c>
    </row>
    <row r="281" spans="1:8" hidden="1" x14ac:dyDescent="0.4">
      <c r="A281">
        <v>140</v>
      </c>
      <c r="B281" t="s">
        <v>1</v>
      </c>
      <c r="C281">
        <v>0</v>
      </c>
      <c r="D281">
        <v>2</v>
      </c>
      <c r="E281">
        <v>8</v>
      </c>
      <c r="F281">
        <v>4</v>
      </c>
      <c r="G281">
        <v>1</v>
      </c>
      <c r="H281">
        <f>표5[[#This Row],[공격성공횟수]]/(표5[[#This Row],[공격실패횟수]]+표5[[#This Row],[공격성공횟수]])</f>
        <v>0.2</v>
      </c>
    </row>
    <row r="282" spans="1:8" x14ac:dyDescent="0.4">
      <c r="A282">
        <v>141</v>
      </c>
      <c r="B282" t="s">
        <v>0</v>
      </c>
      <c r="C282">
        <v>1</v>
      </c>
      <c r="D282">
        <v>4</v>
      </c>
      <c r="E282">
        <v>7</v>
      </c>
      <c r="F282">
        <v>2</v>
      </c>
      <c r="G282">
        <v>0</v>
      </c>
      <c r="H282">
        <f>표5[[#This Row],[공격성공횟수]]/(표5[[#This Row],[공격실패횟수]]+표5[[#This Row],[공격성공횟수]])</f>
        <v>0.36363636363636365</v>
      </c>
    </row>
    <row r="283" spans="1:8" hidden="1" x14ac:dyDescent="0.4">
      <c r="A283">
        <v>141</v>
      </c>
      <c r="B283" t="s">
        <v>1</v>
      </c>
      <c r="C283">
        <v>0</v>
      </c>
      <c r="D283">
        <v>2</v>
      </c>
      <c r="E283">
        <v>10</v>
      </c>
      <c r="F283">
        <v>4</v>
      </c>
      <c r="G283">
        <v>1</v>
      </c>
      <c r="H283">
        <f>표5[[#This Row],[공격성공횟수]]/(표5[[#This Row],[공격실패횟수]]+표5[[#This Row],[공격성공횟수]])</f>
        <v>0.16666666666666666</v>
      </c>
    </row>
    <row r="284" spans="1:8" x14ac:dyDescent="0.4">
      <c r="A284">
        <v>142</v>
      </c>
      <c r="B284" t="s">
        <v>0</v>
      </c>
      <c r="C284">
        <v>0</v>
      </c>
      <c r="D284">
        <v>3</v>
      </c>
      <c r="E284">
        <v>28</v>
      </c>
      <c r="F284">
        <v>4</v>
      </c>
      <c r="G284">
        <v>1</v>
      </c>
      <c r="H284">
        <f>표5[[#This Row],[공격성공횟수]]/(표5[[#This Row],[공격실패횟수]]+표5[[#This Row],[공격성공횟수]])</f>
        <v>9.6774193548387094E-2</v>
      </c>
    </row>
    <row r="285" spans="1:8" hidden="1" x14ac:dyDescent="0.4">
      <c r="A285">
        <v>142</v>
      </c>
      <c r="B285" t="s">
        <v>1</v>
      </c>
      <c r="C285">
        <v>1</v>
      </c>
      <c r="D285">
        <v>4</v>
      </c>
      <c r="E285">
        <v>32</v>
      </c>
      <c r="F285">
        <v>3</v>
      </c>
      <c r="G285">
        <v>0</v>
      </c>
      <c r="H285">
        <f>표5[[#This Row],[공격성공횟수]]/(표5[[#This Row],[공격실패횟수]]+표5[[#This Row],[공격성공횟수]])</f>
        <v>0.1111111111111111</v>
      </c>
    </row>
    <row r="286" spans="1:8" x14ac:dyDescent="0.4">
      <c r="A286">
        <v>143</v>
      </c>
      <c r="B286" t="s">
        <v>0</v>
      </c>
      <c r="C286">
        <v>0</v>
      </c>
      <c r="D286">
        <v>0</v>
      </c>
      <c r="E286">
        <v>25</v>
      </c>
      <c r="F286">
        <v>4</v>
      </c>
      <c r="G286">
        <v>1</v>
      </c>
      <c r="H286">
        <f>표5[[#This Row],[공격성공횟수]]/(표5[[#This Row],[공격실패횟수]]+표5[[#This Row],[공격성공횟수]])</f>
        <v>0</v>
      </c>
    </row>
    <row r="287" spans="1:8" hidden="1" x14ac:dyDescent="0.4">
      <c r="A287">
        <v>143</v>
      </c>
      <c r="B287" t="s">
        <v>1</v>
      </c>
      <c r="C287">
        <v>1</v>
      </c>
      <c r="D287">
        <v>4</v>
      </c>
      <c r="E287">
        <v>21</v>
      </c>
      <c r="F287">
        <v>0</v>
      </c>
      <c r="G287">
        <v>0</v>
      </c>
      <c r="H287">
        <f>표5[[#This Row],[공격성공횟수]]/(표5[[#This Row],[공격실패횟수]]+표5[[#This Row],[공격성공횟수]])</f>
        <v>0.16</v>
      </c>
    </row>
    <row r="288" spans="1:8" x14ac:dyDescent="0.4">
      <c r="A288">
        <v>144</v>
      </c>
      <c r="B288" t="s">
        <v>0</v>
      </c>
      <c r="C288">
        <v>1</v>
      </c>
      <c r="D288">
        <v>4</v>
      </c>
      <c r="E288">
        <v>27</v>
      </c>
      <c r="F288">
        <v>3</v>
      </c>
      <c r="G288">
        <v>0</v>
      </c>
      <c r="H288">
        <f>표5[[#This Row],[공격성공횟수]]/(표5[[#This Row],[공격실패횟수]]+표5[[#This Row],[공격성공횟수]])</f>
        <v>0.12903225806451613</v>
      </c>
    </row>
    <row r="289" spans="1:8" hidden="1" x14ac:dyDescent="0.4">
      <c r="A289">
        <v>144</v>
      </c>
      <c r="B289" t="s">
        <v>1</v>
      </c>
      <c r="C289">
        <v>0</v>
      </c>
      <c r="D289">
        <v>3</v>
      </c>
      <c r="E289">
        <v>27</v>
      </c>
      <c r="F289">
        <v>4</v>
      </c>
      <c r="G289">
        <v>1</v>
      </c>
      <c r="H289">
        <f>표5[[#This Row],[공격성공횟수]]/(표5[[#This Row],[공격실패횟수]]+표5[[#This Row],[공격성공횟수]])</f>
        <v>0.1</v>
      </c>
    </row>
    <row r="290" spans="1:8" x14ac:dyDescent="0.4">
      <c r="A290">
        <v>145</v>
      </c>
      <c r="B290" t="s">
        <v>0</v>
      </c>
      <c r="C290">
        <v>1</v>
      </c>
      <c r="D290">
        <v>4</v>
      </c>
      <c r="E290">
        <v>18</v>
      </c>
      <c r="F290">
        <v>3</v>
      </c>
      <c r="G290">
        <v>0</v>
      </c>
      <c r="H290">
        <f>표5[[#This Row],[공격성공횟수]]/(표5[[#This Row],[공격실패횟수]]+표5[[#This Row],[공격성공횟수]])</f>
        <v>0.18181818181818182</v>
      </c>
    </row>
    <row r="291" spans="1:8" hidden="1" x14ac:dyDescent="0.4">
      <c r="A291">
        <v>145</v>
      </c>
      <c r="B291" t="s">
        <v>1</v>
      </c>
      <c r="C291">
        <v>0</v>
      </c>
      <c r="D291">
        <v>3</v>
      </c>
      <c r="E291">
        <v>18</v>
      </c>
      <c r="F291">
        <v>4</v>
      </c>
      <c r="G291">
        <v>1</v>
      </c>
      <c r="H291">
        <f>표5[[#This Row],[공격성공횟수]]/(표5[[#This Row],[공격실패횟수]]+표5[[#This Row],[공격성공횟수]])</f>
        <v>0.14285714285714285</v>
      </c>
    </row>
    <row r="292" spans="1:8" x14ac:dyDescent="0.4">
      <c r="A292">
        <v>146</v>
      </c>
      <c r="B292" t="s">
        <v>0</v>
      </c>
      <c r="C292">
        <v>0</v>
      </c>
      <c r="D292">
        <v>1</v>
      </c>
      <c r="E292">
        <v>18</v>
      </c>
      <c r="F292">
        <v>4</v>
      </c>
      <c r="G292">
        <v>1</v>
      </c>
      <c r="H292">
        <f>표5[[#This Row],[공격성공횟수]]/(표5[[#This Row],[공격실패횟수]]+표5[[#This Row],[공격성공횟수]])</f>
        <v>5.2631578947368418E-2</v>
      </c>
    </row>
    <row r="293" spans="1:8" hidden="1" x14ac:dyDescent="0.4">
      <c r="A293">
        <v>146</v>
      </c>
      <c r="B293" t="s">
        <v>1</v>
      </c>
      <c r="C293">
        <v>1</v>
      </c>
      <c r="D293">
        <v>4</v>
      </c>
      <c r="E293">
        <v>16</v>
      </c>
      <c r="F293">
        <v>1</v>
      </c>
      <c r="G293">
        <v>0</v>
      </c>
      <c r="H293">
        <f>표5[[#This Row],[공격성공횟수]]/(표5[[#This Row],[공격실패횟수]]+표5[[#This Row],[공격성공횟수]])</f>
        <v>0.2</v>
      </c>
    </row>
    <row r="294" spans="1:8" x14ac:dyDescent="0.4">
      <c r="A294">
        <v>147</v>
      </c>
      <c r="B294" t="s">
        <v>0</v>
      </c>
      <c r="C294">
        <v>1</v>
      </c>
      <c r="D294">
        <v>4</v>
      </c>
      <c r="E294">
        <v>11</v>
      </c>
      <c r="F294">
        <v>1</v>
      </c>
      <c r="G294">
        <v>0</v>
      </c>
      <c r="H294">
        <f>표5[[#This Row],[공격성공횟수]]/(표5[[#This Row],[공격실패횟수]]+표5[[#This Row],[공격성공횟수]])</f>
        <v>0.26666666666666666</v>
      </c>
    </row>
    <row r="295" spans="1:8" hidden="1" x14ac:dyDescent="0.4">
      <c r="A295">
        <v>147</v>
      </c>
      <c r="B295" t="s">
        <v>1</v>
      </c>
      <c r="C295">
        <v>0</v>
      </c>
      <c r="D295">
        <v>1</v>
      </c>
      <c r="E295">
        <v>13</v>
      </c>
      <c r="F295">
        <v>4</v>
      </c>
      <c r="G295">
        <v>1</v>
      </c>
      <c r="H295">
        <f>표5[[#This Row],[공격성공횟수]]/(표5[[#This Row],[공격실패횟수]]+표5[[#This Row],[공격성공횟수]])</f>
        <v>7.1428571428571425E-2</v>
      </c>
    </row>
    <row r="296" spans="1:8" x14ac:dyDescent="0.4">
      <c r="A296">
        <v>148</v>
      </c>
      <c r="B296" t="s">
        <v>0</v>
      </c>
      <c r="C296">
        <v>1</v>
      </c>
      <c r="D296">
        <v>4</v>
      </c>
      <c r="E296">
        <v>8</v>
      </c>
      <c r="F296">
        <v>0</v>
      </c>
      <c r="G296">
        <v>0</v>
      </c>
      <c r="H296">
        <f>표5[[#This Row],[공격성공횟수]]/(표5[[#This Row],[공격실패횟수]]+표5[[#This Row],[공격성공횟수]])</f>
        <v>0.33333333333333331</v>
      </c>
    </row>
    <row r="297" spans="1:8" hidden="1" x14ac:dyDescent="0.4">
      <c r="A297">
        <v>148</v>
      </c>
      <c r="B297" t="s">
        <v>1</v>
      </c>
      <c r="C297">
        <v>0</v>
      </c>
      <c r="D297">
        <v>0</v>
      </c>
      <c r="E297">
        <v>11</v>
      </c>
      <c r="F297">
        <v>4</v>
      </c>
      <c r="G297">
        <v>1</v>
      </c>
      <c r="H297">
        <f>표5[[#This Row],[공격성공횟수]]/(표5[[#This Row],[공격실패횟수]]+표5[[#This Row],[공격성공횟수]])</f>
        <v>0</v>
      </c>
    </row>
    <row r="298" spans="1:8" x14ac:dyDescent="0.4">
      <c r="A298">
        <v>149</v>
      </c>
      <c r="B298" t="s">
        <v>0</v>
      </c>
      <c r="C298">
        <v>0</v>
      </c>
      <c r="D298">
        <v>0</v>
      </c>
      <c r="E298">
        <v>17</v>
      </c>
      <c r="F298">
        <v>4</v>
      </c>
      <c r="G298">
        <v>1</v>
      </c>
      <c r="H298">
        <f>표5[[#This Row],[공격성공횟수]]/(표5[[#This Row],[공격실패횟수]]+표5[[#This Row],[공격성공횟수]])</f>
        <v>0</v>
      </c>
    </row>
    <row r="299" spans="1:8" hidden="1" x14ac:dyDescent="0.4">
      <c r="A299">
        <v>149</v>
      </c>
      <c r="B299" t="s">
        <v>1</v>
      </c>
      <c r="C299">
        <v>1</v>
      </c>
      <c r="D299">
        <v>4</v>
      </c>
      <c r="E299">
        <v>14</v>
      </c>
      <c r="F299">
        <v>0</v>
      </c>
      <c r="G299">
        <v>0</v>
      </c>
      <c r="H299">
        <f>표5[[#This Row],[공격성공횟수]]/(표5[[#This Row],[공격실패횟수]]+표5[[#This Row],[공격성공횟수]])</f>
        <v>0.22222222222222221</v>
      </c>
    </row>
    <row r="300" spans="1:8" x14ac:dyDescent="0.4">
      <c r="A300">
        <v>150</v>
      </c>
      <c r="B300" t="s">
        <v>0</v>
      </c>
      <c r="C300">
        <v>1</v>
      </c>
      <c r="D300">
        <v>4</v>
      </c>
      <c r="E300">
        <v>53</v>
      </c>
      <c r="F300">
        <v>3</v>
      </c>
      <c r="G300">
        <v>0</v>
      </c>
      <c r="H300">
        <f>표5[[#This Row],[공격성공횟수]]/(표5[[#This Row],[공격실패횟수]]+표5[[#This Row],[공격성공횟수]])</f>
        <v>7.0175438596491224E-2</v>
      </c>
    </row>
    <row r="301" spans="1:8" hidden="1" x14ac:dyDescent="0.4">
      <c r="A301">
        <v>150</v>
      </c>
      <c r="B301" t="s">
        <v>1</v>
      </c>
      <c r="C301">
        <v>0</v>
      </c>
      <c r="D301">
        <v>3</v>
      </c>
      <c r="E301">
        <v>52</v>
      </c>
      <c r="F301">
        <v>4</v>
      </c>
      <c r="G301">
        <v>1</v>
      </c>
      <c r="H301">
        <f>표5[[#This Row],[공격성공횟수]]/(표5[[#This Row],[공격실패횟수]]+표5[[#This Row],[공격성공횟수]])</f>
        <v>5.4545454545454543E-2</v>
      </c>
    </row>
    <row r="302" spans="1:8" x14ac:dyDescent="0.4">
      <c r="A302">
        <v>151</v>
      </c>
      <c r="B302" t="s">
        <v>0</v>
      </c>
      <c r="C302">
        <v>0</v>
      </c>
      <c r="D302">
        <v>1</v>
      </c>
      <c r="E302">
        <v>20</v>
      </c>
      <c r="F302">
        <v>4</v>
      </c>
      <c r="G302">
        <v>1</v>
      </c>
      <c r="H302">
        <f>표5[[#This Row],[공격성공횟수]]/(표5[[#This Row],[공격실패횟수]]+표5[[#This Row],[공격성공횟수]])</f>
        <v>4.7619047619047616E-2</v>
      </c>
    </row>
    <row r="303" spans="1:8" hidden="1" x14ac:dyDescent="0.4">
      <c r="A303">
        <v>151</v>
      </c>
      <c r="B303" t="s">
        <v>1</v>
      </c>
      <c r="C303">
        <v>1</v>
      </c>
      <c r="D303">
        <v>4</v>
      </c>
      <c r="E303">
        <v>17</v>
      </c>
      <c r="F303">
        <v>1</v>
      </c>
      <c r="G303">
        <v>0</v>
      </c>
      <c r="H303">
        <f>표5[[#This Row],[공격성공횟수]]/(표5[[#This Row],[공격실패횟수]]+표5[[#This Row],[공격성공횟수]])</f>
        <v>0.19047619047619047</v>
      </c>
    </row>
    <row r="304" spans="1:8" x14ac:dyDescent="0.4">
      <c r="A304">
        <v>152</v>
      </c>
      <c r="B304" t="s">
        <v>0</v>
      </c>
      <c r="C304">
        <v>1</v>
      </c>
      <c r="D304">
        <v>4</v>
      </c>
      <c r="E304">
        <v>5</v>
      </c>
      <c r="F304">
        <v>1</v>
      </c>
      <c r="G304">
        <v>0</v>
      </c>
      <c r="H304">
        <f>표5[[#This Row],[공격성공횟수]]/(표5[[#This Row],[공격실패횟수]]+표5[[#This Row],[공격성공횟수]])</f>
        <v>0.44444444444444442</v>
      </c>
    </row>
    <row r="305" spans="1:8" hidden="1" x14ac:dyDescent="0.4">
      <c r="A305">
        <v>152</v>
      </c>
      <c r="B305" t="s">
        <v>1</v>
      </c>
      <c r="C305">
        <v>0</v>
      </c>
      <c r="D305">
        <v>1</v>
      </c>
      <c r="E305">
        <v>7</v>
      </c>
      <c r="F305">
        <v>4</v>
      </c>
      <c r="G305">
        <v>1</v>
      </c>
      <c r="H305">
        <f>표5[[#This Row],[공격성공횟수]]/(표5[[#This Row],[공격실패횟수]]+표5[[#This Row],[공격성공횟수]])</f>
        <v>0.125</v>
      </c>
    </row>
    <row r="306" spans="1:8" x14ac:dyDescent="0.4">
      <c r="A306">
        <v>153</v>
      </c>
      <c r="B306" t="s">
        <v>0</v>
      </c>
      <c r="C306">
        <v>1</v>
      </c>
      <c r="D306">
        <v>4</v>
      </c>
      <c r="E306">
        <v>8</v>
      </c>
      <c r="F306">
        <v>0</v>
      </c>
      <c r="G306">
        <v>0</v>
      </c>
      <c r="H306">
        <f>표5[[#This Row],[공격성공횟수]]/(표5[[#This Row],[공격실패횟수]]+표5[[#This Row],[공격성공횟수]])</f>
        <v>0.33333333333333331</v>
      </c>
    </row>
    <row r="307" spans="1:8" hidden="1" x14ac:dyDescent="0.4">
      <c r="A307">
        <v>153</v>
      </c>
      <c r="B307" t="s">
        <v>1</v>
      </c>
      <c r="C307">
        <v>0</v>
      </c>
      <c r="D307">
        <v>0</v>
      </c>
      <c r="E307">
        <v>12</v>
      </c>
      <c r="F307">
        <v>4</v>
      </c>
      <c r="G307">
        <v>1</v>
      </c>
      <c r="H307">
        <f>표5[[#This Row],[공격성공횟수]]/(표5[[#This Row],[공격실패횟수]]+표5[[#This Row],[공격성공횟수]])</f>
        <v>0</v>
      </c>
    </row>
    <row r="308" spans="1:8" x14ac:dyDescent="0.4">
      <c r="A308">
        <v>154</v>
      </c>
      <c r="B308" t="s">
        <v>0</v>
      </c>
      <c r="C308">
        <v>1</v>
      </c>
      <c r="D308">
        <v>4</v>
      </c>
      <c r="E308">
        <v>12</v>
      </c>
      <c r="F308">
        <v>0</v>
      </c>
      <c r="G308">
        <v>0</v>
      </c>
      <c r="H308">
        <f>표5[[#This Row],[공격성공횟수]]/(표5[[#This Row],[공격실패횟수]]+표5[[#This Row],[공격성공횟수]])</f>
        <v>0.25</v>
      </c>
    </row>
    <row r="309" spans="1:8" hidden="1" x14ac:dyDescent="0.4">
      <c r="A309">
        <v>154</v>
      </c>
      <c r="B309" t="s">
        <v>1</v>
      </c>
      <c r="C309">
        <v>0</v>
      </c>
      <c r="D309">
        <v>0</v>
      </c>
      <c r="E309">
        <v>19</v>
      </c>
      <c r="F309">
        <v>4</v>
      </c>
      <c r="G309">
        <v>1</v>
      </c>
      <c r="H309">
        <f>표5[[#This Row],[공격성공횟수]]/(표5[[#This Row],[공격실패횟수]]+표5[[#This Row],[공격성공횟수]])</f>
        <v>0</v>
      </c>
    </row>
    <row r="310" spans="1:8" x14ac:dyDescent="0.4">
      <c r="A310">
        <v>155</v>
      </c>
      <c r="B310" t="s">
        <v>0</v>
      </c>
      <c r="C310">
        <v>0</v>
      </c>
      <c r="D310">
        <v>1</v>
      </c>
      <c r="E310">
        <v>14</v>
      </c>
      <c r="F310">
        <v>4</v>
      </c>
      <c r="G310">
        <v>1</v>
      </c>
      <c r="H310">
        <f>표5[[#This Row],[공격성공횟수]]/(표5[[#This Row],[공격실패횟수]]+표5[[#This Row],[공격성공횟수]])</f>
        <v>6.6666666666666666E-2</v>
      </c>
    </row>
    <row r="311" spans="1:8" hidden="1" x14ac:dyDescent="0.4">
      <c r="A311">
        <v>155</v>
      </c>
      <c r="B311" t="s">
        <v>1</v>
      </c>
      <c r="C311">
        <v>1</v>
      </c>
      <c r="D311">
        <v>4</v>
      </c>
      <c r="E311">
        <v>12</v>
      </c>
      <c r="F311">
        <v>1</v>
      </c>
      <c r="G311">
        <v>0</v>
      </c>
      <c r="H311">
        <f>표5[[#This Row],[공격성공횟수]]/(표5[[#This Row],[공격실패횟수]]+표5[[#This Row],[공격성공횟수]])</f>
        <v>0.25</v>
      </c>
    </row>
    <row r="312" spans="1:8" x14ac:dyDescent="0.4">
      <c r="A312">
        <v>156</v>
      </c>
      <c r="B312" t="s">
        <v>0</v>
      </c>
      <c r="C312">
        <v>1</v>
      </c>
      <c r="D312">
        <v>4</v>
      </c>
      <c r="E312">
        <v>5</v>
      </c>
      <c r="F312">
        <v>2</v>
      </c>
      <c r="G312">
        <v>0</v>
      </c>
      <c r="H312">
        <f>표5[[#This Row],[공격성공횟수]]/(표5[[#This Row],[공격실패횟수]]+표5[[#This Row],[공격성공횟수]])</f>
        <v>0.44444444444444442</v>
      </c>
    </row>
    <row r="313" spans="1:8" hidden="1" x14ac:dyDescent="0.4">
      <c r="A313">
        <v>156</v>
      </c>
      <c r="B313" t="s">
        <v>1</v>
      </c>
      <c r="C313">
        <v>0</v>
      </c>
      <c r="D313">
        <v>2</v>
      </c>
      <c r="E313">
        <v>6</v>
      </c>
      <c r="F313">
        <v>4</v>
      </c>
      <c r="G313">
        <v>1</v>
      </c>
      <c r="H313">
        <f>표5[[#This Row],[공격성공횟수]]/(표5[[#This Row],[공격실패횟수]]+표5[[#This Row],[공격성공횟수]])</f>
        <v>0.25</v>
      </c>
    </row>
    <row r="314" spans="1:8" x14ac:dyDescent="0.4">
      <c r="A314">
        <v>157</v>
      </c>
      <c r="B314" t="s">
        <v>0</v>
      </c>
      <c r="C314">
        <v>1</v>
      </c>
      <c r="D314">
        <v>4</v>
      </c>
      <c r="E314">
        <v>20</v>
      </c>
      <c r="F314">
        <v>2</v>
      </c>
      <c r="G314">
        <v>0</v>
      </c>
      <c r="H314">
        <f>표5[[#This Row],[공격성공횟수]]/(표5[[#This Row],[공격실패횟수]]+표5[[#This Row],[공격성공횟수]])</f>
        <v>0.16666666666666666</v>
      </c>
    </row>
    <row r="315" spans="1:8" hidden="1" x14ac:dyDescent="0.4">
      <c r="A315">
        <v>157</v>
      </c>
      <c r="B315" t="s">
        <v>1</v>
      </c>
      <c r="C315">
        <v>0</v>
      </c>
      <c r="D315">
        <v>2</v>
      </c>
      <c r="E315">
        <v>22</v>
      </c>
      <c r="F315">
        <v>4</v>
      </c>
      <c r="G315">
        <v>1</v>
      </c>
      <c r="H315">
        <f>표5[[#This Row],[공격성공횟수]]/(표5[[#This Row],[공격실패횟수]]+표5[[#This Row],[공격성공횟수]])</f>
        <v>8.3333333333333329E-2</v>
      </c>
    </row>
    <row r="316" spans="1:8" x14ac:dyDescent="0.4">
      <c r="A316">
        <v>158</v>
      </c>
      <c r="B316" t="s">
        <v>0</v>
      </c>
      <c r="C316">
        <v>1</v>
      </c>
      <c r="D316">
        <v>4</v>
      </c>
      <c r="E316">
        <v>15</v>
      </c>
      <c r="F316">
        <v>1</v>
      </c>
      <c r="G316">
        <v>0</v>
      </c>
      <c r="H316">
        <f>표5[[#This Row],[공격성공횟수]]/(표5[[#This Row],[공격실패횟수]]+표5[[#This Row],[공격성공횟수]])</f>
        <v>0.21052631578947367</v>
      </c>
    </row>
    <row r="317" spans="1:8" hidden="1" x14ac:dyDescent="0.4">
      <c r="A317">
        <v>158</v>
      </c>
      <c r="B317" t="s">
        <v>1</v>
      </c>
      <c r="C317">
        <v>0</v>
      </c>
      <c r="D317">
        <v>1</v>
      </c>
      <c r="E317">
        <v>18</v>
      </c>
      <c r="F317">
        <v>4</v>
      </c>
      <c r="G317">
        <v>1</v>
      </c>
      <c r="H317">
        <f>표5[[#This Row],[공격성공횟수]]/(표5[[#This Row],[공격실패횟수]]+표5[[#This Row],[공격성공횟수]])</f>
        <v>5.2631578947368418E-2</v>
      </c>
    </row>
    <row r="318" spans="1:8" x14ac:dyDescent="0.4">
      <c r="A318">
        <v>159</v>
      </c>
      <c r="B318" t="s">
        <v>0</v>
      </c>
      <c r="C318">
        <v>1</v>
      </c>
      <c r="D318">
        <v>4</v>
      </c>
      <c r="E318">
        <v>24</v>
      </c>
      <c r="F318">
        <v>1</v>
      </c>
      <c r="G318">
        <v>0</v>
      </c>
      <c r="H318">
        <f>표5[[#This Row],[공격성공횟수]]/(표5[[#This Row],[공격실패횟수]]+표5[[#This Row],[공격성공횟수]])</f>
        <v>0.14285714285714285</v>
      </c>
    </row>
    <row r="319" spans="1:8" hidden="1" x14ac:dyDescent="0.4">
      <c r="A319">
        <v>159</v>
      </c>
      <c r="B319" t="s">
        <v>1</v>
      </c>
      <c r="C319">
        <v>0</v>
      </c>
      <c r="D319">
        <v>1</v>
      </c>
      <c r="E319">
        <v>26</v>
      </c>
      <c r="F319">
        <v>4</v>
      </c>
      <c r="G319">
        <v>1</v>
      </c>
      <c r="H319">
        <f>표5[[#This Row],[공격성공횟수]]/(표5[[#This Row],[공격실패횟수]]+표5[[#This Row],[공격성공횟수]])</f>
        <v>3.7037037037037035E-2</v>
      </c>
    </row>
    <row r="320" spans="1:8" x14ac:dyDescent="0.4">
      <c r="A320">
        <v>160</v>
      </c>
      <c r="B320" t="s">
        <v>0</v>
      </c>
      <c r="C320">
        <v>1</v>
      </c>
      <c r="D320">
        <v>4</v>
      </c>
      <c r="E320">
        <v>30</v>
      </c>
      <c r="F320">
        <v>2</v>
      </c>
      <c r="G320">
        <v>0</v>
      </c>
      <c r="H320">
        <f>표5[[#This Row],[공격성공횟수]]/(표5[[#This Row],[공격실패횟수]]+표5[[#This Row],[공격성공횟수]])</f>
        <v>0.11764705882352941</v>
      </c>
    </row>
    <row r="321" spans="1:8" hidden="1" x14ac:dyDescent="0.4">
      <c r="A321">
        <v>160</v>
      </c>
      <c r="B321" t="s">
        <v>1</v>
      </c>
      <c r="C321">
        <v>0</v>
      </c>
      <c r="D321">
        <v>2</v>
      </c>
      <c r="E321">
        <v>32</v>
      </c>
      <c r="F321">
        <v>4</v>
      </c>
      <c r="G321">
        <v>1</v>
      </c>
      <c r="H321">
        <f>표5[[#This Row],[공격성공횟수]]/(표5[[#This Row],[공격실패횟수]]+표5[[#This Row],[공격성공횟수]])</f>
        <v>5.8823529411764705E-2</v>
      </c>
    </row>
    <row r="322" spans="1:8" x14ac:dyDescent="0.4">
      <c r="A322">
        <v>161</v>
      </c>
      <c r="B322" t="s">
        <v>0</v>
      </c>
      <c r="C322">
        <v>0</v>
      </c>
      <c r="D322">
        <v>0</v>
      </c>
      <c r="E322">
        <v>14</v>
      </c>
      <c r="F322">
        <v>4</v>
      </c>
      <c r="G322">
        <v>1</v>
      </c>
      <c r="H322">
        <f>표5[[#This Row],[공격성공횟수]]/(표5[[#This Row],[공격실패횟수]]+표5[[#This Row],[공격성공횟수]])</f>
        <v>0</v>
      </c>
    </row>
    <row r="323" spans="1:8" hidden="1" x14ac:dyDescent="0.4">
      <c r="A323">
        <v>161</v>
      </c>
      <c r="B323" t="s">
        <v>1</v>
      </c>
      <c r="C323">
        <v>1</v>
      </c>
      <c r="D323">
        <v>4</v>
      </c>
      <c r="E323">
        <v>10</v>
      </c>
      <c r="F323">
        <v>0</v>
      </c>
      <c r="G323">
        <v>0</v>
      </c>
      <c r="H323">
        <f>표5[[#This Row],[공격성공횟수]]/(표5[[#This Row],[공격실패횟수]]+표5[[#This Row],[공격성공횟수]])</f>
        <v>0.2857142857142857</v>
      </c>
    </row>
    <row r="324" spans="1:8" x14ac:dyDescent="0.4">
      <c r="A324">
        <v>162</v>
      </c>
      <c r="B324" t="s">
        <v>0</v>
      </c>
      <c r="C324">
        <v>1</v>
      </c>
      <c r="D324">
        <v>4</v>
      </c>
      <c r="E324">
        <v>3</v>
      </c>
      <c r="F324">
        <v>0</v>
      </c>
      <c r="G324">
        <v>0</v>
      </c>
      <c r="H324">
        <f>표5[[#This Row],[공격성공횟수]]/(표5[[#This Row],[공격실패횟수]]+표5[[#This Row],[공격성공횟수]])</f>
        <v>0.5714285714285714</v>
      </c>
    </row>
    <row r="325" spans="1:8" hidden="1" x14ac:dyDescent="0.4">
      <c r="A325">
        <v>162</v>
      </c>
      <c r="B325" t="s">
        <v>1</v>
      </c>
      <c r="C325">
        <v>0</v>
      </c>
      <c r="D325">
        <v>0</v>
      </c>
      <c r="E325">
        <v>6</v>
      </c>
      <c r="F325">
        <v>4</v>
      </c>
      <c r="G325">
        <v>1</v>
      </c>
      <c r="H325">
        <f>표5[[#This Row],[공격성공횟수]]/(표5[[#This Row],[공격실패횟수]]+표5[[#This Row],[공격성공횟수]])</f>
        <v>0</v>
      </c>
    </row>
    <row r="326" spans="1:8" x14ac:dyDescent="0.4">
      <c r="A326">
        <v>163</v>
      </c>
      <c r="B326" t="s">
        <v>0</v>
      </c>
      <c r="C326">
        <v>1</v>
      </c>
      <c r="D326">
        <v>4</v>
      </c>
      <c r="E326">
        <v>8</v>
      </c>
      <c r="F326">
        <v>3</v>
      </c>
      <c r="G326">
        <v>0</v>
      </c>
      <c r="H326">
        <f>표5[[#This Row],[공격성공횟수]]/(표5[[#This Row],[공격실패횟수]]+표5[[#This Row],[공격성공횟수]])</f>
        <v>0.33333333333333331</v>
      </c>
    </row>
    <row r="327" spans="1:8" hidden="1" x14ac:dyDescent="0.4">
      <c r="A327">
        <v>163</v>
      </c>
      <c r="B327" t="s">
        <v>1</v>
      </c>
      <c r="C327">
        <v>0</v>
      </c>
      <c r="D327">
        <v>3</v>
      </c>
      <c r="E327">
        <v>9</v>
      </c>
      <c r="F327">
        <v>4</v>
      </c>
      <c r="G327">
        <v>1</v>
      </c>
      <c r="H327">
        <f>표5[[#This Row],[공격성공횟수]]/(표5[[#This Row],[공격실패횟수]]+표5[[#This Row],[공격성공횟수]])</f>
        <v>0.25</v>
      </c>
    </row>
    <row r="328" spans="1:8" x14ac:dyDescent="0.4">
      <c r="A328">
        <v>164</v>
      </c>
      <c r="B328" t="s">
        <v>0</v>
      </c>
      <c r="C328">
        <v>1</v>
      </c>
      <c r="D328">
        <v>4</v>
      </c>
      <c r="E328">
        <v>16</v>
      </c>
      <c r="F328">
        <v>2</v>
      </c>
      <c r="G328">
        <v>0</v>
      </c>
      <c r="H328">
        <f>표5[[#This Row],[공격성공횟수]]/(표5[[#This Row],[공격실패횟수]]+표5[[#This Row],[공격성공횟수]])</f>
        <v>0.2</v>
      </c>
    </row>
    <row r="329" spans="1:8" hidden="1" x14ac:dyDescent="0.4">
      <c r="A329">
        <v>164</v>
      </c>
      <c r="B329" t="s">
        <v>1</v>
      </c>
      <c r="C329">
        <v>0</v>
      </c>
      <c r="D329">
        <v>2</v>
      </c>
      <c r="E329">
        <v>18</v>
      </c>
      <c r="F329">
        <v>4</v>
      </c>
      <c r="G329">
        <v>1</v>
      </c>
      <c r="H329">
        <f>표5[[#This Row],[공격성공횟수]]/(표5[[#This Row],[공격실패횟수]]+표5[[#This Row],[공격성공횟수]])</f>
        <v>0.1</v>
      </c>
    </row>
    <row r="330" spans="1:8" x14ac:dyDescent="0.4">
      <c r="A330">
        <v>165</v>
      </c>
      <c r="B330" t="s">
        <v>0</v>
      </c>
      <c r="C330">
        <v>1</v>
      </c>
      <c r="D330">
        <v>4</v>
      </c>
      <c r="E330">
        <v>11</v>
      </c>
      <c r="F330">
        <v>0</v>
      </c>
      <c r="G330">
        <v>0</v>
      </c>
      <c r="H330">
        <f>표5[[#This Row],[공격성공횟수]]/(표5[[#This Row],[공격실패횟수]]+표5[[#This Row],[공격성공횟수]])</f>
        <v>0.26666666666666666</v>
      </c>
    </row>
    <row r="331" spans="1:8" hidden="1" x14ac:dyDescent="0.4">
      <c r="A331">
        <v>165</v>
      </c>
      <c r="B331" t="s">
        <v>1</v>
      </c>
      <c r="C331">
        <v>0</v>
      </c>
      <c r="D331">
        <v>0</v>
      </c>
      <c r="E331">
        <v>20</v>
      </c>
      <c r="F331">
        <v>4</v>
      </c>
      <c r="G331">
        <v>1</v>
      </c>
      <c r="H331">
        <f>표5[[#This Row],[공격성공횟수]]/(표5[[#This Row],[공격실패횟수]]+표5[[#This Row],[공격성공횟수]])</f>
        <v>0</v>
      </c>
    </row>
    <row r="332" spans="1:8" x14ac:dyDescent="0.4">
      <c r="A332">
        <v>166</v>
      </c>
      <c r="B332" t="s">
        <v>0</v>
      </c>
      <c r="C332">
        <v>1</v>
      </c>
      <c r="D332">
        <v>4</v>
      </c>
      <c r="E332">
        <v>7</v>
      </c>
      <c r="F332">
        <v>1</v>
      </c>
      <c r="G332">
        <v>0</v>
      </c>
      <c r="H332">
        <f>표5[[#This Row],[공격성공횟수]]/(표5[[#This Row],[공격실패횟수]]+표5[[#This Row],[공격성공횟수]])</f>
        <v>0.36363636363636365</v>
      </c>
    </row>
    <row r="333" spans="1:8" hidden="1" x14ac:dyDescent="0.4">
      <c r="A333">
        <v>166</v>
      </c>
      <c r="B333" t="s">
        <v>1</v>
      </c>
      <c r="C333">
        <v>0</v>
      </c>
      <c r="D333">
        <v>1</v>
      </c>
      <c r="E333">
        <v>10</v>
      </c>
      <c r="F333">
        <v>4</v>
      </c>
      <c r="G333">
        <v>1</v>
      </c>
      <c r="H333">
        <f>표5[[#This Row],[공격성공횟수]]/(표5[[#This Row],[공격실패횟수]]+표5[[#This Row],[공격성공횟수]])</f>
        <v>9.0909090909090912E-2</v>
      </c>
    </row>
    <row r="334" spans="1:8" x14ac:dyDescent="0.4">
      <c r="A334">
        <v>167</v>
      </c>
      <c r="B334" t="s">
        <v>0</v>
      </c>
      <c r="C334">
        <v>1</v>
      </c>
      <c r="D334">
        <v>4</v>
      </c>
      <c r="E334">
        <v>4</v>
      </c>
      <c r="F334">
        <v>2</v>
      </c>
      <c r="G334">
        <v>0</v>
      </c>
      <c r="H334">
        <f>표5[[#This Row],[공격성공횟수]]/(표5[[#This Row],[공격실패횟수]]+표5[[#This Row],[공격성공횟수]])</f>
        <v>0.5</v>
      </c>
    </row>
    <row r="335" spans="1:8" hidden="1" x14ac:dyDescent="0.4">
      <c r="A335">
        <v>167</v>
      </c>
      <c r="B335" t="s">
        <v>1</v>
      </c>
      <c r="C335">
        <v>0</v>
      </c>
      <c r="D335">
        <v>2</v>
      </c>
      <c r="E335">
        <v>6</v>
      </c>
      <c r="F335">
        <v>4</v>
      </c>
      <c r="G335">
        <v>1</v>
      </c>
      <c r="H335">
        <f>표5[[#This Row],[공격성공횟수]]/(표5[[#This Row],[공격실패횟수]]+표5[[#This Row],[공격성공횟수]])</f>
        <v>0.25</v>
      </c>
    </row>
    <row r="336" spans="1:8" x14ac:dyDescent="0.4">
      <c r="A336">
        <v>168</v>
      </c>
      <c r="B336" t="s">
        <v>0</v>
      </c>
      <c r="C336">
        <v>1</v>
      </c>
      <c r="D336">
        <v>4</v>
      </c>
      <c r="E336">
        <v>22</v>
      </c>
      <c r="F336">
        <v>1</v>
      </c>
      <c r="G336">
        <v>0</v>
      </c>
      <c r="H336">
        <f>표5[[#This Row],[공격성공횟수]]/(표5[[#This Row],[공격실패횟수]]+표5[[#This Row],[공격성공횟수]])</f>
        <v>0.15384615384615385</v>
      </c>
    </row>
    <row r="337" spans="1:8" hidden="1" x14ac:dyDescent="0.4">
      <c r="A337">
        <v>168</v>
      </c>
      <c r="B337" t="s">
        <v>1</v>
      </c>
      <c r="C337">
        <v>0</v>
      </c>
      <c r="D337">
        <v>1</v>
      </c>
      <c r="E337">
        <v>30</v>
      </c>
      <c r="F337">
        <v>4</v>
      </c>
      <c r="G337">
        <v>1</v>
      </c>
      <c r="H337">
        <f>표5[[#This Row],[공격성공횟수]]/(표5[[#This Row],[공격실패횟수]]+표5[[#This Row],[공격성공횟수]])</f>
        <v>3.2258064516129031E-2</v>
      </c>
    </row>
    <row r="338" spans="1:8" x14ac:dyDescent="0.4">
      <c r="A338">
        <v>169</v>
      </c>
      <c r="B338" t="s">
        <v>0</v>
      </c>
      <c r="C338">
        <v>1</v>
      </c>
      <c r="D338">
        <v>4</v>
      </c>
      <c r="E338">
        <v>14</v>
      </c>
      <c r="F338">
        <v>1</v>
      </c>
      <c r="G338">
        <v>0</v>
      </c>
      <c r="H338">
        <f>표5[[#This Row],[공격성공횟수]]/(표5[[#This Row],[공격실패횟수]]+표5[[#This Row],[공격성공횟수]])</f>
        <v>0.22222222222222221</v>
      </c>
    </row>
    <row r="339" spans="1:8" hidden="1" x14ac:dyDescent="0.4">
      <c r="A339">
        <v>169</v>
      </c>
      <c r="B339" t="s">
        <v>1</v>
      </c>
      <c r="C339">
        <v>0</v>
      </c>
      <c r="D339">
        <v>1</v>
      </c>
      <c r="E339">
        <v>17</v>
      </c>
      <c r="F339">
        <v>4</v>
      </c>
      <c r="G339">
        <v>1</v>
      </c>
      <c r="H339">
        <f>표5[[#This Row],[공격성공횟수]]/(표5[[#This Row],[공격실패횟수]]+표5[[#This Row],[공격성공횟수]])</f>
        <v>5.5555555555555552E-2</v>
      </c>
    </row>
    <row r="340" spans="1:8" x14ac:dyDescent="0.4">
      <c r="A340">
        <v>170</v>
      </c>
      <c r="B340" t="s">
        <v>0</v>
      </c>
      <c r="C340">
        <v>1</v>
      </c>
      <c r="D340">
        <v>4</v>
      </c>
      <c r="E340">
        <v>31</v>
      </c>
      <c r="F340">
        <v>1</v>
      </c>
      <c r="G340">
        <v>0</v>
      </c>
      <c r="H340">
        <f>표5[[#This Row],[공격성공횟수]]/(표5[[#This Row],[공격실패횟수]]+표5[[#This Row],[공격성공횟수]])</f>
        <v>0.11428571428571428</v>
      </c>
    </row>
    <row r="341" spans="1:8" hidden="1" x14ac:dyDescent="0.4">
      <c r="A341">
        <v>170</v>
      </c>
      <c r="B341" t="s">
        <v>1</v>
      </c>
      <c r="C341">
        <v>0</v>
      </c>
      <c r="D341">
        <v>1</v>
      </c>
      <c r="E341">
        <v>33</v>
      </c>
      <c r="F341">
        <v>4</v>
      </c>
      <c r="G341">
        <v>1</v>
      </c>
      <c r="H341">
        <f>표5[[#This Row],[공격성공횟수]]/(표5[[#This Row],[공격실패횟수]]+표5[[#This Row],[공격성공횟수]])</f>
        <v>2.9411764705882353E-2</v>
      </c>
    </row>
    <row r="342" spans="1:8" x14ac:dyDescent="0.4">
      <c r="A342">
        <v>171</v>
      </c>
      <c r="B342" t="s">
        <v>0</v>
      </c>
      <c r="C342">
        <v>1</v>
      </c>
      <c r="D342">
        <v>4</v>
      </c>
      <c r="E342">
        <v>10</v>
      </c>
      <c r="F342">
        <v>0</v>
      </c>
      <c r="G342">
        <v>0</v>
      </c>
      <c r="H342">
        <f>표5[[#This Row],[공격성공횟수]]/(표5[[#This Row],[공격실패횟수]]+표5[[#This Row],[공격성공횟수]])</f>
        <v>0.2857142857142857</v>
      </c>
    </row>
    <row r="343" spans="1:8" hidden="1" x14ac:dyDescent="0.4">
      <c r="A343">
        <v>171</v>
      </c>
      <c r="B343" t="s">
        <v>1</v>
      </c>
      <c r="C343">
        <v>0</v>
      </c>
      <c r="D343">
        <v>0</v>
      </c>
      <c r="E343">
        <v>14</v>
      </c>
      <c r="F343">
        <v>4</v>
      </c>
      <c r="G343">
        <v>1</v>
      </c>
      <c r="H343">
        <f>표5[[#This Row],[공격성공횟수]]/(표5[[#This Row],[공격실패횟수]]+표5[[#This Row],[공격성공횟수]])</f>
        <v>0</v>
      </c>
    </row>
    <row r="344" spans="1:8" x14ac:dyDescent="0.4">
      <c r="A344">
        <v>172</v>
      </c>
      <c r="B344" t="s">
        <v>0</v>
      </c>
      <c r="C344">
        <v>0</v>
      </c>
      <c r="D344">
        <v>0</v>
      </c>
      <c r="E344">
        <v>19</v>
      </c>
      <c r="F344">
        <v>4</v>
      </c>
      <c r="G344">
        <v>1</v>
      </c>
      <c r="H344">
        <f>표5[[#This Row],[공격성공횟수]]/(표5[[#This Row],[공격실패횟수]]+표5[[#This Row],[공격성공횟수]])</f>
        <v>0</v>
      </c>
    </row>
    <row r="345" spans="1:8" hidden="1" x14ac:dyDescent="0.4">
      <c r="A345">
        <v>172</v>
      </c>
      <c r="B345" t="s">
        <v>1</v>
      </c>
      <c r="C345">
        <v>1</v>
      </c>
      <c r="D345">
        <v>4</v>
      </c>
      <c r="E345">
        <v>16</v>
      </c>
      <c r="F345">
        <v>0</v>
      </c>
      <c r="G345">
        <v>0</v>
      </c>
      <c r="H345">
        <f>표5[[#This Row],[공격성공횟수]]/(표5[[#This Row],[공격실패횟수]]+표5[[#This Row],[공격성공횟수]])</f>
        <v>0.2</v>
      </c>
    </row>
    <row r="346" spans="1:8" x14ac:dyDescent="0.4">
      <c r="A346">
        <v>173</v>
      </c>
      <c r="B346" t="s">
        <v>0</v>
      </c>
      <c r="C346">
        <v>1</v>
      </c>
      <c r="D346">
        <v>4</v>
      </c>
      <c r="E346">
        <v>24</v>
      </c>
      <c r="F346">
        <v>0</v>
      </c>
      <c r="G346">
        <v>0</v>
      </c>
      <c r="H346">
        <f>표5[[#This Row],[공격성공횟수]]/(표5[[#This Row],[공격실패횟수]]+표5[[#This Row],[공격성공횟수]])</f>
        <v>0.14285714285714285</v>
      </c>
    </row>
    <row r="347" spans="1:8" hidden="1" x14ac:dyDescent="0.4">
      <c r="A347">
        <v>173</v>
      </c>
      <c r="B347" t="s">
        <v>1</v>
      </c>
      <c r="C347">
        <v>0</v>
      </c>
      <c r="D347">
        <v>0</v>
      </c>
      <c r="E347">
        <v>34</v>
      </c>
      <c r="F347">
        <v>4</v>
      </c>
      <c r="G347">
        <v>1</v>
      </c>
      <c r="H347">
        <f>표5[[#This Row],[공격성공횟수]]/(표5[[#This Row],[공격실패횟수]]+표5[[#This Row],[공격성공횟수]])</f>
        <v>0</v>
      </c>
    </row>
    <row r="348" spans="1:8" x14ac:dyDescent="0.4">
      <c r="A348">
        <v>174</v>
      </c>
      <c r="B348" t="s">
        <v>0</v>
      </c>
      <c r="C348">
        <v>1</v>
      </c>
      <c r="D348">
        <v>4</v>
      </c>
      <c r="E348">
        <v>6</v>
      </c>
      <c r="F348">
        <v>0</v>
      </c>
      <c r="G348">
        <v>0</v>
      </c>
      <c r="H348">
        <f>표5[[#This Row],[공격성공횟수]]/(표5[[#This Row],[공격실패횟수]]+표5[[#This Row],[공격성공횟수]])</f>
        <v>0.4</v>
      </c>
    </row>
    <row r="349" spans="1:8" hidden="1" x14ac:dyDescent="0.4">
      <c r="A349">
        <v>174</v>
      </c>
      <c r="B349" t="s">
        <v>1</v>
      </c>
      <c r="C349">
        <v>0</v>
      </c>
      <c r="D349">
        <v>0</v>
      </c>
      <c r="E349">
        <v>10</v>
      </c>
      <c r="F349">
        <v>4</v>
      </c>
      <c r="G349">
        <v>1</v>
      </c>
      <c r="H349">
        <f>표5[[#This Row],[공격성공횟수]]/(표5[[#This Row],[공격실패횟수]]+표5[[#This Row],[공격성공횟수]])</f>
        <v>0</v>
      </c>
    </row>
    <row r="350" spans="1:8" x14ac:dyDescent="0.4">
      <c r="A350">
        <v>175</v>
      </c>
      <c r="B350" t="s">
        <v>0</v>
      </c>
      <c r="C350">
        <v>0</v>
      </c>
      <c r="D350">
        <v>1</v>
      </c>
      <c r="E350">
        <v>29</v>
      </c>
      <c r="F350">
        <v>4</v>
      </c>
      <c r="G350">
        <v>1</v>
      </c>
      <c r="H350">
        <f>표5[[#This Row],[공격성공횟수]]/(표5[[#This Row],[공격실패횟수]]+표5[[#This Row],[공격성공횟수]])</f>
        <v>3.3333333333333333E-2</v>
      </c>
    </row>
    <row r="351" spans="1:8" hidden="1" x14ac:dyDescent="0.4">
      <c r="A351">
        <v>175</v>
      </c>
      <c r="B351" t="s">
        <v>1</v>
      </c>
      <c r="C351">
        <v>1</v>
      </c>
      <c r="D351">
        <v>4</v>
      </c>
      <c r="E351">
        <v>26</v>
      </c>
      <c r="F351">
        <v>1</v>
      </c>
      <c r="G351">
        <v>0</v>
      </c>
      <c r="H351">
        <f>표5[[#This Row],[공격성공횟수]]/(표5[[#This Row],[공격실패횟수]]+표5[[#This Row],[공격성공횟수]])</f>
        <v>0.13333333333333333</v>
      </c>
    </row>
    <row r="352" spans="1:8" x14ac:dyDescent="0.4">
      <c r="A352">
        <v>176</v>
      </c>
      <c r="B352" t="s">
        <v>0</v>
      </c>
      <c r="C352">
        <v>1</v>
      </c>
      <c r="D352">
        <v>4</v>
      </c>
      <c r="E352">
        <v>21</v>
      </c>
      <c r="F352">
        <v>3</v>
      </c>
      <c r="G352">
        <v>0</v>
      </c>
      <c r="H352">
        <f>표5[[#This Row],[공격성공횟수]]/(표5[[#This Row],[공격실패횟수]]+표5[[#This Row],[공격성공횟수]])</f>
        <v>0.16</v>
      </c>
    </row>
    <row r="353" spans="1:8" hidden="1" x14ac:dyDescent="0.4">
      <c r="A353">
        <v>176</v>
      </c>
      <c r="B353" t="s">
        <v>1</v>
      </c>
      <c r="C353">
        <v>0</v>
      </c>
      <c r="D353">
        <v>3</v>
      </c>
      <c r="E353">
        <v>20</v>
      </c>
      <c r="F353">
        <v>4</v>
      </c>
      <c r="G353">
        <v>1</v>
      </c>
      <c r="H353">
        <f>표5[[#This Row],[공격성공횟수]]/(표5[[#This Row],[공격실패횟수]]+표5[[#This Row],[공격성공횟수]])</f>
        <v>0.13043478260869565</v>
      </c>
    </row>
    <row r="354" spans="1:8" x14ac:dyDescent="0.4">
      <c r="A354">
        <v>177</v>
      </c>
      <c r="B354" t="s">
        <v>0</v>
      </c>
      <c r="C354">
        <v>1</v>
      </c>
      <c r="D354">
        <v>4</v>
      </c>
      <c r="E354">
        <v>12</v>
      </c>
      <c r="F354">
        <v>0</v>
      </c>
      <c r="G354">
        <v>0</v>
      </c>
      <c r="H354">
        <f>표5[[#This Row],[공격성공횟수]]/(표5[[#This Row],[공격실패횟수]]+표5[[#This Row],[공격성공횟수]])</f>
        <v>0.25</v>
      </c>
    </row>
    <row r="355" spans="1:8" hidden="1" x14ac:dyDescent="0.4">
      <c r="A355">
        <v>177</v>
      </c>
      <c r="B355" t="s">
        <v>1</v>
      </c>
      <c r="C355">
        <v>0</v>
      </c>
      <c r="D355">
        <v>0</v>
      </c>
      <c r="E355">
        <v>16</v>
      </c>
      <c r="F355">
        <v>4</v>
      </c>
      <c r="G355">
        <v>1</v>
      </c>
      <c r="H355">
        <f>표5[[#This Row],[공격성공횟수]]/(표5[[#This Row],[공격실패횟수]]+표5[[#This Row],[공격성공횟수]])</f>
        <v>0</v>
      </c>
    </row>
    <row r="356" spans="1:8" x14ac:dyDescent="0.4">
      <c r="A356">
        <v>178</v>
      </c>
      <c r="B356" t="s">
        <v>0</v>
      </c>
      <c r="C356">
        <v>1</v>
      </c>
      <c r="D356">
        <v>4</v>
      </c>
      <c r="E356">
        <v>5</v>
      </c>
      <c r="F356">
        <v>0</v>
      </c>
      <c r="G356">
        <v>0</v>
      </c>
      <c r="H356">
        <f>표5[[#This Row],[공격성공횟수]]/(표5[[#This Row],[공격실패횟수]]+표5[[#This Row],[공격성공횟수]])</f>
        <v>0.44444444444444442</v>
      </c>
    </row>
    <row r="357" spans="1:8" hidden="1" x14ac:dyDescent="0.4">
      <c r="A357">
        <v>178</v>
      </c>
      <c r="B357" t="s">
        <v>1</v>
      </c>
      <c r="C357">
        <v>0</v>
      </c>
      <c r="D357">
        <v>0</v>
      </c>
      <c r="E357">
        <v>9</v>
      </c>
      <c r="F357">
        <v>4</v>
      </c>
      <c r="G357">
        <v>1</v>
      </c>
      <c r="H357">
        <f>표5[[#This Row],[공격성공횟수]]/(표5[[#This Row],[공격실패횟수]]+표5[[#This Row],[공격성공횟수]])</f>
        <v>0</v>
      </c>
    </row>
    <row r="358" spans="1:8" x14ac:dyDescent="0.4">
      <c r="A358">
        <v>179</v>
      </c>
      <c r="B358" t="s">
        <v>0</v>
      </c>
      <c r="C358">
        <v>1</v>
      </c>
      <c r="D358">
        <v>4</v>
      </c>
      <c r="E358">
        <v>21</v>
      </c>
      <c r="F358">
        <v>0</v>
      </c>
      <c r="G358">
        <v>0</v>
      </c>
      <c r="H358">
        <f>표5[[#This Row],[공격성공횟수]]/(표5[[#This Row],[공격실패횟수]]+표5[[#This Row],[공격성공횟수]])</f>
        <v>0.16</v>
      </c>
    </row>
    <row r="359" spans="1:8" hidden="1" x14ac:dyDescent="0.4">
      <c r="A359">
        <v>179</v>
      </c>
      <c r="B359" t="s">
        <v>1</v>
      </c>
      <c r="C359">
        <v>0</v>
      </c>
      <c r="D359">
        <v>0</v>
      </c>
      <c r="E359">
        <v>29</v>
      </c>
      <c r="F359">
        <v>4</v>
      </c>
      <c r="G359">
        <v>1</v>
      </c>
      <c r="H359">
        <f>표5[[#This Row],[공격성공횟수]]/(표5[[#This Row],[공격실패횟수]]+표5[[#This Row],[공격성공횟수]])</f>
        <v>0</v>
      </c>
    </row>
    <row r="360" spans="1:8" x14ac:dyDescent="0.4">
      <c r="A360">
        <v>180</v>
      </c>
      <c r="B360" t="s">
        <v>0</v>
      </c>
      <c r="C360">
        <v>1</v>
      </c>
      <c r="D360">
        <v>4</v>
      </c>
      <c r="E360">
        <v>36</v>
      </c>
      <c r="F360">
        <v>3</v>
      </c>
      <c r="G360">
        <v>0</v>
      </c>
      <c r="H360">
        <f>표5[[#This Row],[공격성공횟수]]/(표5[[#This Row],[공격실패횟수]]+표5[[#This Row],[공격성공횟수]])</f>
        <v>0.1</v>
      </c>
    </row>
    <row r="361" spans="1:8" hidden="1" x14ac:dyDescent="0.4">
      <c r="A361">
        <v>180</v>
      </c>
      <c r="B361" t="s">
        <v>1</v>
      </c>
      <c r="C361">
        <v>0</v>
      </c>
      <c r="D361">
        <v>3</v>
      </c>
      <c r="E361">
        <v>37</v>
      </c>
      <c r="F361">
        <v>4</v>
      </c>
      <c r="G361">
        <v>1</v>
      </c>
      <c r="H361">
        <f>표5[[#This Row],[공격성공횟수]]/(표5[[#This Row],[공격실패횟수]]+표5[[#This Row],[공격성공횟수]])</f>
        <v>7.4999999999999997E-2</v>
      </c>
    </row>
    <row r="362" spans="1:8" x14ac:dyDescent="0.4">
      <c r="A362">
        <v>181</v>
      </c>
      <c r="B362" t="s">
        <v>0</v>
      </c>
      <c r="C362">
        <v>1</v>
      </c>
      <c r="D362">
        <v>4</v>
      </c>
      <c r="E362">
        <v>27</v>
      </c>
      <c r="F362">
        <v>3</v>
      </c>
      <c r="G362">
        <v>0</v>
      </c>
      <c r="H362">
        <f>표5[[#This Row],[공격성공횟수]]/(표5[[#This Row],[공격실패횟수]]+표5[[#This Row],[공격성공횟수]])</f>
        <v>0.12903225806451613</v>
      </c>
    </row>
    <row r="363" spans="1:8" hidden="1" x14ac:dyDescent="0.4">
      <c r="A363">
        <v>181</v>
      </c>
      <c r="B363" t="s">
        <v>1</v>
      </c>
      <c r="C363">
        <v>0</v>
      </c>
      <c r="D363">
        <v>3</v>
      </c>
      <c r="E363">
        <v>26</v>
      </c>
      <c r="F363">
        <v>4</v>
      </c>
      <c r="G363">
        <v>1</v>
      </c>
      <c r="H363">
        <f>표5[[#This Row],[공격성공횟수]]/(표5[[#This Row],[공격실패횟수]]+표5[[#This Row],[공격성공횟수]])</f>
        <v>0.10344827586206896</v>
      </c>
    </row>
    <row r="364" spans="1:8" x14ac:dyDescent="0.4">
      <c r="A364">
        <v>182</v>
      </c>
      <c r="B364" t="s">
        <v>0</v>
      </c>
      <c r="C364">
        <v>1</v>
      </c>
      <c r="D364">
        <v>4</v>
      </c>
      <c r="E364">
        <v>13</v>
      </c>
      <c r="F364">
        <v>3</v>
      </c>
      <c r="G364">
        <v>0</v>
      </c>
      <c r="H364">
        <f>표5[[#This Row],[공격성공횟수]]/(표5[[#This Row],[공격실패횟수]]+표5[[#This Row],[공격성공횟수]])</f>
        <v>0.23529411764705882</v>
      </c>
    </row>
    <row r="365" spans="1:8" hidden="1" x14ac:dyDescent="0.4">
      <c r="A365">
        <v>182</v>
      </c>
      <c r="B365" t="s">
        <v>1</v>
      </c>
      <c r="C365">
        <v>0</v>
      </c>
      <c r="D365">
        <v>3</v>
      </c>
      <c r="E365">
        <v>14</v>
      </c>
      <c r="F365">
        <v>4</v>
      </c>
      <c r="G365">
        <v>1</v>
      </c>
      <c r="H365">
        <f>표5[[#This Row],[공격성공횟수]]/(표5[[#This Row],[공격실패횟수]]+표5[[#This Row],[공격성공횟수]])</f>
        <v>0.17647058823529413</v>
      </c>
    </row>
    <row r="366" spans="1:8" x14ac:dyDescent="0.4">
      <c r="A366">
        <v>183</v>
      </c>
      <c r="B366" t="s">
        <v>0</v>
      </c>
      <c r="C366">
        <v>1</v>
      </c>
      <c r="D366">
        <v>4</v>
      </c>
      <c r="E366">
        <v>4</v>
      </c>
      <c r="F366">
        <v>1</v>
      </c>
      <c r="G366">
        <v>0</v>
      </c>
      <c r="H366">
        <f>표5[[#This Row],[공격성공횟수]]/(표5[[#This Row],[공격실패횟수]]+표5[[#This Row],[공격성공횟수]])</f>
        <v>0.5</v>
      </c>
    </row>
    <row r="367" spans="1:8" hidden="1" x14ac:dyDescent="0.4">
      <c r="A367">
        <v>183</v>
      </c>
      <c r="B367" t="s">
        <v>1</v>
      </c>
      <c r="C367">
        <v>0</v>
      </c>
      <c r="D367">
        <v>1</v>
      </c>
      <c r="E367">
        <v>8</v>
      </c>
      <c r="F367">
        <v>4</v>
      </c>
      <c r="G367">
        <v>1</v>
      </c>
      <c r="H367">
        <f>표5[[#This Row],[공격성공횟수]]/(표5[[#This Row],[공격실패횟수]]+표5[[#This Row],[공격성공횟수]])</f>
        <v>0.1111111111111111</v>
      </c>
    </row>
    <row r="368" spans="1:8" x14ac:dyDescent="0.4">
      <c r="A368">
        <v>184</v>
      </c>
      <c r="B368" t="s">
        <v>0</v>
      </c>
      <c r="C368">
        <v>1</v>
      </c>
      <c r="D368">
        <v>4</v>
      </c>
      <c r="E368">
        <v>9</v>
      </c>
      <c r="F368">
        <v>0</v>
      </c>
      <c r="G368">
        <v>0</v>
      </c>
      <c r="H368">
        <f>표5[[#This Row],[공격성공횟수]]/(표5[[#This Row],[공격실패횟수]]+표5[[#This Row],[공격성공횟수]])</f>
        <v>0.30769230769230771</v>
      </c>
    </row>
    <row r="369" spans="1:8" hidden="1" x14ac:dyDescent="0.4">
      <c r="A369">
        <v>184</v>
      </c>
      <c r="B369" t="s">
        <v>1</v>
      </c>
      <c r="C369">
        <v>0</v>
      </c>
      <c r="D369">
        <v>0</v>
      </c>
      <c r="E369">
        <v>12</v>
      </c>
      <c r="F369">
        <v>4</v>
      </c>
      <c r="G369">
        <v>1</v>
      </c>
      <c r="H369">
        <f>표5[[#This Row],[공격성공횟수]]/(표5[[#This Row],[공격실패횟수]]+표5[[#This Row],[공격성공횟수]])</f>
        <v>0</v>
      </c>
    </row>
    <row r="370" spans="1:8" x14ac:dyDescent="0.4">
      <c r="A370">
        <v>185</v>
      </c>
      <c r="B370" t="s">
        <v>0</v>
      </c>
      <c r="C370">
        <v>1</v>
      </c>
      <c r="D370">
        <v>4</v>
      </c>
      <c r="E370">
        <v>4</v>
      </c>
      <c r="F370">
        <v>0</v>
      </c>
      <c r="G370">
        <v>0</v>
      </c>
      <c r="H370">
        <f>표5[[#This Row],[공격성공횟수]]/(표5[[#This Row],[공격실패횟수]]+표5[[#This Row],[공격성공횟수]])</f>
        <v>0.5</v>
      </c>
    </row>
    <row r="371" spans="1:8" hidden="1" x14ac:dyDescent="0.4">
      <c r="A371">
        <v>185</v>
      </c>
      <c r="B371" t="s">
        <v>1</v>
      </c>
      <c r="C371">
        <v>0</v>
      </c>
      <c r="D371">
        <v>0</v>
      </c>
      <c r="E371">
        <v>8</v>
      </c>
      <c r="F371">
        <v>4</v>
      </c>
      <c r="G371">
        <v>1</v>
      </c>
      <c r="H371">
        <f>표5[[#This Row],[공격성공횟수]]/(표5[[#This Row],[공격실패횟수]]+표5[[#This Row],[공격성공횟수]])</f>
        <v>0</v>
      </c>
    </row>
    <row r="372" spans="1:8" x14ac:dyDescent="0.4">
      <c r="A372">
        <v>186</v>
      </c>
      <c r="B372" t="s">
        <v>0</v>
      </c>
      <c r="C372">
        <v>1</v>
      </c>
      <c r="D372">
        <v>4</v>
      </c>
      <c r="E372">
        <v>7</v>
      </c>
      <c r="F372">
        <v>0</v>
      </c>
      <c r="G372">
        <v>0</v>
      </c>
      <c r="H372">
        <f>표5[[#This Row],[공격성공횟수]]/(표5[[#This Row],[공격실패횟수]]+표5[[#This Row],[공격성공횟수]])</f>
        <v>0.36363636363636365</v>
      </c>
    </row>
    <row r="373" spans="1:8" hidden="1" x14ac:dyDescent="0.4">
      <c r="A373">
        <v>186</v>
      </c>
      <c r="B373" t="s">
        <v>1</v>
      </c>
      <c r="C373">
        <v>0</v>
      </c>
      <c r="D373">
        <v>0</v>
      </c>
      <c r="E373">
        <v>11</v>
      </c>
      <c r="F373">
        <v>4</v>
      </c>
      <c r="G373">
        <v>1</v>
      </c>
      <c r="H373">
        <f>표5[[#This Row],[공격성공횟수]]/(표5[[#This Row],[공격실패횟수]]+표5[[#This Row],[공격성공횟수]])</f>
        <v>0</v>
      </c>
    </row>
    <row r="374" spans="1:8" x14ac:dyDescent="0.4">
      <c r="A374">
        <v>187</v>
      </c>
      <c r="B374" t="s">
        <v>0</v>
      </c>
      <c r="C374">
        <v>1</v>
      </c>
      <c r="D374">
        <v>4</v>
      </c>
      <c r="E374">
        <v>5</v>
      </c>
      <c r="F374">
        <v>0</v>
      </c>
      <c r="G374">
        <v>0</v>
      </c>
      <c r="H374">
        <f>표5[[#This Row],[공격성공횟수]]/(표5[[#This Row],[공격실패횟수]]+표5[[#This Row],[공격성공횟수]])</f>
        <v>0.44444444444444442</v>
      </c>
    </row>
    <row r="375" spans="1:8" hidden="1" x14ac:dyDescent="0.4">
      <c r="A375">
        <v>187</v>
      </c>
      <c r="B375" t="s">
        <v>1</v>
      </c>
      <c r="C375">
        <v>0</v>
      </c>
      <c r="D375">
        <v>0</v>
      </c>
      <c r="E375">
        <v>9</v>
      </c>
      <c r="F375">
        <v>4</v>
      </c>
      <c r="G375">
        <v>1</v>
      </c>
      <c r="H375">
        <f>표5[[#This Row],[공격성공횟수]]/(표5[[#This Row],[공격실패횟수]]+표5[[#This Row],[공격성공횟수]])</f>
        <v>0</v>
      </c>
    </row>
    <row r="376" spans="1:8" x14ac:dyDescent="0.4">
      <c r="A376">
        <v>188</v>
      </c>
      <c r="B376" t="s">
        <v>0</v>
      </c>
      <c r="C376">
        <v>1</v>
      </c>
      <c r="D376">
        <v>4</v>
      </c>
      <c r="E376">
        <v>9</v>
      </c>
      <c r="F376">
        <v>1</v>
      </c>
      <c r="G376">
        <v>0</v>
      </c>
      <c r="H376">
        <f>표5[[#This Row],[공격성공횟수]]/(표5[[#This Row],[공격실패횟수]]+표5[[#This Row],[공격성공횟수]])</f>
        <v>0.30769230769230771</v>
      </c>
    </row>
    <row r="377" spans="1:8" hidden="1" x14ac:dyDescent="0.4">
      <c r="A377">
        <v>188</v>
      </c>
      <c r="B377" t="s">
        <v>1</v>
      </c>
      <c r="C377">
        <v>0</v>
      </c>
      <c r="D377">
        <v>1</v>
      </c>
      <c r="E377">
        <v>12</v>
      </c>
      <c r="F377">
        <v>4</v>
      </c>
      <c r="G377">
        <v>1</v>
      </c>
      <c r="H377">
        <f>표5[[#This Row],[공격성공횟수]]/(표5[[#This Row],[공격실패횟수]]+표5[[#This Row],[공격성공횟수]])</f>
        <v>7.6923076923076927E-2</v>
      </c>
    </row>
    <row r="378" spans="1:8" x14ac:dyDescent="0.4">
      <c r="A378">
        <v>189</v>
      </c>
      <c r="B378" t="s">
        <v>0</v>
      </c>
      <c r="C378">
        <v>1</v>
      </c>
      <c r="D378">
        <v>4</v>
      </c>
      <c r="E378">
        <v>14</v>
      </c>
      <c r="F378">
        <v>2</v>
      </c>
      <c r="G378">
        <v>0</v>
      </c>
      <c r="H378">
        <f>표5[[#This Row],[공격성공횟수]]/(표5[[#This Row],[공격실패횟수]]+표5[[#This Row],[공격성공횟수]])</f>
        <v>0.22222222222222221</v>
      </c>
    </row>
    <row r="379" spans="1:8" hidden="1" x14ac:dyDescent="0.4">
      <c r="A379">
        <v>189</v>
      </c>
      <c r="B379" t="s">
        <v>1</v>
      </c>
      <c r="C379">
        <v>0</v>
      </c>
      <c r="D379">
        <v>2</v>
      </c>
      <c r="E379">
        <v>16</v>
      </c>
      <c r="F379">
        <v>4</v>
      </c>
      <c r="G379">
        <v>1</v>
      </c>
      <c r="H379">
        <f>표5[[#This Row],[공격성공횟수]]/(표5[[#This Row],[공격실패횟수]]+표5[[#This Row],[공격성공횟수]])</f>
        <v>0.1111111111111111</v>
      </c>
    </row>
    <row r="380" spans="1:8" x14ac:dyDescent="0.4">
      <c r="A380">
        <v>190</v>
      </c>
      <c r="B380" t="s">
        <v>0</v>
      </c>
      <c r="C380">
        <v>1</v>
      </c>
      <c r="D380">
        <v>4</v>
      </c>
      <c r="E380">
        <v>18</v>
      </c>
      <c r="F380">
        <v>0</v>
      </c>
      <c r="G380">
        <v>0</v>
      </c>
      <c r="H380">
        <f>표5[[#This Row],[공격성공횟수]]/(표5[[#This Row],[공격실패횟수]]+표5[[#This Row],[공격성공횟수]])</f>
        <v>0.18181818181818182</v>
      </c>
    </row>
    <row r="381" spans="1:8" hidden="1" x14ac:dyDescent="0.4">
      <c r="A381">
        <v>190</v>
      </c>
      <c r="B381" t="s">
        <v>1</v>
      </c>
      <c r="C381">
        <v>0</v>
      </c>
      <c r="D381">
        <v>0</v>
      </c>
      <c r="E381">
        <v>25</v>
      </c>
      <c r="F381">
        <v>4</v>
      </c>
      <c r="G381">
        <v>1</v>
      </c>
      <c r="H381">
        <f>표5[[#This Row],[공격성공횟수]]/(표5[[#This Row],[공격실패횟수]]+표5[[#This Row],[공격성공횟수]])</f>
        <v>0</v>
      </c>
    </row>
    <row r="382" spans="1:8" x14ac:dyDescent="0.4">
      <c r="A382">
        <v>191</v>
      </c>
      <c r="B382" t="s">
        <v>0</v>
      </c>
      <c r="C382">
        <v>0</v>
      </c>
      <c r="D382">
        <v>1</v>
      </c>
      <c r="E382">
        <v>31</v>
      </c>
      <c r="F382">
        <v>4</v>
      </c>
      <c r="G382">
        <v>1</v>
      </c>
      <c r="H382">
        <f>표5[[#This Row],[공격성공횟수]]/(표5[[#This Row],[공격실패횟수]]+표5[[#This Row],[공격성공횟수]])</f>
        <v>3.125E-2</v>
      </c>
    </row>
    <row r="383" spans="1:8" hidden="1" x14ac:dyDescent="0.4">
      <c r="A383">
        <v>191</v>
      </c>
      <c r="B383" t="s">
        <v>1</v>
      </c>
      <c r="C383">
        <v>1</v>
      </c>
      <c r="D383">
        <v>4</v>
      </c>
      <c r="E383">
        <v>29</v>
      </c>
      <c r="F383">
        <v>1</v>
      </c>
      <c r="G383">
        <v>0</v>
      </c>
      <c r="H383">
        <f>표5[[#This Row],[공격성공횟수]]/(표5[[#This Row],[공격실패횟수]]+표5[[#This Row],[공격성공횟수]])</f>
        <v>0.12121212121212122</v>
      </c>
    </row>
    <row r="384" spans="1:8" x14ac:dyDescent="0.4">
      <c r="A384">
        <v>192</v>
      </c>
      <c r="B384" t="s">
        <v>0</v>
      </c>
      <c r="C384">
        <v>1</v>
      </c>
      <c r="D384">
        <v>4</v>
      </c>
      <c r="E384">
        <v>26</v>
      </c>
      <c r="F384">
        <v>1</v>
      </c>
      <c r="G384">
        <v>0</v>
      </c>
      <c r="H384">
        <f>표5[[#This Row],[공격성공횟수]]/(표5[[#This Row],[공격실패횟수]]+표5[[#This Row],[공격성공횟수]])</f>
        <v>0.13333333333333333</v>
      </c>
    </row>
    <row r="385" spans="1:8" hidden="1" x14ac:dyDescent="0.4">
      <c r="A385">
        <v>192</v>
      </c>
      <c r="B385" t="s">
        <v>1</v>
      </c>
      <c r="C385">
        <v>0</v>
      </c>
      <c r="D385">
        <v>1</v>
      </c>
      <c r="E385">
        <v>32</v>
      </c>
      <c r="F385">
        <v>4</v>
      </c>
      <c r="G385">
        <v>1</v>
      </c>
      <c r="H385">
        <f>표5[[#This Row],[공격성공횟수]]/(표5[[#This Row],[공격실패횟수]]+표5[[#This Row],[공격성공횟수]])</f>
        <v>3.0303030303030304E-2</v>
      </c>
    </row>
    <row r="386" spans="1:8" x14ac:dyDescent="0.4">
      <c r="A386">
        <v>193</v>
      </c>
      <c r="B386" t="s">
        <v>0</v>
      </c>
      <c r="C386">
        <v>1</v>
      </c>
      <c r="D386">
        <v>4</v>
      </c>
      <c r="E386">
        <v>9</v>
      </c>
      <c r="F386">
        <v>1</v>
      </c>
      <c r="G386">
        <v>0</v>
      </c>
      <c r="H386">
        <f>표5[[#This Row],[공격성공횟수]]/(표5[[#This Row],[공격실패횟수]]+표5[[#This Row],[공격성공횟수]])</f>
        <v>0.30769230769230771</v>
      </c>
    </row>
    <row r="387" spans="1:8" hidden="1" x14ac:dyDescent="0.4">
      <c r="A387">
        <v>193</v>
      </c>
      <c r="B387" t="s">
        <v>1</v>
      </c>
      <c r="C387">
        <v>0</v>
      </c>
      <c r="D387">
        <v>1</v>
      </c>
      <c r="E387">
        <v>12</v>
      </c>
      <c r="F387">
        <v>4</v>
      </c>
      <c r="G387">
        <v>1</v>
      </c>
      <c r="H387">
        <f>표5[[#This Row],[공격성공횟수]]/(표5[[#This Row],[공격실패횟수]]+표5[[#This Row],[공격성공횟수]])</f>
        <v>7.6923076923076927E-2</v>
      </c>
    </row>
    <row r="388" spans="1:8" x14ac:dyDescent="0.4">
      <c r="A388">
        <v>194</v>
      </c>
      <c r="B388" t="s">
        <v>0</v>
      </c>
      <c r="C388">
        <v>0</v>
      </c>
      <c r="D388">
        <v>1</v>
      </c>
      <c r="E388">
        <v>28</v>
      </c>
      <c r="F388">
        <v>4</v>
      </c>
      <c r="G388">
        <v>1</v>
      </c>
      <c r="H388">
        <f>표5[[#This Row],[공격성공횟수]]/(표5[[#This Row],[공격실패횟수]]+표5[[#This Row],[공격성공횟수]])</f>
        <v>3.4482758620689655E-2</v>
      </c>
    </row>
    <row r="389" spans="1:8" hidden="1" x14ac:dyDescent="0.4">
      <c r="A389">
        <v>194</v>
      </c>
      <c r="B389" t="s">
        <v>1</v>
      </c>
      <c r="C389">
        <v>1</v>
      </c>
      <c r="D389">
        <v>4</v>
      </c>
      <c r="E389">
        <v>25</v>
      </c>
      <c r="F389">
        <v>1</v>
      </c>
      <c r="G389">
        <v>0</v>
      </c>
      <c r="H389">
        <f>표5[[#This Row],[공격성공횟수]]/(표5[[#This Row],[공격실패횟수]]+표5[[#This Row],[공격성공횟수]])</f>
        <v>0.13793103448275862</v>
      </c>
    </row>
    <row r="390" spans="1:8" x14ac:dyDescent="0.4">
      <c r="A390">
        <v>195</v>
      </c>
      <c r="B390" t="s">
        <v>0</v>
      </c>
      <c r="C390">
        <v>1</v>
      </c>
      <c r="D390">
        <v>4</v>
      </c>
      <c r="E390">
        <v>7</v>
      </c>
      <c r="F390">
        <v>0</v>
      </c>
      <c r="G390">
        <v>0</v>
      </c>
      <c r="H390">
        <f>표5[[#This Row],[공격성공횟수]]/(표5[[#This Row],[공격실패횟수]]+표5[[#This Row],[공격성공횟수]])</f>
        <v>0.36363636363636365</v>
      </c>
    </row>
    <row r="391" spans="1:8" hidden="1" x14ac:dyDescent="0.4">
      <c r="A391">
        <v>195</v>
      </c>
      <c r="B391" t="s">
        <v>1</v>
      </c>
      <c r="C391">
        <v>0</v>
      </c>
      <c r="D391">
        <v>0</v>
      </c>
      <c r="E391">
        <v>10</v>
      </c>
      <c r="F391">
        <v>4</v>
      </c>
      <c r="G391">
        <v>1</v>
      </c>
      <c r="H391">
        <f>표5[[#This Row],[공격성공횟수]]/(표5[[#This Row],[공격실패횟수]]+표5[[#This Row],[공격성공횟수]])</f>
        <v>0</v>
      </c>
    </row>
    <row r="392" spans="1:8" x14ac:dyDescent="0.4">
      <c r="A392">
        <v>196</v>
      </c>
      <c r="B392" t="s">
        <v>0</v>
      </c>
      <c r="C392">
        <v>1</v>
      </c>
      <c r="D392">
        <v>4</v>
      </c>
      <c r="E392">
        <v>7</v>
      </c>
      <c r="F392">
        <v>1</v>
      </c>
      <c r="G392">
        <v>0</v>
      </c>
      <c r="H392">
        <f>표5[[#This Row],[공격성공횟수]]/(표5[[#This Row],[공격실패횟수]]+표5[[#This Row],[공격성공횟수]])</f>
        <v>0.36363636363636365</v>
      </c>
    </row>
    <row r="393" spans="1:8" hidden="1" x14ac:dyDescent="0.4">
      <c r="A393">
        <v>196</v>
      </c>
      <c r="B393" t="s">
        <v>1</v>
      </c>
      <c r="C393">
        <v>0</v>
      </c>
      <c r="D393">
        <v>1</v>
      </c>
      <c r="E393">
        <v>9</v>
      </c>
      <c r="F393">
        <v>4</v>
      </c>
      <c r="G393">
        <v>1</v>
      </c>
      <c r="H393">
        <f>표5[[#This Row],[공격성공횟수]]/(표5[[#This Row],[공격실패횟수]]+표5[[#This Row],[공격성공횟수]])</f>
        <v>0.1</v>
      </c>
    </row>
    <row r="394" spans="1:8" x14ac:dyDescent="0.4">
      <c r="A394">
        <v>197</v>
      </c>
      <c r="B394" t="s">
        <v>0</v>
      </c>
      <c r="C394">
        <v>1</v>
      </c>
      <c r="D394">
        <v>4</v>
      </c>
      <c r="E394">
        <v>12</v>
      </c>
      <c r="F394">
        <v>2</v>
      </c>
      <c r="G394">
        <v>0</v>
      </c>
      <c r="H394">
        <f>표5[[#This Row],[공격성공횟수]]/(표5[[#This Row],[공격실패횟수]]+표5[[#This Row],[공격성공횟수]])</f>
        <v>0.25</v>
      </c>
    </row>
    <row r="395" spans="1:8" hidden="1" x14ac:dyDescent="0.4">
      <c r="A395">
        <v>197</v>
      </c>
      <c r="B395" t="s">
        <v>1</v>
      </c>
      <c r="C395">
        <v>0</v>
      </c>
      <c r="D395">
        <v>2</v>
      </c>
      <c r="E395">
        <v>16</v>
      </c>
      <c r="F395">
        <v>4</v>
      </c>
      <c r="G395">
        <v>1</v>
      </c>
      <c r="H395">
        <f>표5[[#This Row],[공격성공횟수]]/(표5[[#This Row],[공격실패횟수]]+표5[[#This Row],[공격성공횟수]])</f>
        <v>0.1111111111111111</v>
      </c>
    </row>
    <row r="396" spans="1:8" x14ac:dyDescent="0.4">
      <c r="A396">
        <v>198</v>
      </c>
      <c r="B396" t="s">
        <v>0</v>
      </c>
      <c r="C396">
        <v>1</v>
      </c>
      <c r="D396">
        <v>4</v>
      </c>
      <c r="E396">
        <v>4</v>
      </c>
      <c r="F396">
        <v>1</v>
      </c>
      <c r="G396">
        <v>0</v>
      </c>
      <c r="H396">
        <f>표5[[#This Row],[공격성공횟수]]/(표5[[#This Row],[공격실패횟수]]+표5[[#This Row],[공격성공횟수]])</f>
        <v>0.5</v>
      </c>
    </row>
    <row r="397" spans="1:8" hidden="1" x14ac:dyDescent="0.4">
      <c r="A397">
        <v>198</v>
      </c>
      <c r="B397" t="s">
        <v>1</v>
      </c>
      <c r="C397">
        <v>0</v>
      </c>
      <c r="D397">
        <v>1</v>
      </c>
      <c r="E397">
        <v>7</v>
      </c>
      <c r="F397">
        <v>4</v>
      </c>
      <c r="G397">
        <v>1</v>
      </c>
      <c r="H397">
        <f>표5[[#This Row],[공격성공횟수]]/(표5[[#This Row],[공격실패횟수]]+표5[[#This Row],[공격성공횟수]])</f>
        <v>0.125</v>
      </c>
    </row>
    <row r="398" spans="1:8" x14ac:dyDescent="0.4">
      <c r="A398">
        <v>199</v>
      </c>
      <c r="B398" t="s">
        <v>0</v>
      </c>
      <c r="C398">
        <v>0</v>
      </c>
      <c r="D398">
        <v>1</v>
      </c>
      <c r="E398">
        <v>16</v>
      </c>
      <c r="F398">
        <v>4</v>
      </c>
      <c r="G398">
        <v>1</v>
      </c>
      <c r="H398">
        <f>표5[[#This Row],[공격성공횟수]]/(표5[[#This Row],[공격실패횟수]]+표5[[#This Row],[공격성공횟수]])</f>
        <v>5.8823529411764705E-2</v>
      </c>
    </row>
    <row r="399" spans="1:8" hidden="1" x14ac:dyDescent="0.4">
      <c r="A399">
        <v>199</v>
      </c>
      <c r="B399" t="s">
        <v>1</v>
      </c>
      <c r="C399">
        <v>1</v>
      </c>
      <c r="D399">
        <v>4</v>
      </c>
      <c r="E399">
        <v>13</v>
      </c>
      <c r="F399">
        <v>1</v>
      </c>
      <c r="G399">
        <v>0</v>
      </c>
      <c r="H399">
        <f>표5[[#This Row],[공격성공횟수]]/(표5[[#This Row],[공격실패횟수]]+표5[[#This Row],[공격성공횟수]])</f>
        <v>0.23529411764705882</v>
      </c>
    </row>
    <row r="400" spans="1:8" x14ac:dyDescent="0.4">
      <c r="A400">
        <v>200</v>
      </c>
      <c r="B400" t="s">
        <v>0</v>
      </c>
      <c r="C400">
        <v>1</v>
      </c>
      <c r="D400">
        <v>4</v>
      </c>
      <c r="E400">
        <v>13</v>
      </c>
      <c r="F400">
        <v>1</v>
      </c>
      <c r="G400">
        <v>0</v>
      </c>
      <c r="H400">
        <f>표5[[#This Row],[공격성공횟수]]/(표5[[#This Row],[공격실패횟수]]+표5[[#This Row],[공격성공횟수]])</f>
        <v>0.23529411764705882</v>
      </c>
    </row>
    <row r="401" spans="1:8" hidden="1" x14ac:dyDescent="0.4">
      <c r="A401">
        <v>200</v>
      </c>
      <c r="B401" t="s">
        <v>1</v>
      </c>
      <c r="C401">
        <v>0</v>
      </c>
      <c r="D401">
        <v>1</v>
      </c>
      <c r="E401">
        <v>15</v>
      </c>
      <c r="F401">
        <v>4</v>
      </c>
      <c r="G401">
        <v>1</v>
      </c>
      <c r="H401">
        <f>표5[[#This Row],[공격성공횟수]]/(표5[[#This Row],[공격실패횟수]]+표5[[#This Row],[공격성공횟수]])</f>
        <v>6.25E-2</v>
      </c>
    </row>
    <row r="402" spans="1:8" x14ac:dyDescent="0.4">
      <c r="A402">
        <v>201</v>
      </c>
      <c r="B402" t="s">
        <v>0</v>
      </c>
      <c r="C402">
        <v>0</v>
      </c>
      <c r="D402">
        <v>0</v>
      </c>
      <c r="E402">
        <v>28</v>
      </c>
      <c r="F402">
        <v>4</v>
      </c>
      <c r="G402">
        <v>1</v>
      </c>
      <c r="H402">
        <f>표5[[#This Row],[공격성공횟수]]/(표5[[#This Row],[공격실패횟수]]+표5[[#This Row],[공격성공횟수]])</f>
        <v>0</v>
      </c>
    </row>
    <row r="403" spans="1:8" hidden="1" x14ac:dyDescent="0.4">
      <c r="A403">
        <v>201</v>
      </c>
      <c r="B403" t="s">
        <v>1</v>
      </c>
      <c r="C403">
        <v>1</v>
      </c>
      <c r="D403">
        <v>4</v>
      </c>
      <c r="E403">
        <v>25</v>
      </c>
      <c r="F403">
        <v>0</v>
      </c>
      <c r="G403">
        <v>0</v>
      </c>
      <c r="H403">
        <f>표5[[#This Row],[공격성공횟수]]/(표5[[#This Row],[공격실패횟수]]+표5[[#This Row],[공격성공횟수]])</f>
        <v>0.13793103448275862</v>
      </c>
    </row>
    <row r="404" spans="1:8" x14ac:dyDescent="0.4">
      <c r="A404">
        <v>202</v>
      </c>
      <c r="B404" t="s">
        <v>0</v>
      </c>
      <c r="C404">
        <v>1</v>
      </c>
      <c r="D404">
        <v>4</v>
      </c>
      <c r="E404">
        <v>13</v>
      </c>
      <c r="F404">
        <v>0</v>
      </c>
      <c r="G404">
        <v>0</v>
      </c>
      <c r="H404">
        <f>표5[[#This Row],[공격성공횟수]]/(표5[[#This Row],[공격실패횟수]]+표5[[#This Row],[공격성공횟수]])</f>
        <v>0.23529411764705882</v>
      </c>
    </row>
    <row r="405" spans="1:8" hidden="1" x14ac:dyDescent="0.4">
      <c r="A405">
        <v>202</v>
      </c>
      <c r="B405" t="s">
        <v>1</v>
      </c>
      <c r="C405">
        <v>0</v>
      </c>
      <c r="D405">
        <v>0</v>
      </c>
      <c r="E405">
        <v>19</v>
      </c>
      <c r="F405">
        <v>4</v>
      </c>
      <c r="G405">
        <v>1</v>
      </c>
      <c r="H405">
        <f>표5[[#This Row],[공격성공횟수]]/(표5[[#This Row],[공격실패횟수]]+표5[[#This Row],[공격성공횟수]])</f>
        <v>0</v>
      </c>
    </row>
    <row r="406" spans="1:8" x14ac:dyDescent="0.4">
      <c r="A406">
        <v>203</v>
      </c>
      <c r="B406" t="s">
        <v>0</v>
      </c>
      <c r="C406">
        <v>1</v>
      </c>
      <c r="D406">
        <v>4</v>
      </c>
      <c r="E406">
        <v>8</v>
      </c>
      <c r="F406">
        <v>0</v>
      </c>
      <c r="G406">
        <v>0</v>
      </c>
      <c r="H406">
        <f>표5[[#This Row],[공격성공횟수]]/(표5[[#This Row],[공격실패횟수]]+표5[[#This Row],[공격성공횟수]])</f>
        <v>0.33333333333333331</v>
      </c>
    </row>
    <row r="407" spans="1:8" hidden="1" x14ac:dyDescent="0.4">
      <c r="A407">
        <v>203</v>
      </c>
      <c r="B407" t="s">
        <v>1</v>
      </c>
      <c r="C407">
        <v>0</v>
      </c>
      <c r="D407">
        <v>0</v>
      </c>
      <c r="E407">
        <v>12</v>
      </c>
      <c r="F407">
        <v>4</v>
      </c>
      <c r="G407">
        <v>1</v>
      </c>
      <c r="H407">
        <f>표5[[#This Row],[공격성공횟수]]/(표5[[#This Row],[공격실패횟수]]+표5[[#This Row],[공격성공횟수]])</f>
        <v>0</v>
      </c>
    </row>
    <row r="408" spans="1:8" x14ac:dyDescent="0.4">
      <c r="A408">
        <v>204</v>
      </c>
      <c r="B408" t="s">
        <v>0</v>
      </c>
      <c r="C408">
        <v>1</v>
      </c>
      <c r="D408">
        <v>4</v>
      </c>
      <c r="E408">
        <v>30</v>
      </c>
      <c r="F408">
        <v>1</v>
      </c>
      <c r="G408">
        <v>0</v>
      </c>
      <c r="H408">
        <f>표5[[#This Row],[공격성공횟수]]/(표5[[#This Row],[공격실패횟수]]+표5[[#This Row],[공격성공횟수]])</f>
        <v>0.11764705882352941</v>
      </c>
    </row>
    <row r="409" spans="1:8" hidden="1" x14ac:dyDescent="0.4">
      <c r="A409">
        <v>204</v>
      </c>
      <c r="B409" t="s">
        <v>1</v>
      </c>
      <c r="C409">
        <v>0</v>
      </c>
      <c r="D409">
        <v>1</v>
      </c>
      <c r="E409">
        <v>32</v>
      </c>
      <c r="F409">
        <v>4</v>
      </c>
      <c r="G409">
        <v>1</v>
      </c>
      <c r="H409">
        <f>표5[[#This Row],[공격성공횟수]]/(표5[[#This Row],[공격실패횟수]]+표5[[#This Row],[공격성공횟수]])</f>
        <v>3.0303030303030304E-2</v>
      </c>
    </row>
    <row r="410" spans="1:8" x14ac:dyDescent="0.4">
      <c r="A410">
        <v>205</v>
      </c>
      <c r="B410" t="s">
        <v>0</v>
      </c>
      <c r="C410">
        <v>1</v>
      </c>
      <c r="D410">
        <v>4</v>
      </c>
      <c r="E410">
        <v>11</v>
      </c>
      <c r="F410">
        <v>2</v>
      </c>
      <c r="G410">
        <v>0</v>
      </c>
      <c r="H410">
        <f>표5[[#This Row],[공격성공횟수]]/(표5[[#This Row],[공격실패횟수]]+표5[[#This Row],[공격성공횟수]])</f>
        <v>0.26666666666666666</v>
      </c>
    </row>
    <row r="411" spans="1:8" hidden="1" x14ac:dyDescent="0.4">
      <c r="A411">
        <v>205</v>
      </c>
      <c r="B411" t="s">
        <v>1</v>
      </c>
      <c r="C411">
        <v>0</v>
      </c>
      <c r="D411">
        <v>2</v>
      </c>
      <c r="E411">
        <v>13</v>
      </c>
      <c r="F411">
        <v>4</v>
      </c>
      <c r="G411">
        <v>1</v>
      </c>
      <c r="H411">
        <f>표5[[#This Row],[공격성공횟수]]/(표5[[#This Row],[공격실패횟수]]+표5[[#This Row],[공격성공횟수]])</f>
        <v>0.13333333333333333</v>
      </c>
    </row>
    <row r="412" spans="1:8" x14ac:dyDescent="0.4">
      <c r="A412">
        <v>206</v>
      </c>
      <c r="B412" t="s">
        <v>0</v>
      </c>
      <c r="C412">
        <v>1</v>
      </c>
      <c r="D412">
        <v>4</v>
      </c>
      <c r="E412">
        <v>18</v>
      </c>
      <c r="F412">
        <v>3</v>
      </c>
      <c r="G412">
        <v>0</v>
      </c>
      <c r="H412">
        <f>표5[[#This Row],[공격성공횟수]]/(표5[[#This Row],[공격실패횟수]]+표5[[#This Row],[공격성공횟수]])</f>
        <v>0.18181818181818182</v>
      </c>
    </row>
    <row r="413" spans="1:8" hidden="1" x14ac:dyDescent="0.4">
      <c r="A413">
        <v>206</v>
      </c>
      <c r="B413" t="s">
        <v>1</v>
      </c>
      <c r="C413">
        <v>0</v>
      </c>
      <c r="D413">
        <v>3</v>
      </c>
      <c r="E413">
        <v>18</v>
      </c>
      <c r="F413">
        <v>4</v>
      </c>
      <c r="G413">
        <v>1</v>
      </c>
      <c r="H413">
        <f>표5[[#This Row],[공격성공횟수]]/(표5[[#This Row],[공격실패횟수]]+표5[[#This Row],[공격성공횟수]])</f>
        <v>0.14285714285714285</v>
      </c>
    </row>
    <row r="414" spans="1:8" x14ac:dyDescent="0.4">
      <c r="A414">
        <v>207</v>
      </c>
      <c r="B414" t="s">
        <v>0</v>
      </c>
      <c r="C414">
        <v>1</v>
      </c>
      <c r="D414">
        <v>4</v>
      </c>
      <c r="E414">
        <v>7</v>
      </c>
      <c r="F414">
        <v>3</v>
      </c>
      <c r="G414">
        <v>0</v>
      </c>
      <c r="H414">
        <f>표5[[#This Row],[공격성공횟수]]/(표5[[#This Row],[공격실패횟수]]+표5[[#This Row],[공격성공횟수]])</f>
        <v>0.36363636363636365</v>
      </c>
    </row>
    <row r="415" spans="1:8" hidden="1" x14ac:dyDescent="0.4">
      <c r="A415">
        <v>207</v>
      </c>
      <c r="B415" t="s">
        <v>1</v>
      </c>
      <c r="C415">
        <v>0</v>
      </c>
      <c r="D415">
        <v>3</v>
      </c>
      <c r="E415">
        <v>9</v>
      </c>
      <c r="F415">
        <v>4</v>
      </c>
      <c r="G415">
        <v>1</v>
      </c>
      <c r="H415">
        <f>표5[[#This Row],[공격성공횟수]]/(표5[[#This Row],[공격실패횟수]]+표5[[#This Row],[공격성공횟수]])</f>
        <v>0.25</v>
      </c>
    </row>
    <row r="416" spans="1:8" x14ac:dyDescent="0.4">
      <c r="A416">
        <v>208</v>
      </c>
      <c r="B416" t="s">
        <v>0</v>
      </c>
      <c r="C416">
        <v>0</v>
      </c>
      <c r="D416">
        <v>0</v>
      </c>
      <c r="E416">
        <v>25</v>
      </c>
      <c r="F416">
        <v>4</v>
      </c>
      <c r="G416">
        <v>1</v>
      </c>
      <c r="H416">
        <f>표5[[#This Row],[공격성공횟수]]/(표5[[#This Row],[공격실패횟수]]+표5[[#This Row],[공격성공횟수]])</f>
        <v>0</v>
      </c>
    </row>
    <row r="417" spans="1:8" hidden="1" x14ac:dyDescent="0.4">
      <c r="A417">
        <v>208</v>
      </c>
      <c r="B417" t="s">
        <v>1</v>
      </c>
      <c r="C417">
        <v>1</v>
      </c>
      <c r="D417">
        <v>4</v>
      </c>
      <c r="E417">
        <v>22</v>
      </c>
      <c r="F417">
        <v>0</v>
      </c>
      <c r="G417">
        <v>0</v>
      </c>
      <c r="H417">
        <f>표5[[#This Row],[공격성공횟수]]/(표5[[#This Row],[공격실패횟수]]+표5[[#This Row],[공격성공횟수]])</f>
        <v>0.15384615384615385</v>
      </c>
    </row>
    <row r="418" spans="1:8" x14ac:dyDescent="0.4">
      <c r="A418">
        <v>209</v>
      </c>
      <c r="B418" t="s">
        <v>0</v>
      </c>
      <c r="C418">
        <v>1</v>
      </c>
      <c r="D418">
        <v>4</v>
      </c>
      <c r="E418">
        <v>17</v>
      </c>
      <c r="F418">
        <v>2</v>
      </c>
      <c r="G418">
        <v>0</v>
      </c>
      <c r="H418">
        <f>표5[[#This Row],[공격성공횟수]]/(표5[[#This Row],[공격실패횟수]]+표5[[#This Row],[공격성공횟수]])</f>
        <v>0.19047619047619047</v>
      </c>
    </row>
    <row r="419" spans="1:8" hidden="1" x14ac:dyDescent="0.4">
      <c r="A419">
        <v>209</v>
      </c>
      <c r="B419" t="s">
        <v>1</v>
      </c>
      <c r="C419">
        <v>0</v>
      </c>
      <c r="D419">
        <v>2</v>
      </c>
      <c r="E419">
        <v>17</v>
      </c>
      <c r="F419">
        <v>4</v>
      </c>
      <c r="G419">
        <v>1</v>
      </c>
      <c r="H419">
        <f>표5[[#This Row],[공격성공횟수]]/(표5[[#This Row],[공격실패횟수]]+표5[[#This Row],[공격성공횟수]])</f>
        <v>0.10526315789473684</v>
      </c>
    </row>
    <row r="420" spans="1:8" x14ac:dyDescent="0.4">
      <c r="A420">
        <v>210</v>
      </c>
      <c r="B420" t="s">
        <v>0</v>
      </c>
      <c r="C420">
        <v>0</v>
      </c>
      <c r="D420">
        <v>3</v>
      </c>
      <c r="E420">
        <v>16</v>
      </c>
      <c r="F420">
        <v>4</v>
      </c>
      <c r="G420">
        <v>1</v>
      </c>
      <c r="H420">
        <f>표5[[#This Row],[공격성공횟수]]/(표5[[#This Row],[공격실패횟수]]+표5[[#This Row],[공격성공횟수]])</f>
        <v>0.15789473684210525</v>
      </c>
    </row>
    <row r="421" spans="1:8" hidden="1" x14ac:dyDescent="0.4">
      <c r="A421">
        <v>210</v>
      </c>
      <c r="B421" t="s">
        <v>1</v>
      </c>
      <c r="C421">
        <v>1</v>
      </c>
      <c r="D421">
        <v>4</v>
      </c>
      <c r="E421">
        <v>16</v>
      </c>
      <c r="F421">
        <v>3</v>
      </c>
      <c r="G421">
        <v>0</v>
      </c>
      <c r="H421">
        <f>표5[[#This Row],[공격성공횟수]]/(표5[[#This Row],[공격실패횟수]]+표5[[#This Row],[공격성공횟수]])</f>
        <v>0.2</v>
      </c>
    </row>
    <row r="422" spans="1:8" x14ac:dyDescent="0.4">
      <c r="A422">
        <v>211</v>
      </c>
      <c r="B422" t="s">
        <v>0</v>
      </c>
      <c r="C422">
        <v>0</v>
      </c>
      <c r="D422">
        <v>0</v>
      </c>
      <c r="E422">
        <v>16</v>
      </c>
      <c r="F422">
        <v>4</v>
      </c>
      <c r="G422">
        <v>1</v>
      </c>
      <c r="H422">
        <f>표5[[#This Row],[공격성공횟수]]/(표5[[#This Row],[공격실패횟수]]+표5[[#This Row],[공격성공횟수]])</f>
        <v>0</v>
      </c>
    </row>
    <row r="423" spans="1:8" hidden="1" x14ac:dyDescent="0.4">
      <c r="A423">
        <v>211</v>
      </c>
      <c r="B423" t="s">
        <v>1</v>
      </c>
      <c r="C423">
        <v>1</v>
      </c>
      <c r="D423">
        <v>4</v>
      </c>
      <c r="E423">
        <v>12</v>
      </c>
      <c r="F423">
        <v>0</v>
      </c>
      <c r="G423">
        <v>0</v>
      </c>
      <c r="H423">
        <f>표5[[#This Row],[공격성공횟수]]/(표5[[#This Row],[공격실패횟수]]+표5[[#This Row],[공격성공횟수]])</f>
        <v>0.25</v>
      </c>
    </row>
    <row r="424" spans="1:8" x14ac:dyDescent="0.4">
      <c r="A424">
        <v>212</v>
      </c>
      <c r="B424" t="s">
        <v>0</v>
      </c>
      <c r="C424">
        <v>1</v>
      </c>
      <c r="D424">
        <v>4</v>
      </c>
      <c r="E424">
        <v>9</v>
      </c>
      <c r="F424">
        <v>2</v>
      </c>
      <c r="G424">
        <v>0</v>
      </c>
      <c r="H424">
        <f>표5[[#This Row],[공격성공횟수]]/(표5[[#This Row],[공격실패횟수]]+표5[[#This Row],[공격성공횟수]])</f>
        <v>0.30769230769230771</v>
      </c>
    </row>
    <row r="425" spans="1:8" hidden="1" x14ac:dyDescent="0.4">
      <c r="A425">
        <v>212</v>
      </c>
      <c r="B425" t="s">
        <v>1</v>
      </c>
      <c r="C425">
        <v>0</v>
      </c>
      <c r="D425">
        <v>2</v>
      </c>
      <c r="E425">
        <v>10</v>
      </c>
      <c r="F425">
        <v>4</v>
      </c>
      <c r="G425">
        <v>1</v>
      </c>
      <c r="H425">
        <f>표5[[#This Row],[공격성공횟수]]/(표5[[#This Row],[공격실패횟수]]+표5[[#This Row],[공격성공횟수]])</f>
        <v>0.16666666666666666</v>
      </c>
    </row>
    <row r="426" spans="1:8" x14ac:dyDescent="0.4">
      <c r="A426">
        <v>213</v>
      </c>
      <c r="B426" t="s">
        <v>0</v>
      </c>
      <c r="C426">
        <v>1</v>
      </c>
      <c r="D426">
        <v>4</v>
      </c>
      <c r="E426">
        <v>10</v>
      </c>
      <c r="F426">
        <v>1</v>
      </c>
      <c r="G426">
        <v>0</v>
      </c>
      <c r="H426">
        <f>표5[[#This Row],[공격성공횟수]]/(표5[[#This Row],[공격실패횟수]]+표5[[#This Row],[공격성공횟수]])</f>
        <v>0.2857142857142857</v>
      </c>
    </row>
    <row r="427" spans="1:8" hidden="1" x14ac:dyDescent="0.4">
      <c r="A427">
        <v>213</v>
      </c>
      <c r="B427" t="s">
        <v>1</v>
      </c>
      <c r="C427">
        <v>0</v>
      </c>
      <c r="D427">
        <v>1</v>
      </c>
      <c r="E427">
        <v>12</v>
      </c>
      <c r="F427">
        <v>4</v>
      </c>
      <c r="G427">
        <v>1</v>
      </c>
      <c r="H427">
        <f>표5[[#This Row],[공격성공횟수]]/(표5[[#This Row],[공격실패횟수]]+표5[[#This Row],[공격성공횟수]])</f>
        <v>7.6923076923076927E-2</v>
      </c>
    </row>
    <row r="428" spans="1:8" x14ac:dyDescent="0.4">
      <c r="A428">
        <v>214</v>
      </c>
      <c r="B428" t="s">
        <v>0</v>
      </c>
      <c r="C428">
        <v>1</v>
      </c>
      <c r="D428">
        <v>4</v>
      </c>
      <c r="E428">
        <v>8</v>
      </c>
      <c r="F428">
        <v>0</v>
      </c>
      <c r="G428">
        <v>0</v>
      </c>
      <c r="H428">
        <f>표5[[#This Row],[공격성공횟수]]/(표5[[#This Row],[공격실패횟수]]+표5[[#This Row],[공격성공횟수]])</f>
        <v>0.33333333333333331</v>
      </c>
    </row>
    <row r="429" spans="1:8" hidden="1" x14ac:dyDescent="0.4">
      <c r="A429">
        <v>214</v>
      </c>
      <c r="B429" t="s">
        <v>1</v>
      </c>
      <c r="C429">
        <v>0</v>
      </c>
      <c r="D429">
        <v>0</v>
      </c>
      <c r="E429">
        <v>14</v>
      </c>
      <c r="F429">
        <v>4</v>
      </c>
      <c r="G429">
        <v>1</v>
      </c>
      <c r="H429">
        <f>표5[[#This Row],[공격성공횟수]]/(표5[[#This Row],[공격실패횟수]]+표5[[#This Row],[공격성공횟수]])</f>
        <v>0</v>
      </c>
    </row>
    <row r="430" spans="1:8" x14ac:dyDescent="0.4">
      <c r="A430">
        <v>215</v>
      </c>
      <c r="B430" t="s">
        <v>0</v>
      </c>
      <c r="C430">
        <v>1</v>
      </c>
      <c r="D430">
        <v>4</v>
      </c>
      <c r="E430">
        <v>27</v>
      </c>
      <c r="F430">
        <v>1</v>
      </c>
      <c r="G430">
        <v>0</v>
      </c>
      <c r="H430">
        <f>표5[[#This Row],[공격성공횟수]]/(표5[[#This Row],[공격실패횟수]]+표5[[#This Row],[공격성공횟수]])</f>
        <v>0.12903225806451613</v>
      </c>
    </row>
    <row r="431" spans="1:8" hidden="1" x14ac:dyDescent="0.4">
      <c r="A431">
        <v>215</v>
      </c>
      <c r="B431" t="s">
        <v>1</v>
      </c>
      <c r="C431">
        <v>0</v>
      </c>
      <c r="D431">
        <v>1</v>
      </c>
      <c r="E431">
        <v>29</v>
      </c>
      <c r="F431">
        <v>4</v>
      </c>
      <c r="G431">
        <v>1</v>
      </c>
      <c r="H431">
        <f>표5[[#This Row],[공격성공횟수]]/(표5[[#This Row],[공격실패횟수]]+표5[[#This Row],[공격성공횟수]])</f>
        <v>3.3333333333333333E-2</v>
      </c>
    </row>
    <row r="432" spans="1:8" x14ac:dyDescent="0.4">
      <c r="A432">
        <v>216</v>
      </c>
      <c r="B432" t="s">
        <v>0</v>
      </c>
      <c r="C432">
        <v>1</v>
      </c>
      <c r="D432">
        <v>4</v>
      </c>
      <c r="E432">
        <v>27</v>
      </c>
      <c r="F432">
        <v>3</v>
      </c>
      <c r="G432">
        <v>0</v>
      </c>
      <c r="H432">
        <f>표5[[#This Row],[공격성공횟수]]/(표5[[#This Row],[공격실패횟수]]+표5[[#This Row],[공격성공횟수]])</f>
        <v>0.12903225806451613</v>
      </c>
    </row>
    <row r="433" spans="1:8" hidden="1" x14ac:dyDescent="0.4">
      <c r="A433">
        <v>216</v>
      </c>
      <c r="B433" t="s">
        <v>1</v>
      </c>
      <c r="C433">
        <v>0</v>
      </c>
      <c r="D433">
        <v>3</v>
      </c>
      <c r="E433">
        <v>27</v>
      </c>
      <c r="F433">
        <v>4</v>
      </c>
      <c r="G433">
        <v>1</v>
      </c>
      <c r="H433">
        <f>표5[[#This Row],[공격성공횟수]]/(표5[[#This Row],[공격실패횟수]]+표5[[#This Row],[공격성공횟수]])</f>
        <v>0.1</v>
      </c>
    </row>
    <row r="434" spans="1:8" x14ac:dyDescent="0.4">
      <c r="A434">
        <v>217</v>
      </c>
      <c r="B434" t="s">
        <v>0</v>
      </c>
      <c r="C434">
        <v>1</v>
      </c>
      <c r="D434">
        <v>4</v>
      </c>
      <c r="E434">
        <v>25</v>
      </c>
      <c r="F434">
        <v>0</v>
      </c>
      <c r="G434">
        <v>0</v>
      </c>
      <c r="H434">
        <f>표5[[#This Row],[공격성공횟수]]/(표5[[#This Row],[공격실패횟수]]+표5[[#This Row],[공격성공횟수]])</f>
        <v>0.13793103448275862</v>
      </c>
    </row>
    <row r="435" spans="1:8" hidden="1" x14ac:dyDescent="0.4">
      <c r="A435">
        <v>217</v>
      </c>
      <c r="B435" t="s">
        <v>1</v>
      </c>
      <c r="C435">
        <v>0</v>
      </c>
      <c r="D435">
        <v>0</v>
      </c>
      <c r="E435">
        <v>30</v>
      </c>
      <c r="F435">
        <v>4</v>
      </c>
      <c r="G435">
        <v>1</v>
      </c>
      <c r="H435">
        <f>표5[[#This Row],[공격성공횟수]]/(표5[[#This Row],[공격실패횟수]]+표5[[#This Row],[공격성공횟수]])</f>
        <v>0</v>
      </c>
    </row>
    <row r="436" spans="1:8" x14ac:dyDescent="0.4">
      <c r="A436">
        <v>218</v>
      </c>
      <c r="B436" t="s">
        <v>0</v>
      </c>
      <c r="C436">
        <v>0</v>
      </c>
      <c r="D436">
        <v>1</v>
      </c>
      <c r="E436">
        <v>11</v>
      </c>
      <c r="F436">
        <v>4</v>
      </c>
      <c r="G436">
        <v>1</v>
      </c>
      <c r="H436">
        <f>표5[[#This Row],[공격성공횟수]]/(표5[[#This Row],[공격실패횟수]]+표5[[#This Row],[공격성공횟수]])</f>
        <v>8.3333333333333329E-2</v>
      </c>
    </row>
    <row r="437" spans="1:8" hidden="1" x14ac:dyDescent="0.4">
      <c r="A437">
        <v>218</v>
      </c>
      <c r="B437" t="s">
        <v>1</v>
      </c>
      <c r="C437">
        <v>1</v>
      </c>
      <c r="D437">
        <v>4</v>
      </c>
      <c r="E437">
        <v>11</v>
      </c>
      <c r="F437">
        <v>1</v>
      </c>
      <c r="G437">
        <v>0</v>
      </c>
      <c r="H437">
        <f>표5[[#This Row],[공격성공횟수]]/(표5[[#This Row],[공격실패횟수]]+표5[[#This Row],[공격성공횟수]])</f>
        <v>0.26666666666666666</v>
      </c>
    </row>
    <row r="438" spans="1:8" x14ac:dyDescent="0.4">
      <c r="A438">
        <v>219</v>
      </c>
      <c r="B438" t="s">
        <v>0</v>
      </c>
      <c r="C438">
        <v>1</v>
      </c>
      <c r="D438">
        <v>4</v>
      </c>
      <c r="E438">
        <v>17</v>
      </c>
      <c r="F438">
        <v>0</v>
      </c>
      <c r="G438">
        <v>0</v>
      </c>
      <c r="H438">
        <f>표5[[#This Row],[공격성공횟수]]/(표5[[#This Row],[공격실패횟수]]+표5[[#This Row],[공격성공횟수]])</f>
        <v>0.19047619047619047</v>
      </c>
    </row>
    <row r="439" spans="1:8" hidden="1" x14ac:dyDescent="0.4">
      <c r="A439">
        <v>219</v>
      </c>
      <c r="B439" t="s">
        <v>1</v>
      </c>
      <c r="C439">
        <v>0</v>
      </c>
      <c r="D439">
        <v>0</v>
      </c>
      <c r="E439">
        <v>21</v>
      </c>
      <c r="F439">
        <v>4</v>
      </c>
      <c r="G439">
        <v>1</v>
      </c>
      <c r="H439">
        <f>표5[[#This Row],[공격성공횟수]]/(표5[[#This Row],[공격실패횟수]]+표5[[#This Row],[공격성공횟수]])</f>
        <v>0</v>
      </c>
    </row>
    <row r="440" spans="1:8" x14ac:dyDescent="0.4">
      <c r="A440">
        <v>220</v>
      </c>
      <c r="B440" t="s">
        <v>0</v>
      </c>
      <c r="C440">
        <v>1</v>
      </c>
      <c r="D440">
        <v>4</v>
      </c>
      <c r="E440">
        <v>5</v>
      </c>
      <c r="F440">
        <v>0</v>
      </c>
      <c r="G440">
        <v>0</v>
      </c>
      <c r="H440">
        <f>표5[[#This Row],[공격성공횟수]]/(표5[[#This Row],[공격실패횟수]]+표5[[#This Row],[공격성공횟수]])</f>
        <v>0.44444444444444442</v>
      </c>
    </row>
    <row r="441" spans="1:8" hidden="1" x14ac:dyDescent="0.4">
      <c r="A441">
        <v>220</v>
      </c>
      <c r="B441" t="s">
        <v>1</v>
      </c>
      <c r="C441">
        <v>0</v>
      </c>
      <c r="D441">
        <v>0</v>
      </c>
      <c r="E441">
        <v>9</v>
      </c>
      <c r="F441">
        <v>4</v>
      </c>
      <c r="G441">
        <v>1</v>
      </c>
      <c r="H441">
        <f>표5[[#This Row],[공격성공횟수]]/(표5[[#This Row],[공격실패횟수]]+표5[[#This Row],[공격성공횟수]])</f>
        <v>0</v>
      </c>
    </row>
    <row r="442" spans="1:8" x14ac:dyDescent="0.4">
      <c r="A442">
        <v>221</v>
      </c>
      <c r="B442" t="s">
        <v>0</v>
      </c>
      <c r="C442">
        <v>1</v>
      </c>
      <c r="D442">
        <v>4</v>
      </c>
      <c r="E442">
        <v>12</v>
      </c>
      <c r="F442">
        <v>1</v>
      </c>
      <c r="G442">
        <v>0</v>
      </c>
      <c r="H442">
        <f>표5[[#This Row],[공격성공횟수]]/(표5[[#This Row],[공격실패횟수]]+표5[[#This Row],[공격성공횟수]])</f>
        <v>0.25</v>
      </c>
    </row>
    <row r="443" spans="1:8" hidden="1" x14ac:dyDescent="0.4">
      <c r="A443">
        <v>221</v>
      </c>
      <c r="B443" t="s">
        <v>1</v>
      </c>
      <c r="C443">
        <v>0</v>
      </c>
      <c r="D443">
        <v>1</v>
      </c>
      <c r="E443">
        <v>14</v>
      </c>
      <c r="F443">
        <v>4</v>
      </c>
      <c r="G443">
        <v>1</v>
      </c>
      <c r="H443">
        <f>표5[[#This Row],[공격성공횟수]]/(표5[[#This Row],[공격실패횟수]]+표5[[#This Row],[공격성공횟수]])</f>
        <v>6.6666666666666666E-2</v>
      </c>
    </row>
    <row r="444" spans="1:8" x14ac:dyDescent="0.4">
      <c r="A444">
        <v>222</v>
      </c>
      <c r="B444" t="s">
        <v>0</v>
      </c>
      <c r="C444">
        <v>1</v>
      </c>
      <c r="D444">
        <v>4</v>
      </c>
      <c r="E444">
        <v>22</v>
      </c>
      <c r="F444">
        <v>0</v>
      </c>
      <c r="G444">
        <v>0</v>
      </c>
      <c r="H444">
        <f>표5[[#This Row],[공격성공횟수]]/(표5[[#This Row],[공격실패횟수]]+표5[[#This Row],[공격성공횟수]])</f>
        <v>0.15384615384615385</v>
      </c>
    </row>
    <row r="445" spans="1:8" hidden="1" x14ac:dyDescent="0.4">
      <c r="A445">
        <v>222</v>
      </c>
      <c r="B445" t="s">
        <v>1</v>
      </c>
      <c r="C445">
        <v>0</v>
      </c>
      <c r="D445">
        <v>0</v>
      </c>
      <c r="E445">
        <v>26</v>
      </c>
      <c r="F445">
        <v>4</v>
      </c>
      <c r="G445">
        <v>1</v>
      </c>
      <c r="H445">
        <f>표5[[#This Row],[공격성공횟수]]/(표5[[#This Row],[공격실패횟수]]+표5[[#This Row],[공격성공횟수]])</f>
        <v>0</v>
      </c>
    </row>
    <row r="446" spans="1:8" x14ac:dyDescent="0.4">
      <c r="A446">
        <v>223</v>
      </c>
      <c r="B446" t="s">
        <v>0</v>
      </c>
      <c r="C446">
        <v>1</v>
      </c>
      <c r="D446">
        <v>4</v>
      </c>
      <c r="E446">
        <v>13</v>
      </c>
      <c r="F446">
        <v>1</v>
      </c>
      <c r="G446">
        <v>0</v>
      </c>
      <c r="H446">
        <f>표5[[#This Row],[공격성공횟수]]/(표5[[#This Row],[공격실패횟수]]+표5[[#This Row],[공격성공횟수]])</f>
        <v>0.23529411764705882</v>
      </c>
    </row>
    <row r="447" spans="1:8" hidden="1" x14ac:dyDescent="0.4">
      <c r="A447">
        <v>223</v>
      </c>
      <c r="B447" t="s">
        <v>1</v>
      </c>
      <c r="C447">
        <v>0</v>
      </c>
      <c r="D447">
        <v>1</v>
      </c>
      <c r="E447">
        <v>16</v>
      </c>
      <c r="F447">
        <v>4</v>
      </c>
      <c r="G447">
        <v>1</v>
      </c>
      <c r="H447">
        <f>표5[[#This Row],[공격성공횟수]]/(표5[[#This Row],[공격실패횟수]]+표5[[#This Row],[공격성공횟수]])</f>
        <v>5.8823529411764705E-2</v>
      </c>
    </row>
    <row r="448" spans="1:8" x14ac:dyDescent="0.4">
      <c r="A448">
        <v>224</v>
      </c>
      <c r="B448" t="s">
        <v>0</v>
      </c>
      <c r="C448">
        <v>1</v>
      </c>
      <c r="D448">
        <v>4</v>
      </c>
      <c r="E448">
        <v>5</v>
      </c>
      <c r="F448">
        <v>3</v>
      </c>
      <c r="G448">
        <v>0</v>
      </c>
      <c r="H448">
        <f>표5[[#This Row],[공격성공횟수]]/(표5[[#This Row],[공격실패횟수]]+표5[[#This Row],[공격성공횟수]])</f>
        <v>0.44444444444444442</v>
      </c>
    </row>
    <row r="449" spans="1:8" hidden="1" x14ac:dyDescent="0.4">
      <c r="A449">
        <v>224</v>
      </c>
      <c r="B449" t="s">
        <v>1</v>
      </c>
      <c r="C449">
        <v>0</v>
      </c>
      <c r="D449">
        <v>3</v>
      </c>
      <c r="E449">
        <v>5</v>
      </c>
      <c r="F449">
        <v>4</v>
      </c>
      <c r="G449">
        <v>1</v>
      </c>
      <c r="H449">
        <f>표5[[#This Row],[공격성공횟수]]/(표5[[#This Row],[공격실패횟수]]+표5[[#This Row],[공격성공횟수]])</f>
        <v>0.375</v>
      </c>
    </row>
    <row r="450" spans="1:8" x14ac:dyDescent="0.4">
      <c r="A450">
        <v>225</v>
      </c>
      <c r="B450" t="s">
        <v>0</v>
      </c>
      <c r="C450">
        <v>1</v>
      </c>
      <c r="D450">
        <v>4</v>
      </c>
      <c r="E450">
        <v>5</v>
      </c>
      <c r="F450">
        <v>1</v>
      </c>
      <c r="G450">
        <v>0</v>
      </c>
      <c r="H450">
        <f>표5[[#This Row],[공격성공횟수]]/(표5[[#This Row],[공격실패횟수]]+표5[[#This Row],[공격성공횟수]])</f>
        <v>0.44444444444444442</v>
      </c>
    </row>
    <row r="451" spans="1:8" hidden="1" x14ac:dyDescent="0.4">
      <c r="A451">
        <v>225</v>
      </c>
      <c r="B451" t="s">
        <v>1</v>
      </c>
      <c r="C451">
        <v>0</v>
      </c>
      <c r="D451">
        <v>1</v>
      </c>
      <c r="E451">
        <v>8</v>
      </c>
      <c r="F451">
        <v>4</v>
      </c>
      <c r="G451">
        <v>1</v>
      </c>
      <c r="H451">
        <f>표5[[#This Row],[공격성공횟수]]/(표5[[#This Row],[공격실패횟수]]+표5[[#This Row],[공격성공횟수]])</f>
        <v>0.1111111111111111</v>
      </c>
    </row>
    <row r="452" spans="1:8" x14ac:dyDescent="0.4">
      <c r="A452">
        <v>226</v>
      </c>
      <c r="B452" t="s">
        <v>0</v>
      </c>
      <c r="C452">
        <v>1</v>
      </c>
      <c r="D452">
        <v>4</v>
      </c>
      <c r="E452">
        <v>5</v>
      </c>
      <c r="F452">
        <v>0</v>
      </c>
      <c r="G452">
        <v>0</v>
      </c>
      <c r="H452">
        <f>표5[[#This Row],[공격성공횟수]]/(표5[[#This Row],[공격실패횟수]]+표5[[#This Row],[공격성공횟수]])</f>
        <v>0.44444444444444442</v>
      </c>
    </row>
    <row r="453" spans="1:8" hidden="1" x14ac:dyDescent="0.4">
      <c r="A453">
        <v>226</v>
      </c>
      <c r="B453" t="s">
        <v>1</v>
      </c>
      <c r="C453">
        <v>0</v>
      </c>
      <c r="D453">
        <v>0</v>
      </c>
      <c r="E453">
        <v>9</v>
      </c>
      <c r="F453">
        <v>4</v>
      </c>
      <c r="G453">
        <v>1</v>
      </c>
      <c r="H453">
        <f>표5[[#This Row],[공격성공횟수]]/(표5[[#This Row],[공격실패횟수]]+표5[[#This Row],[공격성공횟수]])</f>
        <v>0</v>
      </c>
    </row>
    <row r="454" spans="1:8" x14ac:dyDescent="0.4">
      <c r="A454">
        <v>227</v>
      </c>
      <c r="B454" t="s">
        <v>0</v>
      </c>
      <c r="C454">
        <v>1</v>
      </c>
      <c r="D454">
        <v>4</v>
      </c>
      <c r="E454">
        <v>10</v>
      </c>
      <c r="F454">
        <v>0</v>
      </c>
      <c r="G454">
        <v>0</v>
      </c>
      <c r="H454">
        <f>표5[[#This Row],[공격성공횟수]]/(표5[[#This Row],[공격실패횟수]]+표5[[#This Row],[공격성공횟수]])</f>
        <v>0.2857142857142857</v>
      </c>
    </row>
    <row r="455" spans="1:8" hidden="1" x14ac:dyDescent="0.4">
      <c r="A455">
        <v>227</v>
      </c>
      <c r="B455" t="s">
        <v>1</v>
      </c>
      <c r="C455">
        <v>0</v>
      </c>
      <c r="D455">
        <v>0</v>
      </c>
      <c r="E455">
        <v>14</v>
      </c>
      <c r="F455">
        <v>4</v>
      </c>
      <c r="G455">
        <v>1</v>
      </c>
      <c r="H455">
        <f>표5[[#This Row],[공격성공횟수]]/(표5[[#This Row],[공격실패횟수]]+표5[[#This Row],[공격성공횟수]])</f>
        <v>0</v>
      </c>
    </row>
    <row r="456" spans="1:8" x14ac:dyDescent="0.4">
      <c r="A456">
        <v>228</v>
      </c>
      <c r="B456" t="s">
        <v>0</v>
      </c>
      <c r="C456">
        <v>1</v>
      </c>
      <c r="D456">
        <v>4</v>
      </c>
      <c r="E456">
        <v>5</v>
      </c>
      <c r="F456">
        <v>0</v>
      </c>
      <c r="G456">
        <v>0</v>
      </c>
      <c r="H456">
        <f>표5[[#This Row],[공격성공횟수]]/(표5[[#This Row],[공격실패횟수]]+표5[[#This Row],[공격성공횟수]])</f>
        <v>0.44444444444444442</v>
      </c>
    </row>
    <row r="457" spans="1:8" hidden="1" x14ac:dyDescent="0.4">
      <c r="A457">
        <v>228</v>
      </c>
      <c r="B457" t="s">
        <v>1</v>
      </c>
      <c r="C457">
        <v>0</v>
      </c>
      <c r="D457">
        <v>0</v>
      </c>
      <c r="E457">
        <v>9</v>
      </c>
      <c r="F457">
        <v>4</v>
      </c>
      <c r="G457">
        <v>1</v>
      </c>
      <c r="H457">
        <f>표5[[#This Row],[공격성공횟수]]/(표5[[#This Row],[공격실패횟수]]+표5[[#This Row],[공격성공횟수]])</f>
        <v>0</v>
      </c>
    </row>
    <row r="458" spans="1:8" x14ac:dyDescent="0.4">
      <c r="A458">
        <v>229</v>
      </c>
      <c r="B458" t="s">
        <v>0</v>
      </c>
      <c r="C458">
        <v>1</v>
      </c>
      <c r="D458">
        <v>4</v>
      </c>
      <c r="E458">
        <v>6</v>
      </c>
      <c r="F458">
        <v>1</v>
      </c>
      <c r="G458">
        <v>0</v>
      </c>
      <c r="H458">
        <f>표5[[#This Row],[공격성공횟수]]/(표5[[#This Row],[공격실패횟수]]+표5[[#This Row],[공격성공횟수]])</f>
        <v>0.4</v>
      </c>
    </row>
    <row r="459" spans="1:8" hidden="1" x14ac:dyDescent="0.4">
      <c r="A459">
        <v>229</v>
      </c>
      <c r="B459" t="s">
        <v>1</v>
      </c>
      <c r="C459">
        <v>0</v>
      </c>
      <c r="D459">
        <v>1</v>
      </c>
      <c r="E459">
        <v>9</v>
      </c>
      <c r="F459">
        <v>4</v>
      </c>
      <c r="G459">
        <v>1</v>
      </c>
      <c r="H459">
        <f>표5[[#This Row],[공격성공횟수]]/(표5[[#This Row],[공격실패횟수]]+표5[[#This Row],[공격성공횟수]])</f>
        <v>0.1</v>
      </c>
    </row>
    <row r="460" spans="1:8" x14ac:dyDescent="0.4">
      <c r="A460">
        <v>230</v>
      </c>
      <c r="B460" t="s">
        <v>0</v>
      </c>
      <c r="C460">
        <v>1</v>
      </c>
      <c r="D460">
        <v>4</v>
      </c>
      <c r="E460">
        <v>27</v>
      </c>
      <c r="F460">
        <v>1</v>
      </c>
      <c r="G460">
        <v>0</v>
      </c>
      <c r="H460">
        <f>표5[[#This Row],[공격성공횟수]]/(표5[[#This Row],[공격실패횟수]]+표5[[#This Row],[공격성공횟수]])</f>
        <v>0.12903225806451613</v>
      </c>
    </row>
    <row r="461" spans="1:8" hidden="1" x14ac:dyDescent="0.4">
      <c r="A461">
        <v>230</v>
      </c>
      <c r="B461" t="s">
        <v>1</v>
      </c>
      <c r="C461">
        <v>0</v>
      </c>
      <c r="D461">
        <v>1</v>
      </c>
      <c r="E461">
        <v>29</v>
      </c>
      <c r="F461">
        <v>4</v>
      </c>
      <c r="G461">
        <v>1</v>
      </c>
      <c r="H461">
        <f>표5[[#This Row],[공격성공횟수]]/(표5[[#This Row],[공격실패횟수]]+표5[[#This Row],[공격성공횟수]])</f>
        <v>3.3333333333333333E-2</v>
      </c>
    </row>
    <row r="462" spans="1:8" x14ac:dyDescent="0.4">
      <c r="A462">
        <v>231</v>
      </c>
      <c r="B462" t="s">
        <v>0</v>
      </c>
      <c r="C462">
        <v>1</v>
      </c>
      <c r="D462">
        <v>4</v>
      </c>
      <c r="E462">
        <v>12</v>
      </c>
      <c r="F462">
        <v>1</v>
      </c>
      <c r="G462">
        <v>0</v>
      </c>
      <c r="H462">
        <f>표5[[#This Row],[공격성공횟수]]/(표5[[#This Row],[공격실패횟수]]+표5[[#This Row],[공격성공횟수]])</f>
        <v>0.25</v>
      </c>
    </row>
    <row r="463" spans="1:8" hidden="1" x14ac:dyDescent="0.4">
      <c r="A463">
        <v>231</v>
      </c>
      <c r="B463" t="s">
        <v>1</v>
      </c>
      <c r="C463">
        <v>0</v>
      </c>
      <c r="D463">
        <v>1</v>
      </c>
      <c r="E463">
        <v>16</v>
      </c>
      <c r="F463">
        <v>4</v>
      </c>
      <c r="G463">
        <v>1</v>
      </c>
      <c r="H463">
        <f>표5[[#This Row],[공격성공횟수]]/(표5[[#This Row],[공격실패횟수]]+표5[[#This Row],[공격성공횟수]])</f>
        <v>5.8823529411764705E-2</v>
      </c>
    </row>
    <row r="464" spans="1:8" x14ac:dyDescent="0.4">
      <c r="A464">
        <v>232</v>
      </c>
      <c r="B464" t="s">
        <v>0</v>
      </c>
      <c r="C464">
        <v>1</v>
      </c>
      <c r="D464">
        <v>4</v>
      </c>
      <c r="E464">
        <v>9</v>
      </c>
      <c r="F464">
        <v>2</v>
      </c>
      <c r="G464">
        <v>0</v>
      </c>
      <c r="H464">
        <f>표5[[#This Row],[공격성공횟수]]/(표5[[#This Row],[공격실패횟수]]+표5[[#This Row],[공격성공횟수]])</f>
        <v>0.30769230769230771</v>
      </c>
    </row>
    <row r="465" spans="1:8" hidden="1" x14ac:dyDescent="0.4">
      <c r="A465">
        <v>232</v>
      </c>
      <c r="B465" t="s">
        <v>1</v>
      </c>
      <c r="C465">
        <v>0</v>
      </c>
      <c r="D465">
        <v>2</v>
      </c>
      <c r="E465">
        <v>11</v>
      </c>
      <c r="F465">
        <v>4</v>
      </c>
      <c r="G465">
        <v>1</v>
      </c>
      <c r="H465">
        <f>표5[[#This Row],[공격성공횟수]]/(표5[[#This Row],[공격실패횟수]]+표5[[#This Row],[공격성공횟수]])</f>
        <v>0.15384615384615385</v>
      </c>
    </row>
    <row r="466" spans="1:8" x14ac:dyDescent="0.4">
      <c r="A466">
        <v>233</v>
      </c>
      <c r="B466" t="s">
        <v>0</v>
      </c>
      <c r="C466">
        <v>1</v>
      </c>
      <c r="D466">
        <v>4</v>
      </c>
      <c r="E466">
        <v>6</v>
      </c>
      <c r="F466">
        <v>1</v>
      </c>
      <c r="G466">
        <v>0</v>
      </c>
      <c r="H466">
        <f>표5[[#This Row],[공격성공횟수]]/(표5[[#This Row],[공격실패횟수]]+표5[[#This Row],[공격성공횟수]])</f>
        <v>0.4</v>
      </c>
    </row>
    <row r="467" spans="1:8" hidden="1" x14ac:dyDescent="0.4">
      <c r="A467">
        <v>233</v>
      </c>
      <c r="B467" t="s">
        <v>1</v>
      </c>
      <c r="C467">
        <v>0</v>
      </c>
      <c r="D467">
        <v>1</v>
      </c>
      <c r="E467">
        <v>9</v>
      </c>
      <c r="F467">
        <v>4</v>
      </c>
      <c r="G467">
        <v>1</v>
      </c>
      <c r="H467">
        <f>표5[[#This Row],[공격성공횟수]]/(표5[[#This Row],[공격실패횟수]]+표5[[#This Row],[공격성공횟수]])</f>
        <v>0.1</v>
      </c>
    </row>
    <row r="468" spans="1:8" x14ac:dyDescent="0.4">
      <c r="A468">
        <v>234</v>
      </c>
      <c r="B468" t="s">
        <v>0</v>
      </c>
      <c r="C468">
        <v>1</v>
      </c>
      <c r="D468">
        <v>4</v>
      </c>
      <c r="E468">
        <v>29</v>
      </c>
      <c r="F468">
        <v>0</v>
      </c>
      <c r="G468">
        <v>0</v>
      </c>
      <c r="H468">
        <f>표5[[#This Row],[공격성공횟수]]/(표5[[#This Row],[공격실패횟수]]+표5[[#This Row],[공격성공횟수]])</f>
        <v>0.12121212121212122</v>
      </c>
    </row>
    <row r="469" spans="1:8" hidden="1" x14ac:dyDescent="0.4">
      <c r="A469">
        <v>234</v>
      </c>
      <c r="B469" t="s">
        <v>1</v>
      </c>
      <c r="C469">
        <v>0</v>
      </c>
      <c r="D469">
        <v>0</v>
      </c>
      <c r="E469">
        <v>32</v>
      </c>
      <c r="F469">
        <v>4</v>
      </c>
      <c r="G469">
        <v>1</v>
      </c>
      <c r="H469">
        <f>표5[[#This Row],[공격성공횟수]]/(표5[[#This Row],[공격실패횟수]]+표5[[#This Row],[공격성공횟수]])</f>
        <v>0</v>
      </c>
    </row>
    <row r="470" spans="1:8" x14ac:dyDescent="0.4">
      <c r="A470">
        <v>235</v>
      </c>
      <c r="B470" t="s">
        <v>0</v>
      </c>
      <c r="C470">
        <v>1</v>
      </c>
      <c r="D470">
        <v>4</v>
      </c>
      <c r="E470">
        <v>5</v>
      </c>
      <c r="F470">
        <v>1</v>
      </c>
      <c r="G470">
        <v>0</v>
      </c>
      <c r="H470">
        <f>표5[[#This Row],[공격성공횟수]]/(표5[[#This Row],[공격실패횟수]]+표5[[#This Row],[공격성공횟수]])</f>
        <v>0.44444444444444442</v>
      </c>
    </row>
    <row r="471" spans="1:8" hidden="1" x14ac:dyDescent="0.4">
      <c r="A471">
        <v>235</v>
      </c>
      <c r="B471" t="s">
        <v>1</v>
      </c>
      <c r="C471">
        <v>0</v>
      </c>
      <c r="D471">
        <v>1</v>
      </c>
      <c r="E471">
        <v>8</v>
      </c>
      <c r="F471">
        <v>4</v>
      </c>
      <c r="G471">
        <v>1</v>
      </c>
      <c r="H471">
        <f>표5[[#This Row],[공격성공횟수]]/(표5[[#This Row],[공격실패횟수]]+표5[[#This Row],[공격성공횟수]])</f>
        <v>0.1111111111111111</v>
      </c>
    </row>
    <row r="472" spans="1:8" x14ac:dyDescent="0.4">
      <c r="A472">
        <v>236</v>
      </c>
      <c r="B472" t="s">
        <v>0</v>
      </c>
      <c r="C472">
        <v>1</v>
      </c>
      <c r="D472">
        <v>4</v>
      </c>
      <c r="E472">
        <v>5</v>
      </c>
      <c r="F472">
        <v>1</v>
      </c>
      <c r="G472">
        <v>0</v>
      </c>
      <c r="H472">
        <f>표5[[#This Row],[공격성공횟수]]/(표5[[#This Row],[공격실패횟수]]+표5[[#This Row],[공격성공횟수]])</f>
        <v>0.44444444444444442</v>
      </c>
    </row>
    <row r="473" spans="1:8" hidden="1" x14ac:dyDescent="0.4">
      <c r="A473">
        <v>236</v>
      </c>
      <c r="B473" t="s">
        <v>1</v>
      </c>
      <c r="C473">
        <v>0</v>
      </c>
      <c r="D473">
        <v>1</v>
      </c>
      <c r="E473">
        <v>8</v>
      </c>
      <c r="F473">
        <v>4</v>
      </c>
      <c r="G473">
        <v>1</v>
      </c>
      <c r="H473">
        <f>표5[[#This Row],[공격성공횟수]]/(표5[[#This Row],[공격실패횟수]]+표5[[#This Row],[공격성공횟수]])</f>
        <v>0.1111111111111111</v>
      </c>
    </row>
    <row r="474" spans="1:8" x14ac:dyDescent="0.4">
      <c r="A474">
        <v>237</v>
      </c>
      <c r="B474" t="s">
        <v>0</v>
      </c>
      <c r="C474">
        <v>1</v>
      </c>
      <c r="D474">
        <v>4</v>
      </c>
      <c r="E474">
        <v>6</v>
      </c>
      <c r="F474">
        <v>0</v>
      </c>
      <c r="G474">
        <v>0</v>
      </c>
      <c r="H474">
        <f>표5[[#This Row],[공격성공횟수]]/(표5[[#This Row],[공격실패횟수]]+표5[[#This Row],[공격성공횟수]])</f>
        <v>0.4</v>
      </c>
    </row>
    <row r="475" spans="1:8" hidden="1" x14ac:dyDescent="0.4">
      <c r="A475">
        <v>237</v>
      </c>
      <c r="B475" t="s">
        <v>1</v>
      </c>
      <c r="C475">
        <v>0</v>
      </c>
      <c r="D475">
        <v>0</v>
      </c>
      <c r="E475">
        <v>10</v>
      </c>
      <c r="F475">
        <v>4</v>
      </c>
      <c r="G475">
        <v>1</v>
      </c>
      <c r="H475">
        <f>표5[[#This Row],[공격성공횟수]]/(표5[[#This Row],[공격실패횟수]]+표5[[#This Row],[공격성공횟수]])</f>
        <v>0</v>
      </c>
    </row>
    <row r="476" spans="1:8" x14ac:dyDescent="0.4">
      <c r="A476">
        <v>238</v>
      </c>
      <c r="B476" t="s">
        <v>0</v>
      </c>
      <c r="C476">
        <v>1</v>
      </c>
      <c r="D476">
        <v>4</v>
      </c>
      <c r="E476">
        <v>15</v>
      </c>
      <c r="F476">
        <v>2</v>
      </c>
      <c r="G476">
        <v>0</v>
      </c>
      <c r="H476">
        <f>표5[[#This Row],[공격성공횟수]]/(표5[[#This Row],[공격실패횟수]]+표5[[#This Row],[공격성공횟수]])</f>
        <v>0.21052631578947367</v>
      </c>
    </row>
    <row r="477" spans="1:8" hidden="1" x14ac:dyDescent="0.4">
      <c r="A477">
        <v>238</v>
      </c>
      <c r="B477" t="s">
        <v>1</v>
      </c>
      <c r="C477">
        <v>0</v>
      </c>
      <c r="D477">
        <v>2</v>
      </c>
      <c r="E477">
        <v>19</v>
      </c>
      <c r="F477">
        <v>4</v>
      </c>
      <c r="G477">
        <v>1</v>
      </c>
      <c r="H477">
        <f>표5[[#This Row],[공격성공횟수]]/(표5[[#This Row],[공격실패횟수]]+표5[[#This Row],[공격성공횟수]])</f>
        <v>9.5238095238095233E-2</v>
      </c>
    </row>
    <row r="478" spans="1:8" x14ac:dyDescent="0.4">
      <c r="A478">
        <v>239</v>
      </c>
      <c r="B478" t="s">
        <v>0</v>
      </c>
      <c r="C478">
        <v>0</v>
      </c>
      <c r="D478">
        <v>2</v>
      </c>
      <c r="E478">
        <v>35</v>
      </c>
      <c r="F478">
        <v>4</v>
      </c>
      <c r="G478">
        <v>1</v>
      </c>
      <c r="H478">
        <f>표5[[#This Row],[공격성공횟수]]/(표5[[#This Row],[공격실패횟수]]+표5[[#This Row],[공격성공횟수]])</f>
        <v>5.4054054054054057E-2</v>
      </c>
    </row>
    <row r="479" spans="1:8" hidden="1" x14ac:dyDescent="0.4">
      <c r="A479">
        <v>239</v>
      </c>
      <c r="B479" t="s">
        <v>1</v>
      </c>
      <c r="C479">
        <v>1</v>
      </c>
      <c r="D479">
        <v>4</v>
      </c>
      <c r="E479">
        <v>34</v>
      </c>
      <c r="F479">
        <v>2</v>
      </c>
      <c r="G479">
        <v>0</v>
      </c>
      <c r="H479">
        <f>표5[[#This Row],[공격성공횟수]]/(표5[[#This Row],[공격실패횟수]]+표5[[#This Row],[공격성공횟수]])</f>
        <v>0.10526315789473684</v>
      </c>
    </row>
    <row r="480" spans="1:8" x14ac:dyDescent="0.4">
      <c r="A480">
        <v>240</v>
      </c>
      <c r="B480" t="s">
        <v>0</v>
      </c>
      <c r="C480">
        <v>1</v>
      </c>
      <c r="D480">
        <v>4</v>
      </c>
      <c r="E480">
        <v>24</v>
      </c>
      <c r="F480">
        <v>1</v>
      </c>
      <c r="G480">
        <v>0</v>
      </c>
      <c r="H480">
        <f>표5[[#This Row],[공격성공횟수]]/(표5[[#This Row],[공격실패횟수]]+표5[[#This Row],[공격성공횟수]])</f>
        <v>0.14285714285714285</v>
      </c>
    </row>
    <row r="481" spans="1:8" hidden="1" x14ac:dyDescent="0.4">
      <c r="A481">
        <v>240</v>
      </c>
      <c r="B481" t="s">
        <v>1</v>
      </c>
      <c r="C481">
        <v>0</v>
      </c>
      <c r="D481">
        <v>1</v>
      </c>
      <c r="E481">
        <v>26</v>
      </c>
      <c r="F481">
        <v>4</v>
      </c>
      <c r="G481">
        <v>1</v>
      </c>
      <c r="H481">
        <f>표5[[#This Row],[공격성공횟수]]/(표5[[#This Row],[공격실패횟수]]+표5[[#This Row],[공격성공횟수]])</f>
        <v>3.7037037037037035E-2</v>
      </c>
    </row>
    <row r="482" spans="1:8" x14ac:dyDescent="0.4">
      <c r="A482">
        <v>241</v>
      </c>
      <c r="B482" t="s">
        <v>0</v>
      </c>
      <c r="C482">
        <v>1</v>
      </c>
      <c r="D482">
        <v>4</v>
      </c>
      <c r="E482">
        <v>10</v>
      </c>
      <c r="F482">
        <v>1</v>
      </c>
      <c r="G482">
        <v>0</v>
      </c>
      <c r="H482">
        <f>표5[[#This Row],[공격성공횟수]]/(표5[[#This Row],[공격실패횟수]]+표5[[#This Row],[공격성공횟수]])</f>
        <v>0.2857142857142857</v>
      </c>
    </row>
    <row r="483" spans="1:8" hidden="1" x14ac:dyDescent="0.4">
      <c r="A483">
        <v>241</v>
      </c>
      <c r="B483" t="s">
        <v>1</v>
      </c>
      <c r="C483">
        <v>0</v>
      </c>
      <c r="D483">
        <v>1</v>
      </c>
      <c r="E483">
        <v>13</v>
      </c>
      <c r="F483">
        <v>4</v>
      </c>
      <c r="G483">
        <v>1</v>
      </c>
      <c r="H483">
        <f>표5[[#This Row],[공격성공횟수]]/(표5[[#This Row],[공격실패횟수]]+표5[[#This Row],[공격성공횟수]])</f>
        <v>7.1428571428571425E-2</v>
      </c>
    </row>
    <row r="484" spans="1:8" x14ac:dyDescent="0.4">
      <c r="A484">
        <v>242</v>
      </c>
      <c r="B484" t="s">
        <v>0</v>
      </c>
      <c r="C484">
        <v>0</v>
      </c>
      <c r="D484">
        <v>1</v>
      </c>
      <c r="E484">
        <v>27</v>
      </c>
      <c r="F484">
        <v>4</v>
      </c>
      <c r="G484">
        <v>1</v>
      </c>
      <c r="H484">
        <f>표5[[#This Row],[공격성공횟수]]/(표5[[#This Row],[공격실패횟수]]+표5[[#This Row],[공격성공횟수]])</f>
        <v>3.5714285714285712E-2</v>
      </c>
    </row>
    <row r="485" spans="1:8" hidden="1" x14ac:dyDescent="0.4">
      <c r="A485">
        <v>242</v>
      </c>
      <c r="B485" t="s">
        <v>1</v>
      </c>
      <c r="C485">
        <v>1</v>
      </c>
      <c r="D485">
        <v>4</v>
      </c>
      <c r="E485">
        <v>24</v>
      </c>
      <c r="F485">
        <v>1</v>
      </c>
      <c r="G485">
        <v>0</v>
      </c>
      <c r="H485">
        <f>표5[[#This Row],[공격성공횟수]]/(표5[[#This Row],[공격실패횟수]]+표5[[#This Row],[공격성공횟수]])</f>
        <v>0.14285714285714285</v>
      </c>
    </row>
    <row r="486" spans="1:8" x14ac:dyDescent="0.4">
      <c r="A486">
        <v>243</v>
      </c>
      <c r="B486" t="s">
        <v>0</v>
      </c>
      <c r="C486">
        <v>1</v>
      </c>
      <c r="D486">
        <v>4</v>
      </c>
      <c r="E486">
        <v>10</v>
      </c>
      <c r="F486">
        <v>0</v>
      </c>
      <c r="G486">
        <v>0</v>
      </c>
      <c r="H486">
        <f>표5[[#This Row],[공격성공횟수]]/(표5[[#This Row],[공격실패횟수]]+표5[[#This Row],[공격성공횟수]])</f>
        <v>0.2857142857142857</v>
      </c>
    </row>
    <row r="487" spans="1:8" hidden="1" x14ac:dyDescent="0.4">
      <c r="A487">
        <v>243</v>
      </c>
      <c r="B487" t="s">
        <v>1</v>
      </c>
      <c r="C487">
        <v>0</v>
      </c>
      <c r="D487">
        <v>0</v>
      </c>
      <c r="E487">
        <v>13</v>
      </c>
      <c r="F487">
        <v>4</v>
      </c>
      <c r="G487">
        <v>1</v>
      </c>
      <c r="H487">
        <f>표5[[#This Row],[공격성공횟수]]/(표5[[#This Row],[공격실패횟수]]+표5[[#This Row],[공격성공횟수]])</f>
        <v>0</v>
      </c>
    </row>
    <row r="488" spans="1:8" x14ac:dyDescent="0.4">
      <c r="A488">
        <v>244</v>
      </c>
      <c r="B488" t="s">
        <v>0</v>
      </c>
      <c r="C488">
        <v>0</v>
      </c>
      <c r="D488">
        <v>0</v>
      </c>
      <c r="E488">
        <v>26</v>
      </c>
      <c r="F488">
        <v>4</v>
      </c>
      <c r="G488">
        <v>1</v>
      </c>
      <c r="H488">
        <f>표5[[#This Row],[공격성공횟수]]/(표5[[#This Row],[공격실패횟수]]+표5[[#This Row],[공격성공횟수]])</f>
        <v>0</v>
      </c>
    </row>
    <row r="489" spans="1:8" hidden="1" x14ac:dyDescent="0.4">
      <c r="A489">
        <v>244</v>
      </c>
      <c r="B489" t="s">
        <v>1</v>
      </c>
      <c r="C489">
        <v>1</v>
      </c>
      <c r="D489">
        <v>4</v>
      </c>
      <c r="E489">
        <v>22</v>
      </c>
      <c r="F489">
        <v>0</v>
      </c>
      <c r="G489">
        <v>0</v>
      </c>
      <c r="H489">
        <f>표5[[#This Row],[공격성공횟수]]/(표5[[#This Row],[공격실패횟수]]+표5[[#This Row],[공격성공횟수]])</f>
        <v>0.15384615384615385</v>
      </c>
    </row>
    <row r="490" spans="1:8" x14ac:dyDescent="0.4">
      <c r="A490">
        <v>245</v>
      </c>
      <c r="B490" t="s">
        <v>0</v>
      </c>
      <c r="C490">
        <v>0</v>
      </c>
      <c r="D490">
        <v>0</v>
      </c>
      <c r="E490">
        <v>13</v>
      </c>
      <c r="F490">
        <v>4</v>
      </c>
      <c r="G490">
        <v>1</v>
      </c>
      <c r="H490">
        <f>표5[[#This Row],[공격성공횟수]]/(표5[[#This Row],[공격실패횟수]]+표5[[#This Row],[공격성공횟수]])</f>
        <v>0</v>
      </c>
    </row>
    <row r="491" spans="1:8" hidden="1" x14ac:dyDescent="0.4">
      <c r="A491">
        <v>245</v>
      </c>
      <c r="B491" t="s">
        <v>1</v>
      </c>
      <c r="C491">
        <v>1</v>
      </c>
      <c r="D491">
        <v>4</v>
      </c>
      <c r="E491">
        <v>9</v>
      </c>
      <c r="F491">
        <v>0</v>
      </c>
      <c r="G491">
        <v>0</v>
      </c>
      <c r="H491">
        <f>표5[[#This Row],[공격성공횟수]]/(표5[[#This Row],[공격실패횟수]]+표5[[#This Row],[공격성공횟수]])</f>
        <v>0.30769230769230771</v>
      </c>
    </row>
    <row r="492" spans="1:8" x14ac:dyDescent="0.4">
      <c r="A492">
        <v>246</v>
      </c>
      <c r="B492" t="s">
        <v>0</v>
      </c>
      <c r="C492">
        <v>1</v>
      </c>
      <c r="D492">
        <v>4</v>
      </c>
      <c r="E492">
        <v>7</v>
      </c>
      <c r="F492">
        <v>0</v>
      </c>
      <c r="G492">
        <v>0</v>
      </c>
      <c r="H492">
        <f>표5[[#This Row],[공격성공횟수]]/(표5[[#This Row],[공격실패횟수]]+표5[[#This Row],[공격성공횟수]])</f>
        <v>0.36363636363636365</v>
      </c>
    </row>
    <row r="493" spans="1:8" hidden="1" x14ac:dyDescent="0.4">
      <c r="A493">
        <v>246</v>
      </c>
      <c r="B493" t="s">
        <v>1</v>
      </c>
      <c r="C493">
        <v>0</v>
      </c>
      <c r="D493">
        <v>0</v>
      </c>
      <c r="E493">
        <v>10</v>
      </c>
      <c r="F493">
        <v>4</v>
      </c>
      <c r="G493">
        <v>1</v>
      </c>
      <c r="H493">
        <f>표5[[#This Row],[공격성공횟수]]/(표5[[#This Row],[공격실패횟수]]+표5[[#This Row],[공격성공횟수]])</f>
        <v>0</v>
      </c>
    </row>
    <row r="494" spans="1:8" x14ac:dyDescent="0.4">
      <c r="A494">
        <v>247</v>
      </c>
      <c r="B494" t="s">
        <v>0</v>
      </c>
      <c r="C494">
        <v>1</v>
      </c>
      <c r="D494">
        <v>4</v>
      </c>
      <c r="E494">
        <v>10</v>
      </c>
      <c r="F494">
        <v>1</v>
      </c>
      <c r="G494">
        <v>0</v>
      </c>
      <c r="H494">
        <f>표5[[#This Row],[공격성공횟수]]/(표5[[#This Row],[공격실패횟수]]+표5[[#This Row],[공격성공횟수]])</f>
        <v>0.2857142857142857</v>
      </c>
    </row>
    <row r="495" spans="1:8" hidden="1" x14ac:dyDescent="0.4">
      <c r="A495">
        <v>247</v>
      </c>
      <c r="B495" t="s">
        <v>1</v>
      </c>
      <c r="C495">
        <v>0</v>
      </c>
      <c r="D495">
        <v>1</v>
      </c>
      <c r="E495">
        <v>13</v>
      </c>
      <c r="F495">
        <v>4</v>
      </c>
      <c r="G495">
        <v>1</v>
      </c>
      <c r="H495">
        <f>표5[[#This Row],[공격성공횟수]]/(표5[[#This Row],[공격실패횟수]]+표5[[#This Row],[공격성공횟수]])</f>
        <v>7.1428571428571425E-2</v>
      </c>
    </row>
    <row r="496" spans="1:8" x14ac:dyDescent="0.4">
      <c r="A496">
        <v>248</v>
      </c>
      <c r="B496" t="s">
        <v>0</v>
      </c>
      <c r="C496">
        <v>1</v>
      </c>
      <c r="D496">
        <v>4</v>
      </c>
      <c r="E496">
        <v>20</v>
      </c>
      <c r="F496">
        <v>2</v>
      </c>
      <c r="G496">
        <v>0</v>
      </c>
      <c r="H496">
        <f>표5[[#This Row],[공격성공횟수]]/(표5[[#This Row],[공격실패횟수]]+표5[[#This Row],[공격성공횟수]])</f>
        <v>0.16666666666666666</v>
      </c>
    </row>
    <row r="497" spans="1:8" hidden="1" x14ac:dyDescent="0.4">
      <c r="A497">
        <v>248</v>
      </c>
      <c r="B497" t="s">
        <v>1</v>
      </c>
      <c r="C497">
        <v>0</v>
      </c>
      <c r="D497">
        <v>2</v>
      </c>
      <c r="E497">
        <v>21</v>
      </c>
      <c r="F497">
        <v>4</v>
      </c>
      <c r="G497">
        <v>1</v>
      </c>
      <c r="H497">
        <f>표5[[#This Row],[공격성공횟수]]/(표5[[#This Row],[공격실패횟수]]+표5[[#This Row],[공격성공횟수]])</f>
        <v>8.6956521739130432E-2</v>
      </c>
    </row>
    <row r="498" spans="1:8" x14ac:dyDescent="0.4">
      <c r="A498">
        <v>249</v>
      </c>
      <c r="B498" t="s">
        <v>0</v>
      </c>
      <c r="C498">
        <v>1</v>
      </c>
      <c r="D498">
        <v>4</v>
      </c>
      <c r="E498">
        <v>10</v>
      </c>
      <c r="F498">
        <v>1</v>
      </c>
      <c r="G498">
        <v>0</v>
      </c>
      <c r="H498">
        <f>표5[[#This Row],[공격성공횟수]]/(표5[[#This Row],[공격실패횟수]]+표5[[#This Row],[공격성공횟수]])</f>
        <v>0.2857142857142857</v>
      </c>
    </row>
    <row r="499" spans="1:8" hidden="1" x14ac:dyDescent="0.4">
      <c r="A499">
        <v>249</v>
      </c>
      <c r="B499" t="s">
        <v>1</v>
      </c>
      <c r="C499">
        <v>0</v>
      </c>
      <c r="D499">
        <v>1</v>
      </c>
      <c r="E499">
        <v>13</v>
      </c>
      <c r="F499">
        <v>4</v>
      </c>
      <c r="G499">
        <v>1</v>
      </c>
      <c r="H499">
        <f>표5[[#This Row],[공격성공횟수]]/(표5[[#This Row],[공격실패횟수]]+표5[[#This Row],[공격성공횟수]])</f>
        <v>7.1428571428571425E-2</v>
      </c>
    </row>
    <row r="500" spans="1:8" x14ac:dyDescent="0.4">
      <c r="A500">
        <v>250</v>
      </c>
      <c r="B500" t="s">
        <v>0</v>
      </c>
      <c r="C500">
        <v>1</v>
      </c>
      <c r="D500">
        <v>4</v>
      </c>
      <c r="E500">
        <v>5</v>
      </c>
      <c r="F500">
        <v>1</v>
      </c>
      <c r="G500">
        <v>0</v>
      </c>
      <c r="H500">
        <f>표5[[#This Row],[공격성공횟수]]/(표5[[#This Row],[공격실패횟수]]+표5[[#This Row],[공격성공횟수]])</f>
        <v>0.44444444444444442</v>
      </c>
    </row>
    <row r="501" spans="1:8" hidden="1" x14ac:dyDescent="0.4">
      <c r="A501">
        <v>250</v>
      </c>
      <c r="B501" t="s">
        <v>1</v>
      </c>
      <c r="C501">
        <v>0</v>
      </c>
      <c r="D501">
        <v>1</v>
      </c>
      <c r="E501">
        <v>8</v>
      </c>
      <c r="F501">
        <v>4</v>
      </c>
      <c r="G501">
        <v>1</v>
      </c>
      <c r="H501">
        <f>표5[[#This Row],[공격성공횟수]]/(표5[[#This Row],[공격실패횟수]]+표5[[#This Row],[공격성공횟수]])</f>
        <v>0.1111111111111111</v>
      </c>
    </row>
    <row r="502" spans="1:8" x14ac:dyDescent="0.4">
      <c r="A502">
        <v>251</v>
      </c>
      <c r="B502" t="s">
        <v>0</v>
      </c>
      <c r="C502">
        <v>0</v>
      </c>
      <c r="D502">
        <v>0</v>
      </c>
      <c r="E502">
        <v>10</v>
      </c>
      <c r="F502">
        <v>4</v>
      </c>
      <c r="G502">
        <v>1</v>
      </c>
      <c r="H502">
        <f>표5[[#This Row],[공격성공횟수]]/(표5[[#This Row],[공격실패횟수]]+표5[[#This Row],[공격성공횟수]])</f>
        <v>0</v>
      </c>
    </row>
    <row r="503" spans="1:8" hidden="1" x14ac:dyDescent="0.4">
      <c r="A503">
        <v>251</v>
      </c>
      <c r="B503" t="s">
        <v>1</v>
      </c>
      <c r="C503">
        <v>1</v>
      </c>
      <c r="D503">
        <v>4</v>
      </c>
      <c r="E503">
        <v>7</v>
      </c>
      <c r="F503">
        <v>0</v>
      </c>
      <c r="G503">
        <v>0</v>
      </c>
      <c r="H503">
        <f>표5[[#This Row],[공격성공횟수]]/(표5[[#This Row],[공격실패횟수]]+표5[[#This Row],[공격성공횟수]])</f>
        <v>0.36363636363636365</v>
      </c>
    </row>
    <row r="504" spans="1:8" x14ac:dyDescent="0.4">
      <c r="A504">
        <v>252</v>
      </c>
      <c r="B504" t="s">
        <v>0</v>
      </c>
      <c r="C504">
        <v>1</v>
      </c>
      <c r="D504">
        <v>4</v>
      </c>
      <c r="E504">
        <v>7</v>
      </c>
      <c r="F504">
        <v>0</v>
      </c>
      <c r="G504">
        <v>0</v>
      </c>
      <c r="H504">
        <f>표5[[#This Row],[공격성공횟수]]/(표5[[#This Row],[공격실패횟수]]+표5[[#This Row],[공격성공횟수]])</f>
        <v>0.36363636363636365</v>
      </c>
    </row>
    <row r="505" spans="1:8" hidden="1" x14ac:dyDescent="0.4">
      <c r="A505">
        <v>252</v>
      </c>
      <c r="B505" t="s">
        <v>1</v>
      </c>
      <c r="C505">
        <v>0</v>
      </c>
      <c r="D505">
        <v>0</v>
      </c>
      <c r="E505">
        <v>9</v>
      </c>
      <c r="F505">
        <v>4</v>
      </c>
      <c r="G505">
        <v>1</v>
      </c>
      <c r="H505">
        <f>표5[[#This Row],[공격성공횟수]]/(표5[[#This Row],[공격실패횟수]]+표5[[#This Row],[공격성공횟수]])</f>
        <v>0</v>
      </c>
    </row>
    <row r="506" spans="1:8" x14ac:dyDescent="0.4">
      <c r="A506">
        <v>253</v>
      </c>
      <c r="B506" t="s">
        <v>0</v>
      </c>
      <c r="C506">
        <v>1</v>
      </c>
      <c r="D506">
        <v>4</v>
      </c>
      <c r="E506">
        <v>7</v>
      </c>
      <c r="F506">
        <v>1</v>
      </c>
      <c r="G506">
        <v>0</v>
      </c>
      <c r="H506">
        <f>표5[[#This Row],[공격성공횟수]]/(표5[[#This Row],[공격실패횟수]]+표5[[#This Row],[공격성공횟수]])</f>
        <v>0.36363636363636365</v>
      </c>
    </row>
    <row r="507" spans="1:8" hidden="1" x14ac:dyDescent="0.4">
      <c r="A507">
        <v>253</v>
      </c>
      <c r="B507" t="s">
        <v>1</v>
      </c>
      <c r="C507">
        <v>0</v>
      </c>
      <c r="D507">
        <v>1</v>
      </c>
      <c r="E507">
        <v>11</v>
      </c>
      <c r="F507">
        <v>4</v>
      </c>
      <c r="G507">
        <v>1</v>
      </c>
      <c r="H507">
        <f>표5[[#This Row],[공격성공횟수]]/(표5[[#This Row],[공격실패횟수]]+표5[[#This Row],[공격성공횟수]])</f>
        <v>8.3333333333333329E-2</v>
      </c>
    </row>
    <row r="508" spans="1:8" x14ac:dyDescent="0.4">
      <c r="A508">
        <v>254</v>
      </c>
      <c r="B508" t="s">
        <v>0</v>
      </c>
      <c r="C508">
        <v>1</v>
      </c>
      <c r="D508">
        <v>4</v>
      </c>
      <c r="E508">
        <v>13</v>
      </c>
      <c r="F508">
        <v>2</v>
      </c>
      <c r="G508">
        <v>0</v>
      </c>
      <c r="H508">
        <f>표5[[#This Row],[공격성공횟수]]/(표5[[#This Row],[공격실패횟수]]+표5[[#This Row],[공격성공횟수]])</f>
        <v>0.23529411764705882</v>
      </c>
    </row>
    <row r="509" spans="1:8" hidden="1" x14ac:dyDescent="0.4">
      <c r="A509">
        <v>254</v>
      </c>
      <c r="B509" t="s">
        <v>1</v>
      </c>
      <c r="C509">
        <v>0</v>
      </c>
      <c r="D509">
        <v>2</v>
      </c>
      <c r="E509">
        <v>15</v>
      </c>
      <c r="F509">
        <v>4</v>
      </c>
      <c r="G509">
        <v>1</v>
      </c>
      <c r="H509">
        <f>표5[[#This Row],[공격성공횟수]]/(표5[[#This Row],[공격실패횟수]]+표5[[#This Row],[공격성공횟수]])</f>
        <v>0.11764705882352941</v>
      </c>
    </row>
    <row r="510" spans="1:8" x14ac:dyDescent="0.4">
      <c r="A510">
        <v>255</v>
      </c>
      <c r="B510" t="s">
        <v>0</v>
      </c>
      <c r="C510">
        <v>1</v>
      </c>
      <c r="D510">
        <v>4</v>
      </c>
      <c r="E510">
        <v>9</v>
      </c>
      <c r="F510">
        <v>1</v>
      </c>
      <c r="G510">
        <v>0</v>
      </c>
      <c r="H510">
        <f>표5[[#This Row],[공격성공횟수]]/(표5[[#This Row],[공격실패횟수]]+표5[[#This Row],[공격성공횟수]])</f>
        <v>0.30769230769230771</v>
      </c>
    </row>
    <row r="511" spans="1:8" hidden="1" x14ac:dyDescent="0.4">
      <c r="A511">
        <v>255</v>
      </c>
      <c r="B511" t="s">
        <v>1</v>
      </c>
      <c r="C511">
        <v>0</v>
      </c>
      <c r="D511">
        <v>1</v>
      </c>
      <c r="E511">
        <v>11</v>
      </c>
      <c r="F511">
        <v>4</v>
      </c>
      <c r="G511">
        <v>1</v>
      </c>
      <c r="H511">
        <f>표5[[#This Row],[공격성공횟수]]/(표5[[#This Row],[공격실패횟수]]+표5[[#This Row],[공격성공횟수]])</f>
        <v>8.3333333333333329E-2</v>
      </c>
    </row>
    <row r="512" spans="1:8" x14ac:dyDescent="0.4">
      <c r="A512">
        <v>256</v>
      </c>
      <c r="B512" t="s">
        <v>0</v>
      </c>
      <c r="C512">
        <v>1</v>
      </c>
      <c r="D512">
        <v>4</v>
      </c>
      <c r="E512">
        <v>12</v>
      </c>
      <c r="F512">
        <v>1</v>
      </c>
      <c r="G512">
        <v>0</v>
      </c>
      <c r="H512">
        <f>표5[[#This Row],[공격성공횟수]]/(표5[[#This Row],[공격실패횟수]]+표5[[#This Row],[공격성공횟수]])</f>
        <v>0.25</v>
      </c>
    </row>
    <row r="513" spans="1:8" hidden="1" x14ac:dyDescent="0.4">
      <c r="A513">
        <v>256</v>
      </c>
      <c r="B513" t="s">
        <v>1</v>
      </c>
      <c r="C513">
        <v>0</v>
      </c>
      <c r="D513">
        <v>1</v>
      </c>
      <c r="E513">
        <v>15</v>
      </c>
      <c r="F513">
        <v>4</v>
      </c>
      <c r="G513">
        <v>1</v>
      </c>
      <c r="H513">
        <f>표5[[#This Row],[공격성공횟수]]/(표5[[#This Row],[공격실패횟수]]+표5[[#This Row],[공격성공횟수]])</f>
        <v>6.25E-2</v>
      </c>
    </row>
    <row r="514" spans="1:8" x14ac:dyDescent="0.4">
      <c r="A514">
        <v>257</v>
      </c>
      <c r="B514" t="s">
        <v>0</v>
      </c>
      <c r="C514">
        <v>1</v>
      </c>
      <c r="D514">
        <v>4</v>
      </c>
      <c r="E514">
        <v>15</v>
      </c>
      <c r="F514">
        <v>3</v>
      </c>
      <c r="G514">
        <v>0</v>
      </c>
      <c r="H514">
        <f>표5[[#This Row],[공격성공횟수]]/(표5[[#This Row],[공격실패횟수]]+표5[[#This Row],[공격성공횟수]])</f>
        <v>0.21052631578947367</v>
      </c>
    </row>
    <row r="515" spans="1:8" hidden="1" x14ac:dyDescent="0.4">
      <c r="A515">
        <v>257</v>
      </c>
      <c r="B515" t="s">
        <v>1</v>
      </c>
      <c r="C515">
        <v>0</v>
      </c>
      <c r="D515">
        <v>3</v>
      </c>
      <c r="E515">
        <v>19</v>
      </c>
      <c r="F515">
        <v>4</v>
      </c>
      <c r="G515">
        <v>1</v>
      </c>
      <c r="H515">
        <f>표5[[#This Row],[공격성공횟수]]/(표5[[#This Row],[공격실패횟수]]+표5[[#This Row],[공격성공횟수]])</f>
        <v>0.13636363636363635</v>
      </c>
    </row>
    <row r="516" spans="1:8" x14ac:dyDescent="0.4">
      <c r="A516">
        <v>258</v>
      </c>
      <c r="B516" t="s">
        <v>0</v>
      </c>
      <c r="C516">
        <v>1</v>
      </c>
      <c r="D516">
        <v>4</v>
      </c>
      <c r="E516">
        <v>23</v>
      </c>
      <c r="F516">
        <v>3</v>
      </c>
      <c r="G516">
        <v>0</v>
      </c>
      <c r="H516">
        <f>표5[[#This Row],[공격성공횟수]]/(표5[[#This Row],[공격실패횟수]]+표5[[#This Row],[공격성공횟수]])</f>
        <v>0.14814814814814814</v>
      </c>
    </row>
    <row r="517" spans="1:8" hidden="1" x14ac:dyDescent="0.4">
      <c r="A517">
        <v>258</v>
      </c>
      <c r="B517" t="s">
        <v>1</v>
      </c>
      <c r="C517">
        <v>0</v>
      </c>
      <c r="D517">
        <v>3</v>
      </c>
      <c r="E517">
        <v>26</v>
      </c>
      <c r="F517">
        <v>4</v>
      </c>
      <c r="G517">
        <v>1</v>
      </c>
      <c r="H517">
        <f>표5[[#This Row],[공격성공횟수]]/(표5[[#This Row],[공격실패횟수]]+표5[[#This Row],[공격성공횟수]])</f>
        <v>0.10344827586206896</v>
      </c>
    </row>
    <row r="518" spans="1:8" x14ac:dyDescent="0.4">
      <c r="A518">
        <v>259</v>
      </c>
      <c r="B518" t="s">
        <v>0</v>
      </c>
      <c r="C518">
        <v>1</v>
      </c>
      <c r="D518">
        <v>4</v>
      </c>
      <c r="E518">
        <v>7</v>
      </c>
      <c r="F518">
        <v>2</v>
      </c>
      <c r="G518">
        <v>0</v>
      </c>
      <c r="H518">
        <f>표5[[#This Row],[공격성공횟수]]/(표5[[#This Row],[공격실패횟수]]+표5[[#This Row],[공격성공횟수]])</f>
        <v>0.36363636363636365</v>
      </c>
    </row>
    <row r="519" spans="1:8" hidden="1" x14ac:dyDescent="0.4">
      <c r="A519">
        <v>259</v>
      </c>
      <c r="B519" t="s">
        <v>1</v>
      </c>
      <c r="C519">
        <v>0</v>
      </c>
      <c r="D519">
        <v>2</v>
      </c>
      <c r="E519">
        <v>8</v>
      </c>
      <c r="F519">
        <v>4</v>
      </c>
      <c r="G519">
        <v>1</v>
      </c>
      <c r="H519">
        <f>표5[[#This Row],[공격성공횟수]]/(표5[[#This Row],[공격실패횟수]]+표5[[#This Row],[공격성공횟수]])</f>
        <v>0.2</v>
      </c>
    </row>
    <row r="520" spans="1:8" x14ac:dyDescent="0.4">
      <c r="A520">
        <v>260</v>
      </c>
      <c r="B520" t="s">
        <v>0</v>
      </c>
      <c r="C520">
        <v>0</v>
      </c>
      <c r="D520">
        <v>2</v>
      </c>
      <c r="E520">
        <v>17</v>
      </c>
      <c r="F520">
        <v>4</v>
      </c>
      <c r="G520">
        <v>1</v>
      </c>
      <c r="H520">
        <f>표5[[#This Row],[공격성공횟수]]/(표5[[#This Row],[공격실패횟수]]+표5[[#This Row],[공격성공횟수]])</f>
        <v>0.10526315789473684</v>
      </c>
    </row>
    <row r="521" spans="1:8" hidden="1" x14ac:dyDescent="0.4">
      <c r="A521">
        <v>260</v>
      </c>
      <c r="B521" t="s">
        <v>1</v>
      </c>
      <c r="C521">
        <v>1</v>
      </c>
      <c r="D521">
        <v>4</v>
      </c>
      <c r="E521">
        <v>16</v>
      </c>
      <c r="F521">
        <v>2</v>
      </c>
      <c r="G521">
        <v>0</v>
      </c>
      <c r="H521">
        <f>표5[[#This Row],[공격성공횟수]]/(표5[[#This Row],[공격실패횟수]]+표5[[#This Row],[공격성공횟수]])</f>
        <v>0.2</v>
      </c>
    </row>
    <row r="522" spans="1:8" x14ac:dyDescent="0.4">
      <c r="A522">
        <v>261</v>
      </c>
      <c r="B522" t="s">
        <v>0</v>
      </c>
      <c r="C522">
        <v>1</v>
      </c>
      <c r="D522">
        <v>4</v>
      </c>
      <c r="E522">
        <v>6</v>
      </c>
      <c r="F522">
        <v>1</v>
      </c>
      <c r="G522">
        <v>0</v>
      </c>
      <c r="H522">
        <f>표5[[#This Row],[공격성공횟수]]/(표5[[#This Row],[공격실패횟수]]+표5[[#This Row],[공격성공횟수]])</f>
        <v>0.4</v>
      </c>
    </row>
    <row r="523" spans="1:8" hidden="1" x14ac:dyDescent="0.4">
      <c r="A523">
        <v>261</v>
      </c>
      <c r="B523" t="s">
        <v>1</v>
      </c>
      <c r="C523">
        <v>0</v>
      </c>
      <c r="D523">
        <v>1</v>
      </c>
      <c r="E523">
        <v>8</v>
      </c>
      <c r="F523">
        <v>4</v>
      </c>
      <c r="G523">
        <v>1</v>
      </c>
      <c r="H523">
        <f>표5[[#This Row],[공격성공횟수]]/(표5[[#This Row],[공격실패횟수]]+표5[[#This Row],[공격성공횟수]])</f>
        <v>0.1111111111111111</v>
      </c>
    </row>
    <row r="524" spans="1:8" x14ac:dyDescent="0.4">
      <c r="A524">
        <v>262</v>
      </c>
      <c r="B524" t="s">
        <v>0</v>
      </c>
      <c r="C524">
        <v>1</v>
      </c>
      <c r="D524">
        <v>4</v>
      </c>
      <c r="E524">
        <v>17</v>
      </c>
      <c r="F524">
        <v>1</v>
      </c>
      <c r="G524">
        <v>0</v>
      </c>
      <c r="H524">
        <f>표5[[#This Row],[공격성공횟수]]/(표5[[#This Row],[공격실패횟수]]+표5[[#This Row],[공격성공횟수]])</f>
        <v>0.19047619047619047</v>
      </c>
    </row>
    <row r="525" spans="1:8" hidden="1" x14ac:dyDescent="0.4">
      <c r="A525">
        <v>262</v>
      </c>
      <c r="B525" t="s">
        <v>1</v>
      </c>
      <c r="C525">
        <v>0</v>
      </c>
      <c r="D525">
        <v>1</v>
      </c>
      <c r="E525">
        <v>23</v>
      </c>
      <c r="F525">
        <v>4</v>
      </c>
      <c r="G525">
        <v>1</v>
      </c>
      <c r="H525">
        <f>표5[[#This Row],[공격성공횟수]]/(표5[[#This Row],[공격실패횟수]]+표5[[#This Row],[공격성공횟수]])</f>
        <v>4.1666666666666664E-2</v>
      </c>
    </row>
    <row r="526" spans="1:8" x14ac:dyDescent="0.4">
      <c r="A526">
        <v>263</v>
      </c>
      <c r="B526" t="s">
        <v>0</v>
      </c>
      <c r="C526">
        <v>1</v>
      </c>
      <c r="D526">
        <v>4</v>
      </c>
      <c r="E526">
        <v>27</v>
      </c>
      <c r="F526">
        <v>2</v>
      </c>
      <c r="G526">
        <v>0</v>
      </c>
      <c r="H526">
        <f>표5[[#This Row],[공격성공횟수]]/(표5[[#This Row],[공격실패횟수]]+표5[[#This Row],[공격성공횟수]])</f>
        <v>0.12903225806451613</v>
      </c>
    </row>
    <row r="527" spans="1:8" hidden="1" x14ac:dyDescent="0.4">
      <c r="A527">
        <v>263</v>
      </c>
      <c r="B527" t="s">
        <v>1</v>
      </c>
      <c r="C527">
        <v>0</v>
      </c>
      <c r="D527">
        <v>2</v>
      </c>
      <c r="E527">
        <v>29</v>
      </c>
      <c r="F527">
        <v>4</v>
      </c>
      <c r="G527">
        <v>1</v>
      </c>
      <c r="H527">
        <f>표5[[#This Row],[공격성공횟수]]/(표5[[#This Row],[공격실패횟수]]+표5[[#This Row],[공격성공횟수]])</f>
        <v>6.4516129032258063E-2</v>
      </c>
    </row>
    <row r="528" spans="1:8" x14ac:dyDescent="0.4">
      <c r="A528">
        <v>264</v>
      </c>
      <c r="B528" t="s">
        <v>0</v>
      </c>
      <c r="C528">
        <v>0</v>
      </c>
      <c r="D528">
        <v>0</v>
      </c>
      <c r="E528">
        <v>17</v>
      </c>
      <c r="F528">
        <v>4</v>
      </c>
      <c r="G528">
        <v>1</v>
      </c>
      <c r="H528">
        <f>표5[[#This Row],[공격성공횟수]]/(표5[[#This Row],[공격실패횟수]]+표5[[#This Row],[공격성공횟수]])</f>
        <v>0</v>
      </c>
    </row>
    <row r="529" spans="1:8" hidden="1" x14ac:dyDescent="0.4">
      <c r="A529">
        <v>264</v>
      </c>
      <c r="B529" t="s">
        <v>1</v>
      </c>
      <c r="C529">
        <v>1</v>
      </c>
      <c r="D529">
        <v>4</v>
      </c>
      <c r="E529">
        <v>13</v>
      </c>
      <c r="F529">
        <v>0</v>
      </c>
      <c r="G529">
        <v>0</v>
      </c>
      <c r="H529">
        <f>표5[[#This Row],[공격성공횟수]]/(표5[[#This Row],[공격실패횟수]]+표5[[#This Row],[공격성공횟수]])</f>
        <v>0.23529411764705882</v>
      </c>
    </row>
    <row r="530" spans="1:8" x14ac:dyDescent="0.4">
      <c r="A530">
        <v>265</v>
      </c>
      <c r="B530" t="s">
        <v>0</v>
      </c>
      <c r="C530">
        <v>1</v>
      </c>
      <c r="D530">
        <v>4</v>
      </c>
      <c r="E530">
        <v>12</v>
      </c>
      <c r="F530">
        <v>0</v>
      </c>
      <c r="G530">
        <v>0</v>
      </c>
      <c r="H530">
        <f>표5[[#This Row],[공격성공횟수]]/(표5[[#This Row],[공격실패횟수]]+표5[[#This Row],[공격성공횟수]])</f>
        <v>0.25</v>
      </c>
    </row>
    <row r="531" spans="1:8" hidden="1" x14ac:dyDescent="0.4">
      <c r="A531">
        <v>265</v>
      </c>
      <c r="B531" t="s">
        <v>1</v>
      </c>
      <c r="C531">
        <v>0</v>
      </c>
      <c r="D531">
        <v>0</v>
      </c>
      <c r="E531">
        <v>17</v>
      </c>
      <c r="F531">
        <v>4</v>
      </c>
      <c r="G531">
        <v>1</v>
      </c>
      <c r="H531">
        <f>표5[[#This Row],[공격성공횟수]]/(표5[[#This Row],[공격실패횟수]]+표5[[#This Row],[공격성공횟수]])</f>
        <v>0</v>
      </c>
    </row>
    <row r="532" spans="1:8" x14ac:dyDescent="0.4">
      <c r="A532">
        <v>266</v>
      </c>
      <c r="B532" t="s">
        <v>0</v>
      </c>
      <c r="C532">
        <v>1</v>
      </c>
      <c r="D532">
        <v>4</v>
      </c>
      <c r="E532">
        <v>15</v>
      </c>
      <c r="F532">
        <v>1</v>
      </c>
      <c r="G532">
        <v>0</v>
      </c>
      <c r="H532">
        <f>표5[[#This Row],[공격성공횟수]]/(표5[[#This Row],[공격실패횟수]]+표5[[#This Row],[공격성공횟수]])</f>
        <v>0.21052631578947367</v>
      </c>
    </row>
    <row r="533" spans="1:8" hidden="1" x14ac:dyDescent="0.4">
      <c r="A533">
        <v>266</v>
      </c>
      <c r="B533" t="s">
        <v>1</v>
      </c>
      <c r="C533">
        <v>0</v>
      </c>
      <c r="D533">
        <v>1</v>
      </c>
      <c r="E533">
        <v>18</v>
      </c>
      <c r="F533">
        <v>4</v>
      </c>
      <c r="G533">
        <v>1</v>
      </c>
      <c r="H533">
        <f>표5[[#This Row],[공격성공횟수]]/(표5[[#This Row],[공격실패횟수]]+표5[[#This Row],[공격성공횟수]])</f>
        <v>5.2631578947368418E-2</v>
      </c>
    </row>
    <row r="534" spans="1:8" x14ac:dyDescent="0.4">
      <c r="A534">
        <v>267</v>
      </c>
      <c r="B534" t="s">
        <v>0</v>
      </c>
      <c r="C534">
        <v>1</v>
      </c>
      <c r="D534">
        <v>4</v>
      </c>
      <c r="E534">
        <v>6</v>
      </c>
      <c r="F534">
        <v>2</v>
      </c>
      <c r="G534">
        <v>0</v>
      </c>
      <c r="H534">
        <f>표5[[#This Row],[공격성공횟수]]/(표5[[#This Row],[공격실패횟수]]+표5[[#This Row],[공격성공횟수]])</f>
        <v>0.4</v>
      </c>
    </row>
    <row r="535" spans="1:8" hidden="1" x14ac:dyDescent="0.4">
      <c r="A535">
        <v>267</v>
      </c>
      <c r="B535" t="s">
        <v>1</v>
      </c>
      <c r="C535">
        <v>0</v>
      </c>
      <c r="D535">
        <v>2</v>
      </c>
      <c r="E535">
        <v>8</v>
      </c>
      <c r="F535">
        <v>4</v>
      </c>
      <c r="G535">
        <v>1</v>
      </c>
      <c r="H535">
        <f>표5[[#This Row],[공격성공횟수]]/(표5[[#This Row],[공격실패횟수]]+표5[[#This Row],[공격성공횟수]])</f>
        <v>0.2</v>
      </c>
    </row>
    <row r="536" spans="1:8" x14ac:dyDescent="0.4">
      <c r="A536">
        <v>268</v>
      </c>
      <c r="B536" t="s">
        <v>0</v>
      </c>
      <c r="C536">
        <v>0</v>
      </c>
      <c r="D536">
        <v>0</v>
      </c>
      <c r="E536">
        <v>38</v>
      </c>
      <c r="F536">
        <v>4</v>
      </c>
      <c r="G536">
        <v>1</v>
      </c>
      <c r="H536">
        <f>표5[[#This Row],[공격성공횟수]]/(표5[[#This Row],[공격실패횟수]]+표5[[#This Row],[공격성공횟수]])</f>
        <v>0</v>
      </c>
    </row>
    <row r="537" spans="1:8" hidden="1" x14ac:dyDescent="0.4">
      <c r="A537">
        <v>268</v>
      </c>
      <c r="B537" t="s">
        <v>1</v>
      </c>
      <c r="C537">
        <v>1</v>
      </c>
      <c r="D537">
        <v>4</v>
      </c>
      <c r="E537">
        <v>34</v>
      </c>
      <c r="F537">
        <v>0</v>
      </c>
      <c r="G537">
        <v>0</v>
      </c>
      <c r="H537">
        <f>표5[[#This Row],[공격성공횟수]]/(표5[[#This Row],[공격실패횟수]]+표5[[#This Row],[공격성공횟수]])</f>
        <v>0.10526315789473684</v>
      </c>
    </row>
    <row r="538" spans="1:8" x14ac:dyDescent="0.4">
      <c r="A538">
        <v>269</v>
      </c>
      <c r="B538" t="s">
        <v>0</v>
      </c>
      <c r="C538">
        <v>1</v>
      </c>
      <c r="D538">
        <v>4</v>
      </c>
      <c r="E538">
        <v>9</v>
      </c>
      <c r="F538">
        <v>1</v>
      </c>
      <c r="G538">
        <v>0</v>
      </c>
      <c r="H538">
        <f>표5[[#This Row],[공격성공횟수]]/(표5[[#This Row],[공격실패횟수]]+표5[[#This Row],[공격성공횟수]])</f>
        <v>0.30769230769230771</v>
      </c>
    </row>
    <row r="539" spans="1:8" hidden="1" x14ac:dyDescent="0.4">
      <c r="A539">
        <v>269</v>
      </c>
      <c r="B539" t="s">
        <v>1</v>
      </c>
      <c r="C539">
        <v>0</v>
      </c>
      <c r="D539">
        <v>1</v>
      </c>
      <c r="E539">
        <v>11</v>
      </c>
      <c r="F539">
        <v>4</v>
      </c>
      <c r="G539">
        <v>1</v>
      </c>
      <c r="H539">
        <f>표5[[#This Row],[공격성공횟수]]/(표5[[#This Row],[공격실패횟수]]+표5[[#This Row],[공격성공횟수]])</f>
        <v>8.3333333333333329E-2</v>
      </c>
    </row>
    <row r="540" spans="1:8" x14ac:dyDescent="0.4">
      <c r="A540">
        <v>270</v>
      </c>
      <c r="B540" t="s">
        <v>0</v>
      </c>
      <c r="C540">
        <v>1</v>
      </c>
      <c r="D540">
        <v>4</v>
      </c>
      <c r="E540">
        <v>24</v>
      </c>
      <c r="F540">
        <v>2</v>
      </c>
      <c r="G540">
        <v>0</v>
      </c>
      <c r="H540">
        <f>표5[[#This Row],[공격성공횟수]]/(표5[[#This Row],[공격실패횟수]]+표5[[#This Row],[공격성공횟수]])</f>
        <v>0.14285714285714285</v>
      </c>
    </row>
    <row r="541" spans="1:8" hidden="1" x14ac:dyDescent="0.4">
      <c r="A541">
        <v>270</v>
      </c>
      <c r="B541" t="s">
        <v>1</v>
      </c>
      <c r="C541">
        <v>0</v>
      </c>
      <c r="D541">
        <v>2</v>
      </c>
      <c r="E541">
        <v>25</v>
      </c>
      <c r="F541">
        <v>4</v>
      </c>
      <c r="G541">
        <v>1</v>
      </c>
      <c r="H541">
        <f>표5[[#This Row],[공격성공횟수]]/(표5[[#This Row],[공격실패횟수]]+표5[[#This Row],[공격성공횟수]])</f>
        <v>7.407407407407407E-2</v>
      </c>
    </row>
    <row r="542" spans="1:8" x14ac:dyDescent="0.4">
      <c r="A542">
        <v>271</v>
      </c>
      <c r="B542" t="s">
        <v>0</v>
      </c>
      <c r="C542">
        <v>0</v>
      </c>
      <c r="D542">
        <v>0</v>
      </c>
      <c r="E542">
        <v>27</v>
      </c>
      <c r="F542">
        <v>4</v>
      </c>
      <c r="G542">
        <v>1</v>
      </c>
      <c r="H542">
        <f>표5[[#This Row],[공격성공횟수]]/(표5[[#This Row],[공격실패횟수]]+표5[[#This Row],[공격성공횟수]])</f>
        <v>0</v>
      </c>
    </row>
    <row r="543" spans="1:8" hidden="1" x14ac:dyDescent="0.4">
      <c r="A543">
        <v>271</v>
      </c>
      <c r="B543" t="s">
        <v>1</v>
      </c>
      <c r="C543">
        <v>1</v>
      </c>
      <c r="D543">
        <v>4</v>
      </c>
      <c r="E543">
        <v>23</v>
      </c>
      <c r="F543">
        <v>0</v>
      </c>
      <c r="G543">
        <v>0</v>
      </c>
      <c r="H543">
        <f>표5[[#This Row],[공격성공횟수]]/(표5[[#This Row],[공격실패횟수]]+표5[[#This Row],[공격성공횟수]])</f>
        <v>0.14814814814814814</v>
      </c>
    </row>
    <row r="544" spans="1:8" x14ac:dyDescent="0.4">
      <c r="A544">
        <v>272</v>
      </c>
      <c r="B544" t="s">
        <v>0</v>
      </c>
      <c r="C544">
        <v>0</v>
      </c>
      <c r="D544">
        <v>2</v>
      </c>
      <c r="E544">
        <v>27</v>
      </c>
      <c r="F544">
        <v>4</v>
      </c>
      <c r="G544">
        <v>1</v>
      </c>
      <c r="H544">
        <f>표5[[#This Row],[공격성공횟수]]/(표5[[#This Row],[공격실패횟수]]+표5[[#This Row],[공격성공횟수]])</f>
        <v>6.8965517241379309E-2</v>
      </c>
    </row>
    <row r="545" spans="1:8" hidden="1" x14ac:dyDescent="0.4">
      <c r="A545">
        <v>272</v>
      </c>
      <c r="B545" t="s">
        <v>1</v>
      </c>
      <c r="C545">
        <v>1</v>
      </c>
      <c r="D545">
        <v>4</v>
      </c>
      <c r="E545">
        <v>24</v>
      </c>
      <c r="F545">
        <v>2</v>
      </c>
      <c r="G545">
        <v>0</v>
      </c>
      <c r="H545">
        <f>표5[[#This Row],[공격성공횟수]]/(표5[[#This Row],[공격실패횟수]]+표5[[#This Row],[공격성공횟수]])</f>
        <v>0.14285714285714285</v>
      </c>
    </row>
    <row r="546" spans="1:8" x14ac:dyDescent="0.4">
      <c r="A546">
        <v>273</v>
      </c>
      <c r="B546" t="s">
        <v>0</v>
      </c>
      <c r="C546">
        <v>1</v>
      </c>
      <c r="D546">
        <v>4</v>
      </c>
      <c r="E546">
        <v>15</v>
      </c>
      <c r="F546">
        <v>0</v>
      </c>
      <c r="G546">
        <v>0</v>
      </c>
      <c r="H546">
        <f>표5[[#This Row],[공격성공횟수]]/(표5[[#This Row],[공격실패횟수]]+표5[[#This Row],[공격성공횟수]])</f>
        <v>0.21052631578947367</v>
      </c>
    </row>
    <row r="547" spans="1:8" hidden="1" x14ac:dyDescent="0.4">
      <c r="A547">
        <v>273</v>
      </c>
      <c r="B547" t="s">
        <v>1</v>
      </c>
      <c r="C547">
        <v>0</v>
      </c>
      <c r="D547">
        <v>0</v>
      </c>
      <c r="E547">
        <v>19</v>
      </c>
      <c r="F547">
        <v>4</v>
      </c>
      <c r="G547">
        <v>1</v>
      </c>
      <c r="H547">
        <f>표5[[#This Row],[공격성공횟수]]/(표5[[#This Row],[공격실패횟수]]+표5[[#This Row],[공격성공횟수]])</f>
        <v>0</v>
      </c>
    </row>
    <row r="548" spans="1:8" x14ac:dyDescent="0.4">
      <c r="A548">
        <v>274</v>
      </c>
      <c r="B548" t="s">
        <v>0</v>
      </c>
      <c r="C548">
        <v>0</v>
      </c>
      <c r="D548">
        <v>3</v>
      </c>
      <c r="E548">
        <v>24</v>
      </c>
      <c r="F548">
        <v>4</v>
      </c>
      <c r="G548">
        <v>1</v>
      </c>
      <c r="H548">
        <f>표5[[#This Row],[공격성공횟수]]/(표5[[#This Row],[공격실패횟수]]+표5[[#This Row],[공격성공횟수]])</f>
        <v>0.1111111111111111</v>
      </c>
    </row>
    <row r="549" spans="1:8" hidden="1" x14ac:dyDescent="0.4">
      <c r="A549">
        <v>274</v>
      </c>
      <c r="B549" t="s">
        <v>1</v>
      </c>
      <c r="C549">
        <v>1</v>
      </c>
      <c r="D549">
        <v>4</v>
      </c>
      <c r="E549">
        <v>23</v>
      </c>
      <c r="F549">
        <v>3</v>
      </c>
      <c r="G549">
        <v>0</v>
      </c>
      <c r="H549">
        <f>표5[[#This Row],[공격성공횟수]]/(표5[[#This Row],[공격실패횟수]]+표5[[#This Row],[공격성공횟수]])</f>
        <v>0.14814814814814814</v>
      </c>
    </row>
    <row r="550" spans="1:8" x14ac:dyDescent="0.4">
      <c r="A550">
        <v>275</v>
      </c>
      <c r="B550" t="s">
        <v>0</v>
      </c>
      <c r="C550">
        <v>0</v>
      </c>
      <c r="D550">
        <v>0</v>
      </c>
      <c r="E550">
        <v>24</v>
      </c>
      <c r="F550">
        <v>4</v>
      </c>
      <c r="G550">
        <v>1</v>
      </c>
      <c r="H550">
        <f>표5[[#This Row],[공격성공횟수]]/(표5[[#This Row],[공격실패횟수]]+표5[[#This Row],[공격성공횟수]])</f>
        <v>0</v>
      </c>
    </row>
    <row r="551" spans="1:8" hidden="1" x14ac:dyDescent="0.4">
      <c r="A551">
        <v>275</v>
      </c>
      <c r="B551" t="s">
        <v>1</v>
      </c>
      <c r="C551">
        <v>1</v>
      </c>
      <c r="D551">
        <v>4</v>
      </c>
      <c r="E551">
        <v>19</v>
      </c>
      <c r="F551">
        <v>0</v>
      </c>
      <c r="G551">
        <v>0</v>
      </c>
      <c r="H551">
        <f>표5[[#This Row],[공격성공횟수]]/(표5[[#This Row],[공격실패횟수]]+표5[[#This Row],[공격성공횟수]])</f>
        <v>0.17391304347826086</v>
      </c>
    </row>
    <row r="552" spans="1:8" x14ac:dyDescent="0.4">
      <c r="A552">
        <v>276</v>
      </c>
      <c r="B552" t="s">
        <v>0</v>
      </c>
      <c r="C552">
        <v>1</v>
      </c>
      <c r="D552">
        <v>4</v>
      </c>
      <c r="E552">
        <v>13</v>
      </c>
      <c r="F552">
        <v>0</v>
      </c>
      <c r="G552">
        <v>0</v>
      </c>
      <c r="H552">
        <f>표5[[#This Row],[공격성공횟수]]/(표5[[#This Row],[공격실패횟수]]+표5[[#This Row],[공격성공횟수]])</f>
        <v>0.23529411764705882</v>
      </c>
    </row>
    <row r="553" spans="1:8" hidden="1" x14ac:dyDescent="0.4">
      <c r="A553">
        <v>276</v>
      </c>
      <c r="B553" t="s">
        <v>1</v>
      </c>
      <c r="C553">
        <v>0</v>
      </c>
      <c r="D553">
        <v>0</v>
      </c>
      <c r="E553">
        <v>21</v>
      </c>
      <c r="F553">
        <v>4</v>
      </c>
      <c r="G553">
        <v>1</v>
      </c>
      <c r="H553">
        <f>표5[[#This Row],[공격성공횟수]]/(표5[[#This Row],[공격실패횟수]]+표5[[#This Row],[공격성공횟수]])</f>
        <v>0</v>
      </c>
    </row>
    <row r="554" spans="1:8" x14ac:dyDescent="0.4">
      <c r="A554">
        <v>277</v>
      </c>
      <c r="B554" t="s">
        <v>0</v>
      </c>
      <c r="C554">
        <v>1</v>
      </c>
      <c r="D554">
        <v>4</v>
      </c>
      <c r="E554">
        <v>17</v>
      </c>
      <c r="F554">
        <v>2</v>
      </c>
      <c r="G554">
        <v>0</v>
      </c>
      <c r="H554">
        <f>표5[[#This Row],[공격성공횟수]]/(표5[[#This Row],[공격실패횟수]]+표5[[#This Row],[공격성공횟수]])</f>
        <v>0.19047619047619047</v>
      </c>
    </row>
    <row r="555" spans="1:8" hidden="1" x14ac:dyDescent="0.4">
      <c r="A555">
        <v>277</v>
      </c>
      <c r="B555" t="s">
        <v>1</v>
      </c>
      <c r="C555">
        <v>0</v>
      </c>
      <c r="D555">
        <v>2</v>
      </c>
      <c r="E555">
        <v>21</v>
      </c>
      <c r="F555">
        <v>4</v>
      </c>
      <c r="G555">
        <v>1</v>
      </c>
      <c r="H555">
        <f>표5[[#This Row],[공격성공횟수]]/(표5[[#This Row],[공격실패횟수]]+표5[[#This Row],[공격성공횟수]])</f>
        <v>8.6956521739130432E-2</v>
      </c>
    </row>
    <row r="556" spans="1:8" x14ac:dyDescent="0.4">
      <c r="A556">
        <v>278</v>
      </c>
      <c r="B556" t="s">
        <v>0</v>
      </c>
      <c r="C556">
        <v>0</v>
      </c>
      <c r="D556">
        <v>0</v>
      </c>
      <c r="E556">
        <v>13</v>
      </c>
      <c r="F556">
        <v>4</v>
      </c>
      <c r="G556">
        <v>1</v>
      </c>
      <c r="H556">
        <f>표5[[#This Row],[공격성공횟수]]/(표5[[#This Row],[공격실패횟수]]+표5[[#This Row],[공격성공횟수]])</f>
        <v>0</v>
      </c>
    </row>
    <row r="557" spans="1:8" hidden="1" x14ac:dyDescent="0.4">
      <c r="A557">
        <v>278</v>
      </c>
      <c r="B557" t="s">
        <v>1</v>
      </c>
      <c r="C557">
        <v>1</v>
      </c>
      <c r="D557">
        <v>4</v>
      </c>
      <c r="E557">
        <v>10</v>
      </c>
      <c r="F557">
        <v>0</v>
      </c>
      <c r="G557">
        <v>0</v>
      </c>
      <c r="H557">
        <f>표5[[#This Row],[공격성공횟수]]/(표5[[#This Row],[공격실패횟수]]+표5[[#This Row],[공격성공횟수]])</f>
        <v>0.2857142857142857</v>
      </c>
    </row>
    <row r="558" spans="1:8" x14ac:dyDescent="0.4">
      <c r="A558">
        <v>279</v>
      </c>
      <c r="B558" t="s">
        <v>0</v>
      </c>
      <c r="C558">
        <v>1</v>
      </c>
      <c r="D558">
        <v>4</v>
      </c>
      <c r="E558">
        <v>7</v>
      </c>
      <c r="F558">
        <v>1</v>
      </c>
      <c r="G558">
        <v>0</v>
      </c>
      <c r="H558">
        <f>표5[[#This Row],[공격성공횟수]]/(표5[[#This Row],[공격실패횟수]]+표5[[#This Row],[공격성공횟수]])</f>
        <v>0.36363636363636365</v>
      </c>
    </row>
    <row r="559" spans="1:8" hidden="1" x14ac:dyDescent="0.4">
      <c r="A559">
        <v>279</v>
      </c>
      <c r="B559" t="s">
        <v>1</v>
      </c>
      <c r="C559">
        <v>0</v>
      </c>
      <c r="D559">
        <v>1</v>
      </c>
      <c r="E559">
        <v>9</v>
      </c>
      <c r="F559">
        <v>4</v>
      </c>
      <c r="G559">
        <v>1</v>
      </c>
      <c r="H559">
        <f>표5[[#This Row],[공격성공횟수]]/(표5[[#This Row],[공격실패횟수]]+표5[[#This Row],[공격성공횟수]])</f>
        <v>0.1</v>
      </c>
    </row>
    <row r="560" spans="1:8" x14ac:dyDescent="0.4">
      <c r="A560">
        <v>280</v>
      </c>
      <c r="B560" t="s">
        <v>0</v>
      </c>
      <c r="C560">
        <v>1</v>
      </c>
      <c r="D560">
        <v>4</v>
      </c>
      <c r="E560">
        <v>16</v>
      </c>
      <c r="F560">
        <v>1</v>
      </c>
      <c r="G560">
        <v>0</v>
      </c>
      <c r="H560">
        <f>표5[[#This Row],[공격성공횟수]]/(표5[[#This Row],[공격실패횟수]]+표5[[#This Row],[공격성공횟수]])</f>
        <v>0.2</v>
      </c>
    </row>
    <row r="561" spans="1:8" hidden="1" x14ac:dyDescent="0.4">
      <c r="A561">
        <v>280</v>
      </c>
      <c r="B561" t="s">
        <v>1</v>
      </c>
      <c r="C561">
        <v>0</v>
      </c>
      <c r="D561">
        <v>1</v>
      </c>
      <c r="E561">
        <v>18</v>
      </c>
      <c r="F561">
        <v>4</v>
      </c>
      <c r="G561">
        <v>1</v>
      </c>
      <c r="H561">
        <f>표5[[#This Row],[공격성공횟수]]/(표5[[#This Row],[공격실패횟수]]+표5[[#This Row],[공격성공횟수]])</f>
        <v>5.2631578947368418E-2</v>
      </c>
    </row>
    <row r="562" spans="1:8" x14ac:dyDescent="0.4">
      <c r="A562">
        <v>281</v>
      </c>
      <c r="B562" t="s">
        <v>0</v>
      </c>
      <c r="C562">
        <v>1</v>
      </c>
      <c r="D562">
        <v>4</v>
      </c>
      <c r="E562">
        <v>12</v>
      </c>
      <c r="F562">
        <v>3</v>
      </c>
      <c r="G562">
        <v>0</v>
      </c>
      <c r="H562">
        <f>표5[[#This Row],[공격성공횟수]]/(표5[[#This Row],[공격실패횟수]]+표5[[#This Row],[공격성공횟수]])</f>
        <v>0.25</v>
      </c>
    </row>
    <row r="563" spans="1:8" hidden="1" x14ac:dyDescent="0.4">
      <c r="A563">
        <v>281</v>
      </c>
      <c r="B563" t="s">
        <v>1</v>
      </c>
      <c r="C563">
        <v>0</v>
      </c>
      <c r="D563">
        <v>3</v>
      </c>
      <c r="E563">
        <v>13</v>
      </c>
      <c r="F563">
        <v>4</v>
      </c>
      <c r="G563">
        <v>1</v>
      </c>
      <c r="H563">
        <f>표5[[#This Row],[공격성공횟수]]/(표5[[#This Row],[공격실패횟수]]+표5[[#This Row],[공격성공횟수]])</f>
        <v>0.1875</v>
      </c>
    </row>
    <row r="564" spans="1:8" x14ac:dyDescent="0.4">
      <c r="A564">
        <v>282</v>
      </c>
      <c r="B564" t="s">
        <v>0</v>
      </c>
      <c r="C564">
        <v>1</v>
      </c>
      <c r="D564">
        <v>4</v>
      </c>
      <c r="E564">
        <v>8</v>
      </c>
      <c r="F564">
        <v>0</v>
      </c>
      <c r="G564">
        <v>0</v>
      </c>
      <c r="H564">
        <f>표5[[#This Row],[공격성공횟수]]/(표5[[#This Row],[공격실패횟수]]+표5[[#This Row],[공격성공횟수]])</f>
        <v>0.33333333333333331</v>
      </c>
    </row>
    <row r="565" spans="1:8" hidden="1" x14ac:dyDescent="0.4">
      <c r="A565">
        <v>282</v>
      </c>
      <c r="B565" t="s">
        <v>1</v>
      </c>
      <c r="C565">
        <v>0</v>
      </c>
      <c r="D565">
        <v>0</v>
      </c>
      <c r="E565">
        <v>12</v>
      </c>
      <c r="F565">
        <v>4</v>
      </c>
      <c r="G565">
        <v>1</v>
      </c>
      <c r="H565">
        <f>표5[[#This Row],[공격성공횟수]]/(표5[[#This Row],[공격실패횟수]]+표5[[#This Row],[공격성공횟수]])</f>
        <v>0</v>
      </c>
    </row>
    <row r="566" spans="1:8" x14ac:dyDescent="0.4">
      <c r="A566">
        <v>283</v>
      </c>
      <c r="B566" t="s">
        <v>0</v>
      </c>
      <c r="C566">
        <v>1</v>
      </c>
      <c r="D566">
        <v>4</v>
      </c>
      <c r="E566">
        <v>5</v>
      </c>
      <c r="F566">
        <v>0</v>
      </c>
      <c r="G566">
        <v>0</v>
      </c>
      <c r="H566">
        <f>표5[[#This Row],[공격성공횟수]]/(표5[[#This Row],[공격실패횟수]]+표5[[#This Row],[공격성공횟수]])</f>
        <v>0.44444444444444442</v>
      </c>
    </row>
    <row r="567" spans="1:8" hidden="1" x14ac:dyDescent="0.4">
      <c r="A567">
        <v>283</v>
      </c>
      <c r="B567" t="s">
        <v>1</v>
      </c>
      <c r="C567">
        <v>0</v>
      </c>
      <c r="D567">
        <v>0</v>
      </c>
      <c r="E567">
        <v>9</v>
      </c>
      <c r="F567">
        <v>4</v>
      </c>
      <c r="G567">
        <v>1</v>
      </c>
      <c r="H567">
        <f>표5[[#This Row],[공격성공횟수]]/(표5[[#This Row],[공격실패횟수]]+표5[[#This Row],[공격성공횟수]])</f>
        <v>0</v>
      </c>
    </row>
    <row r="568" spans="1:8" x14ac:dyDescent="0.4">
      <c r="A568">
        <v>284</v>
      </c>
      <c r="B568" t="s">
        <v>0</v>
      </c>
      <c r="C568">
        <v>1</v>
      </c>
      <c r="D568">
        <v>4</v>
      </c>
      <c r="E568">
        <v>11</v>
      </c>
      <c r="F568">
        <v>1</v>
      </c>
      <c r="G568">
        <v>0</v>
      </c>
      <c r="H568">
        <f>표5[[#This Row],[공격성공횟수]]/(표5[[#This Row],[공격실패횟수]]+표5[[#This Row],[공격성공횟수]])</f>
        <v>0.26666666666666666</v>
      </c>
    </row>
    <row r="569" spans="1:8" hidden="1" x14ac:dyDescent="0.4">
      <c r="A569">
        <v>284</v>
      </c>
      <c r="B569" t="s">
        <v>1</v>
      </c>
      <c r="C569">
        <v>0</v>
      </c>
      <c r="D569">
        <v>1</v>
      </c>
      <c r="E569">
        <v>14</v>
      </c>
      <c r="F569">
        <v>4</v>
      </c>
      <c r="G569">
        <v>1</v>
      </c>
      <c r="H569">
        <f>표5[[#This Row],[공격성공횟수]]/(표5[[#This Row],[공격실패횟수]]+표5[[#This Row],[공격성공횟수]])</f>
        <v>6.6666666666666666E-2</v>
      </c>
    </row>
    <row r="570" spans="1:8" x14ac:dyDescent="0.4">
      <c r="A570">
        <v>285</v>
      </c>
      <c r="B570" t="s">
        <v>0</v>
      </c>
      <c r="C570">
        <v>1</v>
      </c>
      <c r="D570">
        <v>4</v>
      </c>
      <c r="E570">
        <v>7</v>
      </c>
      <c r="F570">
        <v>1</v>
      </c>
      <c r="G570">
        <v>0</v>
      </c>
      <c r="H570">
        <f>표5[[#This Row],[공격성공횟수]]/(표5[[#This Row],[공격실패횟수]]+표5[[#This Row],[공격성공횟수]])</f>
        <v>0.36363636363636365</v>
      </c>
    </row>
    <row r="571" spans="1:8" hidden="1" x14ac:dyDescent="0.4">
      <c r="A571">
        <v>285</v>
      </c>
      <c r="B571" t="s">
        <v>1</v>
      </c>
      <c r="C571">
        <v>0</v>
      </c>
      <c r="D571">
        <v>1</v>
      </c>
      <c r="E571">
        <v>12</v>
      </c>
      <c r="F571">
        <v>4</v>
      </c>
      <c r="G571">
        <v>1</v>
      </c>
      <c r="H571">
        <f>표5[[#This Row],[공격성공횟수]]/(표5[[#This Row],[공격실패횟수]]+표5[[#This Row],[공격성공횟수]])</f>
        <v>7.6923076923076927E-2</v>
      </c>
    </row>
    <row r="572" spans="1:8" x14ac:dyDescent="0.4">
      <c r="A572">
        <v>286</v>
      </c>
      <c r="B572" t="s">
        <v>0</v>
      </c>
      <c r="C572">
        <v>1</v>
      </c>
      <c r="D572">
        <v>4</v>
      </c>
      <c r="E572">
        <v>7</v>
      </c>
      <c r="F572">
        <v>1</v>
      </c>
      <c r="G572">
        <v>0</v>
      </c>
      <c r="H572">
        <f>표5[[#This Row],[공격성공횟수]]/(표5[[#This Row],[공격실패횟수]]+표5[[#This Row],[공격성공횟수]])</f>
        <v>0.36363636363636365</v>
      </c>
    </row>
    <row r="573" spans="1:8" hidden="1" x14ac:dyDescent="0.4">
      <c r="A573">
        <v>286</v>
      </c>
      <c r="B573" t="s">
        <v>1</v>
      </c>
      <c r="C573">
        <v>0</v>
      </c>
      <c r="D573">
        <v>1</v>
      </c>
      <c r="E573">
        <v>12</v>
      </c>
      <c r="F573">
        <v>4</v>
      </c>
      <c r="G573">
        <v>1</v>
      </c>
      <c r="H573">
        <f>표5[[#This Row],[공격성공횟수]]/(표5[[#This Row],[공격실패횟수]]+표5[[#This Row],[공격성공횟수]])</f>
        <v>7.6923076923076927E-2</v>
      </c>
    </row>
    <row r="574" spans="1:8" x14ac:dyDescent="0.4">
      <c r="A574">
        <v>287</v>
      </c>
      <c r="B574" t="s">
        <v>0</v>
      </c>
      <c r="C574">
        <v>1</v>
      </c>
      <c r="D574">
        <v>4</v>
      </c>
      <c r="E574">
        <v>26</v>
      </c>
      <c r="F574">
        <v>3</v>
      </c>
      <c r="G574">
        <v>0</v>
      </c>
      <c r="H574">
        <f>표5[[#This Row],[공격성공횟수]]/(표5[[#This Row],[공격실패횟수]]+표5[[#This Row],[공격성공횟수]])</f>
        <v>0.13333333333333333</v>
      </c>
    </row>
    <row r="575" spans="1:8" hidden="1" x14ac:dyDescent="0.4">
      <c r="A575">
        <v>287</v>
      </c>
      <c r="B575" t="s">
        <v>1</v>
      </c>
      <c r="C575">
        <v>0</v>
      </c>
      <c r="D575">
        <v>3</v>
      </c>
      <c r="E575">
        <v>26</v>
      </c>
      <c r="F575">
        <v>4</v>
      </c>
      <c r="G575">
        <v>1</v>
      </c>
      <c r="H575">
        <f>표5[[#This Row],[공격성공횟수]]/(표5[[#This Row],[공격실패횟수]]+표5[[#This Row],[공격성공횟수]])</f>
        <v>0.10344827586206896</v>
      </c>
    </row>
    <row r="576" spans="1:8" x14ac:dyDescent="0.4">
      <c r="A576">
        <v>288</v>
      </c>
      <c r="B576" t="s">
        <v>0</v>
      </c>
      <c r="C576">
        <v>1</v>
      </c>
      <c r="D576">
        <v>4</v>
      </c>
      <c r="E576">
        <v>9</v>
      </c>
      <c r="F576">
        <v>2</v>
      </c>
      <c r="G576">
        <v>0</v>
      </c>
      <c r="H576">
        <f>표5[[#This Row],[공격성공횟수]]/(표5[[#This Row],[공격실패횟수]]+표5[[#This Row],[공격성공횟수]])</f>
        <v>0.30769230769230771</v>
      </c>
    </row>
    <row r="577" spans="1:8" hidden="1" x14ac:dyDescent="0.4">
      <c r="A577">
        <v>288</v>
      </c>
      <c r="B577" t="s">
        <v>1</v>
      </c>
      <c r="C577">
        <v>0</v>
      </c>
      <c r="D577">
        <v>2</v>
      </c>
      <c r="E577">
        <v>11</v>
      </c>
      <c r="F577">
        <v>4</v>
      </c>
      <c r="G577">
        <v>1</v>
      </c>
      <c r="H577">
        <f>표5[[#This Row],[공격성공횟수]]/(표5[[#This Row],[공격실패횟수]]+표5[[#This Row],[공격성공횟수]])</f>
        <v>0.15384615384615385</v>
      </c>
    </row>
    <row r="578" spans="1:8" x14ac:dyDescent="0.4">
      <c r="A578">
        <v>289</v>
      </c>
      <c r="B578" t="s">
        <v>0</v>
      </c>
      <c r="C578">
        <v>1</v>
      </c>
      <c r="D578">
        <v>4</v>
      </c>
      <c r="E578">
        <v>12</v>
      </c>
      <c r="F578">
        <v>3</v>
      </c>
      <c r="G578">
        <v>0</v>
      </c>
      <c r="H578">
        <f>표5[[#This Row],[공격성공횟수]]/(표5[[#This Row],[공격실패횟수]]+표5[[#This Row],[공격성공횟수]])</f>
        <v>0.25</v>
      </c>
    </row>
    <row r="579" spans="1:8" hidden="1" x14ac:dyDescent="0.4">
      <c r="A579">
        <v>289</v>
      </c>
      <c r="B579" t="s">
        <v>1</v>
      </c>
      <c r="C579">
        <v>0</v>
      </c>
      <c r="D579">
        <v>3</v>
      </c>
      <c r="E579">
        <v>13</v>
      </c>
      <c r="F579">
        <v>4</v>
      </c>
      <c r="G579">
        <v>1</v>
      </c>
      <c r="H579">
        <f>표5[[#This Row],[공격성공횟수]]/(표5[[#This Row],[공격실패횟수]]+표5[[#This Row],[공격성공횟수]])</f>
        <v>0.1875</v>
      </c>
    </row>
    <row r="580" spans="1:8" x14ac:dyDescent="0.4">
      <c r="A580">
        <v>290</v>
      </c>
      <c r="B580" t="s">
        <v>0</v>
      </c>
      <c r="C580">
        <v>1</v>
      </c>
      <c r="D580">
        <v>4</v>
      </c>
      <c r="E580">
        <v>7</v>
      </c>
      <c r="F580">
        <v>1</v>
      </c>
      <c r="G580">
        <v>0</v>
      </c>
      <c r="H580">
        <f>표5[[#This Row],[공격성공횟수]]/(표5[[#This Row],[공격실패횟수]]+표5[[#This Row],[공격성공횟수]])</f>
        <v>0.36363636363636365</v>
      </c>
    </row>
    <row r="581" spans="1:8" hidden="1" x14ac:dyDescent="0.4">
      <c r="A581">
        <v>290</v>
      </c>
      <c r="B581" t="s">
        <v>1</v>
      </c>
      <c r="C581">
        <v>0</v>
      </c>
      <c r="D581">
        <v>1</v>
      </c>
      <c r="E581">
        <v>10</v>
      </c>
      <c r="F581">
        <v>4</v>
      </c>
      <c r="G581">
        <v>1</v>
      </c>
      <c r="H581">
        <f>표5[[#This Row],[공격성공횟수]]/(표5[[#This Row],[공격실패횟수]]+표5[[#This Row],[공격성공횟수]])</f>
        <v>9.0909090909090912E-2</v>
      </c>
    </row>
    <row r="582" spans="1:8" x14ac:dyDescent="0.4">
      <c r="A582">
        <v>291</v>
      </c>
      <c r="B582" t="s">
        <v>0</v>
      </c>
      <c r="C582">
        <v>1</v>
      </c>
      <c r="D582">
        <v>4</v>
      </c>
      <c r="E582">
        <v>8</v>
      </c>
      <c r="F582">
        <v>3</v>
      </c>
      <c r="G582">
        <v>0</v>
      </c>
      <c r="H582">
        <f>표5[[#This Row],[공격성공횟수]]/(표5[[#This Row],[공격실패횟수]]+표5[[#This Row],[공격성공횟수]])</f>
        <v>0.33333333333333331</v>
      </c>
    </row>
    <row r="583" spans="1:8" hidden="1" x14ac:dyDescent="0.4">
      <c r="A583">
        <v>291</v>
      </c>
      <c r="B583" t="s">
        <v>1</v>
      </c>
      <c r="C583">
        <v>0</v>
      </c>
      <c r="D583">
        <v>3</v>
      </c>
      <c r="E583">
        <v>9</v>
      </c>
      <c r="F583">
        <v>4</v>
      </c>
      <c r="G583">
        <v>1</v>
      </c>
      <c r="H583">
        <f>표5[[#This Row],[공격성공횟수]]/(표5[[#This Row],[공격실패횟수]]+표5[[#This Row],[공격성공횟수]])</f>
        <v>0.25</v>
      </c>
    </row>
    <row r="584" spans="1:8" x14ac:dyDescent="0.4">
      <c r="A584">
        <v>292</v>
      </c>
      <c r="B584" t="s">
        <v>0</v>
      </c>
      <c r="C584">
        <v>1</v>
      </c>
      <c r="D584">
        <v>4</v>
      </c>
      <c r="E584">
        <v>8</v>
      </c>
      <c r="F584">
        <v>0</v>
      </c>
      <c r="G584">
        <v>0</v>
      </c>
      <c r="H584">
        <f>표5[[#This Row],[공격성공횟수]]/(표5[[#This Row],[공격실패횟수]]+표5[[#This Row],[공격성공횟수]])</f>
        <v>0.33333333333333331</v>
      </c>
    </row>
    <row r="585" spans="1:8" hidden="1" x14ac:dyDescent="0.4">
      <c r="A585">
        <v>292</v>
      </c>
      <c r="B585" t="s">
        <v>1</v>
      </c>
      <c r="C585">
        <v>0</v>
      </c>
      <c r="D585">
        <v>0</v>
      </c>
      <c r="E585">
        <v>12</v>
      </c>
      <c r="F585">
        <v>4</v>
      </c>
      <c r="G585">
        <v>1</v>
      </c>
      <c r="H585">
        <f>표5[[#This Row],[공격성공횟수]]/(표5[[#This Row],[공격실패횟수]]+표5[[#This Row],[공격성공횟수]])</f>
        <v>0</v>
      </c>
    </row>
    <row r="586" spans="1:8" x14ac:dyDescent="0.4">
      <c r="A586">
        <v>293</v>
      </c>
      <c r="B586" t="s">
        <v>0</v>
      </c>
      <c r="C586">
        <v>1</v>
      </c>
      <c r="D586">
        <v>4</v>
      </c>
      <c r="E586">
        <v>31</v>
      </c>
      <c r="F586">
        <v>2</v>
      </c>
      <c r="G586">
        <v>0</v>
      </c>
      <c r="H586">
        <f>표5[[#This Row],[공격성공횟수]]/(표5[[#This Row],[공격실패횟수]]+표5[[#This Row],[공격성공횟수]])</f>
        <v>0.11428571428571428</v>
      </c>
    </row>
    <row r="587" spans="1:8" hidden="1" x14ac:dyDescent="0.4">
      <c r="A587">
        <v>293</v>
      </c>
      <c r="B587" t="s">
        <v>1</v>
      </c>
      <c r="C587">
        <v>0</v>
      </c>
      <c r="D587">
        <v>2</v>
      </c>
      <c r="E587">
        <v>34</v>
      </c>
      <c r="F587">
        <v>4</v>
      </c>
      <c r="G587">
        <v>1</v>
      </c>
      <c r="H587">
        <f>표5[[#This Row],[공격성공횟수]]/(표5[[#This Row],[공격실패횟수]]+표5[[#This Row],[공격성공횟수]])</f>
        <v>5.5555555555555552E-2</v>
      </c>
    </row>
    <row r="588" spans="1:8" x14ac:dyDescent="0.4">
      <c r="A588">
        <v>294</v>
      </c>
      <c r="B588" t="s">
        <v>0</v>
      </c>
      <c r="C588">
        <v>1</v>
      </c>
      <c r="D588">
        <v>4</v>
      </c>
      <c r="E588">
        <v>23</v>
      </c>
      <c r="F588">
        <v>0</v>
      </c>
      <c r="G588">
        <v>0</v>
      </c>
      <c r="H588">
        <f>표5[[#This Row],[공격성공횟수]]/(표5[[#This Row],[공격실패횟수]]+표5[[#This Row],[공격성공횟수]])</f>
        <v>0.14814814814814814</v>
      </c>
    </row>
    <row r="589" spans="1:8" hidden="1" x14ac:dyDescent="0.4">
      <c r="A589">
        <v>294</v>
      </c>
      <c r="B589" t="s">
        <v>1</v>
      </c>
      <c r="C589">
        <v>0</v>
      </c>
      <c r="D589">
        <v>0</v>
      </c>
      <c r="E589">
        <v>27</v>
      </c>
      <c r="F589">
        <v>4</v>
      </c>
      <c r="G589">
        <v>1</v>
      </c>
      <c r="H589">
        <f>표5[[#This Row],[공격성공횟수]]/(표5[[#This Row],[공격실패횟수]]+표5[[#This Row],[공격성공횟수]])</f>
        <v>0</v>
      </c>
    </row>
    <row r="590" spans="1:8" x14ac:dyDescent="0.4">
      <c r="A590">
        <v>295</v>
      </c>
      <c r="B590" t="s">
        <v>0</v>
      </c>
      <c r="C590">
        <v>0</v>
      </c>
      <c r="D590">
        <v>0</v>
      </c>
      <c r="E590">
        <v>13</v>
      </c>
      <c r="F590">
        <v>4</v>
      </c>
      <c r="G590">
        <v>1</v>
      </c>
      <c r="H590">
        <f>표5[[#This Row],[공격성공횟수]]/(표5[[#This Row],[공격실패횟수]]+표5[[#This Row],[공격성공횟수]])</f>
        <v>0</v>
      </c>
    </row>
    <row r="591" spans="1:8" hidden="1" x14ac:dyDescent="0.4">
      <c r="A591">
        <v>295</v>
      </c>
      <c r="B591" t="s">
        <v>1</v>
      </c>
      <c r="C591">
        <v>1</v>
      </c>
      <c r="D591">
        <v>4</v>
      </c>
      <c r="E591">
        <v>9</v>
      </c>
      <c r="F591">
        <v>0</v>
      </c>
      <c r="G591">
        <v>0</v>
      </c>
      <c r="H591">
        <f>표5[[#This Row],[공격성공횟수]]/(표5[[#This Row],[공격실패횟수]]+표5[[#This Row],[공격성공횟수]])</f>
        <v>0.30769230769230771</v>
      </c>
    </row>
    <row r="592" spans="1:8" x14ac:dyDescent="0.4">
      <c r="A592">
        <v>296</v>
      </c>
      <c r="B592" t="s">
        <v>0</v>
      </c>
      <c r="C592">
        <v>1</v>
      </c>
      <c r="D592">
        <v>4</v>
      </c>
      <c r="E592">
        <v>24</v>
      </c>
      <c r="F592">
        <v>3</v>
      </c>
      <c r="G592">
        <v>0</v>
      </c>
      <c r="H592">
        <f>표5[[#This Row],[공격성공횟수]]/(표5[[#This Row],[공격실패횟수]]+표5[[#This Row],[공격성공횟수]])</f>
        <v>0.14285714285714285</v>
      </c>
    </row>
    <row r="593" spans="1:8" hidden="1" x14ac:dyDescent="0.4">
      <c r="A593">
        <v>296</v>
      </c>
      <c r="B593" t="s">
        <v>1</v>
      </c>
      <c r="C593">
        <v>0</v>
      </c>
      <c r="D593">
        <v>3</v>
      </c>
      <c r="E593">
        <v>24</v>
      </c>
      <c r="F593">
        <v>4</v>
      </c>
      <c r="G593">
        <v>1</v>
      </c>
      <c r="H593">
        <f>표5[[#This Row],[공격성공횟수]]/(표5[[#This Row],[공격실패횟수]]+표5[[#This Row],[공격성공횟수]])</f>
        <v>0.1111111111111111</v>
      </c>
    </row>
    <row r="594" spans="1:8" x14ac:dyDescent="0.4">
      <c r="A594">
        <v>297</v>
      </c>
      <c r="B594" t="s">
        <v>0</v>
      </c>
      <c r="C594">
        <v>0</v>
      </c>
      <c r="D594">
        <v>0</v>
      </c>
      <c r="E594">
        <v>22</v>
      </c>
      <c r="F594">
        <v>4</v>
      </c>
      <c r="G594">
        <v>1</v>
      </c>
      <c r="H594">
        <f>표5[[#This Row],[공격성공횟수]]/(표5[[#This Row],[공격실패횟수]]+표5[[#This Row],[공격성공횟수]])</f>
        <v>0</v>
      </c>
    </row>
    <row r="595" spans="1:8" hidden="1" x14ac:dyDescent="0.4">
      <c r="A595">
        <v>297</v>
      </c>
      <c r="B595" t="s">
        <v>1</v>
      </c>
      <c r="C595">
        <v>1</v>
      </c>
      <c r="D595">
        <v>4</v>
      </c>
      <c r="E595">
        <v>19</v>
      </c>
      <c r="F595">
        <v>0</v>
      </c>
      <c r="G595">
        <v>0</v>
      </c>
      <c r="H595">
        <f>표5[[#This Row],[공격성공횟수]]/(표5[[#This Row],[공격실패횟수]]+표5[[#This Row],[공격성공횟수]])</f>
        <v>0.17391304347826086</v>
      </c>
    </row>
    <row r="596" spans="1:8" x14ac:dyDescent="0.4">
      <c r="A596">
        <v>298</v>
      </c>
      <c r="B596" t="s">
        <v>0</v>
      </c>
      <c r="C596">
        <v>0</v>
      </c>
      <c r="D596">
        <v>3</v>
      </c>
      <c r="E596">
        <v>34</v>
      </c>
      <c r="F596">
        <v>4</v>
      </c>
      <c r="G596">
        <v>1</v>
      </c>
      <c r="H596">
        <f>표5[[#This Row],[공격성공횟수]]/(표5[[#This Row],[공격실패횟수]]+표5[[#This Row],[공격성공횟수]])</f>
        <v>8.1081081081081086E-2</v>
      </c>
    </row>
    <row r="597" spans="1:8" hidden="1" x14ac:dyDescent="0.4">
      <c r="A597">
        <v>298</v>
      </c>
      <c r="B597" t="s">
        <v>1</v>
      </c>
      <c r="C597">
        <v>1</v>
      </c>
      <c r="D597">
        <v>4</v>
      </c>
      <c r="E597">
        <v>33</v>
      </c>
      <c r="F597">
        <v>3</v>
      </c>
      <c r="G597">
        <v>0</v>
      </c>
      <c r="H597">
        <f>표5[[#This Row],[공격성공횟수]]/(표5[[#This Row],[공격실패횟수]]+표5[[#This Row],[공격성공횟수]])</f>
        <v>0.10810810810810811</v>
      </c>
    </row>
    <row r="598" spans="1:8" x14ac:dyDescent="0.4">
      <c r="A598">
        <v>299</v>
      </c>
      <c r="B598" t="s">
        <v>0</v>
      </c>
      <c r="C598">
        <v>1</v>
      </c>
      <c r="D598">
        <v>4</v>
      </c>
      <c r="E598">
        <v>5</v>
      </c>
      <c r="F598">
        <v>0</v>
      </c>
      <c r="G598">
        <v>0</v>
      </c>
      <c r="H598">
        <f>표5[[#This Row],[공격성공횟수]]/(표5[[#This Row],[공격실패횟수]]+표5[[#This Row],[공격성공횟수]])</f>
        <v>0.44444444444444442</v>
      </c>
    </row>
    <row r="599" spans="1:8" hidden="1" x14ac:dyDescent="0.4">
      <c r="A599">
        <v>299</v>
      </c>
      <c r="B599" t="s">
        <v>1</v>
      </c>
      <c r="C599">
        <v>0</v>
      </c>
      <c r="D599">
        <v>0</v>
      </c>
      <c r="E599">
        <v>8</v>
      </c>
      <c r="F599">
        <v>4</v>
      </c>
      <c r="G599">
        <v>1</v>
      </c>
      <c r="H599">
        <f>표5[[#This Row],[공격성공횟수]]/(표5[[#This Row],[공격실패횟수]]+표5[[#This Row],[공격성공횟수]])</f>
        <v>0</v>
      </c>
    </row>
    <row r="600" spans="1:8" x14ac:dyDescent="0.4">
      <c r="A600">
        <v>300</v>
      </c>
      <c r="B600" t="s">
        <v>0</v>
      </c>
      <c r="C600">
        <v>1</v>
      </c>
      <c r="D600">
        <v>4</v>
      </c>
      <c r="E600">
        <v>13</v>
      </c>
      <c r="F600">
        <v>0</v>
      </c>
      <c r="G600">
        <v>0</v>
      </c>
      <c r="H600">
        <f>표5[[#This Row],[공격성공횟수]]/(표5[[#This Row],[공격실패횟수]]+표5[[#This Row],[공격성공횟수]])</f>
        <v>0.23529411764705882</v>
      </c>
    </row>
    <row r="601" spans="1:8" hidden="1" x14ac:dyDescent="0.4">
      <c r="A601">
        <v>300</v>
      </c>
      <c r="B601" t="s">
        <v>1</v>
      </c>
      <c r="C601">
        <v>0</v>
      </c>
      <c r="D601">
        <v>0</v>
      </c>
      <c r="E601">
        <v>16</v>
      </c>
      <c r="F601">
        <v>4</v>
      </c>
      <c r="G601">
        <v>1</v>
      </c>
      <c r="H601">
        <f>표5[[#This Row],[공격성공횟수]]/(표5[[#This Row],[공격실패횟수]]+표5[[#This Row],[공격성공횟수]])</f>
        <v>0</v>
      </c>
    </row>
    <row r="602" spans="1:8" x14ac:dyDescent="0.4">
      <c r="A602">
        <v>301</v>
      </c>
      <c r="B602" t="s">
        <v>0</v>
      </c>
      <c r="C602">
        <v>1</v>
      </c>
      <c r="D602">
        <v>4</v>
      </c>
      <c r="E602">
        <v>19</v>
      </c>
      <c r="F602">
        <v>1</v>
      </c>
      <c r="G602">
        <v>0</v>
      </c>
      <c r="H602">
        <f>표5[[#This Row],[공격성공횟수]]/(표5[[#This Row],[공격실패횟수]]+표5[[#This Row],[공격성공횟수]])</f>
        <v>0.17391304347826086</v>
      </c>
    </row>
    <row r="603" spans="1:8" hidden="1" x14ac:dyDescent="0.4">
      <c r="A603">
        <v>301</v>
      </c>
      <c r="B603" t="s">
        <v>1</v>
      </c>
      <c r="C603">
        <v>0</v>
      </c>
      <c r="D603">
        <v>1</v>
      </c>
      <c r="E603">
        <v>22</v>
      </c>
      <c r="F603">
        <v>4</v>
      </c>
      <c r="G603">
        <v>1</v>
      </c>
      <c r="H603">
        <f>표5[[#This Row],[공격성공횟수]]/(표5[[#This Row],[공격실패횟수]]+표5[[#This Row],[공격성공횟수]])</f>
        <v>4.3478260869565216E-2</v>
      </c>
    </row>
    <row r="604" spans="1:8" x14ac:dyDescent="0.4">
      <c r="A604">
        <v>302</v>
      </c>
      <c r="B604" t="s">
        <v>0</v>
      </c>
      <c r="C604">
        <v>0</v>
      </c>
      <c r="D604">
        <v>2</v>
      </c>
      <c r="E604">
        <v>25</v>
      </c>
      <c r="F604">
        <v>4</v>
      </c>
      <c r="G604">
        <v>1</v>
      </c>
      <c r="H604">
        <f>표5[[#This Row],[공격성공횟수]]/(표5[[#This Row],[공격실패횟수]]+표5[[#This Row],[공격성공횟수]])</f>
        <v>7.407407407407407E-2</v>
      </c>
    </row>
    <row r="605" spans="1:8" hidden="1" x14ac:dyDescent="0.4">
      <c r="A605">
        <v>302</v>
      </c>
      <c r="B605" t="s">
        <v>1</v>
      </c>
      <c r="C605">
        <v>1</v>
      </c>
      <c r="D605">
        <v>4</v>
      </c>
      <c r="E605">
        <v>23</v>
      </c>
      <c r="F605">
        <v>2</v>
      </c>
      <c r="G605">
        <v>0</v>
      </c>
      <c r="H605">
        <f>표5[[#This Row],[공격성공횟수]]/(표5[[#This Row],[공격실패횟수]]+표5[[#This Row],[공격성공횟수]])</f>
        <v>0.14814814814814814</v>
      </c>
    </row>
    <row r="606" spans="1:8" x14ac:dyDescent="0.4">
      <c r="A606">
        <v>303</v>
      </c>
      <c r="B606" t="s">
        <v>0</v>
      </c>
      <c r="C606">
        <v>0</v>
      </c>
      <c r="D606">
        <v>0</v>
      </c>
      <c r="E606">
        <v>31</v>
      </c>
      <c r="F606">
        <v>4</v>
      </c>
      <c r="G606">
        <v>1</v>
      </c>
      <c r="H606">
        <f>표5[[#This Row],[공격성공횟수]]/(표5[[#This Row],[공격실패횟수]]+표5[[#This Row],[공격성공횟수]])</f>
        <v>0</v>
      </c>
    </row>
    <row r="607" spans="1:8" hidden="1" x14ac:dyDescent="0.4">
      <c r="A607">
        <v>303</v>
      </c>
      <c r="B607" t="s">
        <v>1</v>
      </c>
      <c r="C607">
        <v>1</v>
      </c>
      <c r="D607">
        <v>4</v>
      </c>
      <c r="E607">
        <v>26</v>
      </c>
      <c r="F607">
        <v>0</v>
      </c>
      <c r="G607">
        <v>0</v>
      </c>
      <c r="H607">
        <f>표5[[#This Row],[공격성공횟수]]/(표5[[#This Row],[공격실패횟수]]+표5[[#This Row],[공격성공횟수]])</f>
        <v>0.13333333333333333</v>
      </c>
    </row>
    <row r="608" spans="1:8" x14ac:dyDescent="0.4">
      <c r="A608">
        <v>304</v>
      </c>
      <c r="B608" t="s">
        <v>0</v>
      </c>
      <c r="C608">
        <v>1</v>
      </c>
      <c r="D608">
        <v>4</v>
      </c>
      <c r="E608">
        <v>29</v>
      </c>
      <c r="F608">
        <v>3</v>
      </c>
      <c r="G608">
        <v>0</v>
      </c>
      <c r="H608">
        <f>표5[[#This Row],[공격성공횟수]]/(표5[[#This Row],[공격실패횟수]]+표5[[#This Row],[공격성공횟수]])</f>
        <v>0.12121212121212122</v>
      </c>
    </row>
    <row r="609" spans="1:8" hidden="1" x14ac:dyDescent="0.4">
      <c r="A609">
        <v>304</v>
      </c>
      <c r="B609" t="s">
        <v>1</v>
      </c>
      <c r="C609">
        <v>0</v>
      </c>
      <c r="D609">
        <v>3</v>
      </c>
      <c r="E609">
        <v>28</v>
      </c>
      <c r="F609">
        <v>4</v>
      </c>
      <c r="G609">
        <v>1</v>
      </c>
      <c r="H609">
        <f>표5[[#This Row],[공격성공횟수]]/(표5[[#This Row],[공격실패횟수]]+표5[[#This Row],[공격성공횟수]])</f>
        <v>9.6774193548387094E-2</v>
      </c>
    </row>
    <row r="610" spans="1:8" x14ac:dyDescent="0.4">
      <c r="A610">
        <v>305</v>
      </c>
      <c r="B610" t="s">
        <v>0</v>
      </c>
      <c r="C610">
        <v>1</v>
      </c>
      <c r="D610">
        <v>4</v>
      </c>
      <c r="E610">
        <v>20</v>
      </c>
      <c r="F610">
        <v>0</v>
      </c>
      <c r="G610">
        <v>0</v>
      </c>
      <c r="H610">
        <f>표5[[#This Row],[공격성공횟수]]/(표5[[#This Row],[공격실패횟수]]+표5[[#This Row],[공격성공횟수]])</f>
        <v>0.16666666666666666</v>
      </c>
    </row>
    <row r="611" spans="1:8" hidden="1" x14ac:dyDescent="0.4">
      <c r="A611">
        <v>305</v>
      </c>
      <c r="B611" t="s">
        <v>1</v>
      </c>
      <c r="C611">
        <v>0</v>
      </c>
      <c r="D611">
        <v>0</v>
      </c>
      <c r="E611">
        <v>23</v>
      </c>
      <c r="F611">
        <v>4</v>
      </c>
      <c r="G611">
        <v>1</v>
      </c>
      <c r="H611">
        <f>표5[[#This Row],[공격성공횟수]]/(표5[[#This Row],[공격실패횟수]]+표5[[#This Row],[공격성공횟수]])</f>
        <v>0</v>
      </c>
    </row>
    <row r="612" spans="1:8" x14ac:dyDescent="0.4">
      <c r="A612">
        <v>306</v>
      </c>
      <c r="B612" t="s">
        <v>0</v>
      </c>
      <c r="C612">
        <v>1</v>
      </c>
      <c r="D612">
        <v>4</v>
      </c>
      <c r="E612">
        <v>10</v>
      </c>
      <c r="F612">
        <v>1</v>
      </c>
      <c r="G612">
        <v>0</v>
      </c>
      <c r="H612">
        <f>표5[[#This Row],[공격성공횟수]]/(표5[[#This Row],[공격실패횟수]]+표5[[#This Row],[공격성공횟수]])</f>
        <v>0.2857142857142857</v>
      </c>
    </row>
    <row r="613" spans="1:8" hidden="1" x14ac:dyDescent="0.4">
      <c r="A613">
        <v>306</v>
      </c>
      <c r="B613" t="s">
        <v>1</v>
      </c>
      <c r="C613">
        <v>0</v>
      </c>
      <c r="D613">
        <v>1</v>
      </c>
      <c r="E613">
        <v>13</v>
      </c>
      <c r="F613">
        <v>4</v>
      </c>
      <c r="G613">
        <v>1</v>
      </c>
      <c r="H613">
        <f>표5[[#This Row],[공격성공횟수]]/(표5[[#This Row],[공격실패횟수]]+표5[[#This Row],[공격성공횟수]])</f>
        <v>7.1428571428571425E-2</v>
      </c>
    </row>
    <row r="614" spans="1:8" x14ac:dyDescent="0.4">
      <c r="A614">
        <v>307</v>
      </c>
      <c r="B614" t="s">
        <v>0</v>
      </c>
      <c r="C614">
        <v>1</v>
      </c>
      <c r="D614">
        <v>4</v>
      </c>
      <c r="E614">
        <v>23</v>
      </c>
      <c r="F614">
        <v>1</v>
      </c>
      <c r="G614">
        <v>0</v>
      </c>
      <c r="H614">
        <f>표5[[#This Row],[공격성공횟수]]/(표5[[#This Row],[공격실패횟수]]+표5[[#This Row],[공격성공횟수]])</f>
        <v>0.14814814814814814</v>
      </c>
    </row>
    <row r="615" spans="1:8" hidden="1" x14ac:dyDescent="0.4">
      <c r="A615">
        <v>307</v>
      </c>
      <c r="B615" t="s">
        <v>1</v>
      </c>
      <c r="C615">
        <v>0</v>
      </c>
      <c r="D615">
        <v>1</v>
      </c>
      <c r="E615">
        <v>25</v>
      </c>
      <c r="F615">
        <v>4</v>
      </c>
      <c r="G615">
        <v>1</v>
      </c>
      <c r="H615">
        <f>표5[[#This Row],[공격성공횟수]]/(표5[[#This Row],[공격실패횟수]]+표5[[#This Row],[공격성공횟수]])</f>
        <v>3.8461538461538464E-2</v>
      </c>
    </row>
    <row r="616" spans="1:8" x14ac:dyDescent="0.4">
      <c r="A616">
        <v>308</v>
      </c>
      <c r="B616" t="s">
        <v>0</v>
      </c>
      <c r="C616">
        <v>1</v>
      </c>
      <c r="D616">
        <v>4</v>
      </c>
      <c r="E616">
        <v>6</v>
      </c>
      <c r="F616">
        <v>0</v>
      </c>
      <c r="G616">
        <v>0</v>
      </c>
      <c r="H616">
        <f>표5[[#This Row],[공격성공횟수]]/(표5[[#This Row],[공격실패횟수]]+표5[[#This Row],[공격성공횟수]])</f>
        <v>0.4</v>
      </c>
    </row>
    <row r="617" spans="1:8" hidden="1" x14ac:dyDescent="0.4">
      <c r="A617">
        <v>308</v>
      </c>
      <c r="B617" t="s">
        <v>1</v>
      </c>
      <c r="C617">
        <v>0</v>
      </c>
      <c r="D617">
        <v>0</v>
      </c>
      <c r="E617">
        <v>10</v>
      </c>
      <c r="F617">
        <v>4</v>
      </c>
      <c r="G617">
        <v>1</v>
      </c>
      <c r="H617">
        <f>표5[[#This Row],[공격성공횟수]]/(표5[[#This Row],[공격실패횟수]]+표5[[#This Row],[공격성공횟수]])</f>
        <v>0</v>
      </c>
    </row>
    <row r="618" spans="1:8" x14ac:dyDescent="0.4">
      <c r="A618">
        <v>309</v>
      </c>
      <c r="B618" t="s">
        <v>0</v>
      </c>
      <c r="C618">
        <v>1</v>
      </c>
      <c r="D618">
        <v>4</v>
      </c>
      <c r="E618">
        <v>17</v>
      </c>
      <c r="F618">
        <v>0</v>
      </c>
      <c r="G618">
        <v>0</v>
      </c>
      <c r="H618">
        <f>표5[[#This Row],[공격성공횟수]]/(표5[[#This Row],[공격실패횟수]]+표5[[#This Row],[공격성공횟수]])</f>
        <v>0.19047619047619047</v>
      </c>
    </row>
    <row r="619" spans="1:8" hidden="1" x14ac:dyDescent="0.4">
      <c r="A619">
        <v>309</v>
      </c>
      <c r="B619" t="s">
        <v>1</v>
      </c>
      <c r="C619">
        <v>0</v>
      </c>
      <c r="D619">
        <v>0</v>
      </c>
      <c r="E619">
        <v>21</v>
      </c>
      <c r="F619">
        <v>4</v>
      </c>
      <c r="G619">
        <v>1</v>
      </c>
      <c r="H619">
        <f>표5[[#This Row],[공격성공횟수]]/(표5[[#This Row],[공격실패횟수]]+표5[[#This Row],[공격성공횟수]])</f>
        <v>0</v>
      </c>
    </row>
    <row r="620" spans="1:8" x14ac:dyDescent="0.4">
      <c r="A620">
        <v>310</v>
      </c>
      <c r="B620" t="s">
        <v>0</v>
      </c>
      <c r="C620">
        <v>1</v>
      </c>
      <c r="D620">
        <v>4</v>
      </c>
      <c r="E620">
        <v>13</v>
      </c>
      <c r="F620">
        <v>1</v>
      </c>
      <c r="G620">
        <v>0</v>
      </c>
      <c r="H620">
        <f>표5[[#This Row],[공격성공횟수]]/(표5[[#This Row],[공격실패횟수]]+표5[[#This Row],[공격성공횟수]])</f>
        <v>0.23529411764705882</v>
      </c>
    </row>
    <row r="621" spans="1:8" hidden="1" x14ac:dyDescent="0.4">
      <c r="A621">
        <v>310</v>
      </c>
      <c r="B621" t="s">
        <v>1</v>
      </c>
      <c r="C621">
        <v>0</v>
      </c>
      <c r="D621">
        <v>1</v>
      </c>
      <c r="E621">
        <v>19</v>
      </c>
      <c r="F621">
        <v>4</v>
      </c>
      <c r="G621">
        <v>1</v>
      </c>
      <c r="H621">
        <f>표5[[#This Row],[공격성공횟수]]/(표5[[#This Row],[공격실패횟수]]+표5[[#This Row],[공격성공횟수]])</f>
        <v>0.05</v>
      </c>
    </row>
    <row r="622" spans="1:8" x14ac:dyDescent="0.4">
      <c r="A622">
        <v>311</v>
      </c>
      <c r="B622" t="s">
        <v>0</v>
      </c>
      <c r="C622">
        <v>0</v>
      </c>
      <c r="D622">
        <v>1</v>
      </c>
      <c r="E622">
        <v>12</v>
      </c>
      <c r="F622">
        <v>4</v>
      </c>
      <c r="G622">
        <v>1</v>
      </c>
      <c r="H622">
        <f>표5[[#This Row],[공격성공횟수]]/(표5[[#This Row],[공격실패횟수]]+표5[[#This Row],[공격성공횟수]])</f>
        <v>7.6923076923076927E-2</v>
      </c>
    </row>
    <row r="623" spans="1:8" hidden="1" x14ac:dyDescent="0.4">
      <c r="A623">
        <v>311</v>
      </c>
      <c r="B623" t="s">
        <v>1</v>
      </c>
      <c r="C623">
        <v>1</v>
      </c>
      <c r="D623">
        <v>4</v>
      </c>
      <c r="E623">
        <v>10</v>
      </c>
      <c r="F623">
        <v>1</v>
      </c>
      <c r="G623">
        <v>0</v>
      </c>
      <c r="H623">
        <f>표5[[#This Row],[공격성공횟수]]/(표5[[#This Row],[공격실패횟수]]+표5[[#This Row],[공격성공횟수]])</f>
        <v>0.2857142857142857</v>
      </c>
    </row>
    <row r="624" spans="1:8" x14ac:dyDescent="0.4">
      <c r="A624">
        <v>312</v>
      </c>
      <c r="B624" t="s">
        <v>0</v>
      </c>
      <c r="C624">
        <v>1</v>
      </c>
      <c r="D624">
        <v>4</v>
      </c>
      <c r="E624">
        <v>10</v>
      </c>
      <c r="F624">
        <v>2</v>
      </c>
      <c r="G624">
        <v>0</v>
      </c>
      <c r="H624">
        <f>표5[[#This Row],[공격성공횟수]]/(표5[[#This Row],[공격실패횟수]]+표5[[#This Row],[공격성공횟수]])</f>
        <v>0.2857142857142857</v>
      </c>
    </row>
    <row r="625" spans="1:8" hidden="1" x14ac:dyDescent="0.4">
      <c r="A625">
        <v>312</v>
      </c>
      <c r="B625" t="s">
        <v>1</v>
      </c>
      <c r="C625">
        <v>0</v>
      </c>
      <c r="D625">
        <v>2</v>
      </c>
      <c r="E625">
        <v>11</v>
      </c>
      <c r="F625">
        <v>4</v>
      </c>
      <c r="G625">
        <v>1</v>
      </c>
      <c r="H625">
        <f>표5[[#This Row],[공격성공횟수]]/(표5[[#This Row],[공격실패횟수]]+표5[[#This Row],[공격성공횟수]])</f>
        <v>0.15384615384615385</v>
      </c>
    </row>
    <row r="626" spans="1:8" x14ac:dyDescent="0.4">
      <c r="A626">
        <v>313</v>
      </c>
      <c r="B626" t="s">
        <v>0</v>
      </c>
      <c r="C626">
        <v>0</v>
      </c>
      <c r="D626">
        <v>2</v>
      </c>
      <c r="E626">
        <v>30</v>
      </c>
      <c r="F626">
        <v>4</v>
      </c>
      <c r="G626">
        <v>1</v>
      </c>
      <c r="H626">
        <f>표5[[#This Row],[공격성공횟수]]/(표5[[#This Row],[공격실패횟수]]+표5[[#This Row],[공격성공횟수]])</f>
        <v>6.25E-2</v>
      </c>
    </row>
    <row r="627" spans="1:8" hidden="1" x14ac:dyDescent="0.4">
      <c r="A627">
        <v>313</v>
      </c>
      <c r="B627" t="s">
        <v>1</v>
      </c>
      <c r="C627">
        <v>1</v>
      </c>
      <c r="D627">
        <v>4</v>
      </c>
      <c r="E627">
        <v>28</v>
      </c>
      <c r="F627">
        <v>2</v>
      </c>
      <c r="G627">
        <v>0</v>
      </c>
      <c r="H627">
        <f>표5[[#This Row],[공격성공횟수]]/(표5[[#This Row],[공격실패횟수]]+표5[[#This Row],[공격성공횟수]])</f>
        <v>0.125</v>
      </c>
    </row>
    <row r="628" spans="1:8" x14ac:dyDescent="0.4">
      <c r="A628">
        <v>314</v>
      </c>
      <c r="B628" t="s">
        <v>0</v>
      </c>
      <c r="C628">
        <v>1</v>
      </c>
      <c r="D628">
        <v>4</v>
      </c>
      <c r="E628">
        <v>22</v>
      </c>
      <c r="F628">
        <v>3</v>
      </c>
      <c r="G628">
        <v>0</v>
      </c>
      <c r="H628">
        <f>표5[[#This Row],[공격성공횟수]]/(표5[[#This Row],[공격실패횟수]]+표5[[#This Row],[공격성공횟수]])</f>
        <v>0.15384615384615385</v>
      </c>
    </row>
    <row r="629" spans="1:8" hidden="1" x14ac:dyDescent="0.4">
      <c r="A629">
        <v>314</v>
      </c>
      <c r="B629" t="s">
        <v>1</v>
      </c>
      <c r="C629">
        <v>0</v>
      </c>
      <c r="D629">
        <v>3</v>
      </c>
      <c r="E629">
        <v>21</v>
      </c>
      <c r="F629">
        <v>4</v>
      </c>
      <c r="G629">
        <v>1</v>
      </c>
      <c r="H629">
        <f>표5[[#This Row],[공격성공횟수]]/(표5[[#This Row],[공격실패횟수]]+표5[[#This Row],[공격성공횟수]])</f>
        <v>0.125</v>
      </c>
    </row>
    <row r="630" spans="1:8" x14ac:dyDescent="0.4">
      <c r="A630">
        <v>315</v>
      </c>
      <c r="B630" t="s">
        <v>0</v>
      </c>
      <c r="C630">
        <v>1</v>
      </c>
      <c r="D630">
        <v>4</v>
      </c>
      <c r="E630">
        <v>6</v>
      </c>
      <c r="F630">
        <v>1</v>
      </c>
      <c r="G630">
        <v>0</v>
      </c>
      <c r="H630">
        <f>표5[[#This Row],[공격성공횟수]]/(표5[[#This Row],[공격실패횟수]]+표5[[#This Row],[공격성공횟수]])</f>
        <v>0.4</v>
      </c>
    </row>
    <row r="631" spans="1:8" hidden="1" x14ac:dyDescent="0.4">
      <c r="A631">
        <v>315</v>
      </c>
      <c r="B631" t="s">
        <v>1</v>
      </c>
      <c r="C631">
        <v>0</v>
      </c>
      <c r="D631">
        <v>1</v>
      </c>
      <c r="E631">
        <v>8</v>
      </c>
      <c r="F631">
        <v>4</v>
      </c>
      <c r="G631">
        <v>1</v>
      </c>
      <c r="H631">
        <f>표5[[#This Row],[공격성공횟수]]/(표5[[#This Row],[공격실패횟수]]+표5[[#This Row],[공격성공횟수]])</f>
        <v>0.1111111111111111</v>
      </c>
    </row>
    <row r="632" spans="1:8" x14ac:dyDescent="0.4">
      <c r="A632">
        <v>316</v>
      </c>
      <c r="B632" t="s">
        <v>0</v>
      </c>
      <c r="C632">
        <v>1</v>
      </c>
      <c r="D632">
        <v>4</v>
      </c>
      <c r="E632">
        <v>9</v>
      </c>
      <c r="F632">
        <v>1</v>
      </c>
      <c r="G632">
        <v>0</v>
      </c>
      <c r="H632">
        <f>표5[[#This Row],[공격성공횟수]]/(표5[[#This Row],[공격실패횟수]]+표5[[#This Row],[공격성공횟수]])</f>
        <v>0.30769230769230771</v>
      </c>
    </row>
    <row r="633" spans="1:8" hidden="1" x14ac:dyDescent="0.4">
      <c r="A633">
        <v>316</v>
      </c>
      <c r="B633" t="s">
        <v>1</v>
      </c>
      <c r="C633">
        <v>0</v>
      </c>
      <c r="D633">
        <v>1</v>
      </c>
      <c r="E633">
        <v>12</v>
      </c>
      <c r="F633">
        <v>4</v>
      </c>
      <c r="G633">
        <v>1</v>
      </c>
      <c r="H633">
        <f>표5[[#This Row],[공격성공횟수]]/(표5[[#This Row],[공격실패횟수]]+표5[[#This Row],[공격성공횟수]])</f>
        <v>7.6923076923076927E-2</v>
      </c>
    </row>
    <row r="634" spans="1:8" x14ac:dyDescent="0.4">
      <c r="A634">
        <v>317</v>
      </c>
      <c r="B634" t="s">
        <v>0</v>
      </c>
      <c r="C634">
        <v>1</v>
      </c>
      <c r="D634">
        <v>4</v>
      </c>
      <c r="E634">
        <v>19</v>
      </c>
      <c r="F634">
        <v>1</v>
      </c>
      <c r="G634">
        <v>0</v>
      </c>
      <c r="H634">
        <f>표5[[#This Row],[공격성공횟수]]/(표5[[#This Row],[공격실패횟수]]+표5[[#This Row],[공격성공횟수]])</f>
        <v>0.17391304347826086</v>
      </c>
    </row>
    <row r="635" spans="1:8" hidden="1" x14ac:dyDescent="0.4">
      <c r="A635">
        <v>317</v>
      </c>
      <c r="B635" t="s">
        <v>1</v>
      </c>
      <c r="C635">
        <v>0</v>
      </c>
      <c r="D635">
        <v>1</v>
      </c>
      <c r="E635">
        <v>22</v>
      </c>
      <c r="F635">
        <v>4</v>
      </c>
      <c r="G635">
        <v>1</v>
      </c>
      <c r="H635">
        <f>표5[[#This Row],[공격성공횟수]]/(표5[[#This Row],[공격실패횟수]]+표5[[#This Row],[공격성공횟수]])</f>
        <v>4.3478260869565216E-2</v>
      </c>
    </row>
    <row r="636" spans="1:8" x14ac:dyDescent="0.4">
      <c r="A636">
        <v>318</v>
      </c>
      <c r="B636" t="s">
        <v>0</v>
      </c>
      <c r="C636">
        <v>1</v>
      </c>
      <c r="D636">
        <v>4</v>
      </c>
      <c r="E636">
        <v>9</v>
      </c>
      <c r="F636">
        <v>1</v>
      </c>
      <c r="G636">
        <v>0</v>
      </c>
      <c r="H636">
        <f>표5[[#This Row],[공격성공횟수]]/(표5[[#This Row],[공격실패횟수]]+표5[[#This Row],[공격성공횟수]])</f>
        <v>0.30769230769230771</v>
      </c>
    </row>
    <row r="637" spans="1:8" hidden="1" x14ac:dyDescent="0.4">
      <c r="A637">
        <v>318</v>
      </c>
      <c r="B637" t="s">
        <v>1</v>
      </c>
      <c r="C637">
        <v>0</v>
      </c>
      <c r="D637">
        <v>1</v>
      </c>
      <c r="E637">
        <v>11</v>
      </c>
      <c r="F637">
        <v>4</v>
      </c>
      <c r="G637">
        <v>1</v>
      </c>
      <c r="H637">
        <f>표5[[#This Row],[공격성공횟수]]/(표5[[#This Row],[공격실패횟수]]+표5[[#This Row],[공격성공횟수]])</f>
        <v>8.3333333333333329E-2</v>
      </c>
    </row>
    <row r="638" spans="1:8" x14ac:dyDescent="0.4">
      <c r="A638">
        <v>319</v>
      </c>
      <c r="B638" t="s">
        <v>0</v>
      </c>
      <c r="C638">
        <v>1</v>
      </c>
      <c r="D638">
        <v>4</v>
      </c>
      <c r="E638">
        <v>21</v>
      </c>
      <c r="F638">
        <v>1</v>
      </c>
      <c r="G638">
        <v>0</v>
      </c>
      <c r="H638">
        <f>표5[[#This Row],[공격성공횟수]]/(표5[[#This Row],[공격실패횟수]]+표5[[#This Row],[공격성공횟수]])</f>
        <v>0.16</v>
      </c>
    </row>
    <row r="639" spans="1:8" hidden="1" x14ac:dyDescent="0.4">
      <c r="A639">
        <v>319</v>
      </c>
      <c r="B639" t="s">
        <v>1</v>
      </c>
      <c r="C639">
        <v>0</v>
      </c>
      <c r="D639">
        <v>1</v>
      </c>
      <c r="E639">
        <v>24</v>
      </c>
      <c r="F639">
        <v>4</v>
      </c>
      <c r="G639">
        <v>1</v>
      </c>
      <c r="H639">
        <f>표5[[#This Row],[공격성공횟수]]/(표5[[#This Row],[공격실패횟수]]+표5[[#This Row],[공격성공횟수]])</f>
        <v>0.04</v>
      </c>
    </row>
    <row r="640" spans="1:8" x14ac:dyDescent="0.4">
      <c r="A640">
        <v>320</v>
      </c>
      <c r="B640" t="s">
        <v>0</v>
      </c>
      <c r="C640">
        <v>1</v>
      </c>
      <c r="D640">
        <v>4</v>
      </c>
      <c r="E640">
        <v>28</v>
      </c>
      <c r="F640">
        <v>1</v>
      </c>
      <c r="G640">
        <v>0</v>
      </c>
      <c r="H640">
        <f>표5[[#This Row],[공격성공횟수]]/(표5[[#This Row],[공격실패횟수]]+표5[[#This Row],[공격성공횟수]])</f>
        <v>0.125</v>
      </c>
    </row>
    <row r="641" spans="1:8" hidden="1" x14ac:dyDescent="0.4">
      <c r="A641">
        <v>320</v>
      </c>
      <c r="B641" t="s">
        <v>1</v>
      </c>
      <c r="C641">
        <v>0</v>
      </c>
      <c r="D641">
        <v>1</v>
      </c>
      <c r="E641">
        <v>30</v>
      </c>
      <c r="F641">
        <v>4</v>
      </c>
      <c r="G641">
        <v>1</v>
      </c>
      <c r="H641">
        <f>표5[[#This Row],[공격성공횟수]]/(표5[[#This Row],[공격실패횟수]]+표5[[#This Row],[공격성공횟수]])</f>
        <v>3.2258064516129031E-2</v>
      </c>
    </row>
    <row r="642" spans="1:8" x14ac:dyDescent="0.4">
      <c r="A642">
        <v>321</v>
      </c>
      <c r="B642" t="s">
        <v>0</v>
      </c>
      <c r="C642">
        <v>1</v>
      </c>
      <c r="D642">
        <v>4</v>
      </c>
      <c r="E642">
        <v>7</v>
      </c>
      <c r="F642">
        <v>0</v>
      </c>
      <c r="G642">
        <v>0</v>
      </c>
      <c r="H642">
        <f>표5[[#This Row],[공격성공횟수]]/(표5[[#This Row],[공격실패횟수]]+표5[[#This Row],[공격성공횟수]])</f>
        <v>0.36363636363636365</v>
      </c>
    </row>
    <row r="643" spans="1:8" hidden="1" x14ac:dyDescent="0.4">
      <c r="A643">
        <v>321</v>
      </c>
      <c r="B643" t="s">
        <v>1</v>
      </c>
      <c r="C643">
        <v>0</v>
      </c>
      <c r="D643">
        <v>0</v>
      </c>
      <c r="E643">
        <v>11</v>
      </c>
      <c r="F643">
        <v>4</v>
      </c>
      <c r="G643">
        <v>1</v>
      </c>
      <c r="H643">
        <f>표5[[#This Row],[공격성공횟수]]/(표5[[#This Row],[공격실패횟수]]+표5[[#This Row],[공격성공횟수]])</f>
        <v>0</v>
      </c>
    </row>
    <row r="644" spans="1:8" x14ac:dyDescent="0.4">
      <c r="A644">
        <v>322</v>
      </c>
      <c r="B644" t="s">
        <v>0</v>
      </c>
      <c r="C644">
        <v>1</v>
      </c>
      <c r="D644">
        <v>4</v>
      </c>
      <c r="E644">
        <v>27</v>
      </c>
      <c r="F644">
        <v>3</v>
      </c>
      <c r="G644">
        <v>0</v>
      </c>
      <c r="H644">
        <f>표5[[#This Row],[공격성공횟수]]/(표5[[#This Row],[공격실패횟수]]+표5[[#This Row],[공격성공횟수]])</f>
        <v>0.12903225806451613</v>
      </c>
    </row>
    <row r="645" spans="1:8" hidden="1" x14ac:dyDescent="0.4">
      <c r="A645">
        <v>322</v>
      </c>
      <c r="B645" t="s">
        <v>1</v>
      </c>
      <c r="C645">
        <v>0</v>
      </c>
      <c r="D645">
        <v>3</v>
      </c>
      <c r="E645">
        <v>27</v>
      </c>
      <c r="F645">
        <v>4</v>
      </c>
      <c r="G645">
        <v>1</v>
      </c>
      <c r="H645">
        <f>표5[[#This Row],[공격성공횟수]]/(표5[[#This Row],[공격실패횟수]]+표5[[#This Row],[공격성공횟수]])</f>
        <v>0.1</v>
      </c>
    </row>
    <row r="646" spans="1:8" x14ac:dyDescent="0.4">
      <c r="A646">
        <v>323</v>
      </c>
      <c r="B646" t="s">
        <v>0</v>
      </c>
      <c r="C646">
        <v>1</v>
      </c>
      <c r="D646">
        <v>4</v>
      </c>
      <c r="E646">
        <v>9</v>
      </c>
      <c r="F646">
        <v>0</v>
      </c>
      <c r="G646">
        <v>0</v>
      </c>
      <c r="H646">
        <f>표5[[#This Row],[공격성공횟수]]/(표5[[#This Row],[공격실패횟수]]+표5[[#This Row],[공격성공횟수]])</f>
        <v>0.30769230769230771</v>
      </c>
    </row>
    <row r="647" spans="1:8" hidden="1" x14ac:dyDescent="0.4">
      <c r="A647">
        <v>323</v>
      </c>
      <c r="B647" t="s">
        <v>1</v>
      </c>
      <c r="C647">
        <v>0</v>
      </c>
      <c r="D647">
        <v>0</v>
      </c>
      <c r="E647">
        <v>14</v>
      </c>
      <c r="F647">
        <v>4</v>
      </c>
      <c r="G647">
        <v>1</v>
      </c>
      <c r="H647">
        <f>표5[[#This Row],[공격성공횟수]]/(표5[[#This Row],[공격실패횟수]]+표5[[#This Row],[공격성공횟수]])</f>
        <v>0</v>
      </c>
    </row>
    <row r="648" spans="1:8" x14ac:dyDescent="0.4">
      <c r="A648">
        <v>324</v>
      </c>
      <c r="B648" t="s">
        <v>0</v>
      </c>
      <c r="C648">
        <v>0</v>
      </c>
      <c r="D648">
        <v>0</v>
      </c>
      <c r="E648">
        <v>34</v>
      </c>
      <c r="F648">
        <v>4</v>
      </c>
      <c r="G648">
        <v>1</v>
      </c>
      <c r="H648">
        <f>표5[[#This Row],[공격성공횟수]]/(표5[[#This Row],[공격실패횟수]]+표5[[#This Row],[공격성공횟수]])</f>
        <v>0</v>
      </c>
    </row>
    <row r="649" spans="1:8" hidden="1" x14ac:dyDescent="0.4">
      <c r="A649">
        <v>324</v>
      </c>
      <c r="B649" t="s">
        <v>1</v>
      </c>
      <c r="C649">
        <v>1</v>
      </c>
      <c r="D649">
        <v>4</v>
      </c>
      <c r="E649">
        <v>30</v>
      </c>
      <c r="F649">
        <v>0</v>
      </c>
      <c r="G649">
        <v>0</v>
      </c>
      <c r="H649">
        <f>표5[[#This Row],[공격성공횟수]]/(표5[[#This Row],[공격실패횟수]]+표5[[#This Row],[공격성공횟수]])</f>
        <v>0.11764705882352941</v>
      </c>
    </row>
    <row r="650" spans="1:8" x14ac:dyDescent="0.4">
      <c r="A650">
        <v>325</v>
      </c>
      <c r="B650" t="s">
        <v>0</v>
      </c>
      <c r="C650">
        <v>1</v>
      </c>
      <c r="D650">
        <v>4</v>
      </c>
      <c r="E650">
        <v>18</v>
      </c>
      <c r="F650">
        <v>1</v>
      </c>
      <c r="G650">
        <v>0</v>
      </c>
      <c r="H650">
        <f>표5[[#This Row],[공격성공횟수]]/(표5[[#This Row],[공격실패횟수]]+표5[[#This Row],[공격성공횟수]])</f>
        <v>0.18181818181818182</v>
      </c>
    </row>
    <row r="651" spans="1:8" hidden="1" x14ac:dyDescent="0.4">
      <c r="A651">
        <v>325</v>
      </c>
      <c r="B651" t="s">
        <v>1</v>
      </c>
      <c r="C651">
        <v>0</v>
      </c>
      <c r="D651">
        <v>1</v>
      </c>
      <c r="E651">
        <v>20</v>
      </c>
      <c r="F651">
        <v>4</v>
      </c>
      <c r="G651">
        <v>1</v>
      </c>
      <c r="H651">
        <f>표5[[#This Row],[공격성공횟수]]/(표5[[#This Row],[공격실패횟수]]+표5[[#This Row],[공격성공횟수]])</f>
        <v>4.7619047619047616E-2</v>
      </c>
    </row>
    <row r="652" spans="1:8" x14ac:dyDescent="0.4">
      <c r="A652">
        <v>326</v>
      </c>
      <c r="B652" t="s">
        <v>0</v>
      </c>
      <c r="C652">
        <v>1</v>
      </c>
      <c r="D652">
        <v>4</v>
      </c>
      <c r="E652">
        <v>32</v>
      </c>
      <c r="F652">
        <v>0</v>
      </c>
      <c r="G652">
        <v>0</v>
      </c>
      <c r="H652">
        <f>표5[[#This Row],[공격성공횟수]]/(표5[[#This Row],[공격실패횟수]]+표5[[#This Row],[공격성공횟수]])</f>
        <v>0.1111111111111111</v>
      </c>
    </row>
    <row r="653" spans="1:8" hidden="1" x14ac:dyDescent="0.4">
      <c r="A653">
        <v>326</v>
      </c>
      <c r="B653" t="s">
        <v>1</v>
      </c>
      <c r="C653">
        <v>0</v>
      </c>
      <c r="D653">
        <v>0</v>
      </c>
      <c r="E653">
        <v>44</v>
      </c>
      <c r="F653">
        <v>4</v>
      </c>
      <c r="G653">
        <v>1</v>
      </c>
      <c r="H653">
        <f>표5[[#This Row],[공격성공횟수]]/(표5[[#This Row],[공격실패횟수]]+표5[[#This Row],[공격성공횟수]])</f>
        <v>0</v>
      </c>
    </row>
    <row r="654" spans="1:8" x14ac:dyDescent="0.4">
      <c r="A654">
        <v>327</v>
      </c>
      <c r="B654" t="s">
        <v>0</v>
      </c>
      <c r="C654">
        <v>1</v>
      </c>
      <c r="D654">
        <v>4</v>
      </c>
      <c r="E654">
        <v>10</v>
      </c>
      <c r="F654">
        <v>0</v>
      </c>
      <c r="G654">
        <v>0</v>
      </c>
      <c r="H654">
        <f>표5[[#This Row],[공격성공횟수]]/(표5[[#This Row],[공격실패횟수]]+표5[[#This Row],[공격성공횟수]])</f>
        <v>0.2857142857142857</v>
      </c>
    </row>
    <row r="655" spans="1:8" hidden="1" x14ac:dyDescent="0.4">
      <c r="A655">
        <v>327</v>
      </c>
      <c r="B655" t="s">
        <v>1</v>
      </c>
      <c r="C655">
        <v>0</v>
      </c>
      <c r="D655">
        <v>0</v>
      </c>
      <c r="E655">
        <v>14</v>
      </c>
      <c r="F655">
        <v>4</v>
      </c>
      <c r="G655">
        <v>1</v>
      </c>
      <c r="H655">
        <f>표5[[#This Row],[공격성공횟수]]/(표5[[#This Row],[공격실패횟수]]+표5[[#This Row],[공격성공횟수]])</f>
        <v>0</v>
      </c>
    </row>
    <row r="656" spans="1:8" x14ac:dyDescent="0.4">
      <c r="A656">
        <v>328</v>
      </c>
      <c r="B656" t="s">
        <v>0</v>
      </c>
      <c r="C656">
        <v>1</v>
      </c>
      <c r="D656">
        <v>4</v>
      </c>
      <c r="E656">
        <v>4</v>
      </c>
      <c r="F656">
        <v>0</v>
      </c>
      <c r="G656">
        <v>0</v>
      </c>
      <c r="H656">
        <f>표5[[#This Row],[공격성공횟수]]/(표5[[#This Row],[공격실패횟수]]+표5[[#This Row],[공격성공횟수]])</f>
        <v>0.5</v>
      </c>
    </row>
    <row r="657" spans="1:8" hidden="1" x14ac:dyDescent="0.4">
      <c r="A657">
        <v>328</v>
      </c>
      <c r="B657" t="s">
        <v>1</v>
      </c>
      <c r="C657">
        <v>0</v>
      </c>
      <c r="D657">
        <v>0</v>
      </c>
      <c r="E657">
        <v>8</v>
      </c>
      <c r="F657">
        <v>4</v>
      </c>
      <c r="G657">
        <v>1</v>
      </c>
      <c r="H657">
        <f>표5[[#This Row],[공격성공횟수]]/(표5[[#This Row],[공격실패횟수]]+표5[[#This Row],[공격성공횟수]])</f>
        <v>0</v>
      </c>
    </row>
    <row r="658" spans="1:8" x14ac:dyDescent="0.4">
      <c r="A658">
        <v>329</v>
      </c>
      <c r="B658" t="s">
        <v>0</v>
      </c>
      <c r="C658">
        <v>1</v>
      </c>
      <c r="D658">
        <v>4</v>
      </c>
      <c r="E658">
        <v>6</v>
      </c>
      <c r="F658">
        <v>0</v>
      </c>
      <c r="G658">
        <v>0</v>
      </c>
      <c r="H658">
        <f>표5[[#This Row],[공격성공횟수]]/(표5[[#This Row],[공격실패횟수]]+표5[[#This Row],[공격성공횟수]])</f>
        <v>0.4</v>
      </c>
    </row>
    <row r="659" spans="1:8" hidden="1" x14ac:dyDescent="0.4">
      <c r="A659">
        <v>329</v>
      </c>
      <c r="B659" t="s">
        <v>1</v>
      </c>
      <c r="C659">
        <v>0</v>
      </c>
      <c r="D659">
        <v>0</v>
      </c>
      <c r="E659">
        <v>10</v>
      </c>
      <c r="F659">
        <v>4</v>
      </c>
      <c r="G659">
        <v>1</v>
      </c>
      <c r="H659">
        <f>표5[[#This Row],[공격성공횟수]]/(표5[[#This Row],[공격실패횟수]]+표5[[#This Row],[공격성공횟수]])</f>
        <v>0</v>
      </c>
    </row>
    <row r="660" spans="1:8" x14ac:dyDescent="0.4">
      <c r="A660">
        <v>330</v>
      </c>
      <c r="B660" t="s">
        <v>0</v>
      </c>
      <c r="C660">
        <v>1</v>
      </c>
      <c r="D660">
        <v>4</v>
      </c>
      <c r="E660">
        <v>33</v>
      </c>
      <c r="F660">
        <v>1</v>
      </c>
      <c r="G660">
        <v>0</v>
      </c>
      <c r="H660">
        <f>표5[[#This Row],[공격성공횟수]]/(표5[[#This Row],[공격실패횟수]]+표5[[#This Row],[공격성공횟수]])</f>
        <v>0.10810810810810811</v>
      </c>
    </row>
    <row r="661" spans="1:8" hidden="1" x14ac:dyDescent="0.4">
      <c r="A661">
        <v>330</v>
      </c>
      <c r="B661" t="s">
        <v>1</v>
      </c>
      <c r="C661">
        <v>0</v>
      </c>
      <c r="D661">
        <v>1</v>
      </c>
      <c r="E661">
        <v>36</v>
      </c>
      <c r="F661">
        <v>4</v>
      </c>
      <c r="G661">
        <v>1</v>
      </c>
      <c r="H661">
        <f>표5[[#This Row],[공격성공횟수]]/(표5[[#This Row],[공격실패횟수]]+표5[[#This Row],[공격성공횟수]])</f>
        <v>2.7027027027027029E-2</v>
      </c>
    </row>
    <row r="662" spans="1:8" x14ac:dyDescent="0.4">
      <c r="A662">
        <v>331</v>
      </c>
      <c r="B662" t="s">
        <v>0</v>
      </c>
      <c r="C662">
        <v>1</v>
      </c>
      <c r="D662">
        <v>4</v>
      </c>
      <c r="E662">
        <v>24</v>
      </c>
      <c r="F662">
        <v>2</v>
      </c>
      <c r="G662">
        <v>0</v>
      </c>
      <c r="H662">
        <f>표5[[#This Row],[공격성공횟수]]/(표5[[#This Row],[공격실패횟수]]+표5[[#This Row],[공격성공횟수]])</f>
        <v>0.14285714285714285</v>
      </c>
    </row>
    <row r="663" spans="1:8" hidden="1" x14ac:dyDescent="0.4">
      <c r="A663">
        <v>331</v>
      </c>
      <c r="B663" t="s">
        <v>1</v>
      </c>
      <c r="C663">
        <v>0</v>
      </c>
      <c r="D663">
        <v>2</v>
      </c>
      <c r="E663">
        <v>25</v>
      </c>
      <c r="F663">
        <v>4</v>
      </c>
      <c r="G663">
        <v>1</v>
      </c>
      <c r="H663">
        <f>표5[[#This Row],[공격성공횟수]]/(표5[[#This Row],[공격실패횟수]]+표5[[#This Row],[공격성공횟수]])</f>
        <v>7.407407407407407E-2</v>
      </c>
    </row>
    <row r="664" spans="1:8" x14ac:dyDescent="0.4">
      <c r="A664">
        <v>332</v>
      </c>
      <c r="B664" t="s">
        <v>0</v>
      </c>
      <c r="C664">
        <v>1</v>
      </c>
      <c r="D664">
        <v>4</v>
      </c>
      <c r="E664">
        <v>12</v>
      </c>
      <c r="F664">
        <v>1</v>
      </c>
      <c r="G664">
        <v>0</v>
      </c>
      <c r="H664">
        <f>표5[[#This Row],[공격성공횟수]]/(표5[[#This Row],[공격실패횟수]]+표5[[#This Row],[공격성공횟수]])</f>
        <v>0.25</v>
      </c>
    </row>
    <row r="665" spans="1:8" hidden="1" x14ac:dyDescent="0.4">
      <c r="A665">
        <v>332</v>
      </c>
      <c r="B665" t="s">
        <v>1</v>
      </c>
      <c r="C665">
        <v>0</v>
      </c>
      <c r="D665">
        <v>1</v>
      </c>
      <c r="E665">
        <v>14</v>
      </c>
      <c r="F665">
        <v>4</v>
      </c>
      <c r="G665">
        <v>1</v>
      </c>
      <c r="H665">
        <f>표5[[#This Row],[공격성공횟수]]/(표5[[#This Row],[공격실패횟수]]+표5[[#This Row],[공격성공횟수]])</f>
        <v>6.6666666666666666E-2</v>
      </c>
    </row>
    <row r="666" spans="1:8" x14ac:dyDescent="0.4">
      <c r="A666">
        <v>333</v>
      </c>
      <c r="B666" t="s">
        <v>0</v>
      </c>
      <c r="C666">
        <v>1</v>
      </c>
      <c r="D666">
        <v>4</v>
      </c>
      <c r="E666">
        <v>5</v>
      </c>
      <c r="F666">
        <v>0</v>
      </c>
      <c r="G666">
        <v>0</v>
      </c>
      <c r="H666">
        <f>표5[[#This Row],[공격성공횟수]]/(표5[[#This Row],[공격실패횟수]]+표5[[#This Row],[공격성공횟수]])</f>
        <v>0.44444444444444442</v>
      </c>
    </row>
    <row r="667" spans="1:8" hidden="1" x14ac:dyDescent="0.4">
      <c r="A667">
        <v>333</v>
      </c>
      <c r="B667" t="s">
        <v>1</v>
      </c>
      <c r="C667">
        <v>0</v>
      </c>
      <c r="D667">
        <v>0</v>
      </c>
      <c r="E667">
        <v>9</v>
      </c>
      <c r="F667">
        <v>4</v>
      </c>
      <c r="G667">
        <v>1</v>
      </c>
      <c r="H667">
        <f>표5[[#This Row],[공격성공횟수]]/(표5[[#This Row],[공격실패횟수]]+표5[[#This Row],[공격성공횟수]])</f>
        <v>0</v>
      </c>
    </row>
    <row r="668" spans="1:8" x14ac:dyDescent="0.4">
      <c r="A668">
        <v>334</v>
      </c>
      <c r="B668" t="s">
        <v>0</v>
      </c>
      <c r="C668">
        <v>1</v>
      </c>
      <c r="D668">
        <v>4</v>
      </c>
      <c r="E668">
        <v>41</v>
      </c>
      <c r="F668">
        <v>0</v>
      </c>
      <c r="G668">
        <v>0</v>
      </c>
      <c r="H668">
        <f>표5[[#This Row],[공격성공횟수]]/(표5[[#This Row],[공격실패횟수]]+표5[[#This Row],[공격성공횟수]])</f>
        <v>8.8888888888888892E-2</v>
      </c>
    </row>
    <row r="669" spans="1:8" hidden="1" x14ac:dyDescent="0.4">
      <c r="A669">
        <v>334</v>
      </c>
      <c r="B669" t="s">
        <v>1</v>
      </c>
      <c r="C669">
        <v>0</v>
      </c>
      <c r="D669">
        <v>0</v>
      </c>
      <c r="E669">
        <v>54</v>
      </c>
      <c r="F669">
        <v>4</v>
      </c>
      <c r="G669">
        <v>1</v>
      </c>
      <c r="H669">
        <f>표5[[#This Row],[공격성공횟수]]/(표5[[#This Row],[공격실패횟수]]+표5[[#This Row],[공격성공횟수]])</f>
        <v>0</v>
      </c>
    </row>
    <row r="670" spans="1:8" x14ac:dyDescent="0.4">
      <c r="A670">
        <v>335</v>
      </c>
      <c r="B670" t="s">
        <v>0</v>
      </c>
      <c r="C670">
        <v>1</v>
      </c>
      <c r="D670">
        <v>4</v>
      </c>
      <c r="E670">
        <v>26</v>
      </c>
      <c r="F670">
        <v>1</v>
      </c>
      <c r="G670">
        <v>0</v>
      </c>
      <c r="H670">
        <f>표5[[#This Row],[공격성공횟수]]/(표5[[#This Row],[공격실패횟수]]+표5[[#This Row],[공격성공횟수]])</f>
        <v>0.13333333333333333</v>
      </c>
    </row>
    <row r="671" spans="1:8" hidden="1" x14ac:dyDescent="0.4">
      <c r="A671">
        <v>335</v>
      </c>
      <c r="B671" t="s">
        <v>1</v>
      </c>
      <c r="C671">
        <v>0</v>
      </c>
      <c r="D671">
        <v>1</v>
      </c>
      <c r="E671">
        <v>27</v>
      </c>
      <c r="F671">
        <v>4</v>
      </c>
      <c r="G671">
        <v>1</v>
      </c>
      <c r="H671">
        <f>표5[[#This Row],[공격성공횟수]]/(표5[[#This Row],[공격실패횟수]]+표5[[#This Row],[공격성공횟수]])</f>
        <v>3.5714285714285712E-2</v>
      </c>
    </row>
    <row r="672" spans="1:8" x14ac:dyDescent="0.4">
      <c r="A672">
        <v>336</v>
      </c>
      <c r="B672" t="s">
        <v>0</v>
      </c>
      <c r="C672">
        <v>1</v>
      </c>
      <c r="D672">
        <v>4</v>
      </c>
      <c r="E672">
        <v>12</v>
      </c>
      <c r="F672">
        <v>3</v>
      </c>
      <c r="G672">
        <v>0</v>
      </c>
      <c r="H672">
        <f>표5[[#This Row],[공격성공횟수]]/(표5[[#This Row],[공격실패횟수]]+표5[[#This Row],[공격성공횟수]])</f>
        <v>0.25</v>
      </c>
    </row>
    <row r="673" spans="1:8" hidden="1" x14ac:dyDescent="0.4">
      <c r="A673">
        <v>336</v>
      </c>
      <c r="B673" t="s">
        <v>1</v>
      </c>
      <c r="C673">
        <v>0</v>
      </c>
      <c r="D673">
        <v>3</v>
      </c>
      <c r="E673">
        <v>13</v>
      </c>
      <c r="F673">
        <v>4</v>
      </c>
      <c r="G673">
        <v>1</v>
      </c>
      <c r="H673">
        <f>표5[[#This Row],[공격성공횟수]]/(표5[[#This Row],[공격실패횟수]]+표5[[#This Row],[공격성공횟수]])</f>
        <v>0.1875</v>
      </c>
    </row>
    <row r="674" spans="1:8" x14ac:dyDescent="0.4">
      <c r="A674">
        <v>337</v>
      </c>
      <c r="B674" t="s">
        <v>0</v>
      </c>
      <c r="C674">
        <v>0</v>
      </c>
      <c r="D674">
        <v>0</v>
      </c>
      <c r="E674">
        <v>26</v>
      </c>
      <c r="F674">
        <v>4</v>
      </c>
      <c r="G674">
        <v>1</v>
      </c>
      <c r="H674">
        <f>표5[[#This Row],[공격성공횟수]]/(표5[[#This Row],[공격실패횟수]]+표5[[#This Row],[공격성공횟수]])</f>
        <v>0</v>
      </c>
    </row>
    <row r="675" spans="1:8" hidden="1" x14ac:dyDescent="0.4">
      <c r="A675">
        <v>337</v>
      </c>
      <c r="B675" t="s">
        <v>1</v>
      </c>
      <c r="C675">
        <v>1</v>
      </c>
      <c r="D675">
        <v>4</v>
      </c>
      <c r="E675">
        <v>22</v>
      </c>
      <c r="F675">
        <v>0</v>
      </c>
      <c r="G675">
        <v>0</v>
      </c>
      <c r="H675">
        <f>표5[[#This Row],[공격성공횟수]]/(표5[[#This Row],[공격실패횟수]]+표5[[#This Row],[공격성공횟수]])</f>
        <v>0.15384615384615385</v>
      </c>
    </row>
    <row r="676" spans="1:8" x14ac:dyDescent="0.4">
      <c r="A676">
        <v>338</v>
      </c>
      <c r="B676" t="s">
        <v>0</v>
      </c>
      <c r="C676">
        <v>1</v>
      </c>
      <c r="D676">
        <v>4</v>
      </c>
      <c r="E676">
        <v>7</v>
      </c>
      <c r="F676">
        <v>0</v>
      </c>
      <c r="G676">
        <v>0</v>
      </c>
      <c r="H676">
        <f>표5[[#This Row],[공격성공횟수]]/(표5[[#This Row],[공격실패횟수]]+표5[[#This Row],[공격성공횟수]])</f>
        <v>0.36363636363636365</v>
      </c>
    </row>
    <row r="677" spans="1:8" hidden="1" x14ac:dyDescent="0.4">
      <c r="A677">
        <v>338</v>
      </c>
      <c r="B677" t="s">
        <v>1</v>
      </c>
      <c r="C677">
        <v>0</v>
      </c>
      <c r="D677">
        <v>0</v>
      </c>
      <c r="E677">
        <v>10</v>
      </c>
      <c r="F677">
        <v>4</v>
      </c>
      <c r="G677">
        <v>1</v>
      </c>
      <c r="H677">
        <f>표5[[#This Row],[공격성공횟수]]/(표5[[#This Row],[공격실패횟수]]+표5[[#This Row],[공격성공횟수]])</f>
        <v>0</v>
      </c>
    </row>
    <row r="678" spans="1:8" x14ac:dyDescent="0.4">
      <c r="A678">
        <v>339</v>
      </c>
      <c r="B678" t="s">
        <v>0</v>
      </c>
      <c r="C678">
        <v>1</v>
      </c>
      <c r="D678">
        <v>4</v>
      </c>
      <c r="E678">
        <v>7</v>
      </c>
      <c r="F678">
        <v>3</v>
      </c>
      <c r="G678">
        <v>0</v>
      </c>
      <c r="H678">
        <f>표5[[#This Row],[공격성공횟수]]/(표5[[#This Row],[공격실패횟수]]+표5[[#This Row],[공격성공횟수]])</f>
        <v>0.36363636363636365</v>
      </c>
    </row>
    <row r="679" spans="1:8" hidden="1" x14ac:dyDescent="0.4">
      <c r="A679">
        <v>339</v>
      </c>
      <c r="B679" t="s">
        <v>1</v>
      </c>
      <c r="C679">
        <v>0</v>
      </c>
      <c r="D679">
        <v>3</v>
      </c>
      <c r="E679">
        <v>8</v>
      </c>
      <c r="F679">
        <v>4</v>
      </c>
      <c r="G679">
        <v>1</v>
      </c>
      <c r="H679">
        <f>표5[[#This Row],[공격성공횟수]]/(표5[[#This Row],[공격실패횟수]]+표5[[#This Row],[공격성공횟수]])</f>
        <v>0.27272727272727271</v>
      </c>
    </row>
    <row r="680" spans="1:8" x14ac:dyDescent="0.4">
      <c r="A680">
        <v>340</v>
      </c>
      <c r="B680" t="s">
        <v>0</v>
      </c>
      <c r="C680">
        <v>1</v>
      </c>
      <c r="D680">
        <v>4</v>
      </c>
      <c r="E680">
        <v>4</v>
      </c>
      <c r="F680">
        <v>1</v>
      </c>
      <c r="G680">
        <v>0</v>
      </c>
      <c r="H680">
        <f>표5[[#This Row],[공격성공횟수]]/(표5[[#This Row],[공격실패횟수]]+표5[[#This Row],[공격성공횟수]])</f>
        <v>0.5</v>
      </c>
    </row>
    <row r="681" spans="1:8" hidden="1" x14ac:dyDescent="0.4">
      <c r="A681">
        <v>340</v>
      </c>
      <c r="B681" t="s">
        <v>1</v>
      </c>
      <c r="C681">
        <v>0</v>
      </c>
      <c r="D681">
        <v>1</v>
      </c>
      <c r="E681">
        <v>6</v>
      </c>
      <c r="F681">
        <v>4</v>
      </c>
      <c r="G681">
        <v>1</v>
      </c>
      <c r="H681">
        <f>표5[[#This Row],[공격성공횟수]]/(표5[[#This Row],[공격실패횟수]]+표5[[#This Row],[공격성공횟수]])</f>
        <v>0.14285714285714285</v>
      </c>
    </row>
    <row r="682" spans="1:8" x14ac:dyDescent="0.4">
      <c r="A682">
        <v>341</v>
      </c>
      <c r="B682" t="s">
        <v>0</v>
      </c>
      <c r="C682">
        <v>1</v>
      </c>
      <c r="D682">
        <v>4</v>
      </c>
      <c r="E682">
        <v>5</v>
      </c>
      <c r="F682">
        <v>0</v>
      </c>
      <c r="G682">
        <v>0</v>
      </c>
      <c r="H682">
        <f>표5[[#This Row],[공격성공횟수]]/(표5[[#This Row],[공격실패횟수]]+표5[[#This Row],[공격성공횟수]])</f>
        <v>0.44444444444444442</v>
      </c>
    </row>
    <row r="683" spans="1:8" hidden="1" x14ac:dyDescent="0.4">
      <c r="A683">
        <v>341</v>
      </c>
      <c r="B683" t="s">
        <v>1</v>
      </c>
      <c r="C683">
        <v>0</v>
      </c>
      <c r="D683">
        <v>0</v>
      </c>
      <c r="E683">
        <v>9</v>
      </c>
      <c r="F683">
        <v>4</v>
      </c>
      <c r="G683">
        <v>1</v>
      </c>
      <c r="H683">
        <f>표5[[#This Row],[공격성공횟수]]/(표5[[#This Row],[공격실패횟수]]+표5[[#This Row],[공격성공횟수]])</f>
        <v>0</v>
      </c>
    </row>
    <row r="684" spans="1:8" x14ac:dyDescent="0.4">
      <c r="A684">
        <v>342</v>
      </c>
      <c r="B684" t="s">
        <v>0</v>
      </c>
      <c r="C684">
        <v>0</v>
      </c>
      <c r="D684">
        <v>3</v>
      </c>
      <c r="E684">
        <v>25</v>
      </c>
      <c r="F684">
        <v>4</v>
      </c>
      <c r="G684">
        <v>1</v>
      </c>
      <c r="H684">
        <f>표5[[#This Row],[공격성공횟수]]/(표5[[#This Row],[공격실패횟수]]+표5[[#This Row],[공격성공횟수]])</f>
        <v>0.10714285714285714</v>
      </c>
    </row>
    <row r="685" spans="1:8" hidden="1" x14ac:dyDescent="0.4">
      <c r="A685">
        <v>342</v>
      </c>
      <c r="B685" t="s">
        <v>1</v>
      </c>
      <c r="C685">
        <v>1</v>
      </c>
      <c r="D685">
        <v>4</v>
      </c>
      <c r="E685">
        <v>26</v>
      </c>
      <c r="F685">
        <v>3</v>
      </c>
      <c r="G685">
        <v>0</v>
      </c>
      <c r="H685">
        <f>표5[[#This Row],[공격성공횟수]]/(표5[[#This Row],[공격실패횟수]]+표5[[#This Row],[공격성공횟수]])</f>
        <v>0.13333333333333333</v>
      </c>
    </row>
    <row r="686" spans="1:8" x14ac:dyDescent="0.4">
      <c r="A686">
        <v>343</v>
      </c>
      <c r="B686" t="s">
        <v>0</v>
      </c>
      <c r="C686">
        <v>1</v>
      </c>
      <c r="D686">
        <v>4</v>
      </c>
      <c r="E686">
        <v>7</v>
      </c>
      <c r="F686">
        <v>1</v>
      </c>
      <c r="G686">
        <v>0</v>
      </c>
      <c r="H686">
        <f>표5[[#This Row],[공격성공횟수]]/(표5[[#This Row],[공격실패횟수]]+표5[[#This Row],[공격성공횟수]])</f>
        <v>0.36363636363636365</v>
      </c>
    </row>
    <row r="687" spans="1:8" hidden="1" x14ac:dyDescent="0.4">
      <c r="A687">
        <v>343</v>
      </c>
      <c r="B687" t="s">
        <v>1</v>
      </c>
      <c r="C687">
        <v>0</v>
      </c>
      <c r="D687">
        <v>1</v>
      </c>
      <c r="E687">
        <v>9</v>
      </c>
      <c r="F687">
        <v>4</v>
      </c>
      <c r="G687">
        <v>1</v>
      </c>
      <c r="H687">
        <f>표5[[#This Row],[공격성공횟수]]/(표5[[#This Row],[공격실패횟수]]+표5[[#This Row],[공격성공횟수]])</f>
        <v>0.1</v>
      </c>
    </row>
    <row r="688" spans="1:8" x14ac:dyDescent="0.4">
      <c r="A688">
        <v>344</v>
      </c>
      <c r="B688" t="s">
        <v>0</v>
      </c>
      <c r="C688">
        <v>0</v>
      </c>
      <c r="D688">
        <v>0</v>
      </c>
      <c r="E688">
        <v>17</v>
      </c>
      <c r="F688">
        <v>4</v>
      </c>
      <c r="G688">
        <v>1</v>
      </c>
      <c r="H688">
        <f>표5[[#This Row],[공격성공횟수]]/(표5[[#This Row],[공격실패횟수]]+표5[[#This Row],[공격성공횟수]])</f>
        <v>0</v>
      </c>
    </row>
    <row r="689" spans="1:8" hidden="1" x14ac:dyDescent="0.4">
      <c r="A689">
        <v>344</v>
      </c>
      <c r="B689" t="s">
        <v>1</v>
      </c>
      <c r="C689">
        <v>1</v>
      </c>
      <c r="D689">
        <v>4</v>
      </c>
      <c r="E689">
        <v>14</v>
      </c>
      <c r="F689">
        <v>0</v>
      </c>
      <c r="G689">
        <v>0</v>
      </c>
      <c r="H689">
        <f>표5[[#This Row],[공격성공횟수]]/(표5[[#This Row],[공격실패횟수]]+표5[[#This Row],[공격성공횟수]])</f>
        <v>0.22222222222222221</v>
      </c>
    </row>
    <row r="690" spans="1:8" x14ac:dyDescent="0.4">
      <c r="A690">
        <v>345</v>
      </c>
      <c r="B690" t="s">
        <v>0</v>
      </c>
      <c r="C690">
        <v>1</v>
      </c>
      <c r="D690">
        <v>4</v>
      </c>
      <c r="E690">
        <v>10</v>
      </c>
      <c r="F690">
        <v>0</v>
      </c>
      <c r="G690">
        <v>0</v>
      </c>
      <c r="H690">
        <f>표5[[#This Row],[공격성공횟수]]/(표5[[#This Row],[공격실패횟수]]+표5[[#This Row],[공격성공횟수]])</f>
        <v>0.2857142857142857</v>
      </c>
    </row>
    <row r="691" spans="1:8" hidden="1" x14ac:dyDescent="0.4">
      <c r="A691">
        <v>345</v>
      </c>
      <c r="B691" t="s">
        <v>1</v>
      </c>
      <c r="C691">
        <v>0</v>
      </c>
      <c r="D691">
        <v>0</v>
      </c>
      <c r="E691">
        <v>12</v>
      </c>
      <c r="F691">
        <v>4</v>
      </c>
      <c r="G691">
        <v>1</v>
      </c>
      <c r="H691">
        <f>표5[[#This Row],[공격성공횟수]]/(표5[[#This Row],[공격실패횟수]]+표5[[#This Row],[공격성공횟수]])</f>
        <v>0</v>
      </c>
    </row>
    <row r="692" spans="1:8" x14ac:dyDescent="0.4">
      <c r="A692">
        <v>346</v>
      </c>
      <c r="B692" t="s">
        <v>0</v>
      </c>
      <c r="C692">
        <v>1</v>
      </c>
      <c r="D692">
        <v>4</v>
      </c>
      <c r="E692">
        <v>5</v>
      </c>
      <c r="F692">
        <v>0</v>
      </c>
      <c r="G692">
        <v>0</v>
      </c>
      <c r="H692">
        <f>표5[[#This Row],[공격성공횟수]]/(표5[[#This Row],[공격실패횟수]]+표5[[#This Row],[공격성공횟수]])</f>
        <v>0.44444444444444442</v>
      </c>
    </row>
    <row r="693" spans="1:8" hidden="1" x14ac:dyDescent="0.4">
      <c r="A693">
        <v>346</v>
      </c>
      <c r="B693" t="s">
        <v>1</v>
      </c>
      <c r="C693">
        <v>0</v>
      </c>
      <c r="D693">
        <v>0</v>
      </c>
      <c r="E693">
        <v>10</v>
      </c>
      <c r="F693">
        <v>4</v>
      </c>
      <c r="G693">
        <v>1</v>
      </c>
      <c r="H693">
        <f>표5[[#This Row],[공격성공횟수]]/(표5[[#This Row],[공격실패횟수]]+표5[[#This Row],[공격성공횟수]])</f>
        <v>0</v>
      </c>
    </row>
    <row r="694" spans="1:8" x14ac:dyDescent="0.4">
      <c r="A694">
        <v>347</v>
      </c>
      <c r="B694" t="s">
        <v>0</v>
      </c>
      <c r="C694">
        <v>1</v>
      </c>
      <c r="D694">
        <v>4</v>
      </c>
      <c r="E694">
        <v>15</v>
      </c>
      <c r="F694">
        <v>1</v>
      </c>
      <c r="G694">
        <v>0</v>
      </c>
      <c r="H694">
        <f>표5[[#This Row],[공격성공횟수]]/(표5[[#This Row],[공격실패횟수]]+표5[[#This Row],[공격성공횟수]])</f>
        <v>0.21052631578947367</v>
      </c>
    </row>
    <row r="695" spans="1:8" hidden="1" x14ac:dyDescent="0.4">
      <c r="A695">
        <v>347</v>
      </c>
      <c r="B695" t="s">
        <v>1</v>
      </c>
      <c r="C695">
        <v>0</v>
      </c>
      <c r="D695">
        <v>1</v>
      </c>
      <c r="E695">
        <v>17</v>
      </c>
      <c r="F695">
        <v>4</v>
      </c>
      <c r="G695">
        <v>1</v>
      </c>
      <c r="H695">
        <f>표5[[#This Row],[공격성공횟수]]/(표5[[#This Row],[공격실패횟수]]+표5[[#This Row],[공격성공횟수]])</f>
        <v>5.5555555555555552E-2</v>
      </c>
    </row>
    <row r="696" spans="1:8" x14ac:dyDescent="0.4">
      <c r="A696">
        <v>348</v>
      </c>
      <c r="B696" t="s">
        <v>0</v>
      </c>
      <c r="C696">
        <v>1</v>
      </c>
      <c r="D696">
        <v>4</v>
      </c>
      <c r="E696">
        <v>13</v>
      </c>
      <c r="F696">
        <v>1</v>
      </c>
      <c r="G696">
        <v>0</v>
      </c>
      <c r="H696">
        <f>표5[[#This Row],[공격성공횟수]]/(표5[[#This Row],[공격실패횟수]]+표5[[#This Row],[공격성공횟수]])</f>
        <v>0.23529411764705882</v>
      </c>
    </row>
    <row r="697" spans="1:8" hidden="1" x14ac:dyDescent="0.4">
      <c r="A697">
        <v>348</v>
      </c>
      <c r="B697" t="s">
        <v>1</v>
      </c>
      <c r="C697">
        <v>0</v>
      </c>
      <c r="D697">
        <v>1</v>
      </c>
      <c r="E697">
        <v>16</v>
      </c>
      <c r="F697">
        <v>4</v>
      </c>
      <c r="G697">
        <v>1</v>
      </c>
      <c r="H697">
        <f>표5[[#This Row],[공격성공횟수]]/(표5[[#This Row],[공격실패횟수]]+표5[[#This Row],[공격성공횟수]])</f>
        <v>5.8823529411764705E-2</v>
      </c>
    </row>
    <row r="698" spans="1:8" x14ac:dyDescent="0.4">
      <c r="A698">
        <v>349</v>
      </c>
      <c r="B698" t="s">
        <v>0</v>
      </c>
      <c r="C698">
        <v>1</v>
      </c>
      <c r="D698">
        <v>4</v>
      </c>
      <c r="E698">
        <v>7</v>
      </c>
      <c r="F698">
        <v>1</v>
      </c>
      <c r="G698">
        <v>0</v>
      </c>
      <c r="H698">
        <f>표5[[#This Row],[공격성공횟수]]/(표5[[#This Row],[공격실패횟수]]+표5[[#This Row],[공격성공횟수]])</f>
        <v>0.36363636363636365</v>
      </c>
    </row>
    <row r="699" spans="1:8" hidden="1" x14ac:dyDescent="0.4">
      <c r="A699">
        <v>349</v>
      </c>
      <c r="B699" t="s">
        <v>1</v>
      </c>
      <c r="C699">
        <v>0</v>
      </c>
      <c r="D699">
        <v>1</v>
      </c>
      <c r="E699">
        <v>10</v>
      </c>
      <c r="F699">
        <v>4</v>
      </c>
      <c r="G699">
        <v>1</v>
      </c>
      <c r="H699">
        <f>표5[[#This Row],[공격성공횟수]]/(표5[[#This Row],[공격실패횟수]]+표5[[#This Row],[공격성공횟수]])</f>
        <v>9.0909090909090912E-2</v>
      </c>
    </row>
    <row r="700" spans="1:8" x14ac:dyDescent="0.4">
      <c r="A700">
        <v>350</v>
      </c>
      <c r="B700" t="s">
        <v>0</v>
      </c>
      <c r="C700">
        <v>1</v>
      </c>
      <c r="D700">
        <v>4</v>
      </c>
      <c r="E700">
        <v>15</v>
      </c>
      <c r="F700">
        <v>0</v>
      </c>
      <c r="G700">
        <v>0</v>
      </c>
      <c r="H700">
        <f>표5[[#This Row],[공격성공횟수]]/(표5[[#This Row],[공격실패횟수]]+표5[[#This Row],[공격성공횟수]])</f>
        <v>0.21052631578947367</v>
      </c>
    </row>
    <row r="701" spans="1:8" hidden="1" x14ac:dyDescent="0.4">
      <c r="A701">
        <v>350</v>
      </c>
      <c r="B701" t="s">
        <v>1</v>
      </c>
      <c r="C701">
        <v>0</v>
      </c>
      <c r="D701">
        <v>0</v>
      </c>
      <c r="E701">
        <v>18</v>
      </c>
      <c r="F701">
        <v>4</v>
      </c>
      <c r="G701">
        <v>1</v>
      </c>
      <c r="H701">
        <f>표5[[#This Row],[공격성공횟수]]/(표5[[#This Row],[공격실패횟수]]+표5[[#This Row],[공격성공횟수]])</f>
        <v>0</v>
      </c>
    </row>
    <row r="702" spans="1:8" x14ac:dyDescent="0.4">
      <c r="A702">
        <v>351</v>
      </c>
      <c r="B702" t="s">
        <v>0</v>
      </c>
      <c r="C702">
        <v>1</v>
      </c>
      <c r="D702">
        <v>4</v>
      </c>
      <c r="E702">
        <v>6</v>
      </c>
      <c r="F702">
        <v>1</v>
      </c>
      <c r="G702">
        <v>0</v>
      </c>
      <c r="H702">
        <f>표5[[#This Row],[공격성공횟수]]/(표5[[#This Row],[공격실패횟수]]+표5[[#This Row],[공격성공횟수]])</f>
        <v>0.4</v>
      </c>
    </row>
    <row r="703" spans="1:8" hidden="1" x14ac:dyDescent="0.4">
      <c r="A703">
        <v>351</v>
      </c>
      <c r="B703" t="s">
        <v>1</v>
      </c>
      <c r="C703">
        <v>0</v>
      </c>
      <c r="D703">
        <v>1</v>
      </c>
      <c r="E703">
        <v>9</v>
      </c>
      <c r="F703">
        <v>4</v>
      </c>
      <c r="G703">
        <v>1</v>
      </c>
      <c r="H703">
        <f>표5[[#This Row],[공격성공횟수]]/(표5[[#This Row],[공격실패횟수]]+표5[[#This Row],[공격성공횟수]])</f>
        <v>0.1</v>
      </c>
    </row>
    <row r="704" spans="1:8" x14ac:dyDescent="0.4">
      <c r="A704">
        <v>352</v>
      </c>
      <c r="B704" t="s">
        <v>0</v>
      </c>
      <c r="C704">
        <v>0</v>
      </c>
      <c r="D704">
        <v>0</v>
      </c>
      <c r="E704">
        <v>30</v>
      </c>
      <c r="F704">
        <v>4</v>
      </c>
      <c r="G704">
        <v>1</v>
      </c>
      <c r="H704">
        <f>표5[[#This Row],[공격성공횟수]]/(표5[[#This Row],[공격실패횟수]]+표5[[#This Row],[공격성공횟수]])</f>
        <v>0</v>
      </c>
    </row>
    <row r="705" spans="1:8" hidden="1" x14ac:dyDescent="0.4">
      <c r="A705">
        <v>352</v>
      </c>
      <c r="B705" t="s">
        <v>1</v>
      </c>
      <c r="C705">
        <v>1</v>
      </c>
      <c r="D705">
        <v>4</v>
      </c>
      <c r="E705">
        <v>27</v>
      </c>
      <c r="F705">
        <v>0</v>
      </c>
      <c r="G705">
        <v>0</v>
      </c>
      <c r="H705">
        <f>표5[[#This Row],[공격성공횟수]]/(표5[[#This Row],[공격실패횟수]]+표5[[#This Row],[공격성공횟수]])</f>
        <v>0.12903225806451613</v>
      </c>
    </row>
    <row r="706" spans="1:8" x14ac:dyDescent="0.4">
      <c r="A706">
        <v>353</v>
      </c>
      <c r="B706" t="s">
        <v>0</v>
      </c>
      <c r="C706">
        <v>1</v>
      </c>
      <c r="D706">
        <v>4</v>
      </c>
      <c r="E706">
        <v>8</v>
      </c>
      <c r="F706">
        <v>0</v>
      </c>
      <c r="G706">
        <v>0</v>
      </c>
      <c r="H706">
        <f>표5[[#This Row],[공격성공횟수]]/(표5[[#This Row],[공격실패횟수]]+표5[[#This Row],[공격성공횟수]])</f>
        <v>0.33333333333333331</v>
      </c>
    </row>
    <row r="707" spans="1:8" hidden="1" x14ac:dyDescent="0.4">
      <c r="A707">
        <v>353</v>
      </c>
      <c r="B707" t="s">
        <v>1</v>
      </c>
      <c r="C707">
        <v>0</v>
      </c>
      <c r="D707">
        <v>0</v>
      </c>
      <c r="E707">
        <v>10</v>
      </c>
      <c r="F707">
        <v>4</v>
      </c>
      <c r="G707">
        <v>1</v>
      </c>
      <c r="H707">
        <f>표5[[#This Row],[공격성공횟수]]/(표5[[#This Row],[공격실패횟수]]+표5[[#This Row],[공격성공횟수]])</f>
        <v>0</v>
      </c>
    </row>
    <row r="708" spans="1:8" x14ac:dyDescent="0.4">
      <c r="A708">
        <v>354</v>
      </c>
      <c r="B708" t="s">
        <v>0</v>
      </c>
      <c r="C708">
        <v>1</v>
      </c>
      <c r="D708">
        <v>4</v>
      </c>
      <c r="E708">
        <v>25</v>
      </c>
      <c r="F708">
        <v>0</v>
      </c>
      <c r="G708">
        <v>0</v>
      </c>
      <c r="H708">
        <f>표5[[#This Row],[공격성공횟수]]/(표5[[#This Row],[공격실패횟수]]+표5[[#This Row],[공격성공횟수]])</f>
        <v>0.13793103448275862</v>
      </c>
    </row>
    <row r="709" spans="1:8" hidden="1" x14ac:dyDescent="0.4">
      <c r="A709">
        <v>354</v>
      </c>
      <c r="B709" t="s">
        <v>1</v>
      </c>
      <c r="C709">
        <v>0</v>
      </c>
      <c r="D709">
        <v>0</v>
      </c>
      <c r="E709">
        <v>34</v>
      </c>
      <c r="F709">
        <v>4</v>
      </c>
      <c r="G709">
        <v>1</v>
      </c>
      <c r="H709">
        <f>표5[[#This Row],[공격성공횟수]]/(표5[[#This Row],[공격실패횟수]]+표5[[#This Row],[공격성공횟수]])</f>
        <v>0</v>
      </c>
    </row>
    <row r="710" spans="1:8" x14ac:dyDescent="0.4">
      <c r="A710">
        <v>355</v>
      </c>
      <c r="B710" t="s">
        <v>0</v>
      </c>
      <c r="C710">
        <v>1</v>
      </c>
      <c r="D710">
        <v>4</v>
      </c>
      <c r="E710">
        <v>29</v>
      </c>
      <c r="F710">
        <v>0</v>
      </c>
      <c r="G710">
        <v>0</v>
      </c>
      <c r="H710">
        <f>표5[[#This Row],[공격성공횟수]]/(표5[[#This Row],[공격실패횟수]]+표5[[#This Row],[공격성공횟수]])</f>
        <v>0.12121212121212122</v>
      </c>
    </row>
    <row r="711" spans="1:8" hidden="1" x14ac:dyDescent="0.4">
      <c r="A711">
        <v>355</v>
      </c>
      <c r="B711" t="s">
        <v>1</v>
      </c>
      <c r="C711">
        <v>0</v>
      </c>
      <c r="D711">
        <v>0</v>
      </c>
      <c r="E711">
        <v>33</v>
      </c>
      <c r="F711">
        <v>4</v>
      </c>
      <c r="G711">
        <v>1</v>
      </c>
      <c r="H711">
        <f>표5[[#This Row],[공격성공횟수]]/(표5[[#This Row],[공격실패횟수]]+표5[[#This Row],[공격성공횟수]])</f>
        <v>0</v>
      </c>
    </row>
    <row r="712" spans="1:8" x14ac:dyDescent="0.4">
      <c r="A712">
        <v>356</v>
      </c>
      <c r="B712" t="s">
        <v>0</v>
      </c>
      <c r="C712">
        <v>1</v>
      </c>
      <c r="D712">
        <v>4</v>
      </c>
      <c r="E712">
        <v>5</v>
      </c>
      <c r="F712">
        <v>0</v>
      </c>
      <c r="G712">
        <v>0</v>
      </c>
      <c r="H712">
        <f>표5[[#This Row],[공격성공횟수]]/(표5[[#This Row],[공격실패횟수]]+표5[[#This Row],[공격성공횟수]])</f>
        <v>0.44444444444444442</v>
      </c>
    </row>
    <row r="713" spans="1:8" hidden="1" x14ac:dyDescent="0.4">
      <c r="A713">
        <v>356</v>
      </c>
      <c r="B713" t="s">
        <v>1</v>
      </c>
      <c r="C713">
        <v>0</v>
      </c>
      <c r="D713">
        <v>0</v>
      </c>
      <c r="E713">
        <v>9</v>
      </c>
      <c r="F713">
        <v>4</v>
      </c>
      <c r="G713">
        <v>1</v>
      </c>
      <c r="H713">
        <f>표5[[#This Row],[공격성공횟수]]/(표5[[#This Row],[공격실패횟수]]+표5[[#This Row],[공격성공횟수]])</f>
        <v>0</v>
      </c>
    </row>
    <row r="714" spans="1:8" x14ac:dyDescent="0.4">
      <c r="A714">
        <v>357</v>
      </c>
      <c r="B714" t="s">
        <v>0</v>
      </c>
      <c r="C714">
        <v>1</v>
      </c>
      <c r="D714">
        <v>4</v>
      </c>
      <c r="E714">
        <v>9</v>
      </c>
      <c r="F714">
        <v>0</v>
      </c>
      <c r="G714">
        <v>0</v>
      </c>
      <c r="H714">
        <f>표5[[#This Row],[공격성공횟수]]/(표5[[#This Row],[공격실패횟수]]+표5[[#This Row],[공격성공횟수]])</f>
        <v>0.30769230769230771</v>
      </c>
    </row>
    <row r="715" spans="1:8" hidden="1" x14ac:dyDescent="0.4">
      <c r="A715">
        <v>357</v>
      </c>
      <c r="B715" t="s">
        <v>1</v>
      </c>
      <c r="C715">
        <v>0</v>
      </c>
      <c r="D715">
        <v>0</v>
      </c>
      <c r="E715">
        <v>13</v>
      </c>
      <c r="F715">
        <v>4</v>
      </c>
      <c r="G715">
        <v>1</v>
      </c>
      <c r="H715">
        <f>표5[[#This Row],[공격성공횟수]]/(표5[[#This Row],[공격실패횟수]]+표5[[#This Row],[공격성공횟수]])</f>
        <v>0</v>
      </c>
    </row>
    <row r="716" spans="1:8" x14ac:dyDescent="0.4">
      <c r="A716">
        <v>358</v>
      </c>
      <c r="B716" t="s">
        <v>0</v>
      </c>
      <c r="C716">
        <v>1</v>
      </c>
      <c r="D716">
        <v>4</v>
      </c>
      <c r="E716">
        <v>21</v>
      </c>
      <c r="F716">
        <v>2</v>
      </c>
      <c r="G716">
        <v>0</v>
      </c>
      <c r="H716">
        <f>표5[[#This Row],[공격성공횟수]]/(표5[[#This Row],[공격실패횟수]]+표5[[#This Row],[공격성공횟수]])</f>
        <v>0.16</v>
      </c>
    </row>
    <row r="717" spans="1:8" hidden="1" x14ac:dyDescent="0.4">
      <c r="A717">
        <v>358</v>
      </c>
      <c r="B717" t="s">
        <v>1</v>
      </c>
      <c r="C717">
        <v>0</v>
      </c>
      <c r="D717">
        <v>2</v>
      </c>
      <c r="E717">
        <v>22</v>
      </c>
      <c r="F717">
        <v>4</v>
      </c>
      <c r="G717">
        <v>1</v>
      </c>
      <c r="H717">
        <f>표5[[#This Row],[공격성공횟수]]/(표5[[#This Row],[공격실패횟수]]+표5[[#This Row],[공격성공횟수]])</f>
        <v>8.3333333333333329E-2</v>
      </c>
    </row>
    <row r="718" spans="1:8" x14ac:dyDescent="0.4">
      <c r="A718">
        <v>359</v>
      </c>
      <c r="B718" t="s">
        <v>0</v>
      </c>
      <c r="C718">
        <v>0</v>
      </c>
      <c r="D718">
        <v>0</v>
      </c>
      <c r="E718">
        <v>23</v>
      </c>
      <c r="F718">
        <v>4</v>
      </c>
      <c r="G718">
        <v>1</v>
      </c>
      <c r="H718">
        <f>표5[[#This Row],[공격성공횟수]]/(표5[[#This Row],[공격실패횟수]]+표5[[#This Row],[공격성공횟수]])</f>
        <v>0</v>
      </c>
    </row>
    <row r="719" spans="1:8" hidden="1" x14ac:dyDescent="0.4">
      <c r="A719">
        <v>359</v>
      </c>
      <c r="B719" t="s">
        <v>1</v>
      </c>
      <c r="C719">
        <v>1</v>
      </c>
      <c r="D719">
        <v>4</v>
      </c>
      <c r="E719">
        <v>19</v>
      </c>
      <c r="F719">
        <v>0</v>
      </c>
      <c r="G719">
        <v>0</v>
      </c>
      <c r="H719">
        <f>표5[[#This Row],[공격성공횟수]]/(표5[[#This Row],[공격실패횟수]]+표5[[#This Row],[공격성공횟수]])</f>
        <v>0.17391304347826086</v>
      </c>
    </row>
    <row r="720" spans="1:8" x14ac:dyDescent="0.4">
      <c r="A720">
        <v>360</v>
      </c>
      <c r="B720" t="s">
        <v>0</v>
      </c>
      <c r="C720">
        <v>1</v>
      </c>
      <c r="D720">
        <v>4</v>
      </c>
      <c r="E720">
        <v>9</v>
      </c>
      <c r="F720">
        <v>0</v>
      </c>
      <c r="G720">
        <v>0</v>
      </c>
      <c r="H720">
        <f>표5[[#This Row],[공격성공횟수]]/(표5[[#This Row],[공격실패횟수]]+표5[[#This Row],[공격성공횟수]])</f>
        <v>0.30769230769230771</v>
      </c>
    </row>
    <row r="721" spans="1:8" hidden="1" x14ac:dyDescent="0.4">
      <c r="A721">
        <v>360</v>
      </c>
      <c r="B721" t="s">
        <v>1</v>
      </c>
      <c r="C721">
        <v>0</v>
      </c>
      <c r="D721">
        <v>0</v>
      </c>
      <c r="E721">
        <v>12</v>
      </c>
      <c r="F721">
        <v>4</v>
      </c>
      <c r="G721">
        <v>1</v>
      </c>
      <c r="H721">
        <f>표5[[#This Row],[공격성공횟수]]/(표5[[#This Row],[공격실패횟수]]+표5[[#This Row],[공격성공횟수]])</f>
        <v>0</v>
      </c>
    </row>
    <row r="722" spans="1:8" x14ac:dyDescent="0.4">
      <c r="A722">
        <v>361</v>
      </c>
      <c r="B722" t="s">
        <v>0</v>
      </c>
      <c r="C722">
        <v>0</v>
      </c>
      <c r="D722">
        <v>3</v>
      </c>
      <c r="E722">
        <v>11</v>
      </c>
      <c r="F722">
        <v>4</v>
      </c>
      <c r="G722">
        <v>1</v>
      </c>
      <c r="H722">
        <f>표5[[#This Row],[공격성공횟수]]/(표5[[#This Row],[공격실패횟수]]+표5[[#This Row],[공격성공횟수]])</f>
        <v>0.21428571428571427</v>
      </c>
    </row>
    <row r="723" spans="1:8" hidden="1" x14ac:dyDescent="0.4">
      <c r="A723">
        <v>361</v>
      </c>
      <c r="B723" t="s">
        <v>1</v>
      </c>
      <c r="C723">
        <v>1</v>
      </c>
      <c r="D723">
        <v>4</v>
      </c>
      <c r="E723">
        <v>11</v>
      </c>
      <c r="F723">
        <v>3</v>
      </c>
      <c r="G723">
        <v>0</v>
      </c>
      <c r="H723">
        <f>표5[[#This Row],[공격성공횟수]]/(표5[[#This Row],[공격실패횟수]]+표5[[#This Row],[공격성공횟수]])</f>
        <v>0.26666666666666666</v>
      </c>
    </row>
    <row r="724" spans="1:8" x14ac:dyDescent="0.4">
      <c r="A724">
        <v>362</v>
      </c>
      <c r="B724" t="s">
        <v>0</v>
      </c>
      <c r="C724">
        <v>1</v>
      </c>
      <c r="D724">
        <v>4</v>
      </c>
      <c r="E724">
        <v>12</v>
      </c>
      <c r="F724">
        <v>2</v>
      </c>
      <c r="G724">
        <v>0</v>
      </c>
      <c r="H724">
        <f>표5[[#This Row],[공격성공횟수]]/(표5[[#This Row],[공격실패횟수]]+표5[[#This Row],[공격성공횟수]])</f>
        <v>0.25</v>
      </c>
    </row>
    <row r="725" spans="1:8" hidden="1" x14ac:dyDescent="0.4">
      <c r="A725">
        <v>362</v>
      </c>
      <c r="B725" t="s">
        <v>1</v>
      </c>
      <c r="C725">
        <v>0</v>
      </c>
      <c r="D725">
        <v>2</v>
      </c>
      <c r="E725">
        <v>13</v>
      </c>
      <c r="F725">
        <v>4</v>
      </c>
      <c r="G725">
        <v>1</v>
      </c>
      <c r="H725">
        <f>표5[[#This Row],[공격성공횟수]]/(표5[[#This Row],[공격실패횟수]]+표5[[#This Row],[공격성공횟수]])</f>
        <v>0.13333333333333333</v>
      </c>
    </row>
    <row r="726" spans="1:8" x14ac:dyDescent="0.4">
      <c r="A726">
        <v>363</v>
      </c>
      <c r="B726" t="s">
        <v>0</v>
      </c>
      <c r="C726">
        <v>1</v>
      </c>
      <c r="D726">
        <v>4</v>
      </c>
      <c r="E726">
        <v>18</v>
      </c>
      <c r="F726">
        <v>0</v>
      </c>
      <c r="G726">
        <v>0</v>
      </c>
      <c r="H726">
        <f>표5[[#This Row],[공격성공횟수]]/(표5[[#This Row],[공격실패횟수]]+표5[[#This Row],[공격성공횟수]])</f>
        <v>0.18181818181818182</v>
      </c>
    </row>
    <row r="727" spans="1:8" hidden="1" x14ac:dyDescent="0.4">
      <c r="A727">
        <v>363</v>
      </c>
      <c r="B727" t="s">
        <v>1</v>
      </c>
      <c r="C727">
        <v>0</v>
      </c>
      <c r="D727">
        <v>0</v>
      </c>
      <c r="E727">
        <v>27</v>
      </c>
      <c r="F727">
        <v>4</v>
      </c>
      <c r="G727">
        <v>1</v>
      </c>
      <c r="H727">
        <f>표5[[#This Row],[공격성공횟수]]/(표5[[#This Row],[공격실패횟수]]+표5[[#This Row],[공격성공횟수]])</f>
        <v>0</v>
      </c>
    </row>
    <row r="728" spans="1:8" x14ac:dyDescent="0.4">
      <c r="A728">
        <v>364</v>
      </c>
      <c r="B728" t="s">
        <v>0</v>
      </c>
      <c r="C728">
        <v>0</v>
      </c>
      <c r="D728">
        <v>1</v>
      </c>
      <c r="E728">
        <v>51</v>
      </c>
      <c r="F728">
        <v>4</v>
      </c>
      <c r="G728">
        <v>1</v>
      </c>
      <c r="H728">
        <f>표5[[#This Row],[공격성공횟수]]/(표5[[#This Row],[공격실패횟수]]+표5[[#This Row],[공격성공횟수]])</f>
        <v>1.9230769230769232E-2</v>
      </c>
    </row>
    <row r="729" spans="1:8" hidden="1" x14ac:dyDescent="0.4">
      <c r="A729">
        <v>364</v>
      </c>
      <c r="B729" t="s">
        <v>1</v>
      </c>
      <c r="C729">
        <v>1</v>
      </c>
      <c r="D729">
        <v>4</v>
      </c>
      <c r="E729">
        <v>48</v>
      </c>
      <c r="F729">
        <v>1</v>
      </c>
      <c r="G729">
        <v>0</v>
      </c>
      <c r="H729">
        <f>표5[[#This Row],[공격성공횟수]]/(표5[[#This Row],[공격실패횟수]]+표5[[#This Row],[공격성공횟수]])</f>
        <v>7.6923076923076927E-2</v>
      </c>
    </row>
    <row r="730" spans="1:8" x14ac:dyDescent="0.4">
      <c r="A730">
        <v>365</v>
      </c>
      <c r="B730" t="s">
        <v>0</v>
      </c>
      <c r="C730">
        <v>1</v>
      </c>
      <c r="D730">
        <v>4</v>
      </c>
      <c r="E730">
        <v>8</v>
      </c>
      <c r="F730">
        <v>0</v>
      </c>
      <c r="G730">
        <v>0</v>
      </c>
      <c r="H730">
        <f>표5[[#This Row],[공격성공횟수]]/(표5[[#This Row],[공격실패횟수]]+표5[[#This Row],[공격성공횟수]])</f>
        <v>0.33333333333333331</v>
      </c>
    </row>
    <row r="731" spans="1:8" hidden="1" x14ac:dyDescent="0.4">
      <c r="A731">
        <v>365</v>
      </c>
      <c r="B731" t="s">
        <v>1</v>
      </c>
      <c r="C731">
        <v>0</v>
      </c>
      <c r="D731">
        <v>0</v>
      </c>
      <c r="E731">
        <v>11</v>
      </c>
      <c r="F731">
        <v>4</v>
      </c>
      <c r="G731">
        <v>1</v>
      </c>
      <c r="H731">
        <f>표5[[#This Row],[공격성공횟수]]/(표5[[#This Row],[공격실패횟수]]+표5[[#This Row],[공격성공횟수]])</f>
        <v>0</v>
      </c>
    </row>
    <row r="732" spans="1:8" x14ac:dyDescent="0.4">
      <c r="A732">
        <v>366</v>
      </c>
      <c r="B732" t="s">
        <v>0</v>
      </c>
      <c r="C732">
        <v>1</v>
      </c>
      <c r="D732">
        <v>4</v>
      </c>
      <c r="E732">
        <v>17</v>
      </c>
      <c r="F732">
        <v>0</v>
      </c>
      <c r="G732">
        <v>0</v>
      </c>
      <c r="H732">
        <f>표5[[#This Row],[공격성공횟수]]/(표5[[#This Row],[공격실패횟수]]+표5[[#This Row],[공격성공횟수]])</f>
        <v>0.19047619047619047</v>
      </c>
    </row>
    <row r="733" spans="1:8" hidden="1" x14ac:dyDescent="0.4">
      <c r="A733">
        <v>366</v>
      </c>
      <c r="B733" t="s">
        <v>1</v>
      </c>
      <c r="C733">
        <v>0</v>
      </c>
      <c r="D733">
        <v>0</v>
      </c>
      <c r="E733">
        <v>21</v>
      </c>
      <c r="F733">
        <v>4</v>
      </c>
      <c r="G733">
        <v>1</v>
      </c>
      <c r="H733">
        <f>표5[[#This Row],[공격성공횟수]]/(표5[[#This Row],[공격실패횟수]]+표5[[#This Row],[공격성공횟수]])</f>
        <v>0</v>
      </c>
    </row>
    <row r="734" spans="1:8" x14ac:dyDescent="0.4">
      <c r="A734">
        <v>367</v>
      </c>
      <c r="B734" t="s">
        <v>0</v>
      </c>
      <c r="C734">
        <v>1</v>
      </c>
      <c r="D734">
        <v>4</v>
      </c>
      <c r="E734">
        <v>4</v>
      </c>
      <c r="F734">
        <v>1</v>
      </c>
      <c r="G734">
        <v>0</v>
      </c>
      <c r="H734">
        <f>표5[[#This Row],[공격성공횟수]]/(표5[[#This Row],[공격실패횟수]]+표5[[#This Row],[공격성공횟수]])</f>
        <v>0.5</v>
      </c>
    </row>
    <row r="735" spans="1:8" hidden="1" x14ac:dyDescent="0.4">
      <c r="A735">
        <v>367</v>
      </c>
      <c r="B735" t="s">
        <v>1</v>
      </c>
      <c r="C735">
        <v>0</v>
      </c>
      <c r="D735">
        <v>1</v>
      </c>
      <c r="E735">
        <v>7</v>
      </c>
      <c r="F735">
        <v>4</v>
      </c>
      <c r="G735">
        <v>1</v>
      </c>
      <c r="H735">
        <f>표5[[#This Row],[공격성공횟수]]/(표5[[#This Row],[공격실패횟수]]+표5[[#This Row],[공격성공횟수]])</f>
        <v>0.125</v>
      </c>
    </row>
    <row r="736" spans="1:8" x14ac:dyDescent="0.4">
      <c r="A736">
        <v>368</v>
      </c>
      <c r="B736" t="s">
        <v>0</v>
      </c>
      <c r="C736">
        <v>1</v>
      </c>
      <c r="D736">
        <v>4</v>
      </c>
      <c r="E736">
        <v>11</v>
      </c>
      <c r="F736">
        <v>0</v>
      </c>
      <c r="G736">
        <v>0</v>
      </c>
      <c r="H736">
        <f>표5[[#This Row],[공격성공횟수]]/(표5[[#This Row],[공격실패횟수]]+표5[[#This Row],[공격성공횟수]])</f>
        <v>0.26666666666666666</v>
      </c>
    </row>
    <row r="737" spans="1:8" hidden="1" x14ac:dyDescent="0.4">
      <c r="A737">
        <v>368</v>
      </c>
      <c r="B737" t="s">
        <v>1</v>
      </c>
      <c r="C737">
        <v>0</v>
      </c>
      <c r="D737">
        <v>0</v>
      </c>
      <c r="E737">
        <v>16</v>
      </c>
      <c r="F737">
        <v>4</v>
      </c>
      <c r="G737">
        <v>1</v>
      </c>
      <c r="H737">
        <f>표5[[#This Row],[공격성공횟수]]/(표5[[#This Row],[공격실패횟수]]+표5[[#This Row],[공격성공횟수]])</f>
        <v>0</v>
      </c>
    </row>
    <row r="738" spans="1:8" x14ac:dyDescent="0.4">
      <c r="A738">
        <v>369</v>
      </c>
      <c r="B738" t="s">
        <v>0</v>
      </c>
      <c r="C738">
        <v>1</v>
      </c>
      <c r="D738">
        <v>4</v>
      </c>
      <c r="E738">
        <v>10</v>
      </c>
      <c r="F738">
        <v>0</v>
      </c>
      <c r="G738">
        <v>0</v>
      </c>
      <c r="H738">
        <f>표5[[#This Row],[공격성공횟수]]/(표5[[#This Row],[공격실패횟수]]+표5[[#This Row],[공격성공횟수]])</f>
        <v>0.2857142857142857</v>
      </c>
    </row>
    <row r="739" spans="1:8" hidden="1" x14ac:dyDescent="0.4">
      <c r="A739">
        <v>369</v>
      </c>
      <c r="B739" t="s">
        <v>1</v>
      </c>
      <c r="C739">
        <v>0</v>
      </c>
      <c r="D739">
        <v>0</v>
      </c>
      <c r="E739">
        <v>14</v>
      </c>
      <c r="F739">
        <v>4</v>
      </c>
      <c r="G739">
        <v>1</v>
      </c>
      <c r="H739">
        <f>표5[[#This Row],[공격성공횟수]]/(표5[[#This Row],[공격실패횟수]]+표5[[#This Row],[공격성공횟수]])</f>
        <v>0</v>
      </c>
    </row>
    <row r="740" spans="1:8" x14ac:dyDescent="0.4">
      <c r="A740">
        <v>370</v>
      </c>
      <c r="B740" t="s">
        <v>0</v>
      </c>
      <c r="C740">
        <v>1</v>
      </c>
      <c r="D740">
        <v>4</v>
      </c>
      <c r="E740">
        <v>12</v>
      </c>
      <c r="F740">
        <v>2</v>
      </c>
      <c r="G740">
        <v>0</v>
      </c>
      <c r="H740">
        <f>표5[[#This Row],[공격성공횟수]]/(표5[[#This Row],[공격실패횟수]]+표5[[#This Row],[공격성공횟수]])</f>
        <v>0.25</v>
      </c>
    </row>
    <row r="741" spans="1:8" hidden="1" x14ac:dyDescent="0.4">
      <c r="A741">
        <v>370</v>
      </c>
      <c r="B741" t="s">
        <v>1</v>
      </c>
      <c r="C741">
        <v>0</v>
      </c>
      <c r="D741">
        <v>2</v>
      </c>
      <c r="E741">
        <v>14</v>
      </c>
      <c r="F741">
        <v>4</v>
      </c>
      <c r="G741">
        <v>1</v>
      </c>
      <c r="H741">
        <f>표5[[#This Row],[공격성공횟수]]/(표5[[#This Row],[공격실패횟수]]+표5[[#This Row],[공격성공횟수]])</f>
        <v>0.125</v>
      </c>
    </row>
    <row r="742" spans="1:8" x14ac:dyDescent="0.4">
      <c r="A742">
        <v>371</v>
      </c>
      <c r="B742" t="s">
        <v>0</v>
      </c>
      <c r="C742">
        <v>1</v>
      </c>
      <c r="D742">
        <v>4</v>
      </c>
      <c r="E742">
        <v>9</v>
      </c>
      <c r="F742">
        <v>1</v>
      </c>
      <c r="G742">
        <v>0</v>
      </c>
      <c r="H742">
        <f>표5[[#This Row],[공격성공횟수]]/(표5[[#This Row],[공격실패횟수]]+표5[[#This Row],[공격성공횟수]])</f>
        <v>0.30769230769230771</v>
      </c>
    </row>
    <row r="743" spans="1:8" hidden="1" x14ac:dyDescent="0.4">
      <c r="A743">
        <v>371</v>
      </c>
      <c r="B743" t="s">
        <v>1</v>
      </c>
      <c r="C743">
        <v>0</v>
      </c>
      <c r="D743">
        <v>1</v>
      </c>
      <c r="E743">
        <v>12</v>
      </c>
      <c r="F743">
        <v>4</v>
      </c>
      <c r="G743">
        <v>1</v>
      </c>
      <c r="H743">
        <f>표5[[#This Row],[공격성공횟수]]/(표5[[#This Row],[공격실패횟수]]+표5[[#This Row],[공격성공횟수]])</f>
        <v>7.6923076923076927E-2</v>
      </c>
    </row>
    <row r="744" spans="1:8" x14ac:dyDescent="0.4">
      <c r="A744">
        <v>372</v>
      </c>
      <c r="B744" t="s">
        <v>0</v>
      </c>
      <c r="C744">
        <v>1</v>
      </c>
      <c r="D744">
        <v>4</v>
      </c>
      <c r="E744">
        <v>7</v>
      </c>
      <c r="F744">
        <v>2</v>
      </c>
      <c r="G744">
        <v>0</v>
      </c>
      <c r="H744">
        <f>표5[[#This Row],[공격성공횟수]]/(표5[[#This Row],[공격실패횟수]]+표5[[#This Row],[공격성공횟수]])</f>
        <v>0.36363636363636365</v>
      </c>
    </row>
    <row r="745" spans="1:8" hidden="1" x14ac:dyDescent="0.4">
      <c r="A745">
        <v>372</v>
      </c>
      <c r="B745" t="s">
        <v>1</v>
      </c>
      <c r="C745">
        <v>0</v>
      </c>
      <c r="D745">
        <v>2</v>
      </c>
      <c r="E745">
        <v>9</v>
      </c>
      <c r="F745">
        <v>4</v>
      </c>
      <c r="G745">
        <v>1</v>
      </c>
      <c r="H745">
        <f>표5[[#This Row],[공격성공횟수]]/(표5[[#This Row],[공격실패횟수]]+표5[[#This Row],[공격성공횟수]])</f>
        <v>0.18181818181818182</v>
      </c>
    </row>
    <row r="746" spans="1:8" x14ac:dyDescent="0.4">
      <c r="A746">
        <v>373</v>
      </c>
      <c r="B746" t="s">
        <v>0</v>
      </c>
      <c r="C746">
        <v>1</v>
      </c>
      <c r="D746">
        <v>4</v>
      </c>
      <c r="E746">
        <v>10</v>
      </c>
      <c r="F746">
        <v>3</v>
      </c>
      <c r="G746">
        <v>0</v>
      </c>
      <c r="H746">
        <f>표5[[#This Row],[공격성공횟수]]/(표5[[#This Row],[공격실패횟수]]+표5[[#This Row],[공격성공횟수]])</f>
        <v>0.2857142857142857</v>
      </c>
    </row>
    <row r="747" spans="1:8" hidden="1" x14ac:dyDescent="0.4">
      <c r="A747">
        <v>373</v>
      </c>
      <c r="B747" t="s">
        <v>1</v>
      </c>
      <c r="C747">
        <v>0</v>
      </c>
      <c r="D747">
        <v>3</v>
      </c>
      <c r="E747">
        <v>11</v>
      </c>
      <c r="F747">
        <v>4</v>
      </c>
      <c r="G747">
        <v>1</v>
      </c>
      <c r="H747">
        <f>표5[[#This Row],[공격성공횟수]]/(표5[[#This Row],[공격실패횟수]]+표5[[#This Row],[공격성공횟수]])</f>
        <v>0.21428571428571427</v>
      </c>
    </row>
    <row r="748" spans="1:8" x14ac:dyDescent="0.4">
      <c r="A748">
        <v>374</v>
      </c>
      <c r="B748" t="s">
        <v>0</v>
      </c>
      <c r="C748">
        <v>1</v>
      </c>
      <c r="D748">
        <v>4</v>
      </c>
      <c r="E748">
        <v>10</v>
      </c>
      <c r="F748">
        <v>1</v>
      </c>
      <c r="G748">
        <v>0</v>
      </c>
      <c r="H748">
        <f>표5[[#This Row],[공격성공횟수]]/(표5[[#This Row],[공격실패횟수]]+표5[[#This Row],[공격성공횟수]])</f>
        <v>0.2857142857142857</v>
      </c>
    </row>
    <row r="749" spans="1:8" hidden="1" x14ac:dyDescent="0.4">
      <c r="A749">
        <v>374</v>
      </c>
      <c r="B749" t="s">
        <v>1</v>
      </c>
      <c r="C749">
        <v>0</v>
      </c>
      <c r="D749">
        <v>1</v>
      </c>
      <c r="E749">
        <v>13</v>
      </c>
      <c r="F749">
        <v>4</v>
      </c>
      <c r="G749">
        <v>1</v>
      </c>
      <c r="H749">
        <f>표5[[#This Row],[공격성공횟수]]/(표5[[#This Row],[공격실패횟수]]+표5[[#This Row],[공격성공횟수]])</f>
        <v>7.1428571428571425E-2</v>
      </c>
    </row>
    <row r="750" spans="1:8" x14ac:dyDescent="0.4">
      <c r="A750">
        <v>375</v>
      </c>
      <c r="B750" t="s">
        <v>0</v>
      </c>
      <c r="C750">
        <v>0</v>
      </c>
      <c r="D750">
        <v>1</v>
      </c>
      <c r="E750">
        <v>17</v>
      </c>
      <c r="F750">
        <v>4</v>
      </c>
      <c r="G750">
        <v>1</v>
      </c>
      <c r="H750">
        <f>표5[[#This Row],[공격성공횟수]]/(표5[[#This Row],[공격실패횟수]]+표5[[#This Row],[공격성공횟수]])</f>
        <v>5.5555555555555552E-2</v>
      </c>
    </row>
    <row r="751" spans="1:8" hidden="1" x14ac:dyDescent="0.4">
      <c r="A751">
        <v>375</v>
      </c>
      <c r="B751" t="s">
        <v>1</v>
      </c>
      <c r="C751">
        <v>1</v>
      </c>
      <c r="D751">
        <v>4</v>
      </c>
      <c r="E751">
        <v>14</v>
      </c>
      <c r="F751">
        <v>1</v>
      </c>
      <c r="G751">
        <v>0</v>
      </c>
      <c r="H751">
        <f>표5[[#This Row],[공격성공횟수]]/(표5[[#This Row],[공격실패횟수]]+표5[[#This Row],[공격성공횟수]])</f>
        <v>0.22222222222222221</v>
      </c>
    </row>
    <row r="752" spans="1:8" x14ac:dyDescent="0.4">
      <c r="A752">
        <v>376</v>
      </c>
      <c r="B752" t="s">
        <v>0</v>
      </c>
      <c r="C752">
        <v>0</v>
      </c>
      <c r="D752">
        <v>1</v>
      </c>
      <c r="E752">
        <v>29</v>
      </c>
      <c r="F752">
        <v>4</v>
      </c>
      <c r="G752">
        <v>1</v>
      </c>
      <c r="H752">
        <f>표5[[#This Row],[공격성공횟수]]/(표5[[#This Row],[공격실패횟수]]+표5[[#This Row],[공격성공횟수]])</f>
        <v>3.3333333333333333E-2</v>
      </c>
    </row>
    <row r="753" spans="1:8" hidden="1" x14ac:dyDescent="0.4">
      <c r="A753">
        <v>376</v>
      </c>
      <c r="B753" t="s">
        <v>1</v>
      </c>
      <c r="C753">
        <v>1</v>
      </c>
      <c r="D753">
        <v>4</v>
      </c>
      <c r="E753">
        <v>25</v>
      </c>
      <c r="F753">
        <v>1</v>
      </c>
      <c r="G753">
        <v>0</v>
      </c>
      <c r="H753">
        <f>표5[[#This Row],[공격성공횟수]]/(표5[[#This Row],[공격실패횟수]]+표5[[#This Row],[공격성공횟수]])</f>
        <v>0.13793103448275862</v>
      </c>
    </row>
    <row r="754" spans="1:8" x14ac:dyDescent="0.4">
      <c r="A754">
        <v>377</v>
      </c>
      <c r="B754" t="s">
        <v>0</v>
      </c>
      <c r="C754">
        <v>0</v>
      </c>
      <c r="D754">
        <v>2</v>
      </c>
      <c r="E754">
        <v>7</v>
      </c>
      <c r="F754">
        <v>4</v>
      </c>
      <c r="G754">
        <v>1</v>
      </c>
      <c r="H754">
        <f>표5[[#This Row],[공격성공횟수]]/(표5[[#This Row],[공격실패횟수]]+표5[[#This Row],[공격성공횟수]])</f>
        <v>0.22222222222222221</v>
      </c>
    </row>
    <row r="755" spans="1:8" hidden="1" x14ac:dyDescent="0.4">
      <c r="A755">
        <v>377</v>
      </c>
      <c r="B755" t="s">
        <v>1</v>
      </c>
      <c r="C755">
        <v>1</v>
      </c>
      <c r="D755">
        <v>4</v>
      </c>
      <c r="E755">
        <v>5</v>
      </c>
      <c r="F755">
        <v>2</v>
      </c>
      <c r="G755">
        <v>0</v>
      </c>
      <c r="H755">
        <f>표5[[#This Row],[공격성공횟수]]/(표5[[#This Row],[공격실패횟수]]+표5[[#This Row],[공격성공횟수]])</f>
        <v>0.44444444444444442</v>
      </c>
    </row>
    <row r="756" spans="1:8" x14ac:dyDescent="0.4">
      <c r="A756">
        <v>378</v>
      </c>
      <c r="B756" t="s">
        <v>0</v>
      </c>
      <c r="C756">
        <v>1</v>
      </c>
      <c r="D756">
        <v>4</v>
      </c>
      <c r="E756">
        <v>7</v>
      </c>
      <c r="F756">
        <v>0</v>
      </c>
      <c r="G756">
        <v>0</v>
      </c>
      <c r="H756">
        <f>표5[[#This Row],[공격성공횟수]]/(표5[[#This Row],[공격실패횟수]]+표5[[#This Row],[공격성공횟수]])</f>
        <v>0.36363636363636365</v>
      </c>
    </row>
    <row r="757" spans="1:8" hidden="1" x14ac:dyDescent="0.4">
      <c r="A757">
        <v>378</v>
      </c>
      <c r="B757" t="s">
        <v>1</v>
      </c>
      <c r="C757">
        <v>0</v>
      </c>
      <c r="D757">
        <v>0</v>
      </c>
      <c r="E757">
        <v>10</v>
      </c>
      <c r="F757">
        <v>4</v>
      </c>
      <c r="G757">
        <v>1</v>
      </c>
      <c r="H757">
        <f>표5[[#This Row],[공격성공횟수]]/(표5[[#This Row],[공격실패횟수]]+표5[[#This Row],[공격성공횟수]])</f>
        <v>0</v>
      </c>
    </row>
    <row r="758" spans="1:8" x14ac:dyDescent="0.4">
      <c r="A758">
        <v>379</v>
      </c>
      <c r="B758" t="s">
        <v>0</v>
      </c>
      <c r="C758">
        <v>1</v>
      </c>
      <c r="D758">
        <v>4</v>
      </c>
      <c r="E758">
        <v>8</v>
      </c>
      <c r="F758">
        <v>0</v>
      </c>
      <c r="G758">
        <v>0</v>
      </c>
      <c r="H758">
        <f>표5[[#This Row],[공격성공횟수]]/(표5[[#This Row],[공격실패횟수]]+표5[[#This Row],[공격성공횟수]])</f>
        <v>0.33333333333333331</v>
      </c>
    </row>
    <row r="759" spans="1:8" hidden="1" x14ac:dyDescent="0.4">
      <c r="A759">
        <v>379</v>
      </c>
      <c r="B759" t="s">
        <v>1</v>
      </c>
      <c r="C759">
        <v>0</v>
      </c>
      <c r="D759">
        <v>0</v>
      </c>
      <c r="E759">
        <v>12</v>
      </c>
      <c r="F759">
        <v>4</v>
      </c>
      <c r="G759">
        <v>1</v>
      </c>
      <c r="H759">
        <f>표5[[#This Row],[공격성공횟수]]/(표5[[#This Row],[공격실패횟수]]+표5[[#This Row],[공격성공횟수]])</f>
        <v>0</v>
      </c>
    </row>
    <row r="760" spans="1:8" x14ac:dyDescent="0.4">
      <c r="A760">
        <v>380</v>
      </c>
      <c r="B760" t="s">
        <v>0</v>
      </c>
      <c r="C760">
        <v>0</v>
      </c>
      <c r="D760">
        <v>0</v>
      </c>
      <c r="E760">
        <v>26</v>
      </c>
      <c r="F760">
        <v>4</v>
      </c>
      <c r="G760">
        <v>1</v>
      </c>
      <c r="H760">
        <f>표5[[#This Row],[공격성공횟수]]/(표5[[#This Row],[공격실패횟수]]+표5[[#This Row],[공격성공횟수]])</f>
        <v>0</v>
      </c>
    </row>
    <row r="761" spans="1:8" hidden="1" x14ac:dyDescent="0.4">
      <c r="A761">
        <v>380</v>
      </c>
      <c r="B761" t="s">
        <v>1</v>
      </c>
      <c r="C761">
        <v>1</v>
      </c>
      <c r="D761">
        <v>4</v>
      </c>
      <c r="E761">
        <v>22</v>
      </c>
      <c r="F761">
        <v>0</v>
      </c>
      <c r="G761">
        <v>0</v>
      </c>
      <c r="H761">
        <f>표5[[#This Row],[공격성공횟수]]/(표5[[#This Row],[공격실패횟수]]+표5[[#This Row],[공격성공횟수]])</f>
        <v>0.15384615384615385</v>
      </c>
    </row>
    <row r="762" spans="1:8" x14ac:dyDescent="0.4">
      <c r="A762">
        <v>381</v>
      </c>
      <c r="B762" t="s">
        <v>0</v>
      </c>
      <c r="C762">
        <v>1</v>
      </c>
      <c r="D762">
        <v>4</v>
      </c>
      <c r="E762">
        <v>13</v>
      </c>
      <c r="F762">
        <v>1</v>
      </c>
      <c r="G762">
        <v>0</v>
      </c>
      <c r="H762">
        <f>표5[[#This Row],[공격성공횟수]]/(표5[[#This Row],[공격실패횟수]]+표5[[#This Row],[공격성공횟수]])</f>
        <v>0.23529411764705882</v>
      </c>
    </row>
    <row r="763" spans="1:8" hidden="1" x14ac:dyDescent="0.4">
      <c r="A763">
        <v>381</v>
      </c>
      <c r="B763" t="s">
        <v>1</v>
      </c>
      <c r="C763">
        <v>0</v>
      </c>
      <c r="D763">
        <v>1</v>
      </c>
      <c r="E763">
        <v>15</v>
      </c>
      <c r="F763">
        <v>4</v>
      </c>
      <c r="G763">
        <v>1</v>
      </c>
      <c r="H763">
        <f>표5[[#This Row],[공격성공횟수]]/(표5[[#This Row],[공격실패횟수]]+표5[[#This Row],[공격성공횟수]])</f>
        <v>6.25E-2</v>
      </c>
    </row>
    <row r="764" spans="1:8" x14ac:dyDescent="0.4">
      <c r="A764">
        <v>382</v>
      </c>
      <c r="B764" t="s">
        <v>0</v>
      </c>
      <c r="C764">
        <v>0</v>
      </c>
      <c r="D764">
        <v>0</v>
      </c>
      <c r="E764">
        <v>10</v>
      </c>
      <c r="F764">
        <v>4</v>
      </c>
      <c r="G764">
        <v>1</v>
      </c>
      <c r="H764">
        <f>표5[[#This Row],[공격성공횟수]]/(표5[[#This Row],[공격실패횟수]]+표5[[#This Row],[공격성공횟수]])</f>
        <v>0</v>
      </c>
    </row>
    <row r="765" spans="1:8" hidden="1" x14ac:dyDescent="0.4">
      <c r="A765">
        <v>382</v>
      </c>
      <c r="B765" t="s">
        <v>1</v>
      </c>
      <c r="C765">
        <v>1</v>
      </c>
      <c r="D765">
        <v>4</v>
      </c>
      <c r="E765">
        <v>7</v>
      </c>
      <c r="F765">
        <v>0</v>
      </c>
      <c r="G765">
        <v>0</v>
      </c>
      <c r="H765">
        <f>표5[[#This Row],[공격성공횟수]]/(표5[[#This Row],[공격실패횟수]]+표5[[#This Row],[공격성공횟수]])</f>
        <v>0.36363636363636365</v>
      </c>
    </row>
    <row r="766" spans="1:8" x14ac:dyDescent="0.4">
      <c r="A766">
        <v>383</v>
      </c>
      <c r="B766" t="s">
        <v>0</v>
      </c>
      <c r="C766">
        <v>1</v>
      </c>
      <c r="D766">
        <v>4</v>
      </c>
      <c r="E766">
        <v>16</v>
      </c>
      <c r="F766">
        <v>1</v>
      </c>
      <c r="G766">
        <v>0</v>
      </c>
      <c r="H766">
        <f>표5[[#This Row],[공격성공횟수]]/(표5[[#This Row],[공격실패횟수]]+표5[[#This Row],[공격성공횟수]])</f>
        <v>0.2</v>
      </c>
    </row>
    <row r="767" spans="1:8" hidden="1" x14ac:dyDescent="0.4">
      <c r="A767">
        <v>383</v>
      </c>
      <c r="B767" t="s">
        <v>1</v>
      </c>
      <c r="C767">
        <v>0</v>
      </c>
      <c r="D767">
        <v>1</v>
      </c>
      <c r="E767">
        <v>18</v>
      </c>
      <c r="F767">
        <v>4</v>
      </c>
      <c r="G767">
        <v>1</v>
      </c>
      <c r="H767">
        <f>표5[[#This Row],[공격성공횟수]]/(표5[[#This Row],[공격실패횟수]]+표5[[#This Row],[공격성공횟수]])</f>
        <v>5.2631578947368418E-2</v>
      </c>
    </row>
    <row r="768" spans="1:8" x14ac:dyDescent="0.4">
      <c r="A768">
        <v>384</v>
      </c>
      <c r="B768" t="s">
        <v>0</v>
      </c>
      <c r="C768">
        <v>0</v>
      </c>
      <c r="D768">
        <v>0</v>
      </c>
      <c r="E768">
        <v>10</v>
      </c>
      <c r="F768">
        <v>4</v>
      </c>
      <c r="G768">
        <v>1</v>
      </c>
      <c r="H768">
        <f>표5[[#This Row],[공격성공횟수]]/(표5[[#This Row],[공격실패횟수]]+표5[[#This Row],[공격성공횟수]])</f>
        <v>0</v>
      </c>
    </row>
    <row r="769" spans="1:8" hidden="1" x14ac:dyDescent="0.4">
      <c r="A769">
        <v>384</v>
      </c>
      <c r="B769" t="s">
        <v>1</v>
      </c>
      <c r="C769">
        <v>1</v>
      </c>
      <c r="D769">
        <v>4</v>
      </c>
      <c r="E769">
        <v>6</v>
      </c>
      <c r="F769">
        <v>0</v>
      </c>
      <c r="G769">
        <v>0</v>
      </c>
      <c r="H769">
        <f>표5[[#This Row],[공격성공횟수]]/(표5[[#This Row],[공격실패횟수]]+표5[[#This Row],[공격성공횟수]])</f>
        <v>0.4</v>
      </c>
    </row>
    <row r="770" spans="1:8" x14ac:dyDescent="0.4">
      <c r="A770">
        <v>385</v>
      </c>
      <c r="B770" t="s">
        <v>0</v>
      </c>
      <c r="C770">
        <v>1</v>
      </c>
      <c r="D770">
        <v>4</v>
      </c>
      <c r="E770">
        <v>21</v>
      </c>
      <c r="F770">
        <v>0</v>
      </c>
      <c r="G770">
        <v>0</v>
      </c>
      <c r="H770">
        <f>표5[[#This Row],[공격성공횟수]]/(표5[[#This Row],[공격실패횟수]]+표5[[#This Row],[공격성공횟수]])</f>
        <v>0.16</v>
      </c>
    </row>
    <row r="771" spans="1:8" hidden="1" x14ac:dyDescent="0.4">
      <c r="A771">
        <v>385</v>
      </c>
      <c r="B771" t="s">
        <v>1</v>
      </c>
      <c r="C771">
        <v>0</v>
      </c>
      <c r="D771">
        <v>0</v>
      </c>
      <c r="E771">
        <v>30</v>
      </c>
      <c r="F771">
        <v>4</v>
      </c>
      <c r="G771">
        <v>1</v>
      </c>
      <c r="H771">
        <f>표5[[#This Row],[공격성공횟수]]/(표5[[#This Row],[공격실패횟수]]+표5[[#This Row],[공격성공횟수]])</f>
        <v>0</v>
      </c>
    </row>
    <row r="772" spans="1:8" x14ac:dyDescent="0.4">
      <c r="A772">
        <v>386</v>
      </c>
      <c r="B772" t="s">
        <v>0</v>
      </c>
      <c r="C772">
        <v>1</v>
      </c>
      <c r="D772">
        <v>4</v>
      </c>
      <c r="E772">
        <v>11</v>
      </c>
      <c r="F772">
        <v>1</v>
      </c>
      <c r="G772">
        <v>0</v>
      </c>
      <c r="H772">
        <f>표5[[#This Row],[공격성공횟수]]/(표5[[#This Row],[공격실패횟수]]+표5[[#This Row],[공격성공횟수]])</f>
        <v>0.26666666666666666</v>
      </c>
    </row>
    <row r="773" spans="1:8" hidden="1" x14ac:dyDescent="0.4">
      <c r="A773">
        <v>386</v>
      </c>
      <c r="B773" t="s">
        <v>1</v>
      </c>
      <c r="C773">
        <v>0</v>
      </c>
      <c r="D773">
        <v>1</v>
      </c>
      <c r="E773">
        <v>13</v>
      </c>
      <c r="F773">
        <v>4</v>
      </c>
      <c r="G773">
        <v>1</v>
      </c>
      <c r="H773">
        <f>표5[[#This Row],[공격성공횟수]]/(표5[[#This Row],[공격실패횟수]]+표5[[#This Row],[공격성공횟수]])</f>
        <v>7.1428571428571425E-2</v>
      </c>
    </row>
    <row r="774" spans="1:8" x14ac:dyDescent="0.4">
      <c r="A774">
        <v>387</v>
      </c>
      <c r="B774" t="s">
        <v>0</v>
      </c>
      <c r="C774">
        <v>1</v>
      </c>
      <c r="D774">
        <v>4</v>
      </c>
      <c r="E774">
        <v>8</v>
      </c>
      <c r="F774">
        <v>2</v>
      </c>
      <c r="G774">
        <v>0</v>
      </c>
      <c r="H774">
        <f>표5[[#This Row],[공격성공횟수]]/(표5[[#This Row],[공격실패횟수]]+표5[[#This Row],[공격성공횟수]])</f>
        <v>0.33333333333333331</v>
      </c>
    </row>
    <row r="775" spans="1:8" hidden="1" x14ac:dyDescent="0.4">
      <c r="A775">
        <v>387</v>
      </c>
      <c r="B775" t="s">
        <v>1</v>
      </c>
      <c r="C775">
        <v>0</v>
      </c>
      <c r="D775">
        <v>2</v>
      </c>
      <c r="E775">
        <v>10</v>
      </c>
      <c r="F775">
        <v>4</v>
      </c>
      <c r="G775">
        <v>1</v>
      </c>
      <c r="H775">
        <f>표5[[#This Row],[공격성공횟수]]/(표5[[#This Row],[공격실패횟수]]+표5[[#This Row],[공격성공횟수]])</f>
        <v>0.16666666666666666</v>
      </c>
    </row>
    <row r="776" spans="1:8" x14ac:dyDescent="0.4">
      <c r="A776">
        <v>388</v>
      </c>
      <c r="B776" t="s">
        <v>0</v>
      </c>
      <c r="C776">
        <v>1</v>
      </c>
      <c r="D776">
        <v>4</v>
      </c>
      <c r="E776">
        <v>14</v>
      </c>
      <c r="F776">
        <v>2</v>
      </c>
      <c r="G776">
        <v>0</v>
      </c>
      <c r="H776">
        <f>표5[[#This Row],[공격성공횟수]]/(표5[[#This Row],[공격실패횟수]]+표5[[#This Row],[공격성공횟수]])</f>
        <v>0.22222222222222221</v>
      </c>
    </row>
    <row r="777" spans="1:8" hidden="1" x14ac:dyDescent="0.4">
      <c r="A777">
        <v>388</v>
      </c>
      <c r="B777" t="s">
        <v>1</v>
      </c>
      <c r="C777">
        <v>0</v>
      </c>
      <c r="D777">
        <v>2</v>
      </c>
      <c r="E777">
        <v>16</v>
      </c>
      <c r="F777">
        <v>4</v>
      </c>
      <c r="G777">
        <v>1</v>
      </c>
      <c r="H777">
        <f>표5[[#This Row],[공격성공횟수]]/(표5[[#This Row],[공격실패횟수]]+표5[[#This Row],[공격성공횟수]])</f>
        <v>0.1111111111111111</v>
      </c>
    </row>
    <row r="778" spans="1:8" x14ac:dyDescent="0.4">
      <c r="A778">
        <v>389</v>
      </c>
      <c r="B778" t="s">
        <v>0</v>
      </c>
      <c r="C778">
        <v>0</v>
      </c>
      <c r="D778">
        <v>2</v>
      </c>
      <c r="E778">
        <v>13</v>
      </c>
      <c r="F778">
        <v>4</v>
      </c>
      <c r="G778">
        <v>1</v>
      </c>
      <c r="H778">
        <f>표5[[#This Row],[공격성공횟수]]/(표5[[#This Row],[공격실패횟수]]+표5[[#This Row],[공격성공횟수]])</f>
        <v>0.13333333333333333</v>
      </c>
    </row>
    <row r="779" spans="1:8" hidden="1" x14ac:dyDescent="0.4">
      <c r="A779">
        <v>389</v>
      </c>
      <c r="B779" t="s">
        <v>1</v>
      </c>
      <c r="C779">
        <v>1</v>
      </c>
      <c r="D779">
        <v>4</v>
      </c>
      <c r="E779">
        <v>12</v>
      </c>
      <c r="F779">
        <v>2</v>
      </c>
      <c r="G779">
        <v>0</v>
      </c>
      <c r="H779">
        <f>표5[[#This Row],[공격성공횟수]]/(표5[[#This Row],[공격실패횟수]]+표5[[#This Row],[공격성공횟수]])</f>
        <v>0.25</v>
      </c>
    </row>
    <row r="780" spans="1:8" x14ac:dyDescent="0.4">
      <c r="A780">
        <v>390</v>
      </c>
      <c r="B780" t="s">
        <v>0</v>
      </c>
      <c r="C780">
        <v>0</v>
      </c>
      <c r="D780">
        <v>0</v>
      </c>
      <c r="E780">
        <v>27</v>
      </c>
      <c r="F780">
        <v>4</v>
      </c>
      <c r="G780">
        <v>1</v>
      </c>
      <c r="H780">
        <f>표5[[#This Row],[공격성공횟수]]/(표5[[#This Row],[공격실패횟수]]+표5[[#This Row],[공격성공횟수]])</f>
        <v>0</v>
      </c>
    </row>
    <row r="781" spans="1:8" hidden="1" x14ac:dyDescent="0.4">
      <c r="A781">
        <v>390</v>
      </c>
      <c r="B781" t="s">
        <v>1</v>
      </c>
      <c r="C781">
        <v>1</v>
      </c>
      <c r="D781">
        <v>4</v>
      </c>
      <c r="E781">
        <v>22</v>
      </c>
      <c r="F781">
        <v>0</v>
      </c>
      <c r="G781">
        <v>0</v>
      </c>
      <c r="H781">
        <f>표5[[#This Row],[공격성공횟수]]/(표5[[#This Row],[공격실패횟수]]+표5[[#This Row],[공격성공횟수]])</f>
        <v>0.15384615384615385</v>
      </c>
    </row>
    <row r="782" spans="1:8" x14ac:dyDescent="0.4">
      <c r="A782">
        <v>391</v>
      </c>
      <c r="B782" t="s">
        <v>0</v>
      </c>
      <c r="C782">
        <v>1</v>
      </c>
      <c r="D782">
        <v>4</v>
      </c>
      <c r="E782">
        <v>10</v>
      </c>
      <c r="F782">
        <v>1</v>
      </c>
      <c r="G782">
        <v>0</v>
      </c>
      <c r="H782">
        <f>표5[[#This Row],[공격성공횟수]]/(표5[[#This Row],[공격실패횟수]]+표5[[#This Row],[공격성공횟수]])</f>
        <v>0.2857142857142857</v>
      </c>
    </row>
    <row r="783" spans="1:8" hidden="1" x14ac:dyDescent="0.4">
      <c r="A783">
        <v>391</v>
      </c>
      <c r="B783" t="s">
        <v>1</v>
      </c>
      <c r="C783">
        <v>0</v>
      </c>
      <c r="D783">
        <v>1</v>
      </c>
      <c r="E783">
        <v>11</v>
      </c>
      <c r="F783">
        <v>4</v>
      </c>
      <c r="G783">
        <v>1</v>
      </c>
      <c r="H783">
        <f>표5[[#This Row],[공격성공횟수]]/(표5[[#This Row],[공격실패횟수]]+표5[[#This Row],[공격성공횟수]])</f>
        <v>8.3333333333333329E-2</v>
      </c>
    </row>
    <row r="784" spans="1:8" x14ac:dyDescent="0.4">
      <c r="A784">
        <v>392</v>
      </c>
      <c r="B784" t="s">
        <v>0</v>
      </c>
      <c r="C784">
        <v>1</v>
      </c>
      <c r="D784">
        <v>4</v>
      </c>
      <c r="E784">
        <v>6</v>
      </c>
      <c r="F784">
        <v>1</v>
      </c>
      <c r="G784">
        <v>0</v>
      </c>
      <c r="H784">
        <f>표5[[#This Row],[공격성공횟수]]/(표5[[#This Row],[공격실패횟수]]+표5[[#This Row],[공격성공횟수]])</f>
        <v>0.4</v>
      </c>
    </row>
    <row r="785" spans="1:8" hidden="1" x14ac:dyDescent="0.4">
      <c r="A785">
        <v>392</v>
      </c>
      <c r="B785" t="s">
        <v>1</v>
      </c>
      <c r="C785">
        <v>0</v>
      </c>
      <c r="D785">
        <v>1</v>
      </c>
      <c r="E785">
        <v>9</v>
      </c>
      <c r="F785">
        <v>4</v>
      </c>
      <c r="G785">
        <v>1</v>
      </c>
      <c r="H785">
        <f>표5[[#This Row],[공격성공횟수]]/(표5[[#This Row],[공격실패횟수]]+표5[[#This Row],[공격성공횟수]])</f>
        <v>0.1</v>
      </c>
    </row>
    <row r="786" spans="1:8" x14ac:dyDescent="0.4">
      <c r="A786">
        <v>393</v>
      </c>
      <c r="B786" t="s">
        <v>0</v>
      </c>
      <c r="C786">
        <v>1</v>
      </c>
      <c r="D786">
        <v>4</v>
      </c>
      <c r="E786">
        <v>10</v>
      </c>
      <c r="F786">
        <v>1</v>
      </c>
      <c r="G786">
        <v>0</v>
      </c>
      <c r="H786">
        <f>표5[[#This Row],[공격성공횟수]]/(표5[[#This Row],[공격실패횟수]]+표5[[#This Row],[공격성공횟수]])</f>
        <v>0.2857142857142857</v>
      </c>
    </row>
    <row r="787" spans="1:8" hidden="1" x14ac:dyDescent="0.4">
      <c r="A787">
        <v>393</v>
      </c>
      <c r="B787" t="s">
        <v>1</v>
      </c>
      <c r="C787">
        <v>0</v>
      </c>
      <c r="D787">
        <v>1</v>
      </c>
      <c r="E787">
        <v>13</v>
      </c>
      <c r="F787">
        <v>4</v>
      </c>
      <c r="G787">
        <v>1</v>
      </c>
      <c r="H787">
        <f>표5[[#This Row],[공격성공횟수]]/(표5[[#This Row],[공격실패횟수]]+표5[[#This Row],[공격성공횟수]])</f>
        <v>7.1428571428571425E-2</v>
      </c>
    </row>
    <row r="788" spans="1:8" x14ac:dyDescent="0.4">
      <c r="A788">
        <v>394</v>
      </c>
      <c r="B788" t="s">
        <v>0</v>
      </c>
      <c r="C788">
        <v>1</v>
      </c>
      <c r="D788">
        <v>4</v>
      </c>
      <c r="E788">
        <v>9</v>
      </c>
      <c r="F788">
        <v>2</v>
      </c>
      <c r="G788">
        <v>0</v>
      </c>
      <c r="H788">
        <f>표5[[#This Row],[공격성공횟수]]/(표5[[#This Row],[공격실패횟수]]+표5[[#This Row],[공격성공횟수]])</f>
        <v>0.30769230769230771</v>
      </c>
    </row>
    <row r="789" spans="1:8" hidden="1" x14ac:dyDescent="0.4">
      <c r="A789">
        <v>394</v>
      </c>
      <c r="B789" t="s">
        <v>1</v>
      </c>
      <c r="C789">
        <v>0</v>
      </c>
      <c r="D789">
        <v>2</v>
      </c>
      <c r="E789">
        <v>11</v>
      </c>
      <c r="F789">
        <v>4</v>
      </c>
      <c r="G789">
        <v>1</v>
      </c>
      <c r="H789">
        <f>표5[[#This Row],[공격성공횟수]]/(표5[[#This Row],[공격실패횟수]]+표5[[#This Row],[공격성공횟수]])</f>
        <v>0.15384615384615385</v>
      </c>
    </row>
    <row r="790" spans="1:8" x14ac:dyDescent="0.4">
      <c r="A790">
        <v>395</v>
      </c>
      <c r="B790" t="s">
        <v>0</v>
      </c>
      <c r="C790">
        <v>0</v>
      </c>
      <c r="D790">
        <v>0</v>
      </c>
      <c r="E790">
        <v>19</v>
      </c>
      <c r="F790">
        <v>4</v>
      </c>
      <c r="G790">
        <v>1</v>
      </c>
      <c r="H790">
        <f>표5[[#This Row],[공격성공횟수]]/(표5[[#This Row],[공격실패횟수]]+표5[[#This Row],[공격성공횟수]])</f>
        <v>0</v>
      </c>
    </row>
    <row r="791" spans="1:8" hidden="1" x14ac:dyDescent="0.4">
      <c r="A791">
        <v>395</v>
      </c>
      <c r="B791" t="s">
        <v>1</v>
      </c>
      <c r="C791">
        <v>1</v>
      </c>
      <c r="D791">
        <v>4</v>
      </c>
      <c r="E791">
        <v>15</v>
      </c>
      <c r="F791">
        <v>0</v>
      </c>
      <c r="G791">
        <v>0</v>
      </c>
      <c r="H791">
        <f>표5[[#This Row],[공격성공횟수]]/(표5[[#This Row],[공격실패횟수]]+표5[[#This Row],[공격성공횟수]])</f>
        <v>0.21052631578947367</v>
      </c>
    </row>
    <row r="792" spans="1:8" x14ac:dyDescent="0.4">
      <c r="A792">
        <v>396</v>
      </c>
      <c r="B792" t="s">
        <v>0</v>
      </c>
      <c r="C792">
        <v>1</v>
      </c>
      <c r="D792">
        <v>4</v>
      </c>
      <c r="E792">
        <v>31</v>
      </c>
      <c r="F792">
        <v>2</v>
      </c>
      <c r="G792">
        <v>0</v>
      </c>
      <c r="H792">
        <f>표5[[#This Row],[공격성공횟수]]/(표5[[#This Row],[공격실패횟수]]+표5[[#This Row],[공격성공횟수]])</f>
        <v>0.11428571428571428</v>
      </c>
    </row>
    <row r="793" spans="1:8" hidden="1" x14ac:dyDescent="0.4">
      <c r="A793">
        <v>396</v>
      </c>
      <c r="B793" t="s">
        <v>1</v>
      </c>
      <c r="C793">
        <v>0</v>
      </c>
      <c r="D793">
        <v>2</v>
      </c>
      <c r="E793">
        <v>31</v>
      </c>
      <c r="F793">
        <v>4</v>
      </c>
      <c r="G793">
        <v>1</v>
      </c>
      <c r="H793">
        <f>표5[[#This Row],[공격성공횟수]]/(표5[[#This Row],[공격실패횟수]]+표5[[#This Row],[공격성공횟수]])</f>
        <v>6.0606060606060608E-2</v>
      </c>
    </row>
    <row r="794" spans="1:8" x14ac:dyDescent="0.4">
      <c r="A794">
        <v>397</v>
      </c>
      <c r="B794" t="s">
        <v>0</v>
      </c>
      <c r="C794">
        <v>0</v>
      </c>
      <c r="D794">
        <v>3</v>
      </c>
      <c r="E794">
        <v>33</v>
      </c>
      <c r="F794">
        <v>4</v>
      </c>
      <c r="G794">
        <v>1</v>
      </c>
      <c r="H794">
        <f>표5[[#This Row],[공격성공횟수]]/(표5[[#This Row],[공격실패횟수]]+표5[[#This Row],[공격성공횟수]])</f>
        <v>8.3333333333333329E-2</v>
      </c>
    </row>
    <row r="795" spans="1:8" hidden="1" x14ac:dyDescent="0.4">
      <c r="A795">
        <v>397</v>
      </c>
      <c r="B795" t="s">
        <v>1</v>
      </c>
      <c r="C795">
        <v>1</v>
      </c>
      <c r="D795">
        <v>4</v>
      </c>
      <c r="E795">
        <v>32</v>
      </c>
      <c r="F795">
        <v>3</v>
      </c>
      <c r="G795">
        <v>0</v>
      </c>
      <c r="H795">
        <f>표5[[#This Row],[공격성공횟수]]/(표5[[#This Row],[공격실패횟수]]+표5[[#This Row],[공격성공횟수]])</f>
        <v>0.1111111111111111</v>
      </c>
    </row>
    <row r="796" spans="1:8" x14ac:dyDescent="0.4">
      <c r="A796">
        <v>398</v>
      </c>
      <c r="B796" t="s">
        <v>0</v>
      </c>
      <c r="C796">
        <v>1</v>
      </c>
      <c r="D796">
        <v>4</v>
      </c>
      <c r="E796">
        <v>7</v>
      </c>
      <c r="F796">
        <v>0</v>
      </c>
      <c r="G796">
        <v>0</v>
      </c>
      <c r="H796">
        <f>표5[[#This Row],[공격성공횟수]]/(표5[[#This Row],[공격실패횟수]]+표5[[#This Row],[공격성공횟수]])</f>
        <v>0.36363636363636365</v>
      </c>
    </row>
    <row r="797" spans="1:8" hidden="1" x14ac:dyDescent="0.4">
      <c r="A797">
        <v>398</v>
      </c>
      <c r="B797" t="s">
        <v>1</v>
      </c>
      <c r="C797">
        <v>0</v>
      </c>
      <c r="D797">
        <v>0</v>
      </c>
      <c r="E797">
        <v>10</v>
      </c>
      <c r="F797">
        <v>4</v>
      </c>
      <c r="G797">
        <v>1</v>
      </c>
      <c r="H797">
        <f>표5[[#This Row],[공격성공횟수]]/(표5[[#This Row],[공격실패횟수]]+표5[[#This Row],[공격성공횟수]])</f>
        <v>0</v>
      </c>
    </row>
    <row r="798" spans="1:8" x14ac:dyDescent="0.4">
      <c r="A798">
        <v>399</v>
      </c>
      <c r="B798" t="s">
        <v>0</v>
      </c>
      <c r="C798">
        <v>1</v>
      </c>
      <c r="D798">
        <v>4</v>
      </c>
      <c r="E798">
        <v>7</v>
      </c>
      <c r="F798">
        <v>1</v>
      </c>
      <c r="G798">
        <v>0</v>
      </c>
      <c r="H798">
        <f>표5[[#This Row],[공격성공횟수]]/(표5[[#This Row],[공격실패횟수]]+표5[[#This Row],[공격성공횟수]])</f>
        <v>0.36363636363636365</v>
      </c>
    </row>
    <row r="799" spans="1:8" hidden="1" x14ac:dyDescent="0.4">
      <c r="A799">
        <v>399</v>
      </c>
      <c r="B799" t="s">
        <v>1</v>
      </c>
      <c r="C799">
        <v>0</v>
      </c>
      <c r="D799">
        <v>1</v>
      </c>
      <c r="E799">
        <v>9</v>
      </c>
      <c r="F799">
        <v>4</v>
      </c>
      <c r="G799">
        <v>1</v>
      </c>
      <c r="H799">
        <f>표5[[#This Row],[공격성공횟수]]/(표5[[#This Row],[공격실패횟수]]+표5[[#This Row],[공격성공횟수]])</f>
        <v>0.1</v>
      </c>
    </row>
    <row r="800" spans="1:8" x14ac:dyDescent="0.4">
      <c r="A800">
        <v>400</v>
      </c>
      <c r="B800" t="s">
        <v>0</v>
      </c>
      <c r="C800">
        <v>1</v>
      </c>
      <c r="D800">
        <v>4</v>
      </c>
      <c r="E800">
        <v>12</v>
      </c>
      <c r="F800">
        <v>0</v>
      </c>
      <c r="G800">
        <v>0</v>
      </c>
      <c r="H800">
        <f>표5[[#This Row],[공격성공횟수]]/(표5[[#This Row],[공격실패횟수]]+표5[[#This Row],[공격성공횟수]])</f>
        <v>0.25</v>
      </c>
    </row>
    <row r="801" spans="1:8" hidden="1" x14ac:dyDescent="0.4">
      <c r="A801">
        <v>400</v>
      </c>
      <c r="B801" t="s">
        <v>1</v>
      </c>
      <c r="C801">
        <v>0</v>
      </c>
      <c r="D801">
        <v>0</v>
      </c>
      <c r="E801">
        <v>16</v>
      </c>
      <c r="F801">
        <v>4</v>
      </c>
      <c r="G801">
        <v>1</v>
      </c>
      <c r="H801">
        <f>표5[[#This Row],[공격성공횟수]]/(표5[[#This Row],[공격실패횟수]]+표5[[#This Row],[공격성공횟수]])</f>
        <v>0</v>
      </c>
    </row>
    <row r="802" spans="1:8" x14ac:dyDescent="0.4">
      <c r="A802">
        <v>401</v>
      </c>
      <c r="B802" t="s">
        <v>0</v>
      </c>
      <c r="C802">
        <v>1</v>
      </c>
      <c r="D802">
        <v>4</v>
      </c>
      <c r="E802">
        <v>26</v>
      </c>
      <c r="F802">
        <v>3</v>
      </c>
      <c r="G802">
        <v>0</v>
      </c>
      <c r="H802">
        <f>표5[[#This Row],[공격성공횟수]]/(표5[[#This Row],[공격실패횟수]]+표5[[#This Row],[공격성공횟수]])</f>
        <v>0.13333333333333333</v>
      </c>
    </row>
    <row r="803" spans="1:8" hidden="1" x14ac:dyDescent="0.4">
      <c r="A803">
        <v>401</v>
      </c>
      <c r="B803" t="s">
        <v>1</v>
      </c>
      <c r="C803">
        <v>0</v>
      </c>
      <c r="D803">
        <v>3</v>
      </c>
      <c r="E803">
        <v>26</v>
      </c>
      <c r="F803">
        <v>4</v>
      </c>
      <c r="G803">
        <v>1</v>
      </c>
      <c r="H803">
        <f>표5[[#This Row],[공격성공횟수]]/(표5[[#This Row],[공격실패횟수]]+표5[[#This Row],[공격성공횟수]])</f>
        <v>0.10344827586206896</v>
      </c>
    </row>
    <row r="804" spans="1:8" x14ac:dyDescent="0.4">
      <c r="A804">
        <v>402</v>
      </c>
      <c r="B804" t="s">
        <v>0</v>
      </c>
      <c r="C804">
        <v>0</v>
      </c>
      <c r="D804">
        <v>1</v>
      </c>
      <c r="E804">
        <v>30</v>
      </c>
      <c r="F804">
        <v>4</v>
      </c>
      <c r="G804">
        <v>1</v>
      </c>
      <c r="H804">
        <f>표5[[#This Row],[공격성공횟수]]/(표5[[#This Row],[공격실패횟수]]+표5[[#This Row],[공격성공횟수]])</f>
        <v>3.2258064516129031E-2</v>
      </c>
    </row>
    <row r="805" spans="1:8" hidden="1" x14ac:dyDescent="0.4">
      <c r="A805">
        <v>402</v>
      </c>
      <c r="B805" t="s">
        <v>1</v>
      </c>
      <c r="C805">
        <v>1</v>
      </c>
      <c r="D805">
        <v>4</v>
      </c>
      <c r="E805">
        <v>27</v>
      </c>
      <c r="F805">
        <v>1</v>
      </c>
      <c r="G805">
        <v>0</v>
      </c>
      <c r="H805">
        <f>표5[[#This Row],[공격성공횟수]]/(표5[[#This Row],[공격실패횟수]]+표5[[#This Row],[공격성공횟수]])</f>
        <v>0.12903225806451613</v>
      </c>
    </row>
    <row r="806" spans="1:8" x14ac:dyDescent="0.4">
      <c r="A806">
        <v>403</v>
      </c>
      <c r="B806" t="s">
        <v>0</v>
      </c>
      <c r="C806">
        <v>1</v>
      </c>
      <c r="D806">
        <v>4</v>
      </c>
      <c r="E806">
        <v>11</v>
      </c>
      <c r="F806">
        <v>1</v>
      </c>
      <c r="G806">
        <v>0</v>
      </c>
      <c r="H806">
        <f>표5[[#This Row],[공격성공횟수]]/(표5[[#This Row],[공격실패횟수]]+표5[[#This Row],[공격성공횟수]])</f>
        <v>0.26666666666666666</v>
      </c>
    </row>
    <row r="807" spans="1:8" hidden="1" x14ac:dyDescent="0.4">
      <c r="A807">
        <v>403</v>
      </c>
      <c r="B807" t="s">
        <v>1</v>
      </c>
      <c r="C807">
        <v>0</v>
      </c>
      <c r="D807">
        <v>1</v>
      </c>
      <c r="E807">
        <v>13</v>
      </c>
      <c r="F807">
        <v>4</v>
      </c>
      <c r="G807">
        <v>1</v>
      </c>
      <c r="H807">
        <f>표5[[#This Row],[공격성공횟수]]/(표5[[#This Row],[공격실패횟수]]+표5[[#This Row],[공격성공횟수]])</f>
        <v>7.1428571428571425E-2</v>
      </c>
    </row>
    <row r="808" spans="1:8" x14ac:dyDescent="0.4">
      <c r="A808">
        <v>404</v>
      </c>
      <c r="B808" t="s">
        <v>0</v>
      </c>
      <c r="C808">
        <v>1</v>
      </c>
      <c r="D808">
        <v>4</v>
      </c>
      <c r="E808">
        <v>12</v>
      </c>
      <c r="F808">
        <v>1</v>
      </c>
      <c r="G808">
        <v>0</v>
      </c>
      <c r="H808">
        <f>표5[[#This Row],[공격성공횟수]]/(표5[[#This Row],[공격실패횟수]]+표5[[#This Row],[공격성공횟수]])</f>
        <v>0.25</v>
      </c>
    </row>
    <row r="809" spans="1:8" hidden="1" x14ac:dyDescent="0.4">
      <c r="A809">
        <v>404</v>
      </c>
      <c r="B809" t="s">
        <v>1</v>
      </c>
      <c r="C809">
        <v>0</v>
      </c>
      <c r="D809">
        <v>1</v>
      </c>
      <c r="E809">
        <v>15</v>
      </c>
      <c r="F809">
        <v>4</v>
      </c>
      <c r="G809">
        <v>1</v>
      </c>
      <c r="H809">
        <f>표5[[#This Row],[공격성공횟수]]/(표5[[#This Row],[공격실패횟수]]+표5[[#This Row],[공격성공횟수]])</f>
        <v>6.25E-2</v>
      </c>
    </row>
    <row r="810" spans="1:8" x14ac:dyDescent="0.4">
      <c r="A810">
        <v>405</v>
      </c>
      <c r="B810" t="s">
        <v>0</v>
      </c>
      <c r="C810">
        <v>1</v>
      </c>
      <c r="D810">
        <v>4</v>
      </c>
      <c r="E810">
        <v>14</v>
      </c>
      <c r="F810">
        <v>3</v>
      </c>
      <c r="G810">
        <v>0</v>
      </c>
      <c r="H810">
        <f>표5[[#This Row],[공격성공횟수]]/(표5[[#This Row],[공격실패횟수]]+표5[[#This Row],[공격성공횟수]])</f>
        <v>0.22222222222222221</v>
      </c>
    </row>
    <row r="811" spans="1:8" hidden="1" x14ac:dyDescent="0.4">
      <c r="A811">
        <v>405</v>
      </c>
      <c r="B811" t="s">
        <v>1</v>
      </c>
      <c r="C811">
        <v>0</v>
      </c>
      <c r="D811">
        <v>3</v>
      </c>
      <c r="E811">
        <v>15</v>
      </c>
      <c r="F811">
        <v>4</v>
      </c>
      <c r="G811">
        <v>1</v>
      </c>
      <c r="H811">
        <f>표5[[#This Row],[공격성공횟수]]/(표5[[#This Row],[공격실패횟수]]+표5[[#This Row],[공격성공횟수]])</f>
        <v>0.16666666666666666</v>
      </c>
    </row>
    <row r="812" spans="1:8" x14ac:dyDescent="0.4">
      <c r="A812">
        <v>406</v>
      </c>
      <c r="B812" t="s">
        <v>0</v>
      </c>
      <c r="C812">
        <v>1</v>
      </c>
      <c r="D812">
        <v>4</v>
      </c>
      <c r="E812">
        <v>6</v>
      </c>
      <c r="F812">
        <v>0</v>
      </c>
      <c r="G812">
        <v>0</v>
      </c>
      <c r="H812">
        <f>표5[[#This Row],[공격성공횟수]]/(표5[[#This Row],[공격실패횟수]]+표5[[#This Row],[공격성공횟수]])</f>
        <v>0.4</v>
      </c>
    </row>
    <row r="813" spans="1:8" hidden="1" x14ac:dyDescent="0.4">
      <c r="A813">
        <v>406</v>
      </c>
      <c r="B813" t="s">
        <v>1</v>
      </c>
      <c r="C813">
        <v>0</v>
      </c>
      <c r="D813">
        <v>0</v>
      </c>
      <c r="E813">
        <v>10</v>
      </c>
      <c r="F813">
        <v>4</v>
      </c>
      <c r="G813">
        <v>1</v>
      </c>
      <c r="H813">
        <f>표5[[#This Row],[공격성공횟수]]/(표5[[#This Row],[공격실패횟수]]+표5[[#This Row],[공격성공횟수]])</f>
        <v>0</v>
      </c>
    </row>
    <row r="814" spans="1:8" x14ac:dyDescent="0.4">
      <c r="A814">
        <v>407</v>
      </c>
      <c r="B814" t="s">
        <v>0</v>
      </c>
      <c r="C814">
        <v>0</v>
      </c>
      <c r="D814">
        <v>0</v>
      </c>
      <c r="E814">
        <v>23</v>
      </c>
      <c r="F814">
        <v>4</v>
      </c>
      <c r="G814">
        <v>1</v>
      </c>
      <c r="H814">
        <f>표5[[#This Row],[공격성공횟수]]/(표5[[#This Row],[공격실패횟수]]+표5[[#This Row],[공격성공횟수]])</f>
        <v>0</v>
      </c>
    </row>
    <row r="815" spans="1:8" hidden="1" x14ac:dyDescent="0.4">
      <c r="A815">
        <v>407</v>
      </c>
      <c r="B815" t="s">
        <v>1</v>
      </c>
      <c r="C815">
        <v>1</v>
      </c>
      <c r="D815">
        <v>4</v>
      </c>
      <c r="E815">
        <v>19</v>
      </c>
      <c r="F815">
        <v>0</v>
      </c>
      <c r="G815">
        <v>0</v>
      </c>
      <c r="H815">
        <f>표5[[#This Row],[공격성공횟수]]/(표5[[#This Row],[공격실패횟수]]+표5[[#This Row],[공격성공횟수]])</f>
        <v>0.17391304347826086</v>
      </c>
    </row>
    <row r="816" spans="1:8" x14ac:dyDescent="0.4">
      <c r="A816">
        <v>408</v>
      </c>
      <c r="B816" t="s">
        <v>0</v>
      </c>
      <c r="C816">
        <v>1</v>
      </c>
      <c r="D816">
        <v>4</v>
      </c>
      <c r="E816">
        <v>13</v>
      </c>
      <c r="F816">
        <v>0</v>
      </c>
      <c r="G816">
        <v>0</v>
      </c>
      <c r="H816">
        <f>표5[[#This Row],[공격성공횟수]]/(표5[[#This Row],[공격실패횟수]]+표5[[#This Row],[공격성공횟수]])</f>
        <v>0.23529411764705882</v>
      </c>
    </row>
    <row r="817" spans="1:8" hidden="1" x14ac:dyDescent="0.4">
      <c r="A817">
        <v>408</v>
      </c>
      <c r="B817" t="s">
        <v>1</v>
      </c>
      <c r="C817">
        <v>0</v>
      </c>
      <c r="D817">
        <v>0</v>
      </c>
      <c r="E817">
        <v>16</v>
      </c>
      <c r="F817">
        <v>4</v>
      </c>
      <c r="G817">
        <v>1</v>
      </c>
      <c r="H817">
        <f>표5[[#This Row],[공격성공횟수]]/(표5[[#This Row],[공격실패횟수]]+표5[[#This Row],[공격성공횟수]])</f>
        <v>0</v>
      </c>
    </row>
    <row r="818" spans="1:8" x14ac:dyDescent="0.4">
      <c r="A818">
        <v>409</v>
      </c>
      <c r="B818" t="s">
        <v>0</v>
      </c>
      <c r="C818">
        <v>1</v>
      </c>
      <c r="D818">
        <v>4</v>
      </c>
      <c r="E818">
        <v>7</v>
      </c>
      <c r="F818">
        <v>1</v>
      </c>
      <c r="G818">
        <v>0</v>
      </c>
      <c r="H818">
        <f>표5[[#This Row],[공격성공횟수]]/(표5[[#This Row],[공격실패횟수]]+표5[[#This Row],[공격성공횟수]])</f>
        <v>0.36363636363636365</v>
      </c>
    </row>
    <row r="819" spans="1:8" hidden="1" x14ac:dyDescent="0.4">
      <c r="A819">
        <v>409</v>
      </c>
      <c r="B819" t="s">
        <v>1</v>
      </c>
      <c r="C819">
        <v>0</v>
      </c>
      <c r="D819">
        <v>1</v>
      </c>
      <c r="E819">
        <v>9</v>
      </c>
      <c r="F819">
        <v>4</v>
      </c>
      <c r="G819">
        <v>1</v>
      </c>
      <c r="H819">
        <f>표5[[#This Row],[공격성공횟수]]/(표5[[#This Row],[공격실패횟수]]+표5[[#This Row],[공격성공횟수]])</f>
        <v>0.1</v>
      </c>
    </row>
    <row r="820" spans="1:8" x14ac:dyDescent="0.4">
      <c r="A820">
        <v>410</v>
      </c>
      <c r="B820" t="s">
        <v>0</v>
      </c>
      <c r="C820">
        <v>1</v>
      </c>
      <c r="D820">
        <v>4</v>
      </c>
      <c r="E820">
        <v>7</v>
      </c>
      <c r="F820">
        <v>1</v>
      </c>
      <c r="G820">
        <v>0</v>
      </c>
      <c r="H820">
        <f>표5[[#This Row],[공격성공횟수]]/(표5[[#This Row],[공격실패횟수]]+표5[[#This Row],[공격성공횟수]])</f>
        <v>0.36363636363636365</v>
      </c>
    </row>
    <row r="821" spans="1:8" hidden="1" x14ac:dyDescent="0.4">
      <c r="A821">
        <v>410</v>
      </c>
      <c r="B821" t="s">
        <v>1</v>
      </c>
      <c r="C821">
        <v>0</v>
      </c>
      <c r="D821">
        <v>1</v>
      </c>
      <c r="E821">
        <v>10</v>
      </c>
      <c r="F821">
        <v>4</v>
      </c>
      <c r="G821">
        <v>1</v>
      </c>
      <c r="H821">
        <f>표5[[#This Row],[공격성공횟수]]/(표5[[#This Row],[공격실패횟수]]+표5[[#This Row],[공격성공횟수]])</f>
        <v>9.0909090909090912E-2</v>
      </c>
    </row>
    <row r="822" spans="1:8" x14ac:dyDescent="0.4">
      <c r="A822">
        <v>411</v>
      </c>
      <c r="B822" t="s">
        <v>0</v>
      </c>
      <c r="C822">
        <v>1</v>
      </c>
      <c r="D822">
        <v>4</v>
      </c>
      <c r="E822">
        <v>20</v>
      </c>
      <c r="F822">
        <v>0</v>
      </c>
      <c r="G822">
        <v>0</v>
      </c>
      <c r="H822">
        <f>표5[[#This Row],[공격성공횟수]]/(표5[[#This Row],[공격실패횟수]]+표5[[#This Row],[공격성공횟수]])</f>
        <v>0.16666666666666666</v>
      </c>
    </row>
    <row r="823" spans="1:8" hidden="1" x14ac:dyDescent="0.4">
      <c r="A823">
        <v>411</v>
      </c>
      <c r="B823" t="s">
        <v>1</v>
      </c>
      <c r="C823">
        <v>0</v>
      </c>
      <c r="D823">
        <v>0</v>
      </c>
      <c r="E823">
        <v>23</v>
      </c>
      <c r="F823">
        <v>4</v>
      </c>
      <c r="G823">
        <v>1</v>
      </c>
      <c r="H823">
        <f>표5[[#This Row],[공격성공횟수]]/(표5[[#This Row],[공격실패횟수]]+표5[[#This Row],[공격성공횟수]])</f>
        <v>0</v>
      </c>
    </row>
    <row r="824" spans="1:8" x14ac:dyDescent="0.4">
      <c r="A824">
        <v>412</v>
      </c>
      <c r="B824" t="s">
        <v>0</v>
      </c>
      <c r="C824">
        <v>1</v>
      </c>
      <c r="D824">
        <v>4</v>
      </c>
      <c r="E824">
        <v>11</v>
      </c>
      <c r="F824">
        <v>1</v>
      </c>
      <c r="G824">
        <v>0</v>
      </c>
      <c r="H824">
        <f>표5[[#This Row],[공격성공횟수]]/(표5[[#This Row],[공격실패횟수]]+표5[[#This Row],[공격성공횟수]])</f>
        <v>0.26666666666666666</v>
      </c>
    </row>
    <row r="825" spans="1:8" hidden="1" x14ac:dyDescent="0.4">
      <c r="A825">
        <v>412</v>
      </c>
      <c r="B825" t="s">
        <v>1</v>
      </c>
      <c r="C825">
        <v>0</v>
      </c>
      <c r="D825">
        <v>1</v>
      </c>
      <c r="E825">
        <v>14</v>
      </c>
      <c r="F825">
        <v>4</v>
      </c>
      <c r="G825">
        <v>1</v>
      </c>
      <c r="H825">
        <f>표5[[#This Row],[공격성공횟수]]/(표5[[#This Row],[공격실패횟수]]+표5[[#This Row],[공격성공횟수]])</f>
        <v>6.6666666666666666E-2</v>
      </c>
    </row>
    <row r="826" spans="1:8" x14ac:dyDescent="0.4">
      <c r="A826">
        <v>413</v>
      </c>
      <c r="B826" t="s">
        <v>0</v>
      </c>
      <c r="C826">
        <v>1</v>
      </c>
      <c r="D826">
        <v>4</v>
      </c>
      <c r="E826">
        <v>20</v>
      </c>
      <c r="F826">
        <v>1</v>
      </c>
      <c r="G826">
        <v>0</v>
      </c>
      <c r="H826">
        <f>표5[[#This Row],[공격성공횟수]]/(표5[[#This Row],[공격실패횟수]]+표5[[#This Row],[공격성공횟수]])</f>
        <v>0.16666666666666666</v>
      </c>
    </row>
    <row r="827" spans="1:8" hidden="1" x14ac:dyDescent="0.4">
      <c r="A827">
        <v>413</v>
      </c>
      <c r="B827" t="s">
        <v>1</v>
      </c>
      <c r="C827">
        <v>0</v>
      </c>
      <c r="D827">
        <v>1</v>
      </c>
      <c r="E827">
        <v>22</v>
      </c>
      <c r="F827">
        <v>4</v>
      </c>
      <c r="G827">
        <v>1</v>
      </c>
      <c r="H827">
        <f>표5[[#This Row],[공격성공횟수]]/(표5[[#This Row],[공격실패횟수]]+표5[[#This Row],[공격성공횟수]])</f>
        <v>4.3478260869565216E-2</v>
      </c>
    </row>
    <row r="828" spans="1:8" x14ac:dyDescent="0.4">
      <c r="A828">
        <v>414</v>
      </c>
      <c r="B828" t="s">
        <v>0</v>
      </c>
      <c r="C828">
        <v>1</v>
      </c>
      <c r="D828">
        <v>4</v>
      </c>
      <c r="E828">
        <v>25</v>
      </c>
      <c r="F828">
        <v>3</v>
      </c>
      <c r="G828">
        <v>0</v>
      </c>
      <c r="H828">
        <f>표5[[#This Row],[공격성공횟수]]/(표5[[#This Row],[공격실패횟수]]+표5[[#This Row],[공격성공횟수]])</f>
        <v>0.13793103448275862</v>
      </c>
    </row>
    <row r="829" spans="1:8" hidden="1" x14ac:dyDescent="0.4">
      <c r="A829">
        <v>414</v>
      </c>
      <c r="B829" t="s">
        <v>1</v>
      </c>
      <c r="C829">
        <v>0</v>
      </c>
      <c r="D829">
        <v>3</v>
      </c>
      <c r="E829">
        <v>26</v>
      </c>
      <c r="F829">
        <v>4</v>
      </c>
      <c r="G829">
        <v>1</v>
      </c>
      <c r="H829">
        <f>표5[[#This Row],[공격성공횟수]]/(표5[[#This Row],[공격실패횟수]]+표5[[#This Row],[공격성공횟수]])</f>
        <v>0.10344827586206896</v>
      </c>
    </row>
    <row r="830" spans="1:8" x14ac:dyDescent="0.4">
      <c r="A830">
        <v>415</v>
      </c>
      <c r="B830" t="s">
        <v>0</v>
      </c>
      <c r="C830">
        <v>1</v>
      </c>
      <c r="D830">
        <v>4</v>
      </c>
      <c r="E830">
        <v>19</v>
      </c>
      <c r="F830">
        <v>2</v>
      </c>
      <c r="G830">
        <v>0</v>
      </c>
      <c r="H830">
        <f>표5[[#This Row],[공격성공횟수]]/(표5[[#This Row],[공격실패횟수]]+표5[[#This Row],[공격성공횟수]])</f>
        <v>0.17391304347826086</v>
      </c>
    </row>
    <row r="831" spans="1:8" hidden="1" x14ac:dyDescent="0.4">
      <c r="A831">
        <v>415</v>
      </c>
      <c r="B831" t="s">
        <v>1</v>
      </c>
      <c r="C831">
        <v>0</v>
      </c>
      <c r="D831">
        <v>2</v>
      </c>
      <c r="E831">
        <v>20</v>
      </c>
      <c r="F831">
        <v>4</v>
      </c>
      <c r="G831">
        <v>1</v>
      </c>
      <c r="H831">
        <f>표5[[#This Row],[공격성공횟수]]/(표5[[#This Row],[공격실패횟수]]+표5[[#This Row],[공격성공횟수]])</f>
        <v>9.0909090909090912E-2</v>
      </c>
    </row>
    <row r="832" spans="1:8" x14ac:dyDescent="0.4">
      <c r="A832">
        <v>416</v>
      </c>
      <c r="B832" t="s">
        <v>0</v>
      </c>
      <c r="C832">
        <v>1</v>
      </c>
      <c r="D832">
        <v>4</v>
      </c>
      <c r="E832">
        <v>3</v>
      </c>
      <c r="F832">
        <v>0</v>
      </c>
      <c r="G832">
        <v>0</v>
      </c>
      <c r="H832">
        <f>표5[[#This Row],[공격성공횟수]]/(표5[[#This Row],[공격실패횟수]]+표5[[#This Row],[공격성공횟수]])</f>
        <v>0.5714285714285714</v>
      </c>
    </row>
    <row r="833" spans="1:8" hidden="1" x14ac:dyDescent="0.4">
      <c r="A833">
        <v>416</v>
      </c>
      <c r="B833" t="s">
        <v>1</v>
      </c>
      <c r="C833">
        <v>0</v>
      </c>
      <c r="D833">
        <v>0</v>
      </c>
      <c r="E833">
        <v>7</v>
      </c>
      <c r="F833">
        <v>4</v>
      </c>
      <c r="G833">
        <v>1</v>
      </c>
      <c r="H833">
        <f>표5[[#This Row],[공격성공횟수]]/(표5[[#This Row],[공격실패횟수]]+표5[[#This Row],[공격성공횟수]])</f>
        <v>0</v>
      </c>
    </row>
    <row r="834" spans="1:8" x14ac:dyDescent="0.4">
      <c r="A834">
        <v>417</v>
      </c>
      <c r="B834" t="s">
        <v>0</v>
      </c>
      <c r="C834">
        <v>1</v>
      </c>
      <c r="D834">
        <v>4</v>
      </c>
      <c r="E834">
        <v>18</v>
      </c>
      <c r="F834">
        <v>1</v>
      </c>
      <c r="G834">
        <v>0</v>
      </c>
      <c r="H834">
        <f>표5[[#This Row],[공격성공횟수]]/(표5[[#This Row],[공격실패횟수]]+표5[[#This Row],[공격성공횟수]])</f>
        <v>0.18181818181818182</v>
      </c>
    </row>
    <row r="835" spans="1:8" hidden="1" x14ac:dyDescent="0.4">
      <c r="A835">
        <v>417</v>
      </c>
      <c r="B835" t="s">
        <v>1</v>
      </c>
      <c r="C835">
        <v>0</v>
      </c>
      <c r="D835">
        <v>1</v>
      </c>
      <c r="E835">
        <v>24</v>
      </c>
      <c r="F835">
        <v>4</v>
      </c>
      <c r="G835">
        <v>1</v>
      </c>
      <c r="H835">
        <f>표5[[#This Row],[공격성공횟수]]/(표5[[#This Row],[공격실패횟수]]+표5[[#This Row],[공격성공횟수]])</f>
        <v>0.04</v>
      </c>
    </row>
    <row r="836" spans="1:8" x14ac:dyDescent="0.4">
      <c r="A836">
        <v>418</v>
      </c>
      <c r="B836" t="s">
        <v>0</v>
      </c>
      <c r="C836">
        <v>1</v>
      </c>
      <c r="D836">
        <v>4</v>
      </c>
      <c r="E836">
        <v>3</v>
      </c>
      <c r="F836">
        <v>0</v>
      </c>
      <c r="G836">
        <v>0</v>
      </c>
      <c r="H836">
        <f>표5[[#This Row],[공격성공횟수]]/(표5[[#This Row],[공격실패횟수]]+표5[[#This Row],[공격성공횟수]])</f>
        <v>0.5714285714285714</v>
      </c>
    </row>
    <row r="837" spans="1:8" hidden="1" x14ac:dyDescent="0.4">
      <c r="A837">
        <v>418</v>
      </c>
      <c r="B837" t="s">
        <v>1</v>
      </c>
      <c r="C837">
        <v>0</v>
      </c>
      <c r="D837">
        <v>0</v>
      </c>
      <c r="E837">
        <v>7</v>
      </c>
      <c r="F837">
        <v>4</v>
      </c>
      <c r="G837">
        <v>1</v>
      </c>
      <c r="H837">
        <f>표5[[#This Row],[공격성공횟수]]/(표5[[#This Row],[공격실패횟수]]+표5[[#This Row],[공격성공횟수]])</f>
        <v>0</v>
      </c>
    </row>
    <row r="838" spans="1:8" x14ac:dyDescent="0.4">
      <c r="A838">
        <v>419</v>
      </c>
      <c r="B838" t="s">
        <v>0</v>
      </c>
      <c r="C838">
        <v>1</v>
      </c>
      <c r="D838">
        <v>4</v>
      </c>
      <c r="E838">
        <v>7</v>
      </c>
      <c r="F838">
        <v>2</v>
      </c>
      <c r="G838">
        <v>0</v>
      </c>
      <c r="H838">
        <f>표5[[#This Row],[공격성공횟수]]/(표5[[#This Row],[공격실패횟수]]+표5[[#This Row],[공격성공횟수]])</f>
        <v>0.36363636363636365</v>
      </c>
    </row>
    <row r="839" spans="1:8" hidden="1" x14ac:dyDescent="0.4">
      <c r="A839">
        <v>419</v>
      </c>
      <c r="B839" t="s">
        <v>1</v>
      </c>
      <c r="C839">
        <v>0</v>
      </c>
      <c r="D839">
        <v>2</v>
      </c>
      <c r="E839">
        <v>9</v>
      </c>
      <c r="F839">
        <v>4</v>
      </c>
      <c r="G839">
        <v>1</v>
      </c>
      <c r="H839">
        <f>표5[[#This Row],[공격성공횟수]]/(표5[[#This Row],[공격실패횟수]]+표5[[#This Row],[공격성공횟수]])</f>
        <v>0.18181818181818182</v>
      </c>
    </row>
    <row r="840" spans="1:8" x14ac:dyDescent="0.4">
      <c r="A840">
        <v>420</v>
      </c>
      <c r="B840" t="s">
        <v>0</v>
      </c>
      <c r="C840">
        <v>1</v>
      </c>
      <c r="D840">
        <v>4</v>
      </c>
      <c r="E840">
        <v>10</v>
      </c>
      <c r="F840">
        <v>0</v>
      </c>
      <c r="G840">
        <v>0</v>
      </c>
      <c r="H840">
        <f>표5[[#This Row],[공격성공횟수]]/(표5[[#This Row],[공격실패횟수]]+표5[[#This Row],[공격성공횟수]])</f>
        <v>0.2857142857142857</v>
      </c>
    </row>
    <row r="841" spans="1:8" hidden="1" x14ac:dyDescent="0.4">
      <c r="A841">
        <v>420</v>
      </c>
      <c r="B841" t="s">
        <v>1</v>
      </c>
      <c r="C841">
        <v>0</v>
      </c>
      <c r="D841">
        <v>0</v>
      </c>
      <c r="E841">
        <v>14</v>
      </c>
      <c r="F841">
        <v>4</v>
      </c>
      <c r="G841">
        <v>1</v>
      </c>
      <c r="H841">
        <f>표5[[#This Row],[공격성공횟수]]/(표5[[#This Row],[공격실패횟수]]+표5[[#This Row],[공격성공횟수]])</f>
        <v>0</v>
      </c>
    </row>
    <row r="842" spans="1:8" x14ac:dyDescent="0.4">
      <c r="A842">
        <v>421</v>
      </c>
      <c r="B842" t="s">
        <v>0</v>
      </c>
      <c r="C842">
        <v>1</v>
      </c>
      <c r="D842">
        <v>4</v>
      </c>
      <c r="E842">
        <v>9</v>
      </c>
      <c r="F842">
        <v>1</v>
      </c>
      <c r="G842">
        <v>0</v>
      </c>
      <c r="H842">
        <f>표5[[#This Row],[공격성공횟수]]/(표5[[#This Row],[공격실패횟수]]+표5[[#This Row],[공격성공횟수]])</f>
        <v>0.30769230769230771</v>
      </c>
    </row>
    <row r="843" spans="1:8" hidden="1" x14ac:dyDescent="0.4">
      <c r="A843">
        <v>421</v>
      </c>
      <c r="B843" t="s">
        <v>1</v>
      </c>
      <c r="C843">
        <v>0</v>
      </c>
      <c r="D843">
        <v>1</v>
      </c>
      <c r="E843">
        <v>12</v>
      </c>
      <c r="F843">
        <v>4</v>
      </c>
      <c r="G843">
        <v>1</v>
      </c>
      <c r="H843">
        <f>표5[[#This Row],[공격성공횟수]]/(표5[[#This Row],[공격실패횟수]]+표5[[#This Row],[공격성공횟수]])</f>
        <v>7.6923076923076927E-2</v>
      </c>
    </row>
    <row r="844" spans="1:8" x14ac:dyDescent="0.4">
      <c r="A844">
        <v>422</v>
      </c>
      <c r="B844" t="s">
        <v>0</v>
      </c>
      <c r="C844">
        <v>1</v>
      </c>
      <c r="D844">
        <v>4</v>
      </c>
      <c r="E844">
        <v>20</v>
      </c>
      <c r="F844">
        <v>1</v>
      </c>
      <c r="G844">
        <v>0</v>
      </c>
      <c r="H844">
        <f>표5[[#This Row],[공격성공횟수]]/(표5[[#This Row],[공격실패횟수]]+표5[[#This Row],[공격성공횟수]])</f>
        <v>0.16666666666666666</v>
      </c>
    </row>
    <row r="845" spans="1:8" hidden="1" x14ac:dyDescent="0.4">
      <c r="A845">
        <v>422</v>
      </c>
      <c r="B845" t="s">
        <v>1</v>
      </c>
      <c r="C845">
        <v>0</v>
      </c>
      <c r="D845">
        <v>1</v>
      </c>
      <c r="E845">
        <v>23</v>
      </c>
      <c r="F845">
        <v>4</v>
      </c>
      <c r="G845">
        <v>1</v>
      </c>
      <c r="H845">
        <f>표5[[#This Row],[공격성공횟수]]/(표5[[#This Row],[공격실패횟수]]+표5[[#This Row],[공격성공횟수]])</f>
        <v>4.1666666666666664E-2</v>
      </c>
    </row>
    <row r="846" spans="1:8" x14ac:dyDescent="0.4">
      <c r="A846">
        <v>423</v>
      </c>
      <c r="B846" t="s">
        <v>0</v>
      </c>
      <c r="C846">
        <v>1</v>
      </c>
      <c r="D846">
        <v>4</v>
      </c>
      <c r="E846">
        <v>6</v>
      </c>
      <c r="F846">
        <v>0</v>
      </c>
      <c r="G846">
        <v>0</v>
      </c>
      <c r="H846">
        <f>표5[[#This Row],[공격성공횟수]]/(표5[[#This Row],[공격실패횟수]]+표5[[#This Row],[공격성공횟수]])</f>
        <v>0.4</v>
      </c>
    </row>
    <row r="847" spans="1:8" hidden="1" x14ac:dyDescent="0.4">
      <c r="A847">
        <v>423</v>
      </c>
      <c r="B847" t="s">
        <v>1</v>
      </c>
      <c r="C847">
        <v>0</v>
      </c>
      <c r="D847">
        <v>0</v>
      </c>
      <c r="E847">
        <v>9</v>
      </c>
      <c r="F847">
        <v>4</v>
      </c>
      <c r="G847">
        <v>1</v>
      </c>
      <c r="H847">
        <f>표5[[#This Row],[공격성공횟수]]/(표5[[#This Row],[공격실패횟수]]+표5[[#This Row],[공격성공횟수]])</f>
        <v>0</v>
      </c>
    </row>
    <row r="848" spans="1:8" x14ac:dyDescent="0.4">
      <c r="A848">
        <v>424</v>
      </c>
      <c r="B848" t="s">
        <v>0</v>
      </c>
      <c r="C848">
        <v>1</v>
      </c>
      <c r="D848">
        <v>4</v>
      </c>
      <c r="E848">
        <v>14</v>
      </c>
      <c r="F848">
        <v>3</v>
      </c>
      <c r="G848">
        <v>0</v>
      </c>
      <c r="H848">
        <f>표5[[#This Row],[공격성공횟수]]/(표5[[#This Row],[공격실패횟수]]+표5[[#This Row],[공격성공횟수]])</f>
        <v>0.22222222222222221</v>
      </c>
    </row>
    <row r="849" spans="1:8" hidden="1" x14ac:dyDescent="0.4">
      <c r="A849">
        <v>424</v>
      </c>
      <c r="B849" t="s">
        <v>1</v>
      </c>
      <c r="C849">
        <v>0</v>
      </c>
      <c r="D849">
        <v>3</v>
      </c>
      <c r="E849">
        <v>17</v>
      </c>
      <c r="F849">
        <v>4</v>
      </c>
      <c r="G849">
        <v>1</v>
      </c>
      <c r="H849">
        <f>표5[[#This Row],[공격성공횟수]]/(표5[[#This Row],[공격실패횟수]]+표5[[#This Row],[공격성공횟수]])</f>
        <v>0.15</v>
      </c>
    </row>
    <row r="850" spans="1:8" x14ac:dyDescent="0.4">
      <c r="A850">
        <v>425</v>
      </c>
      <c r="B850" t="s">
        <v>0</v>
      </c>
      <c r="C850">
        <v>1</v>
      </c>
      <c r="D850">
        <v>4</v>
      </c>
      <c r="E850">
        <v>8</v>
      </c>
      <c r="F850">
        <v>0</v>
      </c>
      <c r="G850">
        <v>0</v>
      </c>
      <c r="H850">
        <f>표5[[#This Row],[공격성공횟수]]/(표5[[#This Row],[공격실패횟수]]+표5[[#This Row],[공격성공횟수]])</f>
        <v>0.33333333333333331</v>
      </c>
    </row>
    <row r="851" spans="1:8" hidden="1" x14ac:dyDescent="0.4">
      <c r="A851">
        <v>425</v>
      </c>
      <c r="B851" t="s">
        <v>1</v>
      </c>
      <c r="C851">
        <v>0</v>
      </c>
      <c r="D851">
        <v>0</v>
      </c>
      <c r="E851">
        <v>11</v>
      </c>
      <c r="F851">
        <v>4</v>
      </c>
      <c r="G851">
        <v>1</v>
      </c>
      <c r="H851">
        <f>표5[[#This Row],[공격성공횟수]]/(표5[[#This Row],[공격실패횟수]]+표5[[#This Row],[공격성공횟수]])</f>
        <v>0</v>
      </c>
    </row>
    <row r="852" spans="1:8" x14ac:dyDescent="0.4">
      <c r="A852">
        <v>426</v>
      </c>
      <c r="B852" t="s">
        <v>0</v>
      </c>
      <c r="C852">
        <v>0</v>
      </c>
      <c r="D852">
        <v>0</v>
      </c>
      <c r="E852">
        <v>16</v>
      </c>
      <c r="F852">
        <v>4</v>
      </c>
      <c r="G852">
        <v>1</v>
      </c>
      <c r="H852">
        <f>표5[[#This Row],[공격성공횟수]]/(표5[[#This Row],[공격실패횟수]]+표5[[#This Row],[공격성공횟수]])</f>
        <v>0</v>
      </c>
    </row>
    <row r="853" spans="1:8" hidden="1" x14ac:dyDescent="0.4">
      <c r="A853">
        <v>426</v>
      </c>
      <c r="B853" t="s">
        <v>1</v>
      </c>
      <c r="C853">
        <v>1</v>
      </c>
      <c r="D853">
        <v>4</v>
      </c>
      <c r="E853">
        <v>13</v>
      </c>
      <c r="F853">
        <v>0</v>
      </c>
      <c r="G853">
        <v>0</v>
      </c>
      <c r="H853">
        <f>표5[[#This Row],[공격성공횟수]]/(표5[[#This Row],[공격실패횟수]]+표5[[#This Row],[공격성공횟수]])</f>
        <v>0.23529411764705882</v>
      </c>
    </row>
    <row r="854" spans="1:8" x14ac:dyDescent="0.4">
      <c r="A854">
        <v>427</v>
      </c>
      <c r="B854" t="s">
        <v>0</v>
      </c>
      <c r="C854">
        <v>1</v>
      </c>
      <c r="D854">
        <v>4</v>
      </c>
      <c r="E854">
        <v>11</v>
      </c>
      <c r="F854">
        <v>1</v>
      </c>
      <c r="G854">
        <v>0</v>
      </c>
      <c r="H854">
        <f>표5[[#This Row],[공격성공횟수]]/(표5[[#This Row],[공격실패횟수]]+표5[[#This Row],[공격성공횟수]])</f>
        <v>0.26666666666666666</v>
      </c>
    </row>
    <row r="855" spans="1:8" hidden="1" x14ac:dyDescent="0.4">
      <c r="A855">
        <v>427</v>
      </c>
      <c r="B855" t="s">
        <v>1</v>
      </c>
      <c r="C855">
        <v>0</v>
      </c>
      <c r="D855">
        <v>1</v>
      </c>
      <c r="E855">
        <v>12</v>
      </c>
      <c r="F855">
        <v>4</v>
      </c>
      <c r="G855">
        <v>1</v>
      </c>
      <c r="H855">
        <f>표5[[#This Row],[공격성공횟수]]/(표5[[#This Row],[공격실패횟수]]+표5[[#This Row],[공격성공횟수]])</f>
        <v>7.6923076923076927E-2</v>
      </c>
    </row>
    <row r="856" spans="1:8" x14ac:dyDescent="0.4">
      <c r="A856">
        <v>428</v>
      </c>
      <c r="B856" t="s">
        <v>0</v>
      </c>
      <c r="C856">
        <v>1</v>
      </c>
      <c r="D856">
        <v>4</v>
      </c>
      <c r="E856">
        <v>8</v>
      </c>
      <c r="F856">
        <v>3</v>
      </c>
      <c r="G856">
        <v>0</v>
      </c>
      <c r="H856">
        <f>표5[[#This Row],[공격성공횟수]]/(표5[[#This Row],[공격실패횟수]]+표5[[#This Row],[공격성공횟수]])</f>
        <v>0.33333333333333331</v>
      </c>
    </row>
    <row r="857" spans="1:8" hidden="1" x14ac:dyDescent="0.4">
      <c r="A857">
        <v>428</v>
      </c>
      <c r="B857" t="s">
        <v>1</v>
      </c>
      <c r="C857">
        <v>0</v>
      </c>
      <c r="D857">
        <v>3</v>
      </c>
      <c r="E857">
        <v>9</v>
      </c>
      <c r="F857">
        <v>4</v>
      </c>
      <c r="G857">
        <v>1</v>
      </c>
      <c r="H857">
        <f>표5[[#This Row],[공격성공횟수]]/(표5[[#This Row],[공격실패횟수]]+표5[[#This Row],[공격성공횟수]])</f>
        <v>0.25</v>
      </c>
    </row>
    <row r="858" spans="1:8" x14ac:dyDescent="0.4">
      <c r="A858">
        <v>429</v>
      </c>
      <c r="B858" t="s">
        <v>0</v>
      </c>
      <c r="C858">
        <v>1</v>
      </c>
      <c r="D858">
        <v>4</v>
      </c>
      <c r="E858">
        <v>6</v>
      </c>
      <c r="F858">
        <v>0</v>
      </c>
      <c r="G858">
        <v>0</v>
      </c>
      <c r="H858">
        <f>표5[[#This Row],[공격성공횟수]]/(표5[[#This Row],[공격실패횟수]]+표5[[#This Row],[공격성공횟수]])</f>
        <v>0.4</v>
      </c>
    </row>
    <row r="859" spans="1:8" hidden="1" x14ac:dyDescent="0.4">
      <c r="A859">
        <v>429</v>
      </c>
      <c r="B859" t="s">
        <v>1</v>
      </c>
      <c r="C859">
        <v>0</v>
      </c>
      <c r="D859">
        <v>0</v>
      </c>
      <c r="E859">
        <v>10</v>
      </c>
      <c r="F859">
        <v>4</v>
      </c>
      <c r="G859">
        <v>1</v>
      </c>
      <c r="H859">
        <f>표5[[#This Row],[공격성공횟수]]/(표5[[#This Row],[공격실패횟수]]+표5[[#This Row],[공격성공횟수]])</f>
        <v>0</v>
      </c>
    </row>
    <row r="860" spans="1:8" x14ac:dyDescent="0.4">
      <c r="A860">
        <v>430</v>
      </c>
      <c r="B860" t="s">
        <v>0</v>
      </c>
      <c r="C860">
        <v>1</v>
      </c>
      <c r="D860">
        <v>4</v>
      </c>
      <c r="E860">
        <v>11</v>
      </c>
      <c r="F860">
        <v>0</v>
      </c>
      <c r="G860">
        <v>0</v>
      </c>
      <c r="H860">
        <f>표5[[#This Row],[공격성공횟수]]/(표5[[#This Row],[공격실패횟수]]+표5[[#This Row],[공격성공횟수]])</f>
        <v>0.26666666666666666</v>
      </c>
    </row>
    <row r="861" spans="1:8" hidden="1" x14ac:dyDescent="0.4">
      <c r="A861">
        <v>430</v>
      </c>
      <c r="B861" t="s">
        <v>1</v>
      </c>
      <c r="C861">
        <v>0</v>
      </c>
      <c r="D861">
        <v>0</v>
      </c>
      <c r="E861">
        <v>15</v>
      </c>
      <c r="F861">
        <v>4</v>
      </c>
      <c r="G861">
        <v>1</v>
      </c>
      <c r="H861">
        <f>표5[[#This Row],[공격성공횟수]]/(표5[[#This Row],[공격실패횟수]]+표5[[#This Row],[공격성공횟수]])</f>
        <v>0</v>
      </c>
    </row>
    <row r="862" spans="1:8" x14ac:dyDescent="0.4">
      <c r="A862">
        <v>431</v>
      </c>
      <c r="B862" t="s">
        <v>0</v>
      </c>
      <c r="C862">
        <v>1</v>
      </c>
      <c r="D862">
        <v>4</v>
      </c>
      <c r="E862">
        <v>16</v>
      </c>
      <c r="F862">
        <v>3</v>
      </c>
      <c r="G862">
        <v>0</v>
      </c>
      <c r="H862">
        <f>표5[[#This Row],[공격성공횟수]]/(표5[[#This Row],[공격실패횟수]]+표5[[#This Row],[공격성공횟수]])</f>
        <v>0.2</v>
      </c>
    </row>
    <row r="863" spans="1:8" hidden="1" x14ac:dyDescent="0.4">
      <c r="A863">
        <v>431</v>
      </c>
      <c r="B863" t="s">
        <v>1</v>
      </c>
      <c r="C863">
        <v>0</v>
      </c>
      <c r="D863">
        <v>3</v>
      </c>
      <c r="E863">
        <v>17</v>
      </c>
      <c r="F863">
        <v>4</v>
      </c>
      <c r="G863">
        <v>1</v>
      </c>
      <c r="H863">
        <f>표5[[#This Row],[공격성공횟수]]/(표5[[#This Row],[공격실패횟수]]+표5[[#This Row],[공격성공횟수]])</f>
        <v>0.15</v>
      </c>
    </row>
    <row r="864" spans="1:8" x14ac:dyDescent="0.4">
      <c r="A864">
        <v>432</v>
      </c>
      <c r="B864" t="s">
        <v>0</v>
      </c>
      <c r="C864">
        <v>0</v>
      </c>
      <c r="D864">
        <v>0</v>
      </c>
      <c r="E864">
        <v>22</v>
      </c>
      <c r="F864">
        <v>4</v>
      </c>
      <c r="G864">
        <v>1</v>
      </c>
      <c r="H864">
        <f>표5[[#This Row],[공격성공횟수]]/(표5[[#This Row],[공격실패횟수]]+표5[[#This Row],[공격성공횟수]])</f>
        <v>0</v>
      </c>
    </row>
    <row r="865" spans="1:8" hidden="1" x14ac:dyDescent="0.4">
      <c r="A865">
        <v>432</v>
      </c>
      <c r="B865" t="s">
        <v>1</v>
      </c>
      <c r="C865">
        <v>1</v>
      </c>
      <c r="D865">
        <v>4</v>
      </c>
      <c r="E865">
        <v>18</v>
      </c>
      <c r="F865">
        <v>0</v>
      </c>
      <c r="G865">
        <v>0</v>
      </c>
      <c r="H865">
        <f>표5[[#This Row],[공격성공횟수]]/(표5[[#This Row],[공격실패횟수]]+표5[[#This Row],[공격성공횟수]])</f>
        <v>0.18181818181818182</v>
      </c>
    </row>
    <row r="866" spans="1:8" x14ac:dyDescent="0.4">
      <c r="A866">
        <v>433</v>
      </c>
      <c r="B866" t="s">
        <v>0</v>
      </c>
      <c r="C866">
        <v>0</v>
      </c>
      <c r="D866">
        <v>1</v>
      </c>
      <c r="E866">
        <v>14</v>
      </c>
      <c r="F866">
        <v>4</v>
      </c>
      <c r="G866">
        <v>1</v>
      </c>
      <c r="H866">
        <f>표5[[#This Row],[공격성공횟수]]/(표5[[#This Row],[공격실패횟수]]+표5[[#This Row],[공격성공횟수]])</f>
        <v>6.6666666666666666E-2</v>
      </c>
    </row>
    <row r="867" spans="1:8" hidden="1" x14ac:dyDescent="0.4">
      <c r="A867">
        <v>433</v>
      </c>
      <c r="B867" t="s">
        <v>1</v>
      </c>
      <c r="C867">
        <v>1</v>
      </c>
      <c r="D867">
        <v>4</v>
      </c>
      <c r="E867">
        <v>11</v>
      </c>
      <c r="F867">
        <v>1</v>
      </c>
      <c r="G867">
        <v>0</v>
      </c>
      <c r="H867">
        <f>표5[[#This Row],[공격성공횟수]]/(표5[[#This Row],[공격실패횟수]]+표5[[#This Row],[공격성공횟수]])</f>
        <v>0.26666666666666666</v>
      </c>
    </row>
    <row r="868" spans="1:8" x14ac:dyDescent="0.4">
      <c r="A868">
        <v>434</v>
      </c>
      <c r="B868" t="s">
        <v>0</v>
      </c>
      <c r="C868">
        <v>1</v>
      </c>
      <c r="D868">
        <v>4</v>
      </c>
      <c r="E868">
        <v>15</v>
      </c>
      <c r="F868">
        <v>1</v>
      </c>
      <c r="G868">
        <v>0</v>
      </c>
      <c r="H868">
        <f>표5[[#This Row],[공격성공횟수]]/(표5[[#This Row],[공격실패횟수]]+표5[[#This Row],[공격성공횟수]])</f>
        <v>0.21052631578947367</v>
      </c>
    </row>
    <row r="869" spans="1:8" hidden="1" x14ac:dyDescent="0.4">
      <c r="A869">
        <v>434</v>
      </c>
      <c r="B869" t="s">
        <v>1</v>
      </c>
      <c r="C869">
        <v>0</v>
      </c>
      <c r="D869">
        <v>1</v>
      </c>
      <c r="E869">
        <v>20</v>
      </c>
      <c r="F869">
        <v>4</v>
      </c>
      <c r="G869">
        <v>1</v>
      </c>
      <c r="H869">
        <f>표5[[#This Row],[공격성공횟수]]/(표5[[#This Row],[공격실패횟수]]+표5[[#This Row],[공격성공횟수]])</f>
        <v>4.7619047619047616E-2</v>
      </c>
    </row>
    <row r="870" spans="1:8" x14ac:dyDescent="0.4">
      <c r="A870">
        <v>435</v>
      </c>
      <c r="B870" t="s">
        <v>0</v>
      </c>
      <c r="C870">
        <v>1</v>
      </c>
      <c r="D870">
        <v>4</v>
      </c>
      <c r="E870">
        <v>5</v>
      </c>
      <c r="F870">
        <v>0</v>
      </c>
      <c r="G870">
        <v>0</v>
      </c>
      <c r="H870">
        <f>표5[[#This Row],[공격성공횟수]]/(표5[[#This Row],[공격실패횟수]]+표5[[#This Row],[공격성공횟수]])</f>
        <v>0.44444444444444442</v>
      </c>
    </row>
    <row r="871" spans="1:8" hidden="1" x14ac:dyDescent="0.4">
      <c r="A871">
        <v>435</v>
      </c>
      <c r="B871" t="s">
        <v>1</v>
      </c>
      <c r="C871">
        <v>0</v>
      </c>
      <c r="D871">
        <v>0</v>
      </c>
      <c r="E871">
        <v>9</v>
      </c>
      <c r="F871">
        <v>4</v>
      </c>
      <c r="G871">
        <v>1</v>
      </c>
      <c r="H871">
        <f>표5[[#This Row],[공격성공횟수]]/(표5[[#This Row],[공격실패횟수]]+표5[[#This Row],[공격성공횟수]])</f>
        <v>0</v>
      </c>
    </row>
    <row r="872" spans="1:8" x14ac:dyDescent="0.4">
      <c r="A872">
        <v>436</v>
      </c>
      <c r="B872" t="s">
        <v>0</v>
      </c>
      <c r="C872">
        <v>1</v>
      </c>
      <c r="D872">
        <v>4</v>
      </c>
      <c r="E872">
        <v>8</v>
      </c>
      <c r="F872">
        <v>1</v>
      </c>
      <c r="G872">
        <v>0</v>
      </c>
      <c r="H872">
        <f>표5[[#This Row],[공격성공횟수]]/(표5[[#This Row],[공격실패횟수]]+표5[[#This Row],[공격성공횟수]])</f>
        <v>0.33333333333333331</v>
      </c>
    </row>
    <row r="873" spans="1:8" hidden="1" x14ac:dyDescent="0.4">
      <c r="A873">
        <v>436</v>
      </c>
      <c r="B873" t="s">
        <v>1</v>
      </c>
      <c r="C873">
        <v>0</v>
      </c>
      <c r="D873">
        <v>1</v>
      </c>
      <c r="E873">
        <v>11</v>
      </c>
      <c r="F873">
        <v>4</v>
      </c>
      <c r="G873">
        <v>1</v>
      </c>
      <c r="H873">
        <f>표5[[#This Row],[공격성공횟수]]/(표5[[#This Row],[공격실패횟수]]+표5[[#This Row],[공격성공횟수]])</f>
        <v>8.3333333333333329E-2</v>
      </c>
    </row>
    <row r="874" spans="1:8" x14ac:dyDescent="0.4">
      <c r="A874">
        <v>437</v>
      </c>
      <c r="B874" t="s">
        <v>0</v>
      </c>
      <c r="C874">
        <v>0</v>
      </c>
      <c r="D874">
        <v>0</v>
      </c>
      <c r="E874">
        <v>10</v>
      </c>
      <c r="F874">
        <v>4</v>
      </c>
      <c r="G874">
        <v>1</v>
      </c>
      <c r="H874">
        <f>표5[[#This Row],[공격성공횟수]]/(표5[[#This Row],[공격실패횟수]]+표5[[#This Row],[공격성공횟수]])</f>
        <v>0</v>
      </c>
    </row>
    <row r="875" spans="1:8" hidden="1" x14ac:dyDescent="0.4">
      <c r="A875">
        <v>437</v>
      </c>
      <c r="B875" t="s">
        <v>1</v>
      </c>
      <c r="C875">
        <v>1</v>
      </c>
      <c r="D875">
        <v>4</v>
      </c>
      <c r="E875">
        <v>7</v>
      </c>
      <c r="F875">
        <v>0</v>
      </c>
      <c r="G875">
        <v>0</v>
      </c>
      <c r="H875">
        <f>표5[[#This Row],[공격성공횟수]]/(표5[[#This Row],[공격실패횟수]]+표5[[#This Row],[공격성공횟수]])</f>
        <v>0.36363636363636365</v>
      </c>
    </row>
    <row r="876" spans="1:8" x14ac:dyDescent="0.4">
      <c r="A876">
        <v>438</v>
      </c>
      <c r="B876" t="s">
        <v>0</v>
      </c>
      <c r="C876">
        <v>1</v>
      </c>
      <c r="D876">
        <v>4</v>
      </c>
      <c r="E876">
        <v>18</v>
      </c>
      <c r="F876">
        <v>0</v>
      </c>
      <c r="G876">
        <v>0</v>
      </c>
      <c r="H876">
        <f>표5[[#This Row],[공격성공횟수]]/(표5[[#This Row],[공격실패횟수]]+표5[[#This Row],[공격성공횟수]])</f>
        <v>0.18181818181818182</v>
      </c>
    </row>
    <row r="877" spans="1:8" hidden="1" x14ac:dyDescent="0.4">
      <c r="A877">
        <v>438</v>
      </c>
      <c r="B877" t="s">
        <v>1</v>
      </c>
      <c r="C877">
        <v>0</v>
      </c>
      <c r="D877">
        <v>0</v>
      </c>
      <c r="E877">
        <v>30</v>
      </c>
      <c r="F877">
        <v>4</v>
      </c>
      <c r="G877">
        <v>1</v>
      </c>
      <c r="H877">
        <f>표5[[#This Row],[공격성공횟수]]/(표5[[#This Row],[공격실패횟수]]+표5[[#This Row],[공격성공횟수]])</f>
        <v>0</v>
      </c>
    </row>
    <row r="878" spans="1:8" x14ac:dyDescent="0.4">
      <c r="A878">
        <v>439</v>
      </c>
      <c r="B878" t="s">
        <v>0</v>
      </c>
      <c r="C878">
        <v>1</v>
      </c>
      <c r="D878">
        <v>4</v>
      </c>
      <c r="E878">
        <v>10</v>
      </c>
      <c r="F878">
        <v>3</v>
      </c>
      <c r="G878">
        <v>0</v>
      </c>
      <c r="H878">
        <f>표5[[#This Row],[공격성공횟수]]/(표5[[#This Row],[공격실패횟수]]+표5[[#This Row],[공격성공횟수]])</f>
        <v>0.2857142857142857</v>
      </c>
    </row>
    <row r="879" spans="1:8" hidden="1" x14ac:dyDescent="0.4">
      <c r="A879">
        <v>439</v>
      </c>
      <c r="B879" t="s">
        <v>1</v>
      </c>
      <c r="C879">
        <v>0</v>
      </c>
      <c r="D879">
        <v>3</v>
      </c>
      <c r="E879">
        <v>11</v>
      </c>
      <c r="F879">
        <v>4</v>
      </c>
      <c r="G879">
        <v>1</v>
      </c>
      <c r="H879">
        <f>표5[[#This Row],[공격성공횟수]]/(표5[[#This Row],[공격실패횟수]]+표5[[#This Row],[공격성공횟수]])</f>
        <v>0.21428571428571427</v>
      </c>
    </row>
    <row r="880" spans="1:8" x14ac:dyDescent="0.4">
      <c r="A880">
        <v>440</v>
      </c>
      <c r="B880" t="s">
        <v>0</v>
      </c>
      <c r="C880">
        <v>1</v>
      </c>
      <c r="D880">
        <v>4</v>
      </c>
      <c r="E880">
        <v>5</v>
      </c>
      <c r="F880">
        <v>0</v>
      </c>
      <c r="G880">
        <v>0</v>
      </c>
      <c r="H880">
        <f>표5[[#This Row],[공격성공횟수]]/(표5[[#This Row],[공격실패횟수]]+표5[[#This Row],[공격성공횟수]])</f>
        <v>0.44444444444444442</v>
      </c>
    </row>
    <row r="881" spans="1:8" hidden="1" x14ac:dyDescent="0.4">
      <c r="A881">
        <v>440</v>
      </c>
      <c r="B881" t="s">
        <v>1</v>
      </c>
      <c r="C881">
        <v>0</v>
      </c>
      <c r="D881">
        <v>0</v>
      </c>
      <c r="E881">
        <v>9</v>
      </c>
      <c r="F881">
        <v>4</v>
      </c>
      <c r="G881">
        <v>1</v>
      </c>
      <c r="H881">
        <f>표5[[#This Row],[공격성공횟수]]/(표5[[#This Row],[공격실패횟수]]+표5[[#This Row],[공격성공횟수]])</f>
        <v>0</v>
      </c>
    </row>
    <row r="882" spans="1:8" x14ac:dyDescent="0.4">
      <c r="A882">
        <v>441</v>
      </c>
      <c r="B882" t="s">
        <v>0</v>
      </c>
      <c r="C882">
        <v>1</v>
      </c>
      <c r="D882">
        <v>4</v>
      </c>
      <c r="E882">
        <v>6</v>
      </c>
      <c r="F882">
        <v>2</v>
      </c>
      <c r="G882">
        <v>0</v>
      </c>
      <c r="H882">
        <f>표5[[#This Row],[공격성공횟수]]/(표5[[#This Row],[공격실패횟수]]+표5[[#This Row],[공격성공횟수]])</f>
        <v>0.4</v>
      </c>
    </row>
    <row r="883" spans="1:8" hidden="1" x14ac:dyDescent="0.4">
      <c r="A883">
        <v>441</v>
      </c>
      <c r="B883" t="s">
        <v>1</v>
      </c>
      <c r="C883">
        <v>0</v>
      </c>
      <c r="D883">
        <v>2</v>
      </c>
      <c r="E883">
        <v>8</v>
      </c>
      <c r="F883">
        <v>4</v>
      </c>
      <c r="G883">
        <v>1</v>
      </c>
      <c r="H883">
        <f>표5[[#This Row],[공격성공횟수]]/(표5[[#This Row],[공격실패횟수]]+표5[[#This Row],[공격성공횟수]])</f>
        <v>0.2</v>
      </c>
    </row>
    <row r="884" spans="1:8" x14ac:dyDescent="0.4">
      <c r="A884">
        <v>442</v>
      </c>
      <c r="B884" t="s">
        <v>0</v>
      </c>
      <c r="C884">
        <v>1</v>
      </c>
      <c r="D884">
        <v>4</v>
      </c>
      <c r="E884">
        <v>27</v>
      </c>
      <c r="F884">
        <v>3</v>
      </c>
      <c r="G884">
        <v>0</v>
      </c>
      <c r="H884">
        <f>표5[[#This Row],[공격성공횟수]]/(표5[[#This Row],[공격실패횟수]]+표5[[#This Row],[공격성공횟수]])</f>
        <v>0.12903225806451613</v>
      </c>
    </row>
    <row r="885" spans="1:8" hidden="1" x14ac:dyDescent="0.4">
      <c r="A885">
        <v>442</v>
      </c>
      <c r="B885" t="s">
        <v>1</v>
      </c>
      <c r="C885">
        <v>0</v>
      </c>
      <c r="D885">
        <v>3</v>
      </c>
      <c r="E885">
        <v>27</v>
      </c>
      <c r="F885">
        <v>4</v>
      </c>
      <c r="G885">
        <v>1</v>
      </c>
      <c r="H885">
        <f>표5[[#This Row],[공격성공횟수]]/(표5[[#This Row],[공격실패횟수]]+표5[[#This Row],[공격성공횟수]])</f>
        <v>0.1</v>
      </c>
    </row>
    <row r="886" spans="1:8" x14ac:dyDescent="0.4">
      <c r="A886">
        <v>443</v>
      </c>
      <c r="B886" t="s">
        <v>0</v>
      </c>
      <c r="C886">
        <v>0</v>
      </c>
      <c r="D886">
        <v>1</v>
      </c>
      <c r="E886">
        <v>32</v>
      </c>
      <c r="F886">
        <v>4</v>
      </c>
      <c r="G886">
        <v>1</v>
      </c>
      <c r="H886">
        <f>표5[[#This Row],[공격성공횟수]]/(표5[[#This Row],[공격실패횟수]]+표5[[#This Row],[공격성공횟수]])</f>
        <v>3.0303030303030304E-2</v>
      </c>
    </row>
    <row r="887" spans="1:8" hidden="1" x14ac:dyDescent="0.4">
      <c r="A887">
        <v>443</v>
      </c>
      <c r="B887" t="s">
        <v>1</v>
      </c>
      <c r="C887">
        <v>1</v>
      </c>
      <c r="D887">
        <v>4</v>
      </c>
      <c r="E887">
        <v>29</v>
      </c>
      <c r="F887">
        <v>1</v>
      </c>
      <c r="G887">
        <v>0</v>
      </c>
      <c r="H887">
        <f>표5[[#This Row],[공격성공횟수]]/(표5[[#This Row],[공격실패횟수]]+표5[[#This Row],[공격성공횟수]])</f>
        <v>0.12121212121212122</v>
      </c>
    </row>
    <row r="888" spans="1:8" x14ac:dyDescent="0.4">
      <c r="A888">
        <v>444</v>
      </c>
      <c r="B888" t="s">
        <v>0</v>
      </c>
      <c r="C888">
        <v>1</v>
      </c>
      <c r="D888">
        <v>4</v>
      </c>
      <c r="E888">
        <v>8</v>
      </c>
      <c r="F888">
        <v>0</v>
      </c>
      <c r="G888">
        <v>0</v>
      </c>
      <c r="H888">
        <f>표5[[#This Row],[공격성공횟수]]/(표5[[#This Row],[공격실패횟수]]+표5[[#This Row],[공격성공횟수]])</f>
        <v>0.33333333333333331</v>
      </c>
    </row>
    <row r="889" spans="1:8" hidden="1" x14ac:dyDescent="0.4">
      <c r="A889">
        <v>444</v>
      </c>
      <c r="B889" t="s">
        <v>1</v>
      </c>
      <c r="C889">
        <v>0</v>
      </c>
      <c r="D889">
        <v>0</v>
      </c>
      <c r="E889">
        <v>11</v>
      </c>
      <c r="F889">
        <v>4</v>
      </c>
      <c r="G889">
        <v>1</v>
      </c>
      <c r="H889">
        <f>표5[[#This Row],[공격성공횟수]]/(표5[[#This Row],[공격실패횟수]]+표5[[#This Row],[공격성공횟수]])</f>
        <v>0</v>
      </c>
    </row>
    <row r="890" spans="1:8" x14ac:dyDescent="0.4">
      <c r="A890">
        <v>445</v>
      </c>
      <c r="B890" t="s">
        <v>0</v>
      </c>
      <c r="C890">
        <v>1</v>
      </c>
      <c r="D890">
        <v>4</v>
      </c>
      <c r="E890">
        <v>11</v>
      </c>
      <c r="F890">
        <v>0</v>
      </c>
      <c r="G890">
        <v>0</v>
      </c>
      <c r="H890">
        <f>표5[[#This Row],[공격성공횟수]]/(표5[[#This Row],[공격실패횟수]]+표5[[#This Row],[공격성공횟수]])</f>
        <v>0.26666666666666666</v>
      </c>
    </row>
    <row r="891" spans="1:8" hidden="1" x14ac:dyDescent="0.4">
      <c r="A891">
        <v>445</v>
      </c>
      <c r="B891" t="s">
        <v>1</v>
      </c>
      <c r="C891">
        <v>0</v>
      </c>
      <c r="D891">
        <v>0</v>
      </c>
      <c r="E891">
        <v>15</v>
      </c>
      <c r="F891">
        <v>4</v>
      </c>
      <c r="G891">
        <v>1</v>
      </c>
      <c r="H891">
        <f>표5[[#This Row],[공격성공횟수]]/(표5[[#This Row],[공격실패횟수]]+표5[[#This Row],[공격성공횟수]])</f>
        <v>0</v>
      </c>
    </row>
    <row r="892" spans="1:8" x14ac:dyDescent="0.4">
      <c r="A892">
        <v>446</v>
      </c>
      <c r="B892" t="s">
        <v>0</v>
      </c>
      <c r="C892">
        <v>1</v>
      </c>
      <c r="D892">
        <v>4</v>
      </c>
      <c r="E892">
        <v>11</v>
      </c>
      <c r="F892">
        <v>0</v>
      </c>
      <c r="G892">
        <v>0</v>
      </c>
      <c r="H892">
        <f>표5[[#This Row],[공격성공횟수]]/(표5[[#This Row],[공격실패횟수]]+표5[[#This Row],[공격성공횟수]])</f>
        <v>0.26666666666666666</v>
      </c>
    </row>
    <row r="893" spans="1:8" hidden="1" x14ac:dyDescent="0.4">
      <c r="A893">
        <v>446</v>
      </c>
      <c r="B893" t="s">
        <v>1</v>
      </c>
      <c r="C893">
        <v>0</v>
      </c>
      <c r="D893">
        <v>0</v>
      </c>
      <c r="E893">
        <v>15</v>
      </c>
      <c r="F893">
        <v>4</v>
      </c>
      <c r="G893">
        <v>1</v>
      </c>
      <c r="H893">
        <f>표5[[#This Row],[공격성공횟수]]/(표5[[#This Row],[공격실패횟수]]+표5[[#This Row],[공격성공횟수]])</f>
        <v>0</v>
      </c>
    </row>
    <row r="894" spans="1:8" x14ac:dyDescent="0.4">
      <c r="A894">
        <v>447</v>
      </c>
      <c r="B894" t="s">
        <v>0</v>
      </c>
      <c r="C894">
        <v>1</v>
      </c>
      <c r="D894">
        <v>4</v>
      </c>
      <c r="E894">
        <v>12</v>
      </c>
      <c r="F894">
        <v>0</v>
      </c>
      <c r="G894">
        <v>0</v>
      </c>
      <c r="H894">
        <f>표5[[#This Row],[공격성공횟수]]/(표5[[#This Row],[공격실패횟수]]+표5[[#This Row],[공격성공횟수]])</f>
        <v>0.25</v>
      </c>
    </row>
    <row r="895" spans="1:8" hidden="1" x14ac:dyDescent="0.4">
      <c r="A895">
        <v>447</v>
      </c>
      <c r="B895" t="s">
        <v>1</v>
      </c>
      <c r="C895">
        <v>0</v>
      </c>
      <c r="D895">
        <v>0</v>
      </c>
      <c r="E895">
        <v>15</v>
      </c>
      <c r="F895">
        <v>4</v>
      </c>
      <c r="G895">
        <v>1</v>
      </c>
      <c r="H895">
        <f>표5[[#This Row],[공격성공횟수]]/(표5[[#This Row],[공격실패횟수]]+표5[[#This Row],[공격성공횟수]])</f>
        <v>0</v>
      </c>
    </row>
    <row r="896" spans="1:8" x14ac:dyDescent="0.4">
      <c r="A896">
        <v>448</v>
      </c>
      <c r="B896" t="s">
        <v>0</v>
      </c>
      <c r="C896">
        <v>1</v>
      </c>
      <c r="D896">
        <v>4</v>
      </c>
      <c r="E896">
        <v>25</v>
      </c>
      <c r="F896">
        <v>3</v>
      </c>
      <c r="G896">
        <v>0</v>
      </c>
      <c r="H896">
        <f>표5[[#This Row],[공격성공횟수]]/(표5[[#This Row],[공격실패횟수]]+표5[[#This Row],[공격성공횟수]])</f>
        <v>0.13793103448275862</v>
      </c>
    </row>
    <row r="897" spans="1:8" hidden="1" x14ac:dyDescent="0.4">
      <c r="A897">
        <v>448</v>
      </c>
      <c r="B897" t="s">
        <v>1</v>
      </c>
      <c r="C897">
        <v>0</v>
      </c>
      <c r="D897">
        <v>3</v>
      </c>
      <c r="E897">
        <v>26</v>
      </c>
      <c r="F897">
        <v>4</v>
      </c>
      <c r="G897">
        <v>1</v>
      </c>
      <c r="H897">
        <f>표5[[#This Row],[공격성공횟수]]/(표5[[#This Row],[공격실패횟수]]+표5[[#This Row],[공격성공횟수]])</f>
        <v>0.10344827586206896</v>
      </c>
    </row>
    <row r="898" spans="1:8" x14ac:dyDescent="0.4">
      <c r="A898">
        <v>449</v>
      </c>
      <c r="B898" t="s">
        <v>0</v>
      </c>
      <c r="C898">
        <v>1</v>
      </c>
      <c r="D898">
        <v>4</v>
      </c>
      <c r="E898">
        <v>9</v>
      </c>
      <c r="F898">
        <v>2</v>
      </c>
      <c r="G898">
        <v>0</v>
      </c>
      <c r="H898">
        <f>표5[[#This Row],[공격성공횟수]]/(표5[[#This Row],[공격실패횟수]]+표5[[#This Row],[공격성공횟수]])</f>
        <v>0.30769230769230771</v>
      </c>
    </row>
    <row r="899" spans="1:8" hidden="1" x14ac:dyDescent="0.4">
      <c r="A899">
        <v>449</v>
      </c>
      <c r="B899" t="s">
        <v>1</v>
      </c>
      <c r="C899">
        <v>0</v>
      </c>
      <c r="D899">
        <v>2</v>
      </c>
      <c r="E899">
        <v>11</v>
      </c>
      <c r="F899">
        <v>4</v>
      </c>
      <c r="G899">
        <v>1</v>
      </c>
      <c r="H899">
        <f>표5[[#This Row],[공격성공횟수]]/(표5[[#This Row],[공격실패횟수]]+표5[[#This Row],[공격성공횟수]])</f>
        <v>0.15384615384615385</v>
      </c>
    </row>
    <row r="900" spans="1:8" x14ac:dyDescent="0.4">
      <c r="A900">
        <v>450</v>
      </c>
      <c r="B900" t="s">
        <v>0</v>
      </c>
      <c r="C900">
        <v>1</v>
      </c>
      <c r="D900">
        <v>4</v>
      </c>
      <c r="E900">
        <v>6</v>
      </c>
      <c r="F900">
        <v>1</v>
      </c>
      <c r="G900">
        <v>0</v>
      </c>
      <c r="H900">
        <f>표5[[#This Row],[공격성공횟수]]/(표5[[#This Row],[공격실패횟수]]+표5[[#This Row],[공격성공횟수]])</f>
        <v>0.4</v>
      </c>
    </row>
    <row r="901" spans="1:8" hidden="1" x14ac:dyDescent="0.4">
      <c r="A901">
        <v>450</v>
      </c>
      <c r="B901" t="s">
        <v>1</v>
      </c>
      <c r="C901">
        <v>0</v>
      </c>
      <c r="D901">
        <v>1</v>
      </c>
      <c r="E901">
        <v>9</v>
      </c>
      <c r="F901">
        <v>4</v>
      </c>
      <c r="G901">
        <v>1</v>
      </c>
      <c r="H901">
        <f>표5[[#This Row],[공격성공횟수]]/(표5[[#This Row],[공격실패횟수]]+표5[[#This Row],[공격성공횟수]])</f>
        <v>0.1</v>
      </c>
    </row>
    <row r="902" spans="1:8" x14ac:dyDescent="0.4">
      <c r="A902">
        <v>451</v>
      </c>
      <c r="B902" t="s">
        <v>0</v>
      </c>
      <c r="C902">
        <v>0</v>
      </c>
      <c r="D902">
        <v>1</v>
      </c>
      <c r="E902">
        <v>20</v>
      </c>
      <c r="F902">
        <v>4</v>
      </c>
      <c r="G902">
        <v>1</v>
      </c>
      <c r="H902">
        <f>표5[[#This Row],[공격성공횟수]]/(표5[[#This Row],[공격실패횟수]]+표5[[#This Row],[공격성공횟수]])</f>
        <v>4.7619047619047616E-2</v>
      </c>
    </row>
    <row r="903" spans="1:8" hidden="1" x14ac:dyDescent="0.4">
      <c r="A903">
        <v>451</v>
      </c>
      <c r="B903" t="s">
        <v>1</v>
      </c>
      <c r="C903">
        <v>1</v>
      </c>
      <c r="D903">
        <v>4</v>
      </c>
      <c r="E903">
        <v>17</v>
      </c>
      <c r="F903">
        <v>1</v>
      </c>
      <c r="G903">
        <v>0</v>
      </c>
      <c r="H903">
        <f>표5[[#This Row],[공격성공횟수]]/(표5[[#This Row],[공격실패횟수]]+표5[[#This Row],[공격성공횟수]])</f>
        <v>0.19047619047619047</v>
      </c>
    </row>
    <row r="904" spans="1:8" x14ac:dyDescent="0.4">
      <c r="A904">
        <v>452</v>
      </c>
      <c r="B904" t="s">
        <v>0</v>
      </c>
      <c r="C904">
        <v>1</v>
      </c>
      <c r="D904">
        <v>4</v>
      </c>
      <c r="E904">
        <v>34</v>
      </c>
      <c r="F904">
        <v>1</v>
      </c>
      <c r="G904">
        <v>0</v>
      </c>
      <c r="H904">
        <f>표5[[#This Row],[공격성공횟수]]/(표5[[#This Row],[공격실패횟수]]+표5[[#This Row],[공격성공횟수]])</f>
        <v>0.10526315789473684</v>
      </c>
    </row>
    <row r="905" spans="1:8" hidden="1" x14ac:dyDescent="0.4">
      <c r="A905">
        <v>452</v>
      </c>
      <c r="B905" t="s">
        <v>1</v>
      </c>
      <c r="C905">
        <v>0</v>
      </c>
      <c r="D905">
        <v>1</v>
      </c>
      <c r="E905">
        <v>43</v>
      </c>
      <c r="F905">
        <v>4</v>
      </c>
      <c r="G905">
        <v>1</v>
      </c>
      <c r="H905">
        <f>표5[[#This Row],[공격성공횟수]]/(표5[[#This Row],[공격실패횟수]]+표5[[#This Row],[공격성공횟수]])</f>
        <v>2.2727272727272728E-2</v>
      </c>
    </row>
    <row r="906" spans="1:8" x14ac:dyDescent="0.4">
      <c r="A906">
        <v>453</v>
      </c>
      <c r="B906" t="s">
        <v>0</v>
      </c>
      <c r="C906">
        <v>1</v>
      </c>
      <c r="D906">
        <v>4</v>
      </c>
      <c r="E906">
        <v>21</v>
      </c>
      <c r="F906">
        <v>2</v>
      </c>
      <c r="G906">
        <v>0</v>
      </c>
      <c r="H906">
        <f>표5[[#This Row],[공격성공횟수]]/(표5[[#This Row],[공격실패횟수]]+표5[[#This Row],[공격성공횟수]])</f>
        <v>0.16</v>
      </c>
    </row>
    <row r="907" spans="1:8" hidden="1" x14ac:dyDescent="0.4">
      <c r="A907">
        <v>453</v>
      </c>
      <c r="B907" t="s">
        <v>1</v>
      </c>
      <c r="C907">
        <v>0</v>
      </c>
      <c r="D907">
        <v>2</v>
      </c>
      <c r="E907">
        <v>22</v>
      </c>
      <c r="F907">
        <v>4</v>
      </c>
      <c r="G907">
        <v>1</v>
      </c>
      <c r="H907">
        <f>표5[[#This Row],[공격성공횟수]]/(표5[[#This Row],[공격실패횟수]]+표5[[#This Row],[공격성공횟수]])</f>
        <v>8.3333333333333329E-2</v>
      </c>
    </row>
    <row r="908" spans="1:8" x14ac:dyDescent="0.4">
      <c r="A908">
        <v>454</v>
      </c>
      <c r="B908" t="s">
        <v>0</v>
      </c>
      <c r="C908">
        <v>1</v>
      </c>
      <c r="D908">
        <v>4</v>
      </c>
      <c r="E908">
        <v>9</v>
      </c>
      <c r="F908">
        <v>2</v>
      </c>
      <c r="G908">
        <v>0</v>
      </c>
      <c r="H908">
        <f>표5[[#This Row],[공격성공횟수]]/(표5[[#This Row],[공격실패횟수]]+표5[[#This Row],[공격성공횟수]])</f>
        <v>0.30769230769230771</v>
      </c>
    </row>
    <row r="909" spans="1:8" hidden="1" x14ac:dyDescent="0.4">
      <c r="A909">
        <v>454</v>
      </c>
      <c r="B909" t="s">
        <v>1</v>
      </c>
      <c r="C909">
        <v>0</v>
      </c>
      <c r="D909">
        <v>2</v>
      </c>
      <c r="E909">
        <v>11</v>
      </c>
      <c r="F909">
        <v>4</v>
      </c>
      <c r="G909">
        <v>1</v>
      </c>
      <c r="H909">
        <f>표5[[#This Row],[공격성공횟수]]/(표5[[#This Row],[공격실패횟수]]+표5[[#This Row],[공격성공횟수]])</f>
        <v>0.15384615384615385</v>
      </c>
    </row>
    <row r="910" spans="1:8" x14ac:dyDescent="0.4">
      <c r="A910">
        <v>455</v>
      </c>
      <c r="B910" t="s">
        <v>0</v>
      </c>
      <c r="C910">
        <v>1</v>
      </c>
      <c r="D910">
        <v>4</v>
      </c>
      <c r="E910">
        <v>9</v>
      </c>
      <c r="F910">
        <v>0</v>
      </c>
      <c r="G910">
        <v>0</v>
      </c>
      <c r="H910">
        <f>표5[[#This Row],[공격성공횟수]]/(표5[[#This Row],[공격실패횟수]]+표5[[#This Row],[공격성공횟수]])</f>
        <v>0.30769230769230771</v>
      </c>
    </row>
    <row r="911" spans="1:8" hidden="1" x14ac:dyDescent="0.4">
      <c r="A911">
        <v>455</v>
      </c>
      <c r="B911" t="s">
        <v>1</v>
      </c>
      <c r="C911">
        <v>0</v>
      </c>
      <c r="D911">
        <v>0</v>
      </c>
      <c r="E911">
        <v>13</v>
      </c>
      <c r="F911">
        <v>4</v>
      </c>
      <c r="G911">
        <v>1</v>
      </c>
      <c r="H911">
        <f>표5[[#This Row],[공격성공횟수]]/(표5[[#This Row],[공격실패횟수]]+표5[[#This Row],[공격성공횟수]])</f>
        <v>0</v>
      </c>
    </row>
    <row r="912" spans="1:8" x14ac:dyDescent="0.4">
      <c r="A912">
        <v>456</v>
      </c>
      <c r="B912" t="s">
        <v>0</v>
      </c>
      <c r="C912">
        <v>1</v>
      </c>
      <c r="D912">
        <v>4</v>
      </c>
      <c r="E912">
        <v>6</v>
      </c>
      <c r="F912">
        <v>1</v>
      </c>
      <c r="G912">
        <v>0</v>
      </c>
      <c r="H912">
        <f>표5[[#This Row],[공격성공횟수]]/(표5[[#This Row],[공격실패횟수]]+표5[[#This Row],[공격성공횟수]])</f>
        <v>0.4</v>
      </c>
    </row>
    <row r="913" spans="1:8" hidden="1" x14ac:dyDescent="0.4">
      <c r="A913">
        <v>456</v>
      </c>
      <c r="B913" t="s">
        <v>1</v>
      </c>
      <c r="C913">
        <v>0</v>
      </c>
      <c r="D913">
        <v>1</v>
      </c>
      <c r="E913">
        <v>8</v>
      </c>
      <c r="F913">
        <v>4</v>
      </c>
      <c r="G913">
        <v>1</v>
      </c>
      <c r="H913">
        <f>표5[[#This Row],[공격성공횟수]]/(표5[[#This Row],[공격실패횟수]]+표5[[#This Row],[공격성공횟수]])</f>
        <v>0.1111111111111111</v>
      </c>
    </row>
    <row r="914" spans="1:8" x14ac:dyDescent="0.4">
      <c r="A914">
        <v>457</v>
      </c>
      <c r="B914" t="s">
        <v>0</v>
      </c>
      <c r="C914">
        <v>1</v>
      </c>
      <c r="D914">
        <v>4</v>
      </c>
      <c r="E914">
        <v>11</v>
      </c>
      <c r="F914">
        <v>0</v>
      </c>
      <c r="G914">
        <v>0</v>
      </c>
      <c r="H914">
        <f>표5[[#This Row],[공격성공횟수]]/(표5[[#This Row],[공격실패횟수]]+표5[[#This Row],[공격성공횟수]])</f>
        <v>0.26666666666666666</v>
      </c>
    </row>
    <row r="915" spans="1:8" hidden="1" x14ac:dyDescent="0.4">
      <c r="A915">
        <v>457</v>
      </c>
      <c r="B915" t="s">
        <v>1</v>
      </c>
      <c r="C915">
        <v>0</v>
      </c>
      <c r="D915">
        <v>0</v>
      </c>
      <c r="E915">
        <v>15</v>
      </c>
      <c r="F915">
        <v>4</v>
      </c>
      <c r="G915">
        <v>1</v>
      </c>
      <c r="H915">
        <f>표5[[#This Row],[공격성공횟수]]/(표5[[#This Row],[공격실패횟수]]+표5[[#This Row],[공격성공횟수]])</f>
        <v>0</v>
      </c>
    </row>
    <row r="916" spans="1:8" x14ac:dyDescent="0.4">
      <c r="A916">
        <v>458</v>
      </c>
      <c r="B916" t="s">
        <v>0</v>
      </c>
      <c r="C916">
        <v>1</v>
      </c>
      <c r="D916">
        <v>4</v>
      </c>
      <c r="E916">
        <v>22</v>
      </c>
      <c r="F916">
        <v>2</v>
      </c>
      <c r="G916">
        <v>0</v>
      </c>
      <c r="H916">
        <f>표5[[#This Row],[공격성공횟수]]/(표5[[#This Row],[공격실패횟수]]+표5[[#This Row],[공격성공횟수]])</f>
        <v>0.15384615384615385</v>
      </c>
    </row>
    <row r="917" spans="1:8" hidden="1" x14ac:dyDescent="0.4">
      <c r="A917">
        <v>458</v>
      </c>
      <c r="B917" t="s">
        <v>1</v>
      </c>
      <c r="C917">
        <v>0</v>
      </c>
      <c r="D917">
        <v>2</v>
      </c>
      <c r="E917">
        <v>24</v>
      </c>
      <c r="F917">
        <v>4</v>
      </c>
      <c r="G917">
        <v>1</v>
      </c>
      <c r="H917">
        <f>표5[[#This Row],[공격성공횟수]]/(표5[[#This Row],[공격실패횟수]]+표5[[#This Row],[공격성공횟수]])</f>
        <v>7.6923076923076927E-2</v>
      </c>
    </row>
    <row r="918" spans="1:8" x14ac:dyDescent="0.4">
      <c r="A918">
        <v>459</v>
      </c>
      <c r="B918" t="s">
        <v>0</v>
      </c>
      <c r="C918">
        <v>1</v>
      </c>
      <c r="D918">
        <v>4</v>
      </c>
      <c r="E918">
        <v>26</v>
      </c>
      <c r="F918">
        <v>2</v>
      </c>
      <c r="G918">
        <v>0</v>
      </c>
      <c r="H918">
        <f>표5[[#This Row],[공격성공횟수]]/(표5[[#This Row],[공격실패횟수]]+표5[[#This Row],[공격성공횟수]])</f>
        <v>0.13333333333333333</v>
      </c>
    </row>
    <row r="919" spans="1:8" hidden="1" x14ac:dyDescent="0.4">
      <c r="A919">
        <v>459</v>
      </c>
      <c r="B919" t="s">
        <v>1</v>
      </c>
      <c r="C919">
        <v>0</v>
      </c>
      <c r="D919">
        <v>2</v>
      </c>
      <c r="E919">
        <v>27</v>
      </c>
      <c r="F919">
        <v>4</v>
      </c>
      <c r="G919">
        <v>1</v>
      </c>
      <c r="H919">
        <f>표5[[#This Row],[공격성공횟수]]/(표5[[#This Row],[공격실패횟수]]+표5[[#This Row],[공격성공횟수]])</f>
        <v>6.8965517241379309E-2</v>
      </c>
    </row>
    <row r="920" spans="1:8" x14ac:dyDescent="0.4">
      <c r="A920">
        <v>460</v>
      </c>
      <c r="B920" t="s">
        <v>0</v>
      </c>
      <c r="C920">
        <v>1</v>
      </c>
      <c r="D920">
        <v>4</v>
      </c>
      <c r="E920">
        <v>10</v>
      </c>
      <c r="F920">
        <v>0</v>
      </c>
      <c r="G920">
        <v>0</v>
      </c>
      <c r="H920">
        <f>표5[[#This Row],[공격성공횟수]]/(표5[[#This Row],[공격실패횟수]]+표5[[#This Row],[공격성공횟수]])</f>
        <v>0.2857142857142857</v>
      </c>
    </row>
    <row r="921" spans="1:8" hidden="1" x14ac:dyDescent="0.4">
      <c r="A921">
        <v>460</v>
      </c>
      <c r="B921" t="s">
        <v>1</v>
      </c>
      <c r="C921">
        <v>0</v>
      </c>
      <c r="D921">
        <v>0</v>
      </c>
      <c r="E921">
        <v>14</v>
      </c>
      <c r="F921">
        <v>4</v>
      </c>
      <c r="G921">
        <v>1</v>
      </c>
      <c r="H921">
        <f>표5[[#This Row],[공격성공횟수]]/(표5[[#This Row],[공격실패횟수]]+표5[[#This Row],[공격성공횟수]])</f>
        <v>0</v>
      </c>
    </row>
    <row r="922" spans="1:8" x14ac:dyDescent="0.4">
      <c r="A922">
        <v>461</v>
      </c>
      <c r="B922" t="s">
        <v>0</v>
      </c>
      <c r="C922">
        <v>0</v>
      </c>
      <c r="D922">
        <v>0</v>
      </c>
      <c r="E922">
        <v>14</v>
      </c>
      <c r="F922">
        <v>4</v>
      </c>
      <c r="G922">
        <v>1</v>
      </c>
      <c r="H922">
        <f>표5[[#This Row],[공격성공횟수]]/(표5[[#This Row],[공격실패횟수]]+표5[[#This Row],[공격성공횟수]])</f>
        <v>0</v>
      </c>
    </row>
    <row r="923" spans="1:8" hidden="1" x14ac:dyDescent="0.4">
      <c r="A923">
        <v>461</v>
      </c>
      <c r="B923" t="s">
        <v>1</v>
      </c>
      <c r="C923">
        <v>1</v>
      </c>
      <c r="D923">
        <v>4</v>
      </c>
      <c r="E923">
        <v>11</v>
      </c>
      <c r="F923">
        <v>0</v>
      </c>
      <c r="G923">
        <v>0</v>
      </c>
      <c r="H923">
        <f>표5[[#This Row],[공격성공횟수]]/(표5[[#This Row],[공격실패횟수]]+표5[[#This Row],[공격성공횟수]])</f>
        <v>0.26666666666666666</v>
      </c>
    </row>
    <row r="924" spans="1:8" x14ac:dyDescent="0.4">
      <c r="A924">
        <v>462</v>
      </c>
      <c r="B924" t="s">
        <v>0</v>
      </c>
      <c r="C924">
        <v>1</v>
      </c>
      <c r="D924">
        <v>4</v>
      </c>
      <c r="E924">
        <v>7</v>
      </c>
      <c r="F924">
        <v>0</v>
      </c>
      <c r="G924">
        <v>0</v>
      </c>
      <c r="H924">
        <f>표5[[#This Row],[공격성공횟수]]/(표5[[#This Row],[공격실패횟수]]+표5[[#This Row],[공격성공횟수]])</f>
        <v>0.36363636363636365</v>
      </c>
    </row>
    <row r="925" spans="1:8" hidden="1" x14ac:dyDescent="0.4">
      <c r="A925">
        <v>462</v>
      </c>
      <c r="B925" t="s">
        <v>1</v>
      </c>
      <c r="C925">
        <v>0</v>
      </c>
      <c r="D925">
        <v>0</v>
      </c>
      <c r="E925">
        <v>10</v>
      </c>
      <c r="F925">
        <v>4</v>
      </c>
      <c r="G925">
        <v>1</v>
      </c>
      <c r="H925">
        <f>표5[[#This Row],[공격성공횟수]]/(표5[[#This Row],[공격실패횟수]]+표5[[#This Row],[공격성공횟수]])</f>
        <v>0</v>
      </c>
    </row>
    <row r="926" spans="1:8" x14ac:dyDescent="0.4">
      <c r="A926">
        <v>463</v>
      </c>
      <c r="B926" t="s">
        <v>0</v>
      </c>
      <c r="C926">
        <v>1</v>
      </c>
      <c r="D926">
        <v>4</v>
      </c>
      <c r="E926">
        <v>9</v>
      </c>
      <c r="F926">
        <v>2</v>
      </c>
      <c r="G926">
        <v>0</v>
      </c>
      <c r="H926">
        <f>표5[[#This Row],[공격성공횟수]]/(표5[[#This Row],[공격실패횟수]]+표5[[#This Row],[공격성공횟수]])</f>
        <v>0.30769230769230771</v>
      </c>
    </row>
    <row r="927" spans="1:8" hidden="1" x14ac:dyDescent="0.4">
      <c r="A927">
        <v>463</v>
      </c>
      <c r="B927" t="s">
        <v>1</v>
      </c>
      <c r="C927">
        <v>0</v>
      </c>
      <c r="D927">
        <v>2</v>
      </c>
      <c r="E927">
        <v>11</v>
      </c>
      <c r="F927">
        <v>4</v>
      </c>
      <c r="G927">
        <v>1</v>
      </c>
      <c r="H927">
        <f>표5[[#This Row],[공격성공횟수]]/(표5[[#This Row],[공격실패횟수]]+표5[[#This Row],[공격성공횟수]])</f>
        <v>0.15384615384615385</v>
      </c>
    </row>
    <row r="928" spans="1:8" x14ac:dyDescent="0.4">
      <c r="A928">
        <v>464</v>
      </c>
      <c r="B928" t="s">
        <v>0</v>
      </c>
      <c r="C928">
        <v>1</v>
      </c>
      <c r="D928">
        <v>4</v>
      </c>
      <c r="E928">
        <v>20</v>
      </c>
      <c r="F928">
        <v>1</v>
      </c>
      <c r="G928">
        <v>0</v>
      </c>
      <c r="H928">
        <f>표5[[#This Row],[공격성공횟수]]/(표5[[#This Row],[공격실패횟수]]+표5[[#This Row],[공격성공횟수]])</f>
        <v>0.16666666666666666</v>
      </c>
    </row>
    <row r="929" spans="1:8" hidden="1" x14ac:dyDescent="0.4">
      <c r="A929">
        <v>464</v>
      </c>
      <c r="B929" t="s">
        <v>1</v>
      </c>
      <c r="C929">
        <v>0</v>
      </c>
      <c r="D929">
        <v>1</v>
      </c>
      <c r="E929">
        <v>23</v>
      </c>
      <c r="F929">
        <v>4</v>
      </c>
      <c r="G929">
        <v>1</v>
      </c>
      <c r="H929">
        <f>표5[[#This Row],[공격성공횟수]]/(표5[[#This Row],[공격실패횟수]]+표5[[#This Row],[공격성공횟수]])</f>
        <v>4.1666666666666664E-2</v>
      </c>
    </row>
    <row r="930" spans="1:8" x14ac:dyDescent="0.4">
      <c r="A930">
        <v>465</v>
      </c>
      <c r="B930" t="s">
        <v>0</v>
      </c>
      <c r="C930">
        <v>1</v>
      </c>
      <c r="D930">
        <v>4</v>
      </c>
      <c r="E930">
        <v>9</v>
      </c>
      <c r="F930">
        <v>1</v>
      </c>
      <c r="G930">
        <v>0</v>
      </c>
      <c r="H930">
        <f>표5[[#This Row],[공격성공횟수]]/(표5[[#This Row],[공격실패횟수]]+표5[[#This Row],[공격성공횟수]])</f>
        <v>0.30769230769230771</v>
      </c>
    </row>
    <row r="931" spans="1:8" hidden="1" x14ac:dyDescent="0.4">
      <c r="A931">
        <v>465</v>
      </c>
      <c r="B931" t="s">
        <v>1</v>
      </c>
      <c r="C931">
        <v>0</v>
      </c>
      <c r="D931">
        <v>1</v>
      </c>
      <c r="E931">
        <v>11</v>
      </c>
      <c r="F931">
        <v>4</v>
      </c>
      <c r="G931">
        <v>1</v>
      </c>
      <c r="H931">
        <f>표5[[#This Row],[공격성공횟수]]/(표5[[#This Row],[공격실패횟수]]+표5[[#This Row],[공격성공횟수]])</f>
        <v>8.3333333333333329E-2</v>
      </c>
    </row>
    <row r="932" spans="1:8" x14ac:dyDescent="0.4">
      <c r="A932">
        <v>466</v>
      </c>
      <c r="B932" t="s">
        <v>0</v>
      </c>
      <c r="C932">
        <v>1</v>
      </c>
      <c r="D932">
        <v>4</v>
      </c>
      <c r="E932">
        <v>17</v>
      </c>
      <c r="F932">
        <v>1</v>
      </c>
      <c r="G932">
        <v>0</v>
      </c>
      <c r="H932">
        <f>표5[[#This Row],[공격성공횟수]]/(표5[[#This Row],[공격실패횟수]]+표5[[#This Row],[공격성공횟수]])</f>
        <v>0.19047619047619047</v>
      </c>
    </row>
    <row r="933" spans="1:8" hidden="1" x14ac:dyDescent="0.4">
      <c r="A933">
        <v>466</v>
      </c>
      <c r="B933" t="s">
        <v>1</v>
      </c>
      <c r="C933">
        <v>0</v>
      </c>
      <c r="D933">
        <v>1</v>
      </c>
      <c r="E933">
        <v>20</v>
      </c>
      <c r="F933">
        <v>4</v>
      </c>
      <c r="G933">
        <v>1</v>
      </c>
      <c r="H933">
        <f>표5[[#This Row],[공격성공횟수]]/(표5[[#This Row],[공격실패횟수]]+표5[[#This Row],[공격성공횟수]])</f>
        <v>4.7619047619047616E-2</v>
      </c>
    </row>
    <row r="934" spans="1:8" x14ac:dyDescent="0.4">
      <c r="A934">
        <v>467</v>
      </c>
      <c r="B934" t="s">
        <v>0</v>
      </c>
      <c r="C934">
        <v>1</v>
      </c>
      <c r="D934">
        <v>4</v>
      </c>
      <c r="E934">
        <v>29</v>
      </c>
      <c r="F934">
        <v>3</v>
      </c>
      <c r="G934">
        <v>0</v>
      </c>
      <c r="H934">
        <f>표5[[#This Row],[공격성공횟수]]/(표5[[#This Row],[공격실패횟수]]+표5[[#This Row],[공격성공횟수]])</f>
        <v>0.12121212121212122</v>
      </c>
    </row>
    <row r="935" spans="1:8" hidden="1" x14ac:dyDescent="0.4">
      <c r="A935">
        <v>467</v>
      </c>
      <c r="B935" t="s">
        <v>1</v>
      </c>
      <c r="C935">
        <v>0</v>
      </c>
      <c r="D935">
        <v>3</v>
      </c>
      <c r="E935">
        <v>30</v>
      </c>
      <c r="F935">
        <v>4</v>
      </c>
      <c r="G935">
        <v>1</v>
      </c>
      <c r="H935">
        <f>표5[[#This Row],[공격성공횟수]]/(표5[[#This Row],[공격실패횟수]]+표5[[#This Row],[공격성공횟수]])</f>
        <v>9.0909090909090912E-2</v>
      </c>
    </row>
    <row r="936" spans="1:8" x14ac:dyDescent="0.4">
      <c r="A936">
        <v>468</v>
      </c>
      <c r="B936" t="s">
        <v>0</v>
      </c>
      <c r="C936">
        <v>1</v>
      </c>
      <c r="D936">
        <v>4</v>
      </c>
      <c r="E936">
        <v>37</v>
      </c>
      <c r="F936">
        <v>3</v>
      </c>
      <c r="G936">
        <v>0</v>
      </c>
      <c r="H936">
        <f>표5[[#This Row],[공격성공횟수]]/(표5[[#This Row],[공격실패횟수]]+표5[[#This Row],[공격성공횟수]])</f>
        <v>9.7560975609756101E-2</v>
      </c>
    </row>
    <row r="937" spans="1:8" hidden="1" x14ac:dyDescent="0.4">
      <c r="A937">
        <v>468</v>
      </c>
      <c r="B937" t="s">
        <v>1</v>
      </c>
      <c r="C937">
        <v>0</v>
      </c>
      <c r="D937">
        <v>3</v>
      </c>
      <c r="E937">
        <v>36</v>
      </c>
      <c r="F937">
        <v>4</v>
      </c>
      <c r="G937">
        <v>1</v>
      </c>
      <c r="H937">
        <f>표5[[#This Row],[공격성공횟수]]/(표5[[#This Row],[공격실패횟수]]+표5[[#This Row],[공격성공횟수]])</f>
        <v>7.6923076923076927E-2</v>
      </c>
    </row>
    <row r="938" spans="1:8" x14ac:dyDescent="0.4">
      <c r="A938">
        <v>469</v>
      </c>
      <c r="B938" t="s">
        <v>0</v>
      </c>
      <c r="C938">
        <v>1</v>
      </c>
      <c r="D938">
        <v>4</v>
      </c>
      <c r="E938">
        <v>14</v>
      </c>
      <c r="F938">
        <v>0</v>
      </c>
      <c r="G938">
        <v>0</v>
      </c>
      <c r="H938">
        <f>표5[[#This Row],[공격성공횟수]]/(표5[[#This Row],[공격실패횟수]]+표5[[#This Row],[공격성공횟수]])</f>
        <v>0.22222222222222221</v>
      </c>
    </row>
    <row r="939" spans="1:8" hidden="1" x14ac:dyDescent="0.4">
      <c r="A939">
        <v>469</v>
      </c>
      <c r="B939" t="s">
        <v>1</v>
      </c>
      <c r="C939">
        <v>0</v>
      </c>
      <c r="D939">
        <v>0</v>
      </c>
      <c r="E939">
        <v>18</v>
      </c>
      <c r="F939">
        <v>4</v>
      </c>
      <c r="G939">
        <v>1</v>
      </c>
      <c r="H939">
        <f>표5[[#This Row],[공격성공횟수]]/(표5[[#This Row],[공격실패횟수]]+표5[[#This Row],[공격성공횟수]])</f>
        <v>0</v>
      </c>
    </row>
    <row r="940" spans="1:8" x14ac:dyDescent="0.4">
      <c r="A940">
        <v>470</v>
      </c>
      <c r="B940" t="s">
        <v>0</v>
      </c>
      <c r="C940">
        <v>0</v>
      </c>
      <c r="D940">
        <v>0</v>
      </c>
      <c r="E940">
        <v>16</v>
      </c>
      <c r="F940">
        <v>4</v>
      </c>
      <c r="G940">
        <v>1</v>
      </c>
      <c r="H940">
        <f>표5[[#This Row],[공격성공횟수]]/(표5[[#This Row],[공격실패횟수]]+표5[[#This Row],[공격성공횟수]])</f>
        <v>0</v>
      </c>
    </row>
    <row r="941" spans="1:8" hidden="1" x14ac:dyDescent="0.4">
      <c r="A941">
        <v>470</v>
      </c>
      <c r="B941" t="s">
        <v>1</v>
      </c>
      <c r="C941">
        <v>1</v>
      </c>
      <c r="D941">
        <v>4</v>
      </c>
      <c r="E941">
        <v>12</v>
      </c>
      <c r="F941">
        <v>0</v>
      </c>
      <c r="G941">
        <v>0</v>
      </c>
      <c r="H941">
        <f>표5[[#This Row],[공격성공횟수]]/(표5[[#This Row],[공격실패횟수]]+표5[[#This Row],[공격성공횟수]])</f>
        <v>0.25</v>
      </c>
    </row>
    <row r="942" spans="1:8" x14ac:dyDescent="0.4">
      <c r="A942">
        <v>471</v>
      </c>
      <c r="B942" t="s">
        <v>0</v>
      </c>
      <c r="C942">
        <v>1</v>
      </c>
      <c r="D942">
        <v>4</v>
      </c>
      <c r="E942">
        <v>8</v>
      </c>
      <c r="F942">
        <v>0</v>
      </c>
      <c r="G942">
        <v>0</v>
      </c>
      <c r="H942">
        <f>표5[[#This Row],[공격성공횟수]]/(표5[[#This Row],[공격실패횟수]]+표5[[#This Row],[공격성공횟수]])</f>
        <v>0.33333333333333331</v>
      </c>
    </row>
    <row r="943" spans="1:8" hidden="1" x14ac:dyDescent="0.4">
      <c r="A943">
        <v>471</v>
      </c>
      <c r="B943" t="s">
        <v>1</v>
      </c>
      <c r="C943">
        <v>0</v>
      </c>
      <c r="D943">
        <v>0</v>
      </c>
      <c r="E943">
        <v>11</v>
      </c>
      <c r="F943">
        <v>4</v>
      </c>
      <c r="G943">
        <v>1</v>
      </c>
      <c r="H943">
        <f>표5[[#This Row],[공격성공횟수]]/(표5[[#This Row],[공격실패횟수]]+표5[[#This Row],[공격성공횟수]])</f>
        <v>0</v>
      </c>
    </row>
    <row r="944" spans="1:8" x14ac:dyDescent="0.4">
      <c r="A944">
        <v>472</v>
      </c>
      <c r="B944" t="s">
        <v>0</v>
      </c>
      <c r="C944">
        <v>1</v>
      </c>
      <c r="D944">
        <v>4</v>
      </c>
      <c r="E944">
        <v>9</v>
      </c>
      <c r="F944">
        <v>1</v>
      </c>
      <c r="G944">
        <v>0</v>
      </c>
      <c r="H944">
        <f>표5[[#This Row],[공격성공횟수]]/(표5[[#This Row],[공격실패횟수]]+표5[[#This Row],[공격성공횟수]])</f>
        <v>0.30769230769230771</v>
      </c>
    </row>
    <row r="945" spans="1:8" hidden="1" x14ac:dyDescent="0.4">
      <c r="A945">
        <v>472</v>
      </c>
      <c r="B945" t="s">
        <v>1</v>
      </c>
      <c r="C945">
        <v>0</v>
      </c>
      <c r="D945">
        <v>1</v>
      </c>
      <c r="E945">
        <v>11</v>
      </c>
      <c r="F945">
        <v>4</v>
      </c>
      <c r="G945">
        <v>1</v>
      </c>
      <c r="H945">
        <f>표5[[#This Row],[공격성공횟수]]/(표5[[#This Row],[공격실패횟수]]+표5[[#This Row],[공격성공횟수]])</f>
        <v>8.3333333333333329E-2</v>
      </c>
    </row>
    <row r="946" spans="1:8" x14ac:dyDescent="0.4">
      <c r="A946">
        <v>473</v>
      </c>
      <c r="B946" t="s">
        <v>0</v>
      </c>
      <c r="C946">
        <v>1</v>
      </c>
      <c r="D946">
        <v>4</v>
      </c>
      <c r="E946">
        <v>32</v>
      </c>
      <c r="F946">
        <v>3</v>
      </c>
      <c r="G946">
        <v>0</v>
      </c>
      <c r="H946">
        <f>표5[[#This Row],[공격성공횟수]]/(표5[[#This Row],[공격실패횟수]]+표5[[#This Row],[공격성공횟수]])</f>
        <v>0.1111111111111111</v>
      </c>
    </row>
    <row r="947" spans="1:8" hidden="1" x14ac:dyDescent="0.4">
      <c r="A947">
        <v>473</v>
      </c>
      <c r="B947" t="s">
        <v>1</v>
      </c>
      <c r="C947">
        <v>0</v>
      </c>
      <c r="D947">
        <v>3</v>
      </c>
      <c r="E947">
        <v>33</v>
      </c>
      <c r="F947">
        <v>4</v>
      </c>
      <c r="G947">
        <v>1</v>
      </c>
      <c r="H947">
        <f>표5[[#This Row],[공격성공횟수]]/(표5[[#This Row],[공격실패횟수]]+표5[[#This Row],[공격성공횟수]])</f>
        <v>8.3333333333333329E-2</v>
      </c>
    </row>
    <row r="948" spans="1:8" x14ac:dyDescent="0.4">
      <c r="A948">
        <v>474</v>
      </c>
      <c r="B948" t="s">
        <v>0</v>
      </c>
      <c r="C948">
        <v>1</v>
      </c>
      <c r="D948">
        <v>4</v>
      </c>
      <c r="E948">
        <v>12</v>
      </c>
      <c r="F948">
        <v>0</v>
      </c>
      <c r="G948">
        <v>0</v>
      </c>
      <c r="H948">
        <f>표5[[#This Row],[공격성공횟수]]/(표5[[#This Row],[공격실패횟수]]+표5[[#This Row],[공격성공횟수]])</f>
        <v>0.25</v>
      </c>
    </row>
    <row r="949" spans="1:8" hidden="1" x14ac:dyDescent="0.4">
      <c r="A949">
        <v>474</v>
      </c>
      <c r="B949" t="s">
        <v>1</v>
      </c>
      <c r="C949">
        <v>0</v>
      </c>
      <c r="D949">
        <v>0</v>
      </c>
      <c r="E949">
        <v>19</v>
      </c>
      <c r="F949">
        <v>4</v>
      </c>
      <c r="G949">
        <v>1</v>
      </c>
      <c r="H949">
        <f>표5[[#This Row],[공격성공횟수]]/(표5[[#This Row],[공격실패횟수]]+표5[[#This Row],[공격성공횟수]])</f>
        <v>0</v>
      </c>
    </row>
    <row r="950" spans="1:8" x14ac:dyDescent="0.4">
      <c r="A950">
        <v>475</v>
      </c>
      <c r="B950" t="s">
        <v>0</v>
      </c>
      <c r="C950">
        <v>1</v>
      </c>
      <c r="D950">
        <v>4</v>
      </c>
      <c r="E950">
        <v>11</v>
      </c>
      <c r="F950">
        <v>1</v>
      </c>
      <c r="G950">
        <v>0</v>
      </c>
      <c r="H950">
        <f>표5[[#This Row],[공격성공횟수]]/(표5[[#This Row],[공격실패횟수]]+표5[[#This Row],[공격성공횟수]])</f>
        <v>0.26666666666666666</v>
      </c>
    </row>
    <row r="951" spans="1:8" hidden="1" x14ac:dyDescent="0.4">
      <c r="A951">
        <v>475</v>
      </c>
      <c r="B951" t="s">
        <v>1</v>
      </c>
      <c r="C951">
        <v>0</v>
      </c>
      <c r="D951">
        <v>1</v>
      </c>
      <c r="E951">
        <v>19</v>
      </c>
      <c r="F951">
        <v>4</v>
      </c>
      <c r="G951">
        <v>1</v>
      </c>
      <c r="H951">
        <f>표5[[#This Row],[공격성공횟수]]/(표5[[#This Row],[공격실패횟수]]+표5[[#This Row],[공격성공횟수]])</f>
        <v>0.05</v>
      </c>
    </row>
    <row r="952" spans="1:8" x14ac:dyDescent="0.4">
      <c r="A952">
        <v>476</v>
      </c>
      <c r="B952" t="s">
        <v>0</v>
      </c>
      <c r="C952">
        <v>1</v>
      </c>
      <c r="D952">
        <v>4</v>
      </c>
      <c r="E952">
        <v>11</v>
      </c>
      <c r="F952">
        <v>2</v>
      </c>
      <c r="G952">
        <v>0</v>
      </c>
      <c r="H952">
        <f>표5[[#This Row],[공격성공횟수]]/(표5[[#This Row],[공격실패횟수]]+표5[[#This Row],[공격성공횟수]])</f>
        <v>0.26666666666666666</v>
      </c>
    </row>
    <row r="953" spans="1:8" hidden="1" x14ac:dyDescent="0.4">
      <c r="A953">
        <v>476</v>
      </c>
      <c r="B953" t="s">
        <v>1</v>
      </c>
      <c r="C953">
        <v>0</v>
      </c>
      <c r="D953">
        <v>2</v>
      </c>
      <c r="E953">
        <v>12</v>
      </c>
      <c r="F953">
        <v>4</v>
      </c>
      <c r="G953">
        <v>1</v>
      </c>
      <c r="H953">
        <f>표5[[#This Row],[공격성공횟수]]/(표5[[#This Row],[공격실패횟수]]+표5[[#This Row],[공격성공횟수]])</f>
        <v>0.14285714285714285</v>
      </c>
    </row>
    <row r="954" spans="1:8" x14ac:dyDescent="0.4">
      <c r="A954">
        <v>477</v>
      </c>
      <c r="B954" t="s">
        <v>0</v>
      </c>
      <c r="C954">
        <v>1</v>
      </c>
      <c r="D954">
        <v>4</v>
      </c>
      <c r="E954">
        <v>10</v>
      </c>
      <c r="F954">
        <v>0</v>
      </c>
      <c r="G954">
        <v>0</v>
      </c>
      <c r="H954">
        <f>표5[[#This Row],[공격성공횟수]]/(표5[[#This Row],[공격실패횟수]]+표5[[#This Row],[공격성공횟수]])</f>
        <v>0.2857142857142857</v>
      </c>
    </row>
    <row r="955" spans="1:8" hidden="1" x14ac:dyDescent="0.4">
      <c r="A955">
        <v>477</v>
      </c>
      <c r="B955" t="s">
        <v>1</v>
      </c>
      <c r="C955">
        <v>0</v>
      </c>
      <c r="D955">
        <v>0</v>
      </c>
      <c r="E955">
        <v>16</v>
      </c>
      <c r="F955">
        <v>4</v>
      </c>
      <c r="G955">
        <v>1</v>
      </c>
      <c r="H955">
        <f>표5[[#This Row],[공격성공횟수]]/(표5[[#This Row],[공격실패횟수]]+표5[[#This Row],[공격성공횟수]])</f>
        <v>0</v>
      </c>
    </row>
    <row r="956" spans="1:8" x14ac:dyDescent="0.4">
      <c r="A956">
        <v>478</v>
      </c>
      <c r="B956" t="s">
        <v>0</v>
      </c>
      <c r="C956">
        <v>0</v>
      </c>
      <c r="D956">
        <v>0</v>
      </c>
      <c r="E956">
        <v>20</v>
      </c>
      <c r="F956">
        <v>4</v>
      </c>
      <c r="G956">
        <v>1</v>
      </c>
      <c r="H956">
        <f>표5[[#This Row],[공격성공횟수]]/(표5[[#This Row],[공격실패횟수]]+표5[[#This Row],[공격성공횟수]])</f>
        <v>0</v>
      </c>
    </row>
    <row r="957" spans="1:8" hidden="1" x14ac:dyDescent="0.4">
      <c r="A957">
        <v>478</v>
      </c>
      <c r="B957" t="s">
        <v>1</v>
      </c>
      <c r="C957">
        <v>1</v>
      </c>
      <c r="D957">
        <v>4</v>
      </c>
      <c r="E957">
        <v>17</v>
      </c>
      <c r="F957">
        <v>0</v>
      </c>
      <c r="G957">
        <v>0</v>
      </c>
      <c r="H957">
        <f>표5[[#This Row],[공격성공횟수]]/(표5[[#This Row],[공격실패횟수]]+표5[[#This Row],[공격성공횟수]])</f>
        <v>0.19047619047619047</v>
      </c>
    </row>
    <row r="958" spans="1:8" x14ac:dyDescent="0.4">
      <c r="A958">
        <v>479</v>
      </c>
      <c r="B958" t="s">
        <v>0</v>
      </c>
      <c r="C958">
        <v>1</v>
      </c>
      <c r="D958">
        <v>4</v>
      </c>
      <c r="E958">
        <v>9</v>
      </c>
      <c r="F958">
        <v>0</v>
      </c>
      <c r="G958">
        <v>0</v>
      </c>
      <c r="H958">
        <f>표5[[#This Row],[공격성공횟수]]/(표5[[#This Row],[공격실패횟수]]+표5[[#This Row],[공격성공횟수]])</f>
        <v>0.30769230769230771</v>
      </c>
    </row>
    <row r="959" spans="1:8" hidden="1" x14ac:dyDescent="0.4">
      <c r="A959">
        <v>479</v>
      </c>
      <c r="B959" t="s">
        <v>1</v>
      </c>
      <c r="C959">
        <v>0</v>
      </c>
      <c r="D959">
        <v>0</v>
      </c>
      <c r="E959">
        <v>12</v>
      </c>
      <c r="F959">
        <v>4</v>
      </c>
      <c r="G959">
        <v>1</v>
      </c>
      <c r="H959">
        <f>표5[[#This Row],[공격성공횟수]]/(표5[[#This Row],[공격실패횟수]]+표5[[#This Row],[공격성공횟수]])</f>
        <v>0</v>
      </c>
    </row>
    <row r="960" spans="1:8" x14ac:dyDescent="0.4">
      <c r="A960">
        <v>480</v>
      </c>
      <c r="B960" t="s">
        <v>0</v>
      </c>
      <c r="C960">
        <v>1</v>
      </c>
      <c r="D960">
        <v>4</v>
      </c>
      <c r="E960">
        <v>22</v>
      </c>
      <c r="F960">
        <v>2</v>
      </c>
      <c r="G960">
        <v>0</v>
      </c>
      <c r="H960">
        <f>표5[[#This Row],[공격성공횟수]]/(표5[[#This Row],[공격실패횟수]]+표5[[#This Row],[공격성공횟수]])</f>
        <v>0.15384615384615385</v>
      </c>
    </row>
    <row r="961" spans="1:8" hidden="1" x14ac:dyDescent="0.4">
      <c r="A961">
        <v>480</v>
      </c>
      <c r="B961" t="s">
        <v>1</v>
      </c>
      <c r="C961">
        <v>0</v>
      </c>
      <c r="D961">
        <v>2</v>
      </c>
      <c r="E961">
        <v>24</v>
      </c>
      <c r="F961">
        <v>4</v>
      </c>
      <c r="G961">
        <v>1</v>
      </c>
      <c r="H961">
        <f>표5[[#This Row],[공격성공횟수]]/(표5[[#This Row],[공격실패횟수]]+표5[[#This Row],[공격성공횟수]])</f>
        <v>7.6923076923076927E-2</v>
      </c>
    </row>
    <row r="962" spans="1:8" x14ac:dyDescent="0.4">
      <c r="A962">
        <v>481</v>
      </c>
      <c r="B962" t="s">
        <v>0</v>
      </c>
      <c r="C962">
        <v>0</v>
      </c>
      <c r="D962">
        <v>0</v>
      </c>
      <c r="E962">
        <v>12</v>
      </c>
      <c r="F962">
        <v>4</v>
      </c>
      <c r="G962">
        <v>1</v>
      </c>
      <c r="H962">
        <f>표5[[#This Row],[공격성공횟수]]/(표5[[#This Row],[공격실패횟수]]+표5[[#This Row],[공격성공횟수]])</f>
        <v>0</v>
      </c>
    </row>
    <row r="963" spans="1:8" hidden="1" x14ac:dyDescent="0.4">
      <c r="A963">
        <v>481</v>
      </c>
      <c r="B963" t="s">
        <v>1</v>
      </c>
      <c r="C963">
        <v>1</v>
      </c>
      <c r="D963">
        <v>4</v>
      </c>
      <c r="E963">
        <v>8</v>
      </c>
      <c r="F963">
        <v>0</v>
      </c>
      <c r="G963">
        <v>0</v>
      </c>
      <c r="H963">
        <f>표5[[#This Row],[공격성공횟수]]/(표5[[#This Row],[공격실패횟수]]+표5[[#This Row],[공격성공횟수]])</f>
        <v>0.33333333333333331</v>
      </c>
    </row>
    <row r="964" spans="1:8" x14ac:dyDescent="0.4">
      <c r="A964">
        <v>482</v>
      </c>
      <c r="B964" t="s">
        <v>0</v>
      </c>
      <c r="C964">
        <v>1</v>
      </c>
      <c r="D964">
        <v>4</v>
      </c>
      <c r="E964">
        <v>5</v>
      </c>
      <c r="F964">
        <v>0</v>
      </c>
      <c r="G964">
        <v>0</v>
      </c>
      <c r="H964">
        <f>표5[[#This Row],[공격성공횟수]]/(표5[[#This Row],[공격실패횟수]]+표5[[#This Row],[공격성공횟수]])</f>
        <v>0.44444444444444442</v>
      </c>
    </row>
    <row r="965" spans="1:8" hidden="1" x14ac:dyDescent="0.4">
      <c r="A965">
        <v>482</v>
      </c>
      <c r="B965" t="s">
        <v>1</v>
      </c>
      <c r="C965">
        <v>0</v>
      </c>
      <c r="D965">
        <v>0</v>
      </c>
      <c r="E965">
        <v>8</v>
      </c>
      <c r="F965">
        <v>4</v>
      </c>
      <c r="G965">
        <v>1</v>
      </c>
      <c r="H965">
        <f>표5[[#This Row],[공격성공횟수]]/(표5[[#This Row],[공격실패횟수]]+표5[[#This Row],[공격성공횟수]])</f>
        <v>0</v>
      </c>
    </row>
    <row r="966" spans="1:8" x14ac:dyDescent="0.4">
      <c r="A966">
        <v>483</v>
      </c>
      <c r="B966" t="s">
        <v>0</v>
      </c>
      <c r="C966">
        <v>1</v>
      </c>
      <c r="D966">
        <v>4</v>
      </c>
      <c r="E966">
        <v>7</v>
      </c>
      <c r="F966">
        <v>0</v>
      </c>
      <c r="G966">
        <v>0</v>
      </c>
      <c r="H966">
        <f>표5[[#This Row],[공격성공횟수]]/(표5[[#This Row],[공격실패횟수]]+표5[[#This Row],[공격성공횟수]])</f>
        <v>0.36363636363636365</v>
      </c>
    </row>
    <row r="967" spans="1:8" hidden="1" x14ac:dyDescent="0.4">
      <c r="A967">
        <v>483</v>
      </c>
      <c r="B967" t="s">
        <v>1</v>
      </c>
      <c r="C967">
        <v>0</v>
      </c>
      <c r="D967">
        <v>0</v>
      </c>
      <c r="E967">
        <v>11</v>
      </c>
      <c r="F967">
        <v>4</v>
      </c>
      <c r="G967">
        <v>1</v>
      </c>
      <c r="H967">
        <f>표5[[#This Row],[공격성공횟수]]/(표5[[#This Row],[공격실패횟수]]+표5[[#This Row],[공격성공횟수]])</f>
        <v>0</v>
      </c>
    </row>
    <row r="968" spans="1:8" x14ac:dyDescent="0.4">
      <c r="A968">
        <v>484</v>
      </c>
      <c r="B968" t="s">
        <v>0</v>
      </c>
      <c r="C968">
        <v>1</v>
      </c>
      <c r="D968">
        <v>4</v>
      </c>
      <c r="E968">
        <v>7</v>
      </c>
      <c r="F968">
        <v>0</v>
      </c>
      <c r="G968">
        <v>0</v>
      </c>
      <c r="H968">
        <f>표5[[#This Row],[공격성공횟수]]/(표5[[#This Row],[공격실패횟수]]+표5[[#This Row],[공격성공횟수]])</f>
        <v>0.36363636363636365</v>
      </c>
    </row>
    <row r="969" spans="1:8" hidden="1" x14ac:dyDescent="0.4">
      <c r="A969">
        <v>484</v>
      </c>
      <c r="B969" t="s">
        <v>1</v>
      </c>
      <c r="C969">
        <v>0</v>
      </c>
      <c r="D969">
        <v>0</v>
      </c>
      <c r="E969">
        <v>11</v>
      </c>
      <c r="F969">
        <v>4</v>
      </c>
      <c r="G969">
        <v>1</v>
      </c>
      <c r="H969">
        <f>표5[[#This Row],[공격성공횟수]]/(표5[[#This Row],[공격실패횟수]]+표5[[#This Row],[공격성공횟수]])</f>
        <v>0</v>
      </c>
    </row>
    <row r="970" spans="1:8" x14ac:dyDescent="0.4">
      <c r="A970">
        <v>485</v>
      </c>
      <c r="B970" t="s">
        <v>0</v>
      </c>
      <c r="C970">
        <v>1</v>
      </c>
      <c r="D970">
        <v>4</v>
      </c>
      <c r="E970">
        <v>13</v>
      </c>
      <c r="F970">
        <v>0</v>
      </c>
      <c r="G970">
        <v>0</v>
      </c>
      <c r="H970">
        <f>표5[[#This Row],[공격성공횟수]]/(표5[[#This Row],[공격실패횟수]]+표5[[#This Row],[공격성공횟수]])</f>
        <v>0.23529411764705882</v>
      </c>
    </row>
    <row r="971" spans="1:8" hidden="1" x14ac:dyDescent="0.4">
      <c r="A971">
        <v>485</v>
      </c>
      <c r="B971" t="s">
        <v>1</v>
      </c>
      <c r="C971">
        <v>0</v>
      </c>
      <c r="D971">
        <v>0</v>
      </c>
      <c r="E971">
        <v>17</v>
      </c>
      <c r="F971">
        <v>4</v>
      </c>
      <c r="G971">
        <v>1</v>
      </c>
      <c r="H971">
        <f>표5[[#This Row],[공격성공횟수]]/(표5[[#This Row],[공격실패횟수]]+표5[[#This Row],[공격성공횟수]])</f>
        <v>0</v>
      </c>
    </row>
    <row r="972" spans="1:8" x14ac:dyDescent="0.4">
      <c r="A972">
        <v>486</v>
      </c>
      <c r="B972" t="s">
        <v>0</v>
      </c>
      <c r="C972">
        <v>1</v>
      </c>
      <c r="D972">
        <v>4</v>
      </c>
      <c r="E972">
        <v>11</v>
      </c>
      <c r="F972">
        <v>3</v>
      </c>
      <c r="G972">
        <v>0</v>
      </c>
      <c r="H972">
        <f>표5[[#This Row],[공격성공횟수]]/(표5[[#This Row],[공격실패횟수]]+표5[[#This Row],[공격성공횟수]])</f>
        <v>0.26666666666666666</v>
      </c>
    </row>
    <row r="973" spans="1:8" hidden="1" x14ac:dyDescent="0.4">
      <c r="A973">
        <v>486</v>
      </c>
      <c r="B973" t="s">
        <v>1</v>
      </c>
      <c r="C973">
        <v>0</v>
      </c>
      <c r="D973">
        <v>3</v>
      </c>
      <c r="E973">
        <v>11</v>
      </c>
      <c r="F973">
        <v>4</v>
      </c>
      <c r="G973">
        <v>1</v>
      </c>
      <c r="H973">
        <f>표5[[#This Row],[공격성공횟수]]/(표5[[#This Row],[공격실패횟수]]+표5[[#This Row],[공격성공횟수]])</f>
        <v>0.21428571428571427</v>
      </c>
    </row>
    <row r="974" spans="1:8" x14ac:dyDescent="0.4">
      <c r="A974">
        <v>487</v>
      </c>
      <c r="B974" t="s">
        <v>0</v>
      </c>
      <c r="C974">
        <v>1</v>
      </c>
      <c r="D974">
        <v>4</v>
      </c>
      <c r="E974">
        <v>7</v>
      </c>
      <c r="F974">
        <v>0</v>
      </c>
      <c r="G974">
        <v>0</v>
      </c>
      <c r="H974">
        <f>표5[[#This Row],[공격성공횟수]]/(표5[[#This Row],[공격실패횟수]]+표5[[#This Row],[공격성공횟수]])</f>
        <v>0.36363636363636365</v>
      </c>
    </row>
    <row r="975" spans="1:8" hidden="1" x14ac:dyDescent="0.4">
      <c r="A975">
        <v>487</v>
      </c>
      <c r="B975" t="s">
        <v>1</v>
      </c>
      <c r="C975">
        <v>0</v>
      </c>
      <c r="D975">
        <v>0</v>
      </c>
      <c r="E975">
        <v>13</v>
      </c>
      <c r="F975">
        <v>4</v>
      </c>
      <c r="G975">
        <v>1</v>
      </c>
      <c r="H975">
        <f>표5[[#This Row],[공격성공횟수]]/(표5[[#This Row],[공격실패횟수]]+표5[[#This Row],[공격성공횟수]])</f>
        <v>0</v>
      </c>
    </row>
    <row r="976" spans="1:8" x14ac:dyDescent="0.4">
      <c r="A976">
        <v>488</v>
      </c>
      <c r="B976" t="s">
        <v>0</v>
      </c>
      <c r="C976">
        <v>1</v>
      </c>
      <c r="D976">
        <v>4</v>
      </c>
      <c r="E976">
        <v>13</v>
      </c>
      <c r="F976">
        <v>1</v>
      </c>
      <c r="G976">
        <v>0</v>
      </c>
      <c r="H976">
        <f>표5[[#This Row],[공격성공횟수]]/(표5[[#This Row],[공격실패횟수]]+표5[[#This Row],[공격성공횟수]])</f>
        <v>0.23529411764705882</v>
      </c>
    </row>
    <row r="977" spans="1:8" hidden="1" x14ac:dyDescent="0.4">
      <c r="A977">
        <v>488</v>
      </c>
      <c r="B977" t="s">
        <v>1</v>
      </c>
      <c r="C977">
        <v>0</v>
      </c>
      <c r="D977">
        <v>1</v>
      </c>
      <c r="E977">
        <v>15</v>
      </c>
      <c r="F977">
        <v>4</v>
      </c>
      <c r="G977">
        <v>1</v>
      </c>
      <c r="H977">
        <f>표5[[#This Row],[공격성공횟수]]/(표5[[#This Row],[공격실패횟수]]+표5[[#This Row],[공격성공횟수]])</f>
        <v>6.25E-2</v>
      </c>
    </row>
    <row r="978" spans="1:8" x14ac:dyDescent="0.4">
      <c r="A978">
        <v>489</v>
      </c>
      <c r="B978" t="s">
        <v>0</v>
      </c>
      <c r="C978">
        <v>1</v>
      </c>
      <c r="D978">
        <v>4</v>
      </c>
      <c r="E978">
        <v>9</v>
      </c>
      <c r="F978">
        <v>0</v>
      </c>
      <c r="G978">
        <v>0</v>
      </c>
      <c r="H978">
        <f>표5[[#This Row],[공격성공횟수]]/(표5[[#This Row],[공격실패횟수]]+표5[[#This Row],[공격성공횟수]])</f>
        <v>0.30769230769230771</v>
      </c>
    </row>
    <row r="979" spans="1:8" hidden="1" x14ac:dyDescent="0.4">
      <c r="A979">
        <v>489</v>
      </c>
      <c r="B979" t="s">
        <v>1</v>
      </c>
      <c r="C979">
        <v>0</v>
      </c>
      <c r="D979">
        <v>0</v>
      </c>
      <c r="E979">
        <v>15</v>
      </c>
      <c r="F979">
        <v>4</v>
      </c>
      <c r="G979">
        <v>1</v>
      </c>
      <c r="H979">
        <f>표5[[#This Row],[공격성공횟수]]/(표5[[#This Row],[공격실패횟수]]+표5[[#This Row],[공격성공횟수]])</f>
        <v>0</v>
      </c>
    </row>
    <row r="980" spans="1:8" x14ac:dyDescent="0.4">
      <c r="A980">
        <v>490</v>
      </c>
      <c r="B980" t="s">
        <v>0</v>
      </c>
      <c r="C980">
        <v>1</v>
      </c>
      <c r="D980">
        <v>4</v>
      </c>
      <c r="E980">
        <v>6</v>
      </c>
      <c r="F980">
        <v>1</v>
      </c>
      <c r="G980">
        <v>0</v>
      </c>
      <c r="H980">
        <f>표5[[#This Row],[공격성공횟수]]/(표5[[#This Row],[공격실패횟수]]+표5[[#This Row],[공격성공횟수]])</f>
        <v>0.4</v>
      </c>
    </row>
    <row r="981" spans="1:8" hidden="1" x14ac:dyDescent="0.4">
      <c r="A981">
        <v>490</v>
      </c>
      <c r="B981" t="s">
        <v>1</v>
      </c>
      <c r="C981">
        <v>0</v>
      </c>
      <c r="D981">
        <v>1</v>
      </c>
      <c r="E981">
        <v>9</v>
      </c>
      <c r="F981">
        <v>4</v>
      </c>
      <c r="G981">
        <v>1</v>
      </c>
      <c r="H981">
        <f>표5[[#This Row],[공격성공횟수]]/(표5[[#This Row],[공격실패횟수]]+표5[[#This Row],[공격성공횟수]])</f>
        <v>0.1</v>
      </c>
    </row>
    <row r="982" spans="1:8" x14ac:dyDescent="0.4">
      <c r="A982">
        <v>491</v>
      </c>
      <c r="B982" t="s">
        <v>0</v>
      </c>
      <c r="C982">
        <v>1</v>
      </c>
      <c r="D982">
        <v>4</v>
      </c>
      <c r="E982">
        <v>9</v>
      </c>
      <c r="F982">
        <v>0</v>
      </c>
      <c r="G982">
        <v>0</v>
      </c>
      <c r="H982">
        <f>표5[[#This Row],[공격성공횟수]]/(표5[[#This Row],[공격실패횟수]]+표5[[#This Row],[공격성공횟수]])</f>
        <v>0.30769230769230771</v>
      </c>
    </row>
    <row r="983" spans="1:8" hidden="1" x14ac:dyDescent="0.4">
      <c r="A983">
        <v>491</v>
      </c>
      <c r="B983" t="s">
        <v>1</v>
      </c>
      <c r="C983">
        <v>0</v>
      </c>
      <c r="D983">
        <v>0</v>
      </c>
      <c r="E983">
        <v>13</v>
      </c>
      <c r="F983">
        <v>4</v>
      </c>
      <c r="G983">
        <v>1</v>
      </c>
      <c r="H983">
        <f>표5[[#This Row],[공격성공횟수]]/(표5[[#This Row],[공격실패횟수]]+표5[[#This Row],[공격성공횟수]])</f>
        <v>0</v>
      </c>
    </row>
    <row r="984" spans="1:8" x14ac:dyDescent="0.4">
      <c r="A984">
        <v>492</v>
      </c>
      <c r="B984" t="s">
        <v>0</v>
      </c>
      <c r="C984">
        <v>1</v>
      </c>
      <c r="D984">
        <v>4</v>
      </c>
      <c r="E984">
        <v>36</v>
      </c>
      <c r="F984">
        <v>3</v>
      </c>
      <c r="G984">
        <v>0</v>
      </c>
      <c r="H984">
        <f>표5[[#This Row],[공격성공횟수]]/(표5[[#This Row],[공격실패횟수]]+표5[[#This Row],[공격성공횟수]])</f>
        <v>0.1</v>
      </c>
    </row>
    <row r="985" spans="1:8" hidden="1" x14ac:dyDescent="0.4">
      <c r="A985">
        <v>492</v>
      </c>
      <c r="B985" t="s">
        <v>1</v>
      </c>
      <c r="C985">
        <v>0</v>
      </c>
      <c r="D985">
        <v>3</v>
      </c>
      <c r="E985">
        <v>37</v>
      </c>
      <c r="F985">
        <v>4</v>
      </c>
      <c r="G985">
        <v>1</v>
      </c>
      <c r="H985">
        <f>표5[[#This Row],[공격성공횟수]]/(표5[[#This Row],[공격실패횟수]]+표5[[#This Row],[공격성공횟수]])</f>
        <v>7.4999999999999997E-2</v>
      </c>
    </row>
    <row r="986" spans="1:8" x14ac:dyDescent="0.4">
      <c r="A986">
        <v>493</v>
      </c>
      <c r="B986" t="s">
        <v>0</v>
      </c>
      <c r="C986">
        <v>1</v>
      </c>
      <c r="D986">
        <v>4</v>
      </c>
      <c r="E986">
        <v>10</v>
      </c>
      <c r="F986">
        <v>0</v>
      </c>
      <c r="G986">
        <v>0</v>
      </c>
      <c r="H986">
        <f>표5[[#This Row],[공격성공횟수]]/(표5[[#This Row],[공격실패횟수]]+표5[[#This Row],[공격성공횟수]])</f>
        <v>0.2857142857142857</v>
      </c>
    </row>
    <row r="987" spans="1:8" hidden="1" x14ac:dyDescent="0.4">
      <c r="A987">
        <v>493</v>
      </c>
      <c r="B987" t="s">
        <v>1</v>
      </c>
      <c r="C987">
        <v>0</v>
      </c>
      <c r="D987">
        <v>0</v>
      </c>
      <c r="E987">
        <v>14</v>
      </c>
      <c r="F987">
        <v>4</v>
      </c>
      <c r="G987">
        <v>1</v>
      </c>
      <c r="H987">
        <f>표5[[#This Row],[공격성공횟수]]/(표5[[#This Row],[공격실패횟수]]+표5[[#This Row],[공격성공횟수]])</f>
        <v>0</v>
      </c>
    </row>
    <row r="988" spans="1:8" x14ac:dyDescent="0.4">
      <c r="A988">
        <v>494</v>
      </c>
      <c r="B988" t="s">
        <v>0</v>
      </c>
      <c r="C988">
        <v>1</v>
      </c>
      <c r="D988">
        <v>4</v>
      </c>
      <c r="E988">
        <v>7</v>
      </c>
      <c r="F988">
        <v>1</v>
      </c>
      <c r="G988">
        <v>0</v>
      </c>
      <c r="H988">
        <f>표5[[#This Row],[공격성공횟수]]/(표5[[#This Row],[공격실패횟수]]+표5[[#This Row],[공격성공횟수]])</f>
        <v>0.36363636363636365</v>
      </c>
    </row>
    <row r="989" spans="1:8" hidden="1" x14ac:dyDescent="0.4">
      <c r="A989">
        <v>494</v>
      </c>
      <c r="B989" t="s">
        <v>1</v>
      </c>
      <c r="C989">
        <v>0</v>
      </c>
      <c r="D989">
        <v>1</v>
      </c>
      <c r="E989">
        <v>10</v>
      </c>
      <c r="F989">
        <v>4</v>
      </c>
      <c r="G989">
        <v>1</v>
      </c>
      <c r="H989">
        <f>표5[[#This Row],[공격성공횟수]]/(표5[[#This Row],[공격실패횟수]]+표5[[#This Row],[공격성공횟수]])</f>
        <v>9.0909090909090912E-2</v>
      </c>
    </row>
    <row r="990" spans="1:8" x14ac:dyDescent="0.4">
      <c r="A990">
        <v>495</v>
      </c>
      <c r="B990" t="s">
        <v>0</v>
      </c>
      <c r="C990">
        <v>1</v>
      </c>
      <c r="D990">
        <v>4</v>
      </c>
      <c r="E990">
        <v>9</v>
      </c>
      <c r="F990">
        <v>0</v>
      </c>
      <c r="G990">
        <v>0</v>
      </c>
      <c r="H990">
        <f>표5[[#This Row],[공격성공횟수]]/(표5[[#This Row],[공격실패횟수]]+표5[[#This Row],[공격성공횟수]])</f>
        <v>0.30769230769230771</v>
      </c>
    </row>
    <row r="991" spans="1:8" hidden="1" x14ac:dyDescent="0.4">
      <c r="A991">
        <v>495</v>
      </c>
      <c r="B991" t="s">
        <v>1</v>
      </c>
      <c r="C991">
        <v>0</v>
      </c>
      <c r="D991">
        <v>0</v>
      </c>
      <c r="E991">
        <v>15</v>
      </c>
      <c r="F991">
        <v>4</v>
      </c>
      <c r="G991">
        <v>1</v>
      </c>
      <c r="H991">
        <f>표5[[#This Row],[공격성공횟수]]/(표5[[#This Row],[공격실패횟수]]+표5[[#This Row],[공격성공횟수]])</f>
        <v>0</v>
      </c>
    </row>
    <row r="992" spans="1:8" x14ac:dyDescent="0.4">
      <c r="A992">
        <v>496</v>
      </c>
      <c r="B992" t="s">
        <v>0</v>
      </c>
      <c r="C992">
        <v>0</v>
      </c>
      <c r="D992">
        <v>1</v>
      </c>
      <c r="E992">
        <v>13</v>
      </c>
      <c r="F992">
        <v>4</v>
      </c>
      <c r="G992">
        <v>1</v>
      </c>
      <c r="H992">
        <f>표5[[#This Row],[공격성공횟수]]/(표5[[#This Row],[공격실패횟수]]+표5[[#This Row],[공격성공횟수]])</f>
        <v>7.1428571428571425E-2</v>
      </c>
    </row>
    <row r="993" spans="1:8" hidden="1" x14ac:dyDescent="0.4">
      <c r="A993">
        <v>496</v>
      </c>
      <c r="B993" t="s">
        <v>1</v>
      </c>
      <c r="C993">
        <v>1</v>
      </c>
      <c r="D993">
        <v>4</v>
      </c>
      <c r="E993">
        <v>10</v>
      </c>
      <c r="F993">
        <v>1</v>
      </c>
      <c r="G993">
        <v>0</v>
      </c>
      <c r="H993">
        <f>표5[[#This Row],[공격성공횟수]]/(표5[[#This Row],[공격실패횟수]]+표5[[#This Row],[공격성공횟수]])</f>
        <v>0.2857142857142857</v>
      </c>
    </row>
    <row r="994" spans="1:8" x14ac:dyDescent="0.4">
      <c r="A994">
        <v>497</v>
      </c>
      <c r="B994" t="s">
        <v>0</v>
      </c>
      <c r="C994">
        <v>1</v>
      </c>
      <c r="D994">
        <v>4</v>
      </c>
      <c r="E994">
        <v>32</v>
      </c>
      <c r="F994">
        <v>0</v>
      </c>
      <c r="G994">
        <v>0</v>
      </c>
      <c r="H994">
        <f>표5[[#This Row],[공격성공횟수]]/(표5[[#This Row],[공격실패횟수]]+표5[[#This Row],[공격성공횟수]])</f>
        <v>0.1111111111111111</v>
      </c>
    </row>
    <row r="995" spans="1:8" hidden="1" x14ac:dyDescent="0.4">
      <c r="A995">
        <v>497</v>
      </c>
      <c r="B995" t="s">
        <v>1</v>
      </c>
      <c r="C995">
        <v>0</v>
      </c>
      <c r="D995">
        <v>0</v>
      </c>
      <c r="E995">
        <v>35</v>
      </c>
      <c r="F995">
        <v>4</v>
      </c>
      <c r="G995">
        <v>1</v>
      </c>
      <c r="H995">
        <f>표5[[#This Row],[공격성공횟수]]/(표5[[#This Row],[공격실패횟수]]+표5[[#This Row],[공격성공횟수]])</f>
        <v>0</v>
      </c>
    </row>
    <row r="996" spans="1:8" x14ac:dyDescent="0.4">
      <c r="A996">
        <v>498</v>
      </c>
      <c r="B996" t="s">
        <v>0</v>
      </c>
      <c r="C996">
        <v>0</v>
      </c>
      <c r="D996">
        <v>1</v>
      </c>
      <c r="E996">
        <v>13</v>
      </c>
      <c r="F996">
        <v>4</v>
      </c>
      <c r="G996">
        <v>1</v>
      </c>
      <c r="H996">
        <f>표5[[#This Row],[공격성공횟수]]/(표5[[#This Row],[공격실패횟수]]+표5[[#This Row],[공격성공횟수]])</f>
        <v>7.1428571428571425E-2</v>
      </c>
    </row>
    <row r="997" spans="1:8" hidden="1" x14ac:dyDescent="0.4">
      <c r="A997">
        <v>498</v>
      </c>
      <c r="B997" t="s">
        <v>1</v>
      </c>
      <c r="C997">
        <v>1</v>
      </c>
      <c r="D997">
        <v>4</v>
      </c>
      <c r="E997">
        <v>10</v>
      </c>
      <c r="F997">
        <v>1</v>
      </c>
      <c r="G997">
        <v>0</v>
      </c>
      <c r="H997">
        <f>표5[[#This Row],[공격성공횟수]]/(표5[[#This Row],[공격실패횟수]]+표5[[#This Row],[공격성공횟수]])</f>
        <v>0.2857142857142857</v>
      </c>
    </row>
    <row r="998" spans="1:8" x14ac:dyDescent="0.4">
      <c r="A998">
        <v>499</v>
      </c>
      <c r="B998" t="s">
        <v>0</v>
      </c>
      <c r="C998">
        <v>1</v>
      </c>
      <c r="D998">
        <v>4</v>
      </c>
      <c r="E998">
        <v>13</v>
      </c>
      <c r="F998">
        <v>3</v>
      </c>
      <c r="G998">
        <v>0</v>
      </c>
      <c r="H998">
        <f>표5[[#This Row],[공격성공횟수]]/(표5[[#This Row],[공격실패횟수]]+표5[[#This Row],[공격성공횟수]])</f>
        <v>0.23529411764705882</v>
      </c>
    </row>
    <row r="999" spans="1:8" hidden="1" x14ac:dyDescent="0.4">
      <c r="A999">
        <v>499</v>
      </c>
      <c r="B999" t="s">
        <v>1</v>
      </c>
      <c r="C999">
        <v>0</v>
      </c>
      <c r="D999">
        <v>3</v>
      </c>
      <c r="E999">
        <v>13</v>
      </c>
      <c r="F999">
        <v>4</v>
      </c>
      <c r="G999">
        <v>1</v>
      </c>
      <c r="H999">
        <f>표5[[#This Row],[공격성공횟수]]/(표5[[#This Row],[공격실패횟수]]+표5[[#This Row],[공격성공횟수]])</f>
        <v>0.1875</v>
      </c>
    </row>
    <row r="1000" spans="1:8" x14ac:dyDescent="0.4">
      <c r="A1000">
        <v>500</v>
      </c>
      <c r="B1000" t="s">
        <v>0</v>
      </c>
      <c r="C1000">
        <v>1</v>
      </c>
      <c r="D1000">
        <v>4</v>
      </c>
      <c r="E1000">
        <v>41</v>
      </c>
      <c r="F1000">
        <v>2</v>
      </c>
      <c r="G1000">
        <v>0</v>
      </c>
      <c r="H1000">
        <f>표5[[#This Row],[공격성공횟수]]/(표5[[#This Row],[공격실패횟수]]+표5[[#This Row],[공격성공횟수]])</f>
        <v>8.8888888888888892E-2</v>
      </c>
    </row>
    <row r="1001" spans="1:8" hidden="1" x14ac:dyDescent="0.4">
      <c r="A1001">
        <v>500</v>
      </c>
      <c r="B1001" t="s">
        <v>1</v>
      </c>
      <c r="C1001">
        <v>0</v>
      </c>
      <c r="D1001">
        <v>2</v>
      </c>
      <c r="E1001">
        <v>42</v>
      </c>
      <c r="F1001">
        <v>4</v>
      </c>
      <c r="G1001">
        <v>1</v>
      </c>
      <c r="H1001">
        <f>표5[[#This Row],[공격성공횟수]]/(표5[[#This Row],[공격실패횟수]]+표5[[#This Row],[공격성공횟수]])</f>
        <v>4.5454545454545456E-2</v>
      </c>
    </row>
    <row r="1002" spans="1:8" x14ac:dyDescent="0.4">
      <c r="A1002">
        <v>501</v>
      </c>
      <c r="B1002" t="s">
        <v>0</v>
      </c>
      <c r="C1002">
        <v>0</v>
      </c>
      <c r="D1002">
        <v>1</v>
      </c>
      <c r="E1002">
        <v>31</v>
      </c>
      <c r="F1002">
        <v>4</v>
      </c>
      <c r="G1002">
        <v>1</v>
      </c>
      <c r="H1002">
        <f>표5[[#This Row],[공격성공횟수]]/(표5[[#This Row],[공격실패횟수]]+표5[[#This Row],[공격성공횟수]])</f>
        <v>3.125E-2</v>
      </c>
    </row>
    <row r="1003" spans="1:8" hidden="1" x14ac:dyDescent="0.4">
      <c r="A1003">
        <v>501</v>
      </c>
      <c r="B1003" t="s">
        <v>1</v>
      </c>
      <c r="C1003">
        <v>1</v>
      </c>
      <c r="D1003">
        <v>4</v>
      </c>
      <c r="E1003">
        <v>28</v>
      </c>
      <c r="F1003">
        <v>1</v>
      </c>
      <c r="G1003">
        <v>0</v>
      </c>
      <c r="H1003">
        <f>표5[[#This Row],[공격성공횟수]]/(표5[[#This Row],[공격실패횟수]]+표5[[#This Row],[공격성공횟수]])</f>
        <v>0.125</v>
      </c>
    </row>
    <row r="1004" spans="1:8" x14ac:dyDescent="0.4">
      <c r="A1004">
        <v>502</v>
      </c>
      <c r="B1004" t="s">
        <v>0</v>
      </c>
      <c r="C1004">
        <v>0</v>
      </c>
      <c r="D1004">
        <v>1</v>
      </c>
      <c r="E1004">
        <v>32</v>
      </c>
      <c r="F1004">
        <v>4</v>
      </c>
      <c r="G1004">
        <v>1</v>
      </c>
      <c r="H1004">
        <f>표5[[#This Row],[공격성공횟수]]/(표5[[#This Row],[공격실패횟수]]+표5[[#This Row],[공격성공횟수]])</f>
        <v>3.0303030303030304E-2</v>
      </c>
    </row>
    <row r="1005" spans="1:8" hidden="1" x14ac:dyDescent="0.4">
      <c r="A1005">
        <v>502</v>
      </c>
      <c r="B1005" t="s">
        <v>1</v>
      </c>
      <c r="C1005">
        <v>1</v>
      </c>
      <c r="D1005">
        <v>4</v>
      </c>
      <c r="E1005">
        <v>28</v>
      </c>
      <c r="F1005">
        <v>1</v>
      </c>
      <c r="G1005">
        <v>0</v>
      </c>
      <c r="H1005">
        <f>표5[[#This Row],[공격성공횟수]]/(표5[[#This Row],[공격실패횟수]]+표5[[#This Row],[공격성공횟수]])</f>
        <v>0.125</v>
      </c>
    </row>
    <row r="1006" spans="1:8" x14ac:dyDescent="0.4">
      <c r="A1006">
        <v>503</v>
      </c>
      <c r="B1006" t="s">
        <v>0</v>
      </c>
      <c r="C1006">
        <v>1</v>
      </c>
      <c r="D1006">
        <v>4</v>
      </c>
      <c r="E1006">
        <v>8</v>
      </c>
      <c r="F1006">
        <v>1</v>
      </c>
      <c r="G1006">
        <v>0</v>
      </c>
      <c r="H1006">
        <f>표5[[#This Row],[공격성공횟수]]/(표5[[#This Row],[공격실패횟수]]+표5[[#This Row],[공격성공횟수]])</f>
        <v>0.33333333333333331</v>
      </c>
    </row>
    <row r="1007" spans="1:8" hidden="1" x14ac:dyDescent="0.4">
      <c r="A1007">
        <v>503</v>
      </c>
      <c r="B1007" t="s">
        <v>1</v>
      </c>
      <c r="C1007">
        <v>0</v>
      </c>
      <c r="D1007">
        <v>1</v>
      </c>
      <c r="E1007">
        <v>10</v>
      </c>
      <c r="F1007">
        <v>4</v>
      </c>
      <c r="G1007">
        <v>1</v>
      </c>
      <c r="H1007">
        <f>표5[[#This Row],[공격성공횟수]]/(표5[[#This Row],[공격실패횟수]]+표5[[#This Row],[공격성공횟수]])</f>
        <v>9.0909090909090912E-2</v>
      </c>
    </row>
    <row r="1008" spans="1:8" x14ac:dyDescent="0.4">
      <c r="A1008">
        <v>504</v>
      </c>
      <c r="B1008" t="s">
        <v>0</v>
      </c>
      <c r="C1008">
        <v>1</v>
      </c>
      <c r="D1008">
        <v>4</v>
      </c>
      <c r="E1008">
        <v>23</v>
      </c>
      <c r="F1008">
        <v>2</v>
      </c>
      <c r="G1008">
        <v>0</v>
      </c>
      <c r="H1008">
        <f>표5[[#This Row],[공격성공횟수]]/(표5[[#This Row],[공격실패횟수]]+표5[[#This Row],[공격성공횟수]])</f>
        <v>0.14814814814814814</v>
      </c>
    </row>
    <row r="1009" spans="1:8" hidden="1" x14ac:dyDescent="0.4">
      <c r="A1009">
        <v>504</v>
      </c>
      <c r="B1009" t="s">
        <v>1</v>
      </c>
      <c r="C1009">
        <v>0</v>
      </c>
      <c r="D1009">
        <v>2</v>
      </c>
      <c r="E1009">
        <v>24</v>
      </c>
      <c r="F1009">
        <v>4</v>
      </c>
      <c r="G1009">
        <v>1</v>
      </c>
      <c r="H1009">
        <f>표5[[#This Row],[공격성공횟수]]/(표5[[#This Row],[공격실패횟수]]+표5[[#This Row],[공격성공횟수]])</f>
        <v>7.6923076923076927E-2</v>
      </c>
    </row>
    <row r="1010" spans="1:8" x14ac:dyDescent="0.4">
      <c r="A1010">
        <v>505</v>
      </c>
      <c r="B1010" t="s">
        <v>0</v>
      </c>
      <c r="C1010">
        <v>0</v>
      </c>
      <c r="D1010">
        <v>0</v>
      </c>
      <c r="E1010">
        <v>22</v>
      </c>
      <c r="F1010">
        <v>4</v>
      </c>
      <c r="G1010">
        <v>1</v>
      </c>
      <c r="H1010">
        <f>표5[[#This Row],[공격성공횟수]]/(표5[[#This Row],[공격실패횟수]]+표5[[#This Row],[공격성공횟수]])</f>
        <v>0</v>
      </c>
    </row>
    <row r="1011" spans="1:8" hidden="1" x14ac:dyDescent="0.4">
      <c r="A1011">
        <v>505</v>
      </c>
      <c r="B1011" t="s">
        <v>1</v>
      </c>
      <c r="C1011">
        <v>1</v>
      </c>
      <c r="D1011">
        <v>4</v>
      </c>
      <c r="E1011">
        <v>18</v>
      </c>
      <c r="F1011">
        <v>0</v>
      </c>
      <c r="G1011">
        <v>0</v>
      </c>
      <c r="H1011">
        <f>표5[[#This Row],[공격성공횟수]]/(표5[[#This Row],[공격실패횟수]]+표5[[#This Row],[공격성공횟수]])</f>
        <v>0.18181818181818182</v>
      </c>
    </row>
    <row r="1012" spans="1:8" x14ac:dyDescent="0.4">
      <c r="A1012">
        <v>506</v>
      </c>
      <c r="B1012" t="s">
        <v>0</v>
      </c>
      <c r="C1012">
        <v>0</v>
      </c>
      <c r="D1012">
        <v>3</v>
      </c>
      <c r="E1012">
        <v>19</v>
      </c>
      <c r="F1012">
        <v>4</v>
      </c>
      <c r="G1012">
        <v>1</v>
      </c>
      <c r="H1012">
        <f>표5[[#This Row],[공격성공횟수]]/(표5[[#This Row],[공격실패횟수]]+표5[[#This Row],[공격성공횟수]])</f>
        <v>0.13636363636363635</v>
      </c>
    </row>
    <row r="1013" spans="1:8" hidden="1" x14ac:dyDescent="0.4">
      <c r="A1013">
        <v>506</v>
      </c>
      <c r="B1013" t="s">
        <v>1</v>
      </c>
      <c r="C1013">
        <v>1</v>
      </c>
      <c r="D1013">
        <v>4</v>
      </c>
      <c r="E1013">
        <v>18</v>
      </c>
      <c r="F1013">
        <v>3</v>
      </c>
      <c r="G1013">
        <v>0</v>
      </c>
      <c r="H1013">
        <f>표5[[#This Row],[공격성공횟수]]/(표5[[#This Row],[공격실패횟수]]+표5[[#This Row],[공격성공횟수]])</f>
        <v>0.18181818181818182</v>
      </c>
    </row>
    <row r="1014" spans="1:8" x14ac:dyDescent="0.4">
      <c r="A1014">
        <v>507</v>
      </c>
      <c r="B1014" t="s">
        <v>0</v>
      </c>
      <c r="C1014">
        <v>1</v>
      </c>
      <c r="D1014">
        <v>4</v>
      </c>
      <c r="E1014">
        <v>10</v>
      </c>
      <c r="F1014">
        <v>2</v>
      </c>
      <c r="G1014">
        <v>0</v>
      </c>
      <c r="H1014">
        <f>표5[[#This Row],[공격성공횟수]]/(표5[[#This Row],[공격실패횟수]]+표5[[#This Row],[공격성공횟수]])</f>
        <v>0.2857142857142857</v>
      </c>
    </row>
    <row r="1015" spans="1:8" hidden="1" x14ac:dyDescent="0.4">
      <c r="A1015">
        <v>507</v>
      </c>
      <c r="B1015" t="s">
        <v>1</v>
      </c>
      <c r="C1015">
        <v>0</v>
      </c>
      <c r="D1015">
        <v>2</v>
      </c>
      <c r="E1015">
        <v>12</v>
      </c>
      <c r="F1015">
        <v>4</v>
      </c>
      <c r="G1015">
        <v>1</v>
      </c>
      <c r="H1015">
        <f>표5[[#This Row],[공격성공횟수]]/(표5[[#This Row],[공격실패횟수]]+표5[[#This Row],[공격성공횟수]])</f>
        <v>0.14285714285714285</v>
      </c>
    </row>
    <row r="1016" spans="1:8" x14ac:dyDescent="0.4">
      <c r="A1016">
        <v>508</v>
      </c>
      <c r="B1016" t="s">
        <v>0</v>
      </c>
      <c r="C1016">
        <v>1</v>
      </c>
      <c r="D1016">
        <v>4</v>
      </c>
      <c r="E1016">
        <v>11</v>
      </c>
      <c r="F1016">
        <v>2</v>
      </c>
      <c r="G1016">
        <v>0</v>
      </c>
      <c r="H1016">
        <f>표5[[#This Row],[공격성공횟수]]/(표5[[#This Row],[공격실패횟수]]+표5[[#This Row],[공격성공횟수]])</f>
        <v>0.26666666666666666</v>
      </c>
    </row>
    <row r="1017" spans="1:8" hidden="1" x14ac:dyDescent="0.4">
      <c r="A1017">
        <v>508</v>
      </c>
      <c r="B1017" t="s">
        <v>1</v>
      </c>
      <c r="C1017">
        <v>0</v>
      </c>
      <c r="D1017">
        <v>2</v>
      </c>
      <c r="E1017">
        <v>13</v>
      </c>
      <c r="F1017">
        <v>4</v>
      </c>
      <c r="G1017">
        <v>1</v>
      </c>
      <c r="H1017">
        <f>표5[[#This Row],[공격성공횟수]]/(표5[[#This Row],[공격실패횟수]]+표5[[#This Row],[공격성공횟수]])</f>
        <v>0.13333333333333333</v>
      </c>
    </row>
    <row r="1018" spans="1:8" x14ac:dyDescent="0.4">
      <c r="A1018">
        <v>509</v>
      </c>
      <c r="B1018" t="s">
        <v>0</v>
      </c>
      <c r="C1018">
        <v>1</v>
      </c>
      <c r="D1018">
        <v>4</v>
      </c>
      <c r="E1018">
        <v>11</v>
      </c>
      <c r="F1018">
        <v>0</v>
      </c>
      <c r="G1018">
        <v>0</v>
      </c>
      <c r="H1018">
        <f>표5[[#This Row],[공격성공횟수]]/(표5[[#This Row],[공격실패횟수]]+표5[[#This Row],[공격성공횟수]])</f>
        <v>0.26666666666666666</v>
      </c>
    </row>
    <row r="1019" spans="1:8" hidden="1" x14ac:dyDescent="0.4">
      <c r="A1019">
        <v>509</v>
      </c>
      <c r="B1019" t="s">
        <v>1</v>
      </c>
      <c r="C1019">
        <v>0</v>
      </c>
      <c r="D1019">
        <v>0</v>
      </c>
      <c r="E1019">
        <v>14</v>
      </c>
      <c r="F1019">
        <v>4</v>
      </c>
      <c r="G1019">
        <v>1</v>
      </c>
      <c r="H1019">
        <f>표5[[#This Row],[공격성공횟수]]/(표5[[#This Row],[공격실패횟수]]+표5[[#This Row],[공격성공횟수]])</f>
        <v>0</v>
      </c>
    </row>
    <row r="1020" spans="1:8" x14ac:dyDescent="0.4">
      <c r="A1020">
        <v>510</v>
      </c>
      <c r="B1020" t="s">
        <v>0</v>
      </c>
      <c r="C1020">
        <v>1</v>
      </c>
      <c r="D1020">
        <v>4</v>
      </c>
      <c r="E1020">
        <v>17</v>
      </c>
      <c r="F1020">
        <v>1</v>
      </c>
      <c r="G1020">
        <v>0</v>
      </c>
      <c r="H1020">
        <f>표5[[#This Row],[공격성공횟수]]/(표5[[#This Row],[공격실패횟수]]+표5[[#This Row],[공격성공횟수]])</f>
        <v>0.19047619047619047</v>
      </c>
    </row>
    <row r="1021" spans="1:8" hidden="1" x14ac:dyDescent="0.4">
      <c r="A1021">
        <v>510</v>
      </c>
      <c r="B1021" t="s">
        <v>1</v>
      </c>
      <c r="C1021">
        <v>0</v>
      </c>
      <c r="D1021">
        <v>1</v>
      </c>
      <c r="E1021">
        <v>19</v>
      </c>
      <c r="F1021">
        <v>4</v>
      </c>
      <c r="G1021">
        <v>1</v>
      </c>
      <c r="H1021">
        <f>표5[[#This Row],[공격성공횟수]]/(표5[[#This Row],[공격실패횟수]]+표5[[#This Row],[공격성공횟수]])</f>
        <v>0.05</v>
      </c>
    </row>
    <row r="1022" spans="1:8" x14ac:dyDescent="0.4">
      <c r="A1022">
        <v>511</v>
      </c>
      <c r="B1022" t="s">
        <v>0</v>
      </c>
      <c r="C1022">
        <v>1</v>
      </c>
      <c r="D1022">
        <v>4</v>
      </c>
      <c r="E1022">
        <v>6</v>
      </c>
      <c r="F1022">
        <v>1</v>
      </c>
      <c r="G1022">
        <v>0</v>
      </c>
      <c r="H1022">
        <f>표5[[#This Row],[공격성공횟수]]/(표5[[#This Row],[공격실패횟수]]+표5[[#This Row],[공격성공횟수]])</f>
        <v>0.4</v>
      </c>
    </row>
    <row r="1023" spans="1:8" hidden="1" x14ac:dyDescent="0.4">
      <c r="A1023">
        <v>511</v>
      </c>
      <c r="B1023" t="s">
        <v>1</v>
      </c>
      <c r="C1023">
        <v>0</v>
      </c>
      <c r="D1023">
        <v>1</v>
      </c>
      <c r="E1023">
        <v>9</v>
      </c>
      <c r="F1023">
        <v>4</v>
      </c>
      <c r="G1023">
        <v>1</v>
      </c>
      <c r="H1023">
        <f>표5[[#This Row],[공격성공횟수]]/(표5[[#This Row],[공격실패횟수]]+표5[[#This Row],[공격성공횟수]])</f>
        <v>0.1</v>
      </c>
    </row>
    <row r="1024" spans="1:8" x14ac:dyDescent="0.4">
      <c r="A1024">
        <v>512</v>
      </c>
      <c r="B1024" t="s">
        <v>0</v>
      </c>
      <c r="C1024">
        <v>1</v>
      </c>
      <c r="D1024">
        <v>4</v>
      </c>
      <c r="E1024">
        <v>30</v>
      </c>
      <c r="F1024">
        <v>3</v>
      </c>
      <c r="G1024">
        <v>0</v>
      </c>
      <c r="H1024">
        <f>표5[[#This Row],[공격성공횟수]]/(표5[[#This Row],[공격실패횟수]]+표5[[#This Row],[공격성공횟수]])</f>
        <v>0.11764705882352941</v>
      </c>
    </row>
    <row r="1025" spans="1:8" hidden="1" x14ac:dyDescent="0.4">
      <c r="A1025">
        <v>512</v>
      </c>
      <c r="B1025" t="s">
        <v>1</v>
      </c>
      <c r="C1025">
        <v>0</v>
      </c>
      <c r="D1025">
        <v>3</v>
      </c>
      <c r="E1025">
        <v>30</v>
      </c>
      <c r="F1025">
        <v>4</v>
      </c>
      <c r="G1025">
        <v>1</v>
      </c>
      <c r="H1025">
        <f>표5[[#This Row],[공격성공횟수]]/(표5[[#This Row],[공격실패횟수]]+표5[[#This Row],[공격성공횟수]])</f>
        <v>9.0909090909090912E-2</v>
      </c>
    </row>
    <row r="1026" spans="1:8" x14ac:dyDescent="0.4">
      <c r="A1026">
        <v>513</v>
      </c>
      <c r="B1026" t="s">
        <v>0</v>
      </c>
      <c r="C1026">
        <v>1</v>
      </c>
      <c r="D1026">
        <v>4</v>
      </c>
      <c r="E1026">
        <v>10</v>
      </c>
      <c r="F1026">
        <v>2</v>
      </c>
      <c r="G1026">
        <v>0</v>
      </c>
      <c r="H1026">
        <f>표5[[#This Row],[공격성공횟수]]/(표5[[#This Row],[공격실패횟수]]+표5[[#This Row],[공격성공횟수]])</f>
        <v>0.2857142857142857</v>
      </c>
    </row>
    <row r="1027" spans="1:8" hidden="1" x14ac:dyDescent="0.4">
      <c r="A1027">
        <v>513</v>
      </c>
      <c r="B1027" t="s">
        <v>1</v>
      </c>
      <c r="C1027">
        <v>0</v>
      </c>
      <c r="D1027">
        <v>2</v>
      </c>
      <c r="E1027">
        <v>12</v>
      </c>
      <c r="F1027">
        <v>4</v>
      </c>
      <c r="G1027">
        <v>1</v>
      </c>
      <c r="H1027">
        <f>표5[[#This Row],[공격성공횟수]]/(표5[[#This Row],[공격실패횟수]]+표5[[#This Row],[공격성공횟수]])</f>
        <v>0.14285714285714285</v>
      </c>
    </row>
    <row r="1028" spans="1:8" x14ac:dyDescent="0.4">
      <c r="A1028">
        <v>514</v>
      </c>
      <c r="B1028" t="s">
        <v>0</v>
      </c>
      <c r="C1028">
        <v>1</v>
      </c>
      <c r="D1028">
        <v>4</v>
      </c>
      <c r="E1028">
        <v>6</v>
      </c>
      <c r="F1028">
        <v>0</v>
      </c>
      <c r="G1028">
        <v>0</v>
      </c>
      <c r="H1028">
        <f>표5[[#This Row],[공격성공횟수]]/(표5[[#This Row],[공격실패횟수]]+표5[[#This Row],[공격성공횟수]])</f>
        <v>0.4</v>
      </c>
    </row>
    <row r="1029" spans="1:8" hidden="1" x14ac:dyDescent="0.4">
      <c r="A1029">
        <v>514</v>
      </c>
      <c r="B1029" t="s">
        <v>1</v>
      </c>
      <c r="C1029">
        <v>0</v>
      </c>
      <c r="D1029">
        <v>0</v>
      </c>
      <c r="E1029">
        <v>10</v>
      </c>
      <c r="F1029">
        <v>4</v>
      </c>
      <c r="G1029">
        <v>1</v>
      </c>
      <c r="H1029">
        <f>표5[[#This Row],[공격성공횟수]]/(표5[[#This Row],[공격실패횟수]]+표5[[#This Row],[공격성공횟수]])</f>
        <v>0</v>
      </c>
    </row>
    <row r="1030" spans="1:8" x14ac:dyDescent="0.4">
      <c r="A1030">
        <v>515</v>
      </c>
      <c r="B1030" t="s">
        <v>0</v>
      </c>
      <c r="C1030">
        <v>0</v>
      </c>
      <c r="D1030">
        <v>0</v>
      </c>
      <c r="E1030">
        <v>12</v>
      </c>
      <c r="F1030">
        <v>4</v>
      </c>
      <c r="G1030">
        <v>1</v>
      </c>
      <c r="H1030">
        <f>표5[[#This Row],[공격성공횟수]]/(표5[[#This Row],[공격실패횟수]]+표5[[#This Row],[공격성공횟수]])</f>
        <v>0</v>
      </c>
    </row>
    <row r="1031" spans="1:8" hidden="1" x14ac:dyDescent="0.4">
      <c r="A1031">
        <v>515</v>
      </c>
      <c r="B1031" t="s">
        <v>1</v>
      </c>
      <c r="C1031">
        <v>1</v>
      </c>
      <c r="D1031">
        <v>4</v>
      </c>
      <c r="E1031">
        <v>9</v>
      </c>
      <c r="F1031">
        <v>0</v>
      </c>
      <c r="G1031">
        <v>0</v>
      </c>
      <c r="H1031">
        <f>표5[[#This Row],[공격성공횟수]]/(표5[[#This Row],[공격실패횟수]]+표5[[#This Row],[공격성공횟수]])</f>
        <v>0.30769230769230771</v>
      </c>
    </row>
    <row r="1032" spans="1:8" x14ac:dyDescent="0.4">
      <c r="A1032">
        <v>516</v>
      </c>
      <c r="B1032" t="s">
        <v>0</v>
      </c>
      <c r="C1032">
        <v>1</v>
      </c>
      <c r="D1032">
        <v>4</v>
      </c>
      <c r="E1032">
        <v>27</v>
      </c>
      <c r="F1032">
        <v>2</v>
      </c>
      <c r="G1032">
        <v>0</v>
      </c>
      <c r="H1032">
        <f>표5[[#This Row],[공격성공횟수]]/(표5[[#This Row],[공격실패횟수]]+표5[[#This Row],[공격성공횟수]])</f>
        <v>0.12903225806451613</v>
      </c>
    </row>
    <row r="1033" spans="1:8" hidden="1" x14ac:dyDescent="0.4">
      <c r="A1033">
        <v>516</v>
      </c>
      <c r="B1033" t="s">
        <v>1</v>
      </c>
      <c r="C1033">
        <v>0</v>
      </c>
      <c r="D1033">
        <v>2</v>
      </c>
      <c r="E1033">
        <v>27</v>
      </c>
      <c r="F1033">
        <v>4</v>
      </c>
      <c r="G1033">
        <v>1</v>
      </c>
      <c r="H1033">
        <f>표5[[#This Row],[공격성공횟수]]/(표5[[#This Row],[공격실패횟수]]+표5[[#This Row],[공격성공횟수]])</f>
        <v>6.8965517241379309E-2</v>
      </c>
    </row>
    <row r="1034" spans="1:8" x14ac:dyDescent="0.4">
      <c r="A1034">
        <v>517</v>
      </c>
      <c r="B1034" t="s">
        <v>0</v>
      </c>
      <c r="C1034">
        <v>0</v>
      </c>
      <c r="D1034">
        <v>0</v>
      </c>
      <c r="E1034">
        <v>32</v>
      </c>
      <c r="F1034">
        <v>4</v>
      </c>
      <c r="G1034">
        <v>1</v>
      </c>
      <c r="H1034">
        <f>표5[[#This Row],[공격성공횟수]]/(표5[[#This Row],[공격실패횟수]]+표5[[#This Row],[공격성공횟수]])</f>
        <v>0</v>
      </c>
    </row>
    <row r="1035" spans="1:8" hidden="1" x14ac:dyDescent="0.4">
      <c r="A1035">
        <v>517</v>
      </c>
      <c r="B1035" t="s">
        <v>1</v>
      </c>
      <c r="C1035">
        <v>1</v>
      </c>
      <c r="D1035">
        <v>4</v>
      </c>
      <c r="E1035">
        <v>29</v>
      </c>
      <c r="F1035">
        <v>0</v>
      </c>
      <c r="G1035">
        <v>0</v>
      </c>
      <c r="H1035">
        <f>표5[[#This Row],[공격성공횟수]]/(표5[[#This Row],[공격실패횟수]]+표5[[#This Row],[공격성공횟수]])</f>
        <v>0.12121212121212122</v>
      </c>
    </row>
    <row r="1036" spans="1:8" x14ac:dyDescent="0.4">
      <c r="A1036">
        <v>518</v>
      </c>
      <c r="B1036" t="s">
        <v>0</v>
      </c>
      <c r="C1036">
        <v>1</v>
      </c>
      <c r="D1036">
        <v>4</v>
      </c>
      <c r="E1036">
        <v>6</v>
      </c>
      <c r="F1036">
        <v>0</v>
      </c>
      <c r="G1036">
        <v>0</v>
      </c>
      <c r="H1036">
        <f>표5[[#This Row],[공격성공횟수]]/(표5[[#This Row],[공격실패횟수]]+표5[[#This Row],[공격성공횟수]])</f>
        <v>0.4</v>
      </c>
    </row>
    <row r="1037" spans="1:8" hidden="1" x14ac:dyDescent="0.4">
      <c r="A1037">
        <v>518</v>
      </c>
      <c r="B1037" t="s">
        <v>1</v>
      </c>
      <c r="C1037">
        <v>0</v>
      </c>
      <c r="D1037">
        <v>0</v>
      </c>
      <c r="E1037">
        <v>9</v>
      </c>
      <c r="F1037">
        <v>4</v>
      </c>
      <c r="G1037">
        <v>1</v>
      </c>
      <c r="H1037">
        <f>표5[[#This Row],[공격성공횟수]]/(표5[[#This Row],[공격실패횟수]]+표5[[#This Row],[공격성공횟수]])</f>
        <v>0</v>
      </c>
    </row>
    <row r="1038" spans="1:8" x14ac:dyDescent="0.4">
      <c r="A1038">
        <v>519</v>
      </c>
      <c r="B1038" t="s">
        <v>0</v>
      </c>
      <c r="C1038">
        <v>1</v>
      </c>
      <c r="D1038">
        <v>4</v>
      </c>
      <c r="E1038">
        <v>7</v>
      </c>
      <c r="F1038">
        <v>0</v>
      </c>
      <c r="G1038">
        <v>0</v>
      </c>
      <c r="H1038">
        <f>표5[[#This Row],[공격성공횟수]]/(표5[[#This Row],[공격실패횟수]]+표5[[#This Row],[공격성공횟수]])</f>
        <v>0.36363636363636365</v>
      </c>
    </row>
    <row r="1039" spans="1:8" hidden="1" x14ac:dyDescent="0.4">
      <c r="A1039">
        <v>519</v>
      </c>
      <c r="B1039" t="s">
        <v>1</v>
      </c>
      <c r="C1039">
        <v>0</v>
      </c>
      <c r="D1039">
        <v>0</v>
      </c>
      <c r="E1039">
        <v>10</v>
      </c>
      <c r="F1039">
        <v>4</v>
      </c>
      <c r="G1039">
        <v>1</v>
      </c>
      <c r="H1039">
        <f>표5[[#This Row],[공격성공횟수]]/(표5[[#This Row],[공격실패횟수]]+표5[[#This Row],[공격성공횟수]])</f>
        <v>0</v>
      </c>
    </row>
    <row r="1040" spans="1:8" x14ac:dyDescent="0.4">
      <c r="A1040">
        <v>520</v>
      </c>
      <c r="B1040" t="s">
        <v>0</v>
      </c>
      <c r="C1040">
        <v>1</v>
      </c>
      <c r="D1040">
        <v>4</v>
      </c>
      <c r="E1040">
        <v>8</v>
      </c>
      <c r="F1040">
        <v>0</v>
      </c>
      <c r="G1040">
        <v>0</v>
      </c>
      <c r="H1040">
        <f>표5[[#This Row],[공격성공횟수]]/(표5[[#This Row],[공격실패횟수]]+표5[[#This Row],[공격성공횟수]])</f>
        <v>0.33333333333333331</v>
      </c>
    </row>
    <row r="1041" spans="1:8" hidden="1" x14ac:dyDescent="0.4">
      <c r="A1041">
        <v>520</v>
      </c>
      <c r="B1041" t="s">
        <v>1</v>
      </c>
      <c r="C1041">
        <v>0</v>
      </c>
      <c r="D1041">
        <v>0</v>
      </c>
      <c r="E1041">
        <v>12</v>
      </c>
      <c r="F1041">
        <v>4</v>
      </c>
      <c r="G1041">
        <v>1</v>
      </c>
      <c r="H1041">
        <f>표5[[#This Row],[공격성공횟수]]/(표5[[#This Row],[공격실패횟수]]+표5[[#This Row],[공격성공횟수]])</f>
        <v>0</v>
      </c>
    </row>
    <row r="1042" spans="1:8" x14ac:dyDescent="0.4">
      <c r="A1042">
        <v>521</v>
      </c>
      <c r="B1042" t="s">
        <v>0</v>
      </c>
      <c r="C1042">
        <v>1</v>
      </c>
      <c r="D1042">
        <v>4</v>
      </c>
      <c r="E1042">
        <v>10</v>
      </c>
      <c r="F1042">
        <v>1</v>
      </c>
      <c r="G1042">
        <v>0</v>
      </c>
      <c r="H1042">
        <f>표5[[#This Row],[공격성공횟수]]/(표5[[#This Row],[공격실패횟수]]+표5[[#This Row],[공격성공횟수]])</f>
        <v>0.2857142857142857</v>
      </c>
    </row>
    <row r="1043" spans="1:8" hidden="1" x14ac:dyDescent="0.4">
      <c r="A1043">
        <v>521</v>
      </c>
      <c r="B1043" t="s">
        <v>1</v>
      </c>
      <c r="C1043">
        <v>0</v>
      </c>
      <c r="D1043">
        <v>1</v>
      </c>
      <c r="E1043">
        <v>13</v>
      </c>
      <c r="F1043">
        <v>4</v>
      </c>
      <c r="G1043">
        <v>1</v>
      </c>
      <c r="H1043">
        <f>표5[[#This Row],[공격성공횟수]]/(표5[[#This Row],[공격실패횟수]]+표5[[#This Row],[공격성공횟수]])</f>
        <v>7.1428571428571425E-2</v>
      </c>
    </row>
    <row r="1044" spans="1:8" x14ac:dyDescent="0.4">
      <c r="A1044">
        <v>522</v>
      </c>
      <c r="B1044" t="s">
        <v>0</v>
      </c>
      <c r="C1044">
        <v>1</v>
      </c>
      <c r="D1044">
        <v>4</v>
      </c>
      <c r="E1044">
        <v>8</v>
      </c>
      <c r="F1044">
        <v>1</v>
      </c>
      <c r="G1044">
        <v>0</v>
      </c>
      <c r="H1044">
        <f>표5[[#This Row],[공격성공횟수]]/(표5[[#This Row],[공격실패횟수]]+표5[[#This Row],[공격성공횟수]])</f>
        <v>0.33333333333333331</v>
      </c>
    </row>
    <row r="1045" spans="1:8" hidden="1" x14ac:dyDescent="0.4">
      <c r="A1045">
        <v>522</v>
      </c>
      <c r="B1045" t="s">
        <v>1</v>
      </c>
      <c r="C1045">
        <v>0</v>
      </c>
      <c r="D1045">
        <v>1</v>
      </c>
      <c r="E1045">
        <v>10</v>
      </c>
      <c r="F1045">
        <v>4</v>
      </c>
      <c r="G1045">
        <v>1</v>
      </c>
      <c r="H1045">
        <f>표5[[#This Row],[공격성공횟수]]/(표5[[#This Row],[공격실패횟수]]+표5[[#This Row],[공격성공횟수]])</f>
        <v>9.0909090909090912E-2</v>
      </c>
    </row>
    <row r="1046" spans="1:8" x14ac:dyDescent="0.4">
      <c r="A1046">
        <v>523</v>
      </c>
      <c r="B1046" t="s">
        <v>0</v>
      </c>
      <c r="C1046">
        <v>0</v>
      </c>
      <c r="D1046">
        <v>0</v>
      </c>
      <c r="E1046">
        <v>28</v>
      </c>
      <c r="F1046">
        <v>4</v>
      </c>
      <c r="G1046">
        <v>1</v>
      </c>
      <c r="H1046">
        <f>표5[[#This Row],[공격성공횟수]]/(표5[[#This Row],[공격실패횟수]]+표5[[#This Row],[공격성공횟수]])</f>
        <v>0</v>
      </c>
    </row>
    <row r="1047" spans="1:8" hidden="1" x14ac:dyDescent="0.4">
      <c r="A1047">
        <v>523</v>
      </c>
      <c r="B1047" t="s">
        <v>1</v>
      </c>
      <c r="C1047">
        <v>1</v>
      </c>
      <c r="D1047">
        <v>4</v>
      </c>
      <c r="E1047">
        <v>24</v>
      </c>
      <c r="F1047">
        <v>0</v>
      </c>
      <c r="G1047">
        <v>0</v>
      </c>
      <c r="H1047">
        <f>표5[[#This Row],[공격성공횟수]]/(표5[[#This Row],[공격실패횟수]]+표5[[#This Row],[공격성공횟수]])</f>
        <v>0.14285714285714285</v>
      </c>
    </row>
    <row r="1048" spans="1:8" x14ac:dyDescent="0.4">
      <c r="A1048">
        <v>524</v>
      </c>
      <c r="B1048" t="s">
        <v>0</v>
      </c>
      <c r="C1048">
        <v>1</v>
      </c>
      <c r="D1048">
        <v>4</v>
      </c>
      <c r="E1048">
        <v>10</v>
      </c>
      <c r="F1048">
        <v>1</v>
      </c>
      <c r="G1048">
        <v>0</v>
      </c>
      <c r="H1048">
        <f>표5[[#This Row],[공격성공횟수]]/(표5[[#This Row],[공격실패횟수]]+표5[[#This Row],[공격성공횟수]])</f>
        <v>0.2857142857142857</v>
      </c>
    </row>
    <row r="1049" spans="1:8" hidden="1" x14ac:dyDescent="0.4">
      <c r="A1049">
        <v>524</v>
      </c>
      <c r="B1049" t="s">
        <v>1</v>
      </c>
      <c r="C1049">
        <v>0</v>
      </c>
      <c r="D1049">
        <v>1</v>
      </c>
      <c r="E1049">
        <v>12</v>
      </c>
      <c r="F1049">
        <v>4</v>
      </c>
      <c r="G1049">
        <v>1</v>
      </c>
      <c r="H1049">
        <f>표5[[#This Row],[공격성공횟수]]/(표5[[#This Row],[공격실패횟수]]+표5[[#This Row],[공격성공횟수]])</f>
        <v>7.6923076923076927E-2</v>
      </c>
    </row>
    <row r="1050" spans="1:8" x14ac:dyDescent="0.4">
      <c r="A1050">
        <v>525</v>
      </c>
      <c r="B1050" t="s">
        <v>0</v>
      </c>
      <c r="C1050">
        <v>1</v>
      </c>
      <c r="D1050">
        <v>4</v>
      </c>
      <c r="E1050">
        <v>6</v>
      </c>
      <c r="F1050">
        <v>1</v>
      </c>
      <c r="G1050">
        <v>0</v>
      </c>
      <c r="H1050">
        <f>표5[[#This Row],[공격성공횟수]]/(표5[[#This Row],[공격실패횟수]]+표5[[#This Row],[공격성공횟수]])</f>
        <v>0.4</v>
      </c>
    </row>
    <row r="1051" spans="1:8" hidden="1" x14ac:dyDescent="0.4">
      <c r="A1051">
        <v>525</v>
      </c>
      <c r="B1051" t="s">
        <v>1</v>
      </c>
      <c r="C1051">
        <v>0</v>
      </c>
      <c r="D1051">
        <v>1</v>
      </c>
      <c r="E1051">
        <v>8</v>
      </c>
      <c r="F1051">
        <v>4</v>
      </c>
      <c r="G1051">
        <v>1</v>
      </c>
      <c r="H1051">
        <f>표5[[#This Row],[공격성공횟수]]/(표5[[#This Row],[공격실패횟수]]+표5[[#This Row],[공격성공횟수]])</f>
        <v>0.1111111111111111</v>
      </c>
    </row>
    <row r="1052" spans="1:8" x14ac:dyDescent="0.4">
      <c r="A1052">
        <v>526</v>
      </c>
      <c r="B1052" t="s">
        <v>0</v>
      </c>
      <c r="C1052">
        <v>1</v>
      </c>
      <c r="D1052">
        <v>4</v>
      </c>
      <c r="E1052">
        <v>14</v>
      </c>
      <c r="F1052">
        <v>3</v>
      </c>
      <c r="G1052">
        <v>0</v>
      </c>
      <c r="H1052">
        <f>표5[[#This Row],[공격성공횟수]]/(표5[[#This Row],[공격실패횟수]]+표5[[#This Row],[공격성공횟수]])</f>
        <v>0.22222222222222221</v>
      </c>
    </row>
    <row r="1053" spans="1:8" hidden="1" x14ac:dyDescent="0.4">
      <c r="A1053">
        <v>526</v>
      </c>
      <c r="B1053" t="s">
        <v>1</v>
      </c>
      <c r="C1053">
        <v>0</v>
      </c>
      <c r="D1053">
        <v>3</v>
      </c>
      <c r="E1053">
        <v>15</v>
      </c>
      <c r="F1053">
        <v>4</v>
      </c>
      <c r="G1053">
        <v>1</v>
      </c>
      <c r="H1053">
        <f>표5[[#This Row],[공격성공횟수]]/(표5[[#This Row],[공격실패횟수]]+표5[[#This Row],[공격성공횟수]])</f>
        <v>0.16666666666666666</v>
      </c>
    </row>
    <row r="1054" spans="1:8" x14ac:dyDescent="0.4">
      <c r="A1054">
        <v>527</v>
      </c>
      <c r="B1054" t="s">
        <v>0</v>
      </c>
      <c r="C1054">
        <v>1</v>
      </c>
      <c r="D1054">
        <v>4</v>
      </c>
      <c r="E1054">
        <v>6</v>
      </c>
      <c r="F1054">
        <v>1</v>
      </c>
      <c r="G1054">
        <v>0</v>
      </c>
      <c r="H1054">
        <f>표5[[#This Row],[공격성공횟수]]/(표5[[#This Row],[공격실패횟수]]+표5[[#This Row],[공격성공횟수]])</f>
        <v>0.4</v>
      </c>
    </row>
    <row r="1055" spans="1:8" hidden="1" x14ac:dyDescent="0.4">
      <c r="A1055">
        <v>527</v>
      </c>
      <c r="B1055" t="s">
        <v>1</v>
      </c>
      <c r="C1055">
        <v>0</v>
      </c>
      <c r="D1055">
        <v>1</v>
      </c>
      <c r="E1055">
        <v>8</v>
      </c>
      <c r="F1055">
        <v>4</v>
      </c>
      <c r="G1055">
        <v>1</v>
      </c>
      <c r="H1055">
        <f>표5[[#This Row],[공격성공횟수]]/(표5[[#This Row],[공격실패횟수]]+표5[[#This Row],[공격성공횟수]])</f>
        <v>0.1111111111111111</v>
      </c>
    </row>
    <row r="1056" spans="1:8" x14ac:dyDescent="0.4">
      <c r="A1056">
        <v>528</v>
      </c>
      <c r="B1056" t="s">
        <v>0</v>
      </c>
      <c r="C1056">
        <v>0</v>
      </c>
      <c r="D1056">
        <v>1</v>
      </c>
      <c r="E1056">
        <v>26</v>
      </c>
      <c r="F1056">
        <v>4</v>
      </c>
      <c r="G1056">
        <v>1</v>
      </c>
      <c r="H1056">
        <f>표5[[#This Row],[공격성공횟수]]/(표5[[#This Row],[공격실패횟수]]+표5[[#This Row],[공격성공횟수]])</f>
        <v>3.7037037037037035E-2</v>
      </c>
    </row>
    <row r="1057" spans="1:8" hidden="1" x14ac:dyDescent="0.4">
      <c r="A1057">
        <v>528</v>
      </c>
      <c r="B1057" t="s">
        <v>1</v>
      </c>
      <c r="C1057">
        <v>1</v>
      </c>
      <c r="D1057">
        <v>4</v>
      </c>
      <c r="E1057">
        <v>24</v>
      </c>
      <c r="F1057">
        <v>1</v>
      </c>
      <c r="G1057">
        <v>0</v>
      </c>
      <c r="H1057">
        <f>표5[[#This Row],[공격성공횟수]]/(표5[[#This Row],[공격실패횟수]]+표5[[#This Row],[공격성공횟수]])</f>
        <v>0.14285714285714285</v>
      </c>
    </row>
    <row r="1058" spans="1:8" x14ac:dyDescent="0.4">
      <c r="A1058">
        <v>529</v>
      </c>
      <c r="B1058" t="s">
        <v>0</v>
      </c>
      <c r="C1058">
        <v>1</v>
      </c>
      <c r="D1058">
        <v>4</v>
      </c>
      <c r="E1058">
        <v>9</v>
      </c>
      <c r="F1058">
        <v>1</v>
      </c>
      <c r="G1058">
        <v>0</v>
      </c>
      <c r="H1058">
        <f>표5[[#This Row],[공격성공횟수]]/(표5[[#This Row],[공격실패횟수]]+표5[[#This Row],[공격성공횟수]])</f>
        <v>0.30769230769230771</v>
      </c>
    </row>
    <row r="1059" spans="1:8" hidden="1" x14ac:dyDescent="0.4">
      <c r="A1059">
        <v>529</v>
      </c>
      <c r="B1059" t="s">
        <v>1</v>
      </c>
      <c r="C1059">
        <v>0</v>
      </c>
      <c r="D1059">
        <v>1</v>
      </c>
      <c r="E1059">
        <v>11</v>
      </c>
      <c r="F1059">
        <v>4</v>
      </c>
      <c r="G1059">
        <v>1</v>
      </c>
      <c r="H1059">
        <f>표5[[#This Row],[공격성공횟수]]/(표5[[#This Row],[공격실패횟수]]+표5[[#This Row],[공격성공횟수]])</f>
        <v>8.3333333333333329E-2</v>
      </c>
    </row>
    <row r="1060" spans="1:8" x14ac:dyDescent="0.4">
      <c r="A1060">
        <v>530</v>
      </c>
      <c r="B1060" t="s">
        <v>0</v>
      </c>
      <c r="C1060">
        <v>1</v>
      </c>
      <c r="D1060">
        <v>4</v>
      </c>
      <c r="E1060">
        <v>13</v>
      </c>
      <c r="F1060">
        <v>0</v>
      </c>
      <c r="G1060">
        <v>0</v>
      </c>
      <c r="H1060">
        <f>표5[[#This Row],[공격성공횟수]]/(표5[[#This Row],[공격실패횟수]]+표5[[#This Row],[공격성공횟수]])</f>
        <v>0.23529411764705882</v>
      </c>
    </row>
    <row r="1061" spans="1:8" hidden="1" x14ac:dyDescent="0.4">
      <c r="A1061">
        <v>530</v>
      </c>
      <c r="B1061" t="s">
        <v>1</v>
      </c>
      <c r="C1061">
        <v>0</v>
      </c>
      <c r="D1061">
        <v>0</v>
      </c>
      <c r="E1061">
        <v>17</v>
      </c>
      <c r="F1061">
        <v>4</v>
      </c>
      <c r="G1061">
        <v>1</v>
      </c>
      <c r="H1061">
        <f>표5[[#This Row],[공격성공횟수]]/(표5[[#This Row],[공격실패횟수]]+표5[[#This Row],[공격성공횟수]])</f>
        <v>0</v>
      </c>
    </row>
    <row r="1062" spans="1:8" x14ac:dyDescent="0.4">
      <c r="A1062">
        <v>531</v>
      </c>
      <c r="B1062" t="s">
        <v>0</v>
      </c>
      <c r="C1062">
        <v>1</v>
      </c>
      <c r="D1062">
        <v>4</v>
      </c>
      <c r="E1062">
        <v>10</v>
      </c>
      <c r="F1062">
        <v>0</v>
      </c>
      <c r="G1062">
        <v>0</v>
      </c>
      <c r="H1062">
        <f>표5[[#This Row],[공격성공횟수]]/(표5[[#This Row],[공격실패횟수]]+표5[[#This Row],[공격성공횟수]])</f>
        <v>0.2857142857142857</v>
      </c>
    </row>
    <row r="1063" spans="1:8" hidden="1" x14ac:dyDescent="0.4">
      <c r="A1063">
        <v>531</v>
      </c>
      <c r="B1063" t="s">
        <v>1</v>
      </c>
      <c r="C1063">
        <v>0</v>
      </c>
      <c r="D1063">
        <v>0</v>
      </c>
      <c r="E1063">
        <v>14</v>
      </c>
      <c r="F1063">
        <v>4</v>
      </c>
      <c r="G1063">
        <v>1</v>
      </c>
      <c r="H1063">
        <f>표5[[#This Row],[공격성공횟수]]/(표5[[#This Row],[공격실패횟수]]+표5[[#This Row],[공격성공횟수]])</f>
        <v>0</v>
      </c>
    </row>
    <row r="1064" spans="1:8" x14ac:dyDescent="0.4">
      <c r="A1064">
        <v>532</v>
      </c>
      <c r="B1064" t="s">
        <v>0</v>
      </c>
      <c r="C1064">
        <v>1</v>
      </c>
      <c r="D1064">
        <v>4</v>
      </c>
      <c r="E1064">
        <v>16</v>
      </c>
      <c r="F1064">
        <v>1</v>
      </c>
      <c r="G1064">
        <v>0</v>
      </c>
      <c r="H1064">
        <f>표5[[#This Row],[공격성공횟수]]/(표5[[#This Row],[공격실패횟수]]+표5[[#This Row],[공격성공횟수]])</f>
        <v>0.2</v>
      </c>
    </row>
    <row r="1065" spans="1:8" hidden="1" x14ac:dyDescent="0.4">
      <c r="A1065">
        <v>532</v>
      </c>
      <c r="B1065" t="s">
        <v>1</v>
      </c>
      <c r="C1065">
        <v>0</v>
      </c>
      <c r="D1065">
        <v>1</v>
      </c>
      <c r="E1065">
        <v>18</v>
      </c>
      <c r="F1065">
        <v>4</v>
      </c>
      <c r="G1065">
        <v>1</v>
      </c>
      <c r="H1065">
        <f>표5[[#This Row],[공격성공횟수]]/(표5[[#This Row],[공격실패횟수]]+표5[[#This Row],[공격성공횟수]])</f>
        <v>5.2631578947368418E-2</v>
      </c>
    </row>
    <row r="1066" spans="1:8" x14ac:dyDescent="0.4">
      <c r="A1066">
        <v>533</v>
      </c>
      <c r="B1066" t="s">
        <v>0</v>
      </c>
      <c r="C1066">
        <v>0</v>
      </c>
      <c r="D1066">
        <v>3</v>
      </c>
      <c r="E1066">
        <v>12</v>
      </c>
      <c r="F1066">
        <v>4</v>
      </c>
      <c r="G1066">
        <v>1</v>
      </c>
      <c r="H1066">
        <f>표5[[#This Row],[공격성공횟수]]/(표5[[#This Row],[공격실패횟수]]+표5[[#This Row],[공격성공횟수]])</f>
        <v>0.2</v>
      </c>
    </row>
    <row r="1067" spans="1:8" hidden="1" x14ac:dyDescent="0.4">
      <c r="A1067">
        <v>533</v>
      </c>
      <c r="B1067" t="s">
        <v>1</v>
      </c>
      <c r="C1067">
        <v>1</v>
      </c>
      <c r="D1067">
        <v>4</v>
      </c>
      <c r="E1067">
        <v>11</v>
      </c>
      <c r="F1067">
        <v>3</v>
      </c>
      <c r="G1067">
        <v>0</v>
      </c>
      <c r="H1067">
        <f>표5[[#This Row],[공격성공횟수]]/(표5[[#This Row],[공격실패횟수]]+표5[[#This Row],[공격성공횟수]])</f>
        <v>0.26666666666666666</v>
      </c>
    </row>
    <row r="1068" spans="1:8" x14ac:dyDescent="0.4">
      <c r="A1068">
        <v>534</v>
      </c>
      <c r="B1068" t="s">
        <v>0</v>
      </c>
      <c r="C1068">
        <v>1</v>
      </c>
      <c r="D1068">
        <v>4</v>
      </c>
      <c r="E1068">
        <v>13</v>
      </c>
      <c r="F1068">
        <v>1</v>
      </c>
      <c r="G1068">
        <v>0</v>
      </c>
      <c r="H1068">
        <f>표5[[#This Row],[공격성공횟수]]/(표5[[#This Row],[공격실패횟수]]+표5[[#This Row],[공격성공횟수]])</f>
        <v>0.23529411764705882</v>
      </c>
    </row>
    <row r="1069" spans="1:8" hidden="1" x14ac:dyDescent="0.4">
      <c r="A1069">
        <v>534</v>
      </c>
      <c r="B1069" t="s">
        <v>1</v>
      </c>
      <c r="C1069">
        <v>0</v>
      </c>
      <c r="D1069">
        <v>1</v>
      </c>
      <c r="E1069">
        <v>15</v>
      </c>
      <c r="F1069">
        <v>4</v>
      </c>
      <c r="G1069">
        <v>1</v>
      </c>
      <c r="H1069">
        <f>표5[[#This Row],[공격성공횟수]]/(표5[[#This Row],[공격실패횟수]]+표5[[#This Row],[공격성공횟수]])</f>
        <v>6.25E-2</v>
      </c>
    </row>
    <row r="1070" spans="1:8" x14ac:dyDescent="0.4">
      <c r="A1070">
        <v>535</v>
      </c>
      <c r="B1070" t="s">
        <v>0</v>
      </c>
      <c r="C1070">
        <v>0</v>
      </c>
      <c r="D1070">
        <v>0</v>
      </c>
      <c r="E1070">
        <v>13</v>
      </c>
      <c r="F1070">
        <v>4</v>
      </c>
      <c r="G1070">
        <v>1</v>
      </c>
      <c r="H1070">
        <f>표5[[#This Row],[공격성공횟수]]/(표5[[#This Row],[공격실패횟수]]+표5[[#This Row],[공격성공횟수]])</f>
        <v>0</v>
      </c>
    </row>
    <row r="1071" spans="1:8" hidden="1" x14ac:dyDescent="0.4">
      <c r="A1071">
        <v>535</v>
      </c>
      <c r="B1071" t="s">
        <v>1</v>
      </c>
      <c r="C1071">
        <v>1</v>
      </c>
      <c r="D1071">
        <v>4</v>
      </c>
      <c r="E1071">
        <v>10</v>
      </c>
      <c r="F1071">
        <v>0</v>
      </c>
      <c r="G1071">
        <v>0</v>
      </c>
      <c r="H1071">
        <f>표5[[#This Row],[공격성공횟수]]/(표5[[#This Row],[공격실패횟수]]+표5[[#This Row],[공격성공횟수]])</f>
        <v>0.2857142857142857</v>
      </c>
    </row>
    <row r="1072" spans="1:8" x14ac:dyDescent="0.4">
      <c r="A1072">
        <v>536</v>
      </c>
      <c r="B1072" t="s">
        <v>0</v>
      </c>
      <c r="C1072">
        <v>1</v>
      </c>
      <c r="D1072">
        <v>4</v>
      </c>
      <c r="E1072">
        <v>24</v>
      </c>
      <c r="F1072">
        <v>3</v>
      </c>
      <c r="G1072">
        <v>0</v>
      </c>
      <c r="H1072">
        <f>표5[[#This Row],[공격성공횟수]]/(표5[[#This Row],[공격실패횟수]]+표5[[#This Row],[공격성공횟수]])</f>
        <v>0.14285714285714285</v>
      </c>
    </row>
    <row r="1073" spans="1:8" hidden="1" x14ac:dyDescent="0.4">
      <c r="A1073">
        <v>536</v>
      </c>
      <c r="B1073" t="s">
        <v>1</v>
      </c>
      <c r="C1073">
        <v>0</v>
      </c>
      <c r="D1073">
        <v>3</v>
      </c>
      <c r="E1073">
        <v>23</v>
      </c>
      <c r="F1073">
        <v>4</v>
      </c>
      <c r="G1073">
        <v>1</v>
      </c>
      <c r="H1073">
        <f>표5[[#This Row],[공격성공횟수]]/(표5[[#This Row],[공격실패횟수]]+표5[[#This Row],[공격성공횟수]])</f>
        <v>0.11538461538461539</v>
      </c>
    </row>
    <row r="1074" spans="1:8" x14ac:dyDescent="0.4">
      <c r="A1074">
        <v>537</v>
      </c>
      <c r="B1074" t="s">
        <v>0</v>
      </c>
      <c r="C1074">
        <v>1</v>
      </c>
      <c r="D1074">
        <v>4</v>
      </c>
      <c r="E1074">
        <v>21</v>
      </c>
      <c r="F1074">
        <v>0</v>
      </c>
      <c r="G1074">
        <v>0</v>
      </c>
      <c r="H1074">
        <f>표5[[#This Row],[공격성공횟수]]/(표5[[#This Row],[공격실패횟수]]+표5[[#This Row],[공격성공횟수]])</f>
        <v>0.16</v>
      </c>
    </row>
    <row r="1075" spans="1:8" hidden="1" x14ac:dyDescent="0.4">
      <c r="A1075">
        <v>537</v>
      </c>
      <c r="B1075" t="s">
        <v>1</v>
      </c>
      <c r="C1075">
        <v>0</v>
      </c>
      <c r="D1075">
        <v>0</v>
      </c>
      <c r="E1075">
        <v>25</v>
      </c>
      <c r="F1075">
        <v>4</v>
      </c>
      <c r="G1075">
        <v>1</v>
      </c>
      <c r="H1075">
        <f>표5[[#This Row],[공격성공횟수]]/(표5[[#This Row],[공격실패횟수]]+표5[[#This Row],[공격성공횟수]])</f>
        <v>0</v>
      </c>
    </row>
    <row r="1076" spans="1:8" x14ac:dyDescent="0.4">
      <c r="A1076">
        <v>538</v>
      </c>
      <c r="B1076" t="s">
        <v>0</v>
      </c>
      <c r="C1076">
        <v>0</v>
      </c>
      <c r="D1076">
        <v>0</v>
      </c>
      <c r="E1076">
        <v>18</v>
      </c>
      <c r="F1076">
        <v>4</v>
      </c>
      <c r="G1076">
        <v>1</v>
      </c>
      <c r="H1076">
        <f>표5[[#This Row],[공격성공횟수]]/(표5[[#This Row],[공격실패횟수]]+표5[[#This Row],[공격성공횟수]])</f>
        <v>0</v>
      </c>
    </row>
    <row r="1077" spans="1:8" hidden="1" x14ac:dyDescent="0.4">
      <c r="A1077">
        <v>538</v>
      </c>
      <c r="B1077" t="s">
        <v>1</v>
      </c>
      <c r="C1077">
        <v>1</v>
      </c>
      <c r="D1077">
        <v>4</v>
      </c>
      <c r="E1077">
        <v>14</v>
      </c>
      <c r="F1077">
        <v>0</v>
      </c>
      <c r="G1077">
        <v>0</v>
      </c>
      <c r="H1077">
        <f>표5[[#This Row],[공격성공횟수]]/(표5[[#This Row],[공격실패횟수]]+표5[[#This Row],[공격성공횟수]])</f>
        <v>0.22222222222222221</v>
      </c>
    </row>
    <row r="1078" spans="1:8" x14ac:dyDescent="0.4">
      <c r="A1078">
        <v>539</v>
      </c>
      <c r="B1078" t="s">
        <v>0</v>
      </c>
      <c r="C1078">
        <v>0</v>
      </c>
      <c r="D1078">
        <v>0</v>
      </c>
      <c r="E1078">
        <v>12</v>
      </c>
      <c r="F1078">
        <v>4</v>
      </c>
      <c r="G1078">
        <v>1</v>
      </c>
      <c r="H1078">
        <f>표5[[#This Row],[공격성공횟수]]/(표5[[#This Row],[공격실패횟수]]+표5[[#This Row],[공격성공횟수]])</f>
        <v>0</v>
      </c>
    </row>
    <row r="1079" spans="1:8" hidden="1" x14ac:dyDescent="0.4">
      <c r="A1079">
        <v>539</v>
      </c>
      <c r="B1079" t="s">
        <v>1</v>
      </c>
      <c r="C1079">
        <v>1</v>
      </c>
      <c r="D1079">
        <v>4</v>
      </c>
      <c r="E1079">
        <v>7</v>
      </c>
      <c r="F1079">
        <v>0</v>
      </c>
      <c r="G1079">
        <v>0</v>
      </c>
      <c r="H1079">
        <f>표5[[#This Row],[공격성공횟수]]/(표5[[#This Row],[공격실패횟수]]+표5[[#This Row],[공격성공횟수]])</f>
        <v>0.36363636363636365</v>
      </c>
    </row>
    <row r="1080" spans="1:8" x14ac:dyDescent="0.4">
      <c r="A1080">
        <v>540</v>
      </c>
      <c r="B1080" t="s">
        <v>0</v>
      </c>
      <c r="C1080">
        <v>0</v>
      </c>
      <c r="D1080">
        <v>0</v>
      </c>
      <c r="E1080">
        <v>14</v>
      </c>
      <c r="F1080">
        <v>4</v>
      </c>
      <c r="G1080">
        <v>1</v>
      </c>
      <c r="H1080">
        <f>표5[[#This Row],[공격성공횟수]]/(표5[[#This Row],[공격실패횟수]]+표5[[#This Row],[공격성공횟수]])</f>
        <v>0</v>
      </c>
    </row>
    <row r="1081" spans="1:8" hidden="1" x14ac:dyDescent="0.4">
      <c r="A1081">
        <v>540</v>
      </c>
      <c r="B1081" t="s">
        <v>1</v>
      </c>
      <c r="C1081">
        <v>1</v>
      </c>
      <c r="D1081">
        <v>4</v>
      </c>
      <c r="E1081">
        <v>10</v>
      </c>
      <c r="F1081">
        <v>0</v>
      </c>
      <c r="G1081">
        <v>0</v>
      </c>
      <c r="H1081">
        <f>표5[[#This Row],[공격성공횟수]]/(표5[[#This Row],[공격실패횟수]]+표5[[#This Row],[공격성공횟수]])</f>
        <v>0.2857142857142857</v>
      </c>
    </row>
    <row r="1082" spans="1:8" x14ac:dyDescent="0.4">
      <c r="A1082">
        <v>541</v>
      </c>
      <c r="B1082" t="s">
        <v>0</v>
      </c>
      <c r="C1082">
        <v>1</v>
      </c>
      <c r="D1082">
        <v>4</v>
      </c>
      <c r="E1082">
        <v>13</v>
      </c>
      <c r="F1082">
        <v>0</v>
      </c>
      <c r="G1082">
        <v>0</v>
      </c>
      <c r="H1082">
        <f>표5[[#This Row],[공격성공횟수]]/(표5[[#This Row],[공격실패횟수]]+표5[[#This Row],[공격성공횟수]])</f>
        <v>0.23529411764705882</v>
      </c>
    </row>
    <row r="1083" spans="1:8" hidden="1" x14ac:dyDescent="0.4">
      <c r="A1083">
        <v>541</v>
      </c>
      <c r="B1083" t="s">
        <v>1</v>
      </c>
      <c r="C1083">
        <v>0</v>
      </c>
      <c r="D1083">
        <v>0</v>
      </c>
      <c r="E1083">
        <v>16</v>
      </c>
      <c r="F1083">
        <v>4</v>
      </c>
      <c r="G1083">
        <v>1</v>
      </c>
      <c r="H1083">
        <f>표5[[#This Row],[공격성공횟수]]/(표5[[#This Row],[공격실패횟수]]+표5[[#This Row],[공격성공횟수]])</f>
        <v>0</v>
      </c>
    </row>
    <row r="1084" spans="1:8" x14ac:dyDescent="0.4">
      <c r="A1084">
        <v>542</v>
      </c>
      <c r="B1084" t="s">
        <v>0</v>
      </c>
      <c r="C1084">
        <v>1</v>
      </c>
      <c r="D1084">
        <v>4</v>
      </c>
      <c r="E1084">
        <v>10</v>
      </c>
      <c r="F1084">
        <v>0</v>
      </c>
      <c r="G1084">
        <v>0</v>
      </c>
      <c r="H1084">
        <f>표5[[#This Row],[공격성공횟수]]/(표5[[#This Row],[공격실패횟수]]+표5[[#This Row],[공격성공횟수]])</f>
        <v>0.2857142857142857</v>
      </c>
    </row>
    <row r="1085" spans="1:8" hidden="1" x14ac:dyDescent="0.4">
      <c r="A1085">
        <v>542</v>
      </c>
      <c r="B1085" t="s">
        <v>1</v>
      </c>
      <c r="C1085">
        <v>0</v>
      </c>
      <c r="D1085">
        <v>0</v>
      </c>
      <c r="E1085">
        <v>14</v>
      </c>
      <c r="F1085">
        <v>4</v>
      </c>
      <c r="G1085">
        <v>1</v>
      </c>
      <c r="H1085">
        <f>표5[[#This Row],[공격성공횟수]]/(표5[[#This Row],[공격실패횟수]]+표5[[#This Row],[공격성공횟수]])</f>
        <v>0</v>
      </c>
    </row>
    <row r="1086" spans="1:8" x14ac:dyDescent="0.4">
      <c r="A1086">
        <v>543</v>
      </c>
      <c r="B1086" t="s">
        <v>0</v>
      </c>
      <c r="C1086">
        <v>1</v>
      </c>
      <c r="D1086">
        <v>4</v>
      </c>
      <c r="E1086">
        <v>6</v>
      </c>
      <c r="F1086">
        <v>1</v>
      </c>
      <c r="G1086">
        <v>0</v>
      </c>
      <c r="H1086">
        <f>표5[[#This Row],[공격성공횟수]]/(표5[[#This Row],[공격실패횟수]]+표5[[#This Row],[공격성공횟수]])</f>
        <v>0.4</v>
      </c>
    </row>
    <row r="1087" spans="1:8" hidden="1" x14ac:dyDescent="0.4">
      <c r="A1087">
        <v>543</v>
      </c>
      <c r="B1087" t="s">
        <v>1</v>
      </c>
      <c r="C1087">
        <v>0</v>
      </c>
      <c r="D1087">
        <v>1</v>
      </c>
      <c r="E1087">
        <v>8</v>
      </c>
      <c r="F1087">
        <v>4</v>
      </c>
      <c r="G1087">
        <v>1</v>
      </c>
      <c r="H1087">
        <f>표5[[#This Row],[공격성공횟수]]/(표5[[#This Row],[공격실패횟수]]+표5[[#This Row],[공격성공횟수]])</f>
        <v>0.1111111111111111</v>
      </c>
    </row>
    <row r="1088" spans="1:8" x14ac:dyDescent="0.4">
      <c r="A1088">
        <v>544</v>
      </c>
      <c r="B1088" t="s">
        <v>0</v>
      </c>
      <c r="C1088">
        <v>1</v>
      </c>
      <c r="D1088">
        <v>4</v>
      </c>
      <c r="E1088">
        <v>6</v>
      </c>
      <c r="F1088">
        <v>2</v>
      </c>
      <c r="G1088">
        <v>0</v>
      </c>
      <c r="H1088">
        <f>표5[[#This Row],[공격성공횟수]]/(표5[[#This Row],[공격실패횟수]]+표5[[#This Row],[공격성공횟수]])</f>
        <v>0.4</v>
      </c>
    </row>
    <row r="1089" spans="1:8" hidden="1" x14ac:dyDescent="0.4">
      <c r="A1089">
        <v>544</v>
      </c>
      <c r="B1089" t="s">
        <v>1</v>
      </c>
      <c r="C1089">
        <v>0</v>
      </c>
      <c r="D1089">
        <v>2</v>
      </c>
      <c r="E1089">
        <v>8</v>
      </c>
      <c r="F1089">
        <v>4</v>
      </c>
      <c r="G1089">
        <v>1</v>
      </c>
      <c r="H1089">
        <f>표5[[#This Row],[공격성공횟수]]/(표5[[#This Row],[공격실패횟수]]+표5[[#This Row],[공격성공횟수]])</f>
        <v>0.2</v>
      </c>
    </row>
    <row r="1090" spans="1:8" x14ac:dyDescent="0.4">
      <c r="A1090">
        <v>545</v>
      </c>
      <c r="B1090" t="s">
        <v>0</v>
      </c>
      <c r="C1090">
        <v>1</v>
      </c>
      <c r="D1090">
        <v>4</v>
      </c>
      <c r="E1090">
        <v>8</v>
      </c>
      <c r="F1090">
        <v>1</v>
      </c>
      <c r="G1090">
        <v>0</v>
      </c>
      <c r="H1090">
        <f>표5[[#This Row],[공격성공횟수]]/(표5[[#This Row],[공격실패횟수]]+표5[[#This Row],[공격성공횟수]])</f>
        <v>0.33333333333333331</v>
      </c>
    </row>
    <row r="1091" spans="1:8" hidden="1" x14ac:dyDescent="0.4">
      <c r="A1091">
        <v>545</v>
      </c>
      <c r="B1091" t="s">
        <v>1</v>
      </c>
      <c r="C1091">
        <v>0</v>
      </c>
      <c r="D1091">
        <v>1</v>
      </c>
      <c r="E1091">
        <v>12</v>
      </c>
      <c r="F1091">
        <v>4</v>
      </c>
      <c r="G1091">
        <v>1</v>
      </c>
      <c r="H1091">
        <f>표5[[#This Row],[공격성공횟수]]/(표5[[#This Row],[공격실패횟수]]+표5[[#This Row],[공격성공횟수]])</f>
        <v>7.6923076923076927E-2</v>
      </c>
    </row>
    <row r="1092" spans="1:8" x14ac:dyDescent="0.4">
      <c r="A1092">
        <v>546</v>
      </c>
      <c r="B1092" t="s">
        <v>0</v>
      </c>
      <c r="C1092">
        <v>1</v>
      </c>
      <c r="D1092">
        <v>4</v>
      </c>
      <c r="E1092">
        <v>7</v>
      </c>
      <c r="F1092">
        <v>1</v>
      </c>
      <c r="G1092">
        <v>0</v>
      </c>
      <c r="H1092">
        <f>표5[[#This Row],[공격성공횟수]]/(표5[[#This Row],[공격실패횟수]]+표5[[#This Row],[공격성공횟수]])</f>
        <v>0.36363636363636365</v>
      </c>
    </row>
    <row r="1093" spans="1:8" hidden="1" x14ac:dyDescent="0.4">
      <c r="A1093">
        <v>546</v>
      </c>
      <c r="B1093" t="s">
        <v>1</v>
      </c>
      <c r="C1093">
        <v>0</v>
      </c>
      <c r="D1093">
        <v>1</v>
      </c>
      <c r="E1093">
        <v>9</v>
      </c>
      <c r="F1093">
        <v>4</v>
      </c>
      <c r="G1093">
        <v>1</v>
      </c>
      <c r="H1093">
        <f>표5[[#This Row],[공격성공횟수]]/(표5[[#This Row],[공격실패횟수]]+표5[[#This Row],[공격성공횟수]])</f>
        <v>0.1</v>
      </c>
    </row>
    <row r="1094" spans="1:8" x14ac:dyDescent="0.4">
      <c r="A1094">
        <v>547</v>
      </c>
      <c r="B1094" t="s">
        <v>0</v>
      </c>
      <c r="C1094">
        <v>0</v>
      </c>
      <c r="D1094">
        <v>0</v>
      </c>
      <c r="E1094">
        <v>24</v>
      </c>
      <c r="F1094">
        <v>4</v>
      </c>
      <c r="G1094">
        <v>1</v>
      </c>
      <c r="H1094">
        <f>표5[[#This Row],[공격성공횟수]]/(표5[[#This Row],[공격실패횟수]]+표5[[#This Row],[공격성공횟수]])</f>
        <v>0</v>
      </c>
    </row>
    <row r="1095" spans="1:8" hidden="1" x14ac:dyDescent="0.4">
      <c r="A1095">
        <v>547</v>
      </c>
      <c r="B1095" t="s">
        <v>1</v>
      </c>
      <c r="C1095">
        <v>1</v>
      </c>
      <c r="D1095">
        <v>4</v>
      </c>
      <c r="E1095">
        <v>21</v>
      </c>
      <c r="F1095">
        <v>0</v>
      </c>
      <c r="G1095">
        <v>0</v>
      </c>
      <c r="H1095">
        <f>표5[[#This Row],[공격성공횟수]]/(표5[[#This Row],[공격실패횟수]]+표5[[#This Row],[공격성공횟수]])</f>
        <v>0.16</v>
      </c>
    </row>
    <row r="1096" spans="1:8" x14ac:dyDescent="0.4">
      <c r="A1096">
        <v>548</v>
      </c>
      <c r="B1096" t="s">
        <v>0</v>
      </c>
      <c r="C1096">
        <v>1</v>
      </c>
      <c r="D1096">
        <v>4</v>
      </c>
      <c r="E1096">
        <v>9</v>
      </c>
      <c r="F1096">
        <v>0</v>
      </c>
      <c r="G1096">
        <v>0</v>
      </c>
      <c r="H1096">
        <f>표5[[#This Row],[공격성공횟수]]/(표5[[#This Row],[공격실패횟수]]+표5[[#This Row],[공격성공횟수]])</f>
        <v>0.30769230769230771</v>
      </c>
    </row>
    <row r="1097" spans="1:8" hidden="1" x14ac:dyDescent="0.4">
      <c r="A1097">
        <v>548</v>
      </c>
      <c r="B1097" t="s">
        <v>1</v>
      </c>
      <c r="C1097">
        <v>0</v>
      </c>
      <c r="D1097">
        <v>0</v>
      </c>
      <c r="E1097">
        <v>11</v>
      </c>
      <c r="F1097">
        <v>4</v>
      </c>
      <c r="G1097">
        <v>1</v>
      </c>
      <c r="H1097">
        <f>표5[[#This Row],[공격성공횟수]]/(표5[[#This Row],[공격실패횟수]]+표5[[#This Row],[공격성공횟수]])</f>
        <v>0</v>
      </c>
    </row>
    <row r="1098" spans="1:8" x14ac:dyDescent="0.4">
      <c r="A1098">
        <v>549</v>
      </c>
      <c r="B1098" t="s">
        <v>0</v>
      </c>
      <c r="C1098">
        <v>1</v>
      </c>
      <c r="D1098">
        <v>4</v>
      </c>
      <c r="E1098">
        <v>13</v>
      </c>
      <c r="F1098">
        <v>2</v>
      </c>
      <c r="G1098">
        <v>0</v>
      </c>
      <c r="H1098">
        <f>표5[[#This Row],[공격성공횟수]]/(표5[[#This Row],[공격실패횟수]]+표5[[#This Row],[공격성공횟수]])</f>
        <v>0.23529411764705882</v>
      </c>
    </row>
    <row r="1099" spans="1:8" hidden="1" x14ac:dyDescent="0.4">
      <c r="A1099">
        <v>549</v>
      </c>
      <c r="B1099" t="s">
        <v>1</v>
      </c>
      <c r="C1099">
        <v>0</v>
      </c>
      <c r="D1099">
        <v>2</v>
      </c>
      <c r="E1099">
        <v>15</v>
      </c>
      <c r="F1099">
        <v>4</v>
      </c>
      <c r="G1099">
        <v>1</v>
      </c>
      <c r="H1099">
        <f>표5[[#This Row],[공격성공횟수]]/(표5[[#This Row],[공격실패횟수]]+표5[[#This Row],[공격성공횟수]])</f>
        <v>0.11764705882352941</v>
      </c>
    </row>
    <row r="1100" spans="1:8" x14ac:dyDescent="0.4">
      <c r="A1100">
        <v>550</v>
      </c>
      <c r="B1100" t="s">
        <v>0</v>
      </c>
      <c r="C1100">
        <v>1</v>
      </c>
      <c r="D1100">
        <v>4</v>
      </c>
      <c r="E1100">
        <v>3</v>
      </c>
      <c r="F1100">
        <v>0</v>
      </c>
      <c r="G1100">
        <v>0</v>
      </c>
      <c r="H1100">
        <f>표5[[#This Row],[공격성공횟수]]/(표5[[#This Row],[공격실패횟수]]+표5[[#This Row],[공격성공횟수]])</f>
        <v>0.5714285714285714</v>
      </c>
    </row>
    <row r="1101" spans="1:8" hidden="1" x14ac:dyDescent="0.4">
      <c r="A1101">
        <v>550</v>
      </c>
      <c r="B1101" t="s">
        <v>1</v>
      </c>
      <c r="C1101">
        <v>0</v>
      </c>
      <c r="D1101">
        <v>0</v>
      </c>
      <c r="E1101">
        <v>7</v>
      </c>
      <c r="F1101">
        <v>4</v>
      </c>
      <c r="G1101">
        <v>1</v>
      </c>
      <c r="H1101">
        <f>표5[[#This Row],[공격성공횟수]]/(표5[[#This Row],[공격실패횟수]]+표5[[#This Row],[공격성공횟수]])</f>
        <v>0</v>
      </c>
    </row>
    <row r="1102" spans="1:8" x14ac:dyDescent="0.4">
      <c r="A1102">
        <v>551</v>
      </c>
      <c r="B1102" t="s">
        <v>0</v>
      </c>
      <c r="C1102">
        <v>1</v>
      </c>
      <c r="D1102">
        <v>4</v>
      </c>
      <c r="E1102">
        <v>31</v>
      </c>
      <c r="F1102">
        <v>0</v>
      </c>
      <c r="G1102">
        <v>0</v>
      </c>
      <c r="H1102">
        <f>표5[[#This Row],[공격성공횟수]]/(표5[[#This Row],[공격실패횟수]]+표5[[#This Row],[공격성공횟수]])</f>
        <v>0.11428571428571428</v>
      </c>
    </row>
    <row r="1103" spans="1:8" hidden="1" x14ac:dyDescent="0.4">
      <c r="A1103">
        <v>551</v>
      </c>
      <c r="B1103" t="s">
        <v>1</v>
      </c>
      <c r="C1103">
        <v>0</v>
      </c>
      <c r="D1103">
        <v>0</v>
      </c>
      <c r="E1103">
        <v>38</v>
      </c>
      <c r="F1103">
        <v>4</v>
      </c>
      <c r="G1103">
        <v>1</v>
      </c>
      <c r="H1103">
        <f>표5[[#This Row],[공격성공횟수]]/(표5[[#This Row],[공격실패횟수]]+표5[[#This Row],[공격성공횟수]])</f>
        <v>0</v>
      </c>
    </row>
    <row r="1104" spans="1:8" x14ac:dyDescent="0.4">
      <c r="A1104">
        <v>552</v>
      </c>
      <c r="B1104" t="s">
        <v>0</v>
      </c>
      <c r="C1104">
        <v>1</v>
      </c>
      <c r="D1104">
        <v>4</v>
      </c>
      <c r="E1104">
        <v>3</v>
      </c>
      <c r="F1104">
        <v>0</v>
      </c>
      <c r="G1104">
        <v>0</v>
      </c>
      <c r="H1104">
        <f>표5[[#This Row],[공격성공횟수]]/(표5[[#This Row],[공격실패횟수]]+표5[[#This Row],[공격성공횟수]])</f>
        <v>0.5714285714285714</v>
      </c>
    </row>
    <row r="1105" spans="1:8" hidden="1" x14ac:dyDescent="0.4">
      <c r="A1105">
        <v>552</v>
      </c>
      <c r="B1105" t="s">
        <v>1</v>
      </c>
      <c r="C1105">
        <v>0</v>
      </c>
      <c r="D1105">
        <v>0</v>
      </c>
      <c r="E1105">
        <v>7</v>
      </c>
      <c r="F1105">
        <v>4</v>
      </c>
      <c r="G1105">
        <v>1</v>
      </c>
      <c r="H1105">
        <f>표5[[#This Row],[공격성공횟수]]/(표5[[#This Row],[공격실패횟수]]+표5[[#This Row],[공격성공횟수]])</f>
        <v>0</v>
      </c>
    </row>
    <row r="1106" spans="1:8" x14ac:dyDescent="0.4">
      <c r="A1106">
        <v>553</v>
      </c>
      <c r="B1106" t="s">
        <v>0</v>
      </c>
      <c r="C1106">
        <v>1</v>
      </c>
      <c r="D1106">
        <v>4</v>
      </c>
      <c r="E1106">
        <v>7</v>
      </c>
      <c r="F1106">
        <v>2</v>
      </c>
      <c r="G1106">
        <v>0</v>
      </c>
      <c r="H1106">
        <f>표5[[#This Row],[공격성공횟수]]/(표5[[#This Row],[공격실패횟수]]+표5[[#This Row],[공격성공횟수]])</f>
        <v>0.36363636363636365</v>
      </c>
    </row>
    <row r="1107" spans="1:8" hidden="1" x14ac:dyDescent="0.4">
      <c r="A1107">
        <v>553</v>
      </c>
      <c r="B1107" t="s">
        <v>1</v>
      </c>
      <c r="C1107">
        <v>0</v>
      </c>
      <c r="D1107">
        <v>2</v>
      </c>
      <c r="E1107">
        <v>9</v>
      </c>
      <c r="F1107">
        <v>4</v>
      </c>
      <c r="G1107">
        <v>1</v>
      </c>
      <c r="H1107">
        <f>표5[[#This Row],[공격성공횟수]]/(표5[[#This Row],[공격실패횟수]]+표5[[#This Row],[공격성공횟수]])</f>
        <v>0.18181818181818182</v>
      </c>
    </row>
    <row r="1108" spans="1:8" x14ac:dyDescent="0.4">
      <c r="A1108">
        <v>554</v>
      </c>
      <c r="B1108" t="s">
        <v>0</v>
      </c>
      <c r="C1108">
        <v>0</v>
      </c>
      <c r="D1108">
        <v>3</v>
      </c>
      <c r="E1108">
        <v>8</v>
      </c>
      <c r="F1108">
        <v>4</v>
      </c>
      <c r="G1108">
        <v>1</v>
      </c>
      <c r="H1108">
        <f>표5[[#This Row],[공격성공횟수]]/(표5[[#This Row],[공격실패횟수]]+표5[[#This Row],[공격성공횟수]])</f>
        <v>0.27272727272727271</v>
      </c>
    </row>
    <row r="1109" spans="1:8" hidden="1" x14ac:dyDescent="0.4">
      <c r="A1109">
        <v>554</v>
      </c>
      <c r="B1109" t="s">
        <v>1</v>
      </c>
      <c r="C1109">
        <v>1</v>
      </c>
      <c r="D1109">
        <v>4</v>
      </c>
      <c r="E1109">
        <v>8</v>
      </c>
      <c r="F1109">
        <v>3</v>
      </c>
      <c r="G1109">
        <v>0</v>
      </c>
      <c r="H1109">
        <f>표5[[#This Row],[공격성공횟수]]/(표5[[#This Row],[공격실패횟수]]+표5[[#This Row],[공격성공횟수]])</f>
        <v>0.33333333333333331</v>
      </c>
    </row>
    <row r="1110" spans="1:8" x14ac:dyDescent="0.4">
      <c r="A1110">
        <v>555</v>
      </c>
      <c r="B1110" t="s">
        <v>0</v>
      </c>
      <c r="C1110">
        <v>0</v>
      </c>
      <c r="D1110">
        <v>0</v>
      </c>
      <c r="E1110">
        <v>29</v>
      </c>
      <c r="F1110">
        <v>4</v>
      </c>
      <c r="G1110">
        <v>1</v>
      </c>
      <c r="H1110">
        <f>표5[[#This Row],[공격성공횟수]]/(표5[[#This Row],[공격실패횟수]]+표5[[#This Row],[공격성공횟수]])</f>
        <v>0</v>
      </c>
    </row>
    <row r="1111" spans="1:8" hidden="1" x14ac:dyDescent="0.4">
      <c r="A1111">
        <v>555</v>
      </c>
      <c r="B1111" t="s">
        <v>1</v>
      </c>
      <c r="C1111">
        <v>1</v>
      </c>
      <c r="D1111">
        <v>4</v>
      </c>
      <c r="E1111">
        <v>24</v>
      </c>
      <c r="F1111">
        <v>0</v>
      </c>
      <c r="G1111">
        <v>0</v>
      </c>
      <c r="H1111">
        <f>표5[[#This Row],[공격성공횟수]]/(표5[[#This Row],[공격실패횟수]]+표5[[#This Row],[공격성공횟수]])</f>
        <v>0.14285714285714285</v>
      </c>
    </row>
    <row r="1112" spans="1:8" x14ac:dyDescent="0.4">
      <c r="A1112">
        <v>556</v>
      </c>
      <c r="B1112" t="s">
        <v>0</v>
      </c>
      <c r="C1112">
        <v>1</v>
      </c>
      <c r="D1112">
        <v>4</v>
      </c>
      <c r="E1112">
        <v>11</v>
      </c>
      <c r="F1112">
        <v>0</v>
      </c>
      <c r="G1112">
        <v>0</v>
      </c>
      <c r="H1112">
        <f>표5[[#This Row],[공격성공횟수]]/(표5[[#This Row],[공격실패횟수]]+표5[[#This Row],[공격성공횟수]])</f>
        <v>0.26666666666666666</v>
      </c>
    </row>
    <row r="1113" spans="1:8" hidden="1" x14ac:dyDescent="0.4">
      <c r="A1113">
        <v>556</v>
      </c>
      <c r="B1113" t="s">
        <v>1</v>
      </c>
      <c r="C1113">
        <v>0</v>
      </c>
      <c r="D1113">
        <v>0</v>
      </c>
      <c r="E1113">
        <v>15</v>
      </c>
      <c r="F1113">
        <v>4</v>
      </c>
      <c r="G1113">
        <v>1</v>
      </c>
      <c r="H1113">
        <f>표5[[#This Row],[공격성공횟수]]/(표5[[#This Row],[공격실패횟수]]+표5[[#This Row],[공격성공횟수]])</f>
        <v>0</v>
      </c>
    </row>
    <row r="1114" spans="1:8" x14ac:dyDescent="0.4">
      <c r="A1114">
        <v>557</v>
      </c>
      <c r="B1114" t="s">
        <v>0</v>
      </c>
      <c r="C1114">
        <v>1</v>
      </c>
      <c r="D1114">
        <v>4</v>
      </c>
      <c r="E1114">
        <v>7</v>
      </c>
      <c r="F1114">
        <v>0</v>
      </c>
      <c r="G1114">
        <v>0</v>
      </c>
      <c r="H1114">
        <f>표5[[#This Row],[공격성공횟수]]/(표5[[#This Row],[공격실패횟수]]+표5[[#This Row],[공격성공횟수]])</f>
        <v>0.36363636363636365</v>
      </c>
    </row>
    <row r="1115" spans="1:8" hidden="1" x14ac:dyDescent="0.4">
      <c r="A1115">
        <v>557</v>
      </c>
      <c r="B1115" t="s">
        <v>1</v>
      </c>
      <c r="C1115">
        <v>0</v>
      </c>
      <c r="D1115">
        <v>0</v>
      </c>
      <c r="E1115">
        <v>11</v>
      </c>
      <c r="F1115">
        <v>4</v>
      </c>
      <c r="G1115">
        <v>1</v>
      </c>
      <c r="H1115">
        <f>표5[[#This Row],[공격성공횟수]]/(표5[[#This Row],[공격실패횟수]]+표5[[#This Row],[공격성공횟수]])</f>
        <v>0</v>
      </c>
    </row>
    <row r="1116" spans="1:8" x14ac:dyDescent="0.4">
      <c r="A1116">
        <v>558</v>
      </c>
      <c r="B1116" t="s">
        <v>0</v>
      </c>
      <c r="C1116">
        <v>1</v>
      </c>
      <c r="D1116">
        <v>4</v>
      </c>
      <c r="E1116">
        <v>18</v>
      </c>
      <c r="F1116">
        <v>2</v>
      </c>
      <c r="G1116">
        <v>0</v>
      </c>
      <c r="H1116">
        <f>표5[[#This Row],[공격성공횟수]]/(표5[[#This Row],[공격실패횟수]]+표5[[#This Row],[공격성공횟수]])</f>
        <v>0.18181818181818182</v>
      </c>
    </row>
    <row r="1117" spans="1:8" hidden="1" x14ac:dyDescent="0.4">
      <c r="A1117">
        <v>558</v>
      </c>
      <c r="B1117" t="s">
        <v>1</v>
      </c>
      <c r="C1117">
        <v>0</v>
      </c>
      <c r="D1117">
        <v>2</v>
      </c>
      <c r="E1117">
        <v>19</v>
      </c>
      <c r="F1117">
        <v>4</v>
      </c>
      <c r="G1117">
        <v>1</v>
      </c>
      <c r="H1117">
        <f>표5[[#This Row],[공격성공횟수]]/(표5[[#This Row],[공격실패횟수]]+표5[[#This Row],[공격성공횟수]])</f>
        <v>9.5238095238095233E-2</v>
      </c>
    </row>
    <row r="1118" spans="1:8" x14ac:dyDescent="0.4">
      <c r="A1118">
        <v>559</v>
      </c>
      <c r="B1118" t="s">
        <v>0</v>
      </c>
      <c r="C1118">
        <v>1</v>
      </c>
      <c r="D1118">
        <v>4</v>
      </c>
      <c r="E1118">
        <v>25</v>
      </c>
      <c r="F1118">
        <v>2</v>
      </c>
      <c r="G1118">
        <v>0</v>
      </c>
      <c r="H1118">
        <f>표5[[#This Row],[공격성공횟수]]/(표5[[#This Row],[공격실패횟수]]+표5[[#This Row],[공격성공횟수]])</f>
        <v>0.13793103448275862</v>
      </c>
    </row>
    <row r="1119" spans="1:8" hidden="1" x14ac:dyDescent="0.4">
      <c r="A1119">
        <v>559</v>
      </c>
      <c r="B1119" t="s">
        <v>1</v>
      </c>
      <c r="C1119">
        <v>0</v>
      </c>
      <c r="D1119">
        <v>2</v>
      </c>
      <c r="E1119">
        <v>26</v>
      </c>
      <c r="F1119">
        <v>4</v>
      </c>
      <c r="G1119">
        <v>1</v>
      </c>
      <c r="H1119">
        <f>표5[[#This Row],[공격성공횟수]]/(표5[[#This Row],[공격실패횟수]]+표5[[#This Row],[공격성공횟수]])</f>
        <v>7.1428571428571425E-2</v>
      </c>
    </row>
    <row r="1120" spans="1:8" x14ac:dyDescent="0.4">
      <c r="A1120">
        <v>560</v>
      </c>
      <c r="B1120" t="s">
        <v>0</v>
      </c>
      <c r="C1120">
        <v>1</v>
      </c>
      <c r="D1120">
        <v>4</v>
      </c>
      <c r="E1120">
        <v>4</v>
      </c>
      <c r="F1120">
        <v>0</v>
      </c>
      <c r="G1120">
        <v>0</v>
      </c>
      <c r="H1120">
        <f>표5[[#This Row],[공격성공횟수]]/(표5[[#This Row],[공격실패횟수]]+표5[[#This Row],[공격성공횟수]])</f>
        <v>0.5</v>
      </c>
    </row>
    <row r="1121" spans="1:8" hidden="1" x14ac:dyDescent="0.4">
      <c r="A1121">
        <v>560</v>
      </c>
      <c r="B1121" t="s">
        <v>1</v>
      </c>
      <c r="C1121">
        <v>0</v>
      </c>
      <c r="D1121">
        <v>0</v>
      </c>
      <c r="E1121">
        <v>8</v>
      </c>
      <c r="F1121">
        <v>4</v>
      </c>
      <c r="G1121">
        <v>1</v>
      </c>
      <c r="H1121">
        <f>표5[[#This Row],[공격성공횟수]]/(표5[[#This Row],[공격실패횟수]]+표5[[#This Row],[공격성공횟수]])</f>
        <v>0</v>
      </c>
    </row>
    <row r="1122" spans="1:8" x14ac:dyDescent="0.4">
      <c r="A1122">
        <v>561</v>
      </c>
      <c r="B1122" t="s">
        <v>0</v>
      </c>
      <c r="C1122">
        <v>1</v>
      </c>
      <c r="D1122">
        <v>4</v>
      </c>
      <c r="E1122">
        <v>21</v>
      </c>
      <c r="F1122">
        <v>2</v>
      </c>
      <c r="G1122">
        <v>0</v>
      </c>
      <c r="H1122">
        <f>표5[[#This Row],[공격성공횟수]]/(표5[[#This Row],[공격실패횟수]]+표5[[#This Row],[공격성공횟수]])</f>
        <v>0.16</v>
      </c>
    </row>
    <row r="1123" spans="1:8" hidden="1" x14ac:dyDescent="0.4">
      <c r="A1123">
        <v>561</v>
      </c>
      <c r="B1123" t="s">
        <v>1</v>
      </c>
      <c r="C1123">
        <v>0</v>
      </c>
      <c r="D1123">
        <v>2</v>
      </c>
      <c r="E1123">
        <v>23</v>
      </c>
      <c r="F1123">
        <v>4</v>
      </c>
      <c r="G1123">
        <v>1</v>
      </c>
      <c r="H1123">
        <f>표5[[#This Row],[공격성공횟수]]/(표5[[#This Row],[공격실패횟수]]+표5[[#This Row],[공격성공횟수]])</f>
        <v>0.08</v>
      </c>
    </row>
    <row r="1124" spans="1:8" x14ac:dyDescent="0.4">
      <c r="A1124">
        <v>562</v>
      </c>
      <c r="B1124" t="s">
        <v>0</v>
      </c>
      <c r="C1124">
        <v>1</v>
      </c>
      <c r="D1124">
        <v>4</v>
      </c>
      <c r="E1124">
        <v>9</v>
      </c>
      <c r="F1124">
        <v>1</v>
      </c>
      <c r="G1124">
        <v>0</v>
      </c>
      <c r="H1124">
        <f>표5[[#This Row],[공격성공횟수]]/(표5[[#This Row],[공격실패횟수]]+표5[[#This Row],[공격성공횟수]])</f>
        <v>0.30769230769230771</v>
      </c>
    </row>
    <row r="1125" spans="1:8" hidden="1" x14ac:dyDescent="0.4">
      <c r="A1125">
        <v>562</v>
      </c>
      <c r="B1125" t="s">
        <v>1</v>
      </c>
      <c r="C1125">
        <v>0</v>
      </c>
      <c r="D1125">
        <v>1</v>
      </c>
      <c r="E1125">
        <v>12</v>
      </c>
      <c r="F1125">
        <v>4</v>
      </c>
      <c r="G1125">
        <v>1</v>
      </c>
      <c r="H1125">
        <f>표5[[#This Row],[공격성공횟수]]/(표5[[#This Row],[공격실패횟수]]+표5[[#This Row],[공격성공횟수]])</f>
        <v>7.6923076923076927E-2</v>
      </c>
    </row>
    <row r="1126" spans="1:8" x14ac:dyDescent="0.4">
      <c r="A1126">
        <v>563</v>
      </c>
      <c r="B1126" t="s">
        <v>0</v>
      </c>
      <c r="C1126">
        <v>0</v>
      </c>
      <c r="D1126">
        <v>0</v>
      </c>
      <c r="E1126">
        <v>14</v>
      </c>
      <c r="F1126">
        <v>4</v>
      </c>
      <c r="G1126">
        <v>1</v>
      </c>
      <c r="H1126">
        <f>표5[[#This Row],[공격성공횟수]]/(표5[[#This Row],[공격실패횟수]]+표5[[#This Row],[공격성공횟수]])</f>
        <v>0</v>
      </c>
    </row>
    <row r="1127" spans="1:8" hidden="1" x14ac:dyDescent="0.4">
      <c r="A1127">
        <v>563</v>
      </c>
      <c r="B1127" t="s">
        <v>1</v>
      </c>
      <c r="C1127">
        <v>1</v>
      </c>
      <c r="D1127">
        <v>4</v>
      </c>
      <c r="E1127">
        <v>10</v>
      </c>
      <c r="F1127">
        <v>0</v>
      </c>
      <c r="G1127">
        <v>0</v>
      </c>
      <c r="H1127">
        <f>표5[[#This Row],[공격성공횟수]]/(표5[[#This Row],[공격실패횟수]]+표5[[#This Row],[공격성공횟수]])</f>
        <v>0.2857142857142857</v>
      </c>
    </row>
    <row r="1128" spans="1:8" x14ac:dyDescent="0.4">
      <c r="A1128">
        <v>564</v>
      </c>
      <c r="B1128" t="s">
        <v>0</v>
      </c>
      <c r="C1128">
        <v>1</v>
      </c>
      <c r="D1128">
        <v>4</v>
      </c>
      <c r="E1128">
        <v>31</v>
      </c>
      <c r="F1128">
        <v>1</v>
      </c>
      <c r="G1128">
        <v>0</v>
      </c>
      <c r="H1128">
        <f>표5[[#This Row],[공격성공횟수]]/(표5[[#This Row],[공격실패횟수]]+표5[[#This Row],[공격성공횟수]])</f>
        <v>0.11428571428571428</v>
      </c>
    </row>
    <row r="1129" spans="1:8" hidden="1" x14ac:dyDescent="0.4">
      <c r="A1129">
        <v>564</v>
      </c>
      <c r="B1129" t="s">
        <v>1</v>
      </c>
      <c r="C1129">
        <v>0</v>
      </c>
      <c r="D1129">
        <v>1</v>
      </c>
      <c r="E1129">
        <v>32</v>
      </c>
      <c r="F1129">
        <v>4</v>
      </c>
      <c r="G1129">
        <v>1</v>
      </c>
      <c r="H1129">
        <f>표5[[#This Row],[공격성공횟수]]/(표5[[#This Row],[공격실패횟수]]+표5[[#This Row],[공격성공횟수]])</f>
        <v>3.0303030303030304E-2</v>
      </c>
    </row>
    <row r="1130" spans="1:8" x14ac:dyDescent="0.4">
      <c r="A1130">
        <v>565</v>
      </c>
      <c r="B1130" t="s">
        <v>0</v>
      </c>
      <c r="C1130">
        <v>1</v>
      </c>
      <c r="D1130">
        <v>4</v>
      </c>
      <c r="E1130">
        <v>11</v>
      </c>
      <c r="F1130">
        <v>0</v>
      </c>
      <c r="G1130">
        <v>0</v>
      </c>
      <c r="H1130">
        <f>표5[[#This Row],[공격성공횟수]]/(표5[[#This Row],[공격실패횟수]]+표5[[#This Row],[공격성공횟수]])</f>
        <v>0.26666666666666666</v>
      </c>
    </row>
    <row r="1131" spans="1:8" hidden="1" x14ac:dyDescent="0.4">
      <c r="A1131">
        <v>565</v>
      </c>
      <c r="B1131" t="s">
        <v>1</v>
      </c>
      <c r="C1131">
        <v>0</v>
      </c>
      <c r="D1131">
        <v>0</v>
      </c>
      <c r="E1131">
        <v>18</v>
      </c>
      <c r="F1131">
        <v>4</v>
      </c>
      <c r="G1131">
        <v>1</v>
      </c>
      <c r="H1131">
        <f>표5[[#This Row],[공격성공횟수]]/(표5[[#This Row],[공격실패횟수]]+표5[[#This Row],[공격성공횟수]])</f>
        <v>0</v>
      </c>
    </row>
    <row r="1132" spans="1:8" x14ac:dyDescent="0.4">
      <c r="A1132">
        <v>566</v>
      </c>
      <c r="B1132" t="s">
        <v>0</v>
      </c>
      <c r="C1132">
        <v>1</v>
      </c>
      <c r="D1132">
        <v>4</v>
      </c>
      <c r="E1132">
        <v>32</v>
      </c>
      <c r="F1132">
        <v>0</v>
      </c>
      <c r="G1132">
        <v>0</v>
      </c>
      <c r="H1132">
        <f>표5[[#This Row],[공격성공횟수]]/(표5[[#This Row],[공격실패횟수]]+표5[[#This Row],[공격성공횟수]])</f>
        <v>0.1111111111111111</v>
      </c>
    </row>
    <row r="1133" spans="1:8" hidden="1" x14ac:dyDescent="0.4">
      <c r="A1133">
        <v>566</v>
      </c>
      <c r="B1133" t="s">
        <v>1</v>
      </c>
      <c r="C1133">
        <v>0</v>
      </c>
      <c r="D1133">
        <v>0</v>
      </c>
      <c r="E1133">
        <v>43</v>
      </c>
      <c r="F1133">
        <v>4</v>
      </c>
      <c r="G1133">
        <v>1</v>
      </c>
      <c r="H1133">
        <f>표5[[#This Row],[공격성공횟수]]/(표5[[#This Row],[공격실패횟수]]+표5[[#This Row],[공격성공횟수]])</f>
        <v>0</v>
      </c>
    </row>
    <row r="1134" spans="1:8" x14ac:dyDescent="0.4">
      <c r="A1134">
        <v>567</v>
      </c>
      <c r="B1134" t="s">
        <v>0</v>
      </c>
      <c r="C1134">
        <v>1</v>
      </c>
      <c r="D1134">
        <v>4</v>
      </c>
      <c r="E1134">
        <v>7</v>
      </c>
      <c r="F1134">
        <v>1</v>
      </c>
      <c r="G1134">
        <v>0</v>
      </c>
      <c r="H1134">
        <f>표5[[#This Row],[공격성공횟수]]/(표5[[#This Row],[공격실패횟수]]+표5[[#This Row],[공격성공횟수]])</f>
        <v>0.36363636363636365</v>
      </c>
    </row>
    <row r="1135" spans="1:8" hidden="1" x14ac:dyDescent="0.4">
      <c r="A1135">
        <v>567</v>
      </c>
      <c r="B1135" t="s">
        <v>1</v>
      </c>
      <c r="C1135">
        <v>0</v>
      </c>
      <c r="D1135">
        <v>1</v>
      </c>
      <c r="E1135">
        <v>10</v>
      </c>
      <c r="F1135">
        <v>4</v>
      </c>
      <c r="G1135">
        <v>1</v>
      </c>
      <c r="H1135">
        <f>표5[[#This Row],[공격성공횟수]]/(표5[[#This Row],[공격실패횟수]]+표5[[#This Row],[공격성공횟수]])</f>
        <v>9.0909090909090912E-2</v>
      </c>
    </row>
    <row r="1136" spans="1:8" x14ac:dyDescent="0.4">
      <c r="A1136">
        <v>568</v>
      </c>
      <c r="B1136" t="s">
        <v>0</v>
      </c>
      <c r="C1136">
        <v>1</v>
      </c>
      <c r="D1136">
        <v>4</v>
      </c>
      <c r="E1136">
        <v>9</v>
      </c>
      <c r="F1136">
        <v>1</v>
      </c>
      <c r="G1136">
        <v>0</v>
      </c>
      <c r="H1136">
        <f>표5[[#This Row],[공격성공횟수]]/(표5[[#This Row],[공격실패횟수]]+표5[[#This Row],[공격성공횟수]])</f>
        <v>0.30769230769230771</v>
      </c>
    </row>
    <row r="1137" spans="1:8" hidden="1" x14ac:dyDescent="0.4">
      <c r="A1137">
        <v>568</v>
      </c>
      <c r="B1137" t="s">
        <v>1</v>
      </c>
      <c r="C1137">
        <v>0</v>
      </c>
      <c r="D1137">
        <v>1</v>
      </c>
      <c r="E1137">
        <v>12</v>
      </c>
      <c r="F1137">
        <v>4</v>
      </c>
      <c r="G1137">
        <v>1</v>
      </c>
      <c r="H1137">
        <f>표5[[#This Row],[공격성공횟수]]/(표5[[#This Row],[공격실패횟수]]+표5[[#This Row],[공격성공횟수]])</f>
        <v>7.6923076923076927E-2</v>
      </c>
    </row>
    <row r="1138" spans="1:8" x14ac:dyDescent="0.4">
      <c r="A1138">
        <v>569</v>
      </c>
      <c r="B1138" t="s">
        <v>0</v>
      </c>
      <c r="C1138">
        <v>1</v>
      </c>
      <c r="D1138">
        <v>4</v>
      </c>
      <c r="E1138">
        <v>14</v>
      </c>
      <c r="F1138">
        <v>3</v>
      </c>
      <c r="G1138">
        <v>0</v>
      </c>
      <c r="H1138">
        <f>표5[[#This Row],[공격성공횟수]]/(표5[[#This Row],[공격실패횟수]]+표5[[#This Row],[공격성공횟수]])</f>
        <v>0.22222222222222221</v>
      </c>
    </row>
    <row r="1139" spans="1:8" hidden="1" x14ac:dyDescent="0.4">
      <c r="A1139">
        <v>569</v>
      </c>
      <c r="B1139" t="s">
        <v>1</v>
      </c>
      <c r="C1139">
        <v>0</v>
      </c>
      <c r="D1139">
        <v>3</v>
      </c>
      <c r="E1139">
        <v>14</v>
      </c>
      <c r="F1139">
        <v>4</v>
      </c>
      <c r="G1139">
        <v>1</v>
      </c>
      <c r="H1139">
        <f>표5[[#This Row],[공격성공횟수]]/(표5[[#This Row],[공격실패횟수]]+표5[[#This Row],[공격성공횟수]])</f>
        <v>0.17647058823529413</v>
      </c>
    </row>
    <row r="1140" spans="1:8" x14ac:dyDescent="0.4">
      <c r="A1140">
        <v>570</v>
      </c>
      <c r="B1140" t="s">
        <v>0</v>
      </c>
      <c r="C1140">
        <v>0</v>
      </c>
      <c r="D1140">
        <v>2</v>
      </c>
      <c r="E1140">
        <v>31</v>
      </c>
      <c r="F1140">
        <v>4</v>
      </c>
      <c r="G1140">
        <v>1</v>
      </c>
      <c r="H1140">
        <f>표5[[#This Row],[공격성공횟수]]/(표5[[#This Row],[공격실패횟수]]+표5[[#This Row],[공격성공횟수]])</f>
        <v>6.0606060606060608E-2</v>
      </c>
    </row>
    <row r="1141" spans="1:8" hidden="1" x14ac:dyDescent="0.4">
      <c r="A1141">
        <v>570</v>
      </c>
      <c r="B1141" t="s">
        <v>1</v>
      </c>
      <c r="C1141">
        <v>1</v>
      </c>
      <c r="D1141">
        <v>4</v>
      </c>
      <c r="E1141">
        <v>30</v>
      </c>
      <c r="F1141">
        <v>2</v>
      </c>
      <c r="G1141">
        <v>0</v>
      </c>
      <c r="H1141">
        <f>표5[[#This Row],[공격성공횟수]]/(표5[[#This Row],[공격실패횟수]]+표5[[#This Row],[공격성공횟수]])</f>
        <v>0.11764705882352941</v>
      </c>
    </row>
    <row r="1142" spans="1:8" x14ac:dyDescent="0.4">
      <c r="A1142">
        <v>571</v>
      </c>
      <c r="B1142" t="s">
        <v>0</v>
      </c>
      <c r="C1142">
        <v>0</v>
      </c>
      <c r="D1142">
        <v>3</v>
      </c>
      <c r="E1142">
        <v>15</v>
      </c>
      <c r="F1142">
        <v>4</v>
      </c>
      <c r="G1142">
        <v>1</v>
      </c>
      <c r="H1142">
        <f>표5[[#This Row],[공격성공횟수]]/(표5[[#This Row],[공격실패횟수]]+표5[[#This Row],[공격성공횟수]])</f>
        <v>0.16666666666666666</v>
      </c>
    </row>
    <row r="1143" spans="1:8" hidden="1" x14ac:dyDescent="0.4">
      <c r="A1143">
        <v>571</v>
      </c>
      <c r="B1143" t="s">
        <v>1</v>
      </c>
      <c r="C1143">
        <v>1</v>
      </c>
      <c r="D1143">
        <v>4</v>
      </c>
      <c r="E1143">
        <v>14</v>
      </c>
      <c r="F1143">
        <v>3</v>
      </c>
      <c r="G1143">
        <v>0</v>
      </c>
      <c r="H1143">
        <f>표5[[#This Row],[공격성공횟수]]/(표5[[#This Row],[공격실패횟수]]+표5[[#This Row],[공격성공횟수]])</f>
        <v>0.22222222222222221</v>
      </c>
    </row>
    <row r="1144" spans="1:8" x14ac:dyDescent="0.4">
      <c r="A1144">
        <v>572</v>
      </c>
      <c r="B1144" t="s">
        <v>0</v>
      </c>
      <c r="C1144">
        <v>0</v>
      </c>
      <c r="D1144">
        <v>1</v>
      </c>
      <c r="E1144">
        <v>18</v>
      </c>
      <c r="F1144">
        <v>4</v>
      </c>
      <c r="G1144">
        <v>1</v>
      </c>
      <c r="H1144">
        <f>표5[[#This Row],[공격성공횟수]]/(표5[[#This Row],[공격실패횟수]]+표5[[#This Row],[공격성공횟수]])</f>
        <v>5.2631578947368418E-2</v>
      </c>
    </row>
    <row r="1145" spans="1:8" hidden="1" x14ac:dyDescent="0.4">
      <c r="A1145">
        <v>572</v>
      </c>
      <c r="B1145" t="s">
        <v>1</v>
      </c>
      <c r="C1145">
        <v>1</v>
      </c>
      <c r="D1145">
        <v>4</v>
      </c>
      <c r="E1145">
        <v>14</v>
      </c>
      <c r="F1145">
        <v>1</v>
      </c>
      <c r="G1145">
        <v>0</v>
      </c>
      <c r="H1145">
        <f>표5[[#This Row],[공격성공횟수]]/(표5[[#This Row],[공격실패횟수]]+표5[[#This Row],[공격성공횟수]])</f>
        <v>0.22222222222222221</v>
      </c>
    </row>
    <row r="1146" spans="1:8" x14ac:dyDescent="0.4">
      <c r="A1146">
        <v>573</v>
      </c>
      <c r="B1146" t="s">
        <v>0</v>
      </c>
      <c r="C1146">
        <v>1</v>
      </c>
      <c r="D1146">
        <v>4</v>
      </c>
      <c r="E1146">
        <v>5</v>
      </c>
      <c r="F1146">
        <v>1</v>
      </c>
      <c r="G1146">
        <v>0</v>
      </c>
      <c r="H1146">
        <f>표5[[#This Row],[공격성공횟수]]/(표5[[#This Row],[공격실패횟수]]+표5[[#This Row],[공격성공횟수]])</f>
        <v>0.44444444444444442</v>
      </c>
    </row>
    <row r="1147" spans="1:8" hidden="1" x14ac:dyDescent="0.4">
      <c r="A1147">
        <v>573</v>
      </c>
      <c r="B1147" t="s">
        <v>1</v>
      </c>
      <c r="C1147">
        <v>0</v>
      </c>
      <c r="D1147">
        <v>1</v>
      </c>
      <c r="E1147">
        <v>7</v>
      </c>
      <c r="F1147">
        <v>4</v>
      </c>
      <c r="G1147">
        <v>1</v>
      </c>
      <c r="H1147">
        <f>표5[[#This Row],[공격성공횟수]]/(표5[[#This Row],[공격실패횟수]]+표5[[#This Row],[공격성공횟수]])</f>
        <v>0.125</v>
      </c>
    </row>
    <row r="1148" spans="1:8" x14ac:dyDescent="0.4">
      <c r="A1148">
        <v>574</v>
      </c>
      <c r="B1148" t="s">
        <v>0</v>
      </c>
      <c r="C1148">
        <v>1</v>
      </c>
      <c r="D1148">
        <v>4</v>
      </c>
      <c r="E1148">
        <v>22</v>
      </c>
      <c r="F1148">
        <v>1</v>
      </c>
      <c r="G1148">
        <v>0</v>
      </c>
      <c r="H1148">
        <f>표5[[#This Row],[공격성공횟수]]/(표5[[#This Row],[공격실패횟수]]+표5[[#This Row],[공격성공횟수]])</f>
        <v>0.15384615384615385</v>
      </c>
    </row>
    <row r="1149" spans="1:8" hidden="1" x14ac:dyDescent="0.4">
      <c r="A1149">
        <v>574</v>
      </c>
      <c r="B1149" t="s">
        <v>1</v>
      </c>
      <c r="C1149">
        <v>0</v>
      </c>
      <c r="D1149">
        <v>1</v>
      </c>
      <c r="E1149">
        <v>25</v>
      </c>
      <c r="F1149">
        <v>4</v>
      </c>
      <c r="G1149">
        <v>1</v>
      </c>
      <c r="H1149">
        <f>표5[[#This Row],[공격성공횟수]]/(표5[[#This Row],[공격실패횟수]]+표5[[#This Row],[공격성공횟수]])</f>
        <v>3.8461538461538464E-2</v>
      </c>
    </row>
    <row r="1150" spans="1:8" x14ac:dyDescent="0.4">
      <c r="A1150">
        <v>575</v>
      </c>
      <c r="B1150" t="s">
        <v>0</v>
      </c>
      <c r="C1150">
        <v>1</v>
      </c>
      <c r="D1150">
        <v>4</v>
      </c>
      <c r="E1150">
        <v>8</v>
      </c>
      <c r="F1150">
        <v>0</v>
      </c>
      <c r="G1150">
        <v>0</v>
      </c>
      <c r="H1150">
        <f>표5[[#This Row],[공격성공횟수]]/(표5[[#This Row],[공격실패횟수]]+표5[[#This Row],[공격성공횟수]])</f>
        <v>0.33333333333333331</v>
      </c>
    </row>
    <row r="1151" spans="1:8" hidden="1" x14ac:dyDescent="0.4">
      <c r="A1151">
        <v>575</v>
      </c>
      <c r="B1151" t="s">
        <v>1</v>
      </c>
      <c r="C1151">
        <v>0</v>
      </c>
      <c r="D1151">
        <v>0</v>
      </c>
      <c r="E1151">
        <v>14</v>
      </c>
      <c r="F1151">
        <v>4</v>
      </c>
      <c r="G1151">
        <v>1</v>
      </c>
      <c r="H1151">
        <f>표5[[#This Row],[공격성공횟수]]/(표5[[#This Row],[공격실패횟수]]+표5[[#This Row],[공격성공횟수]])</f>
        <v>0</v>
      </c>
    </row>
    <row r="1152" spans="1:8" x14ac:dyDescent="0.4">
      <c r="A1152">
        <v>576</v>
      </c>
      <c r="B1152" t="s">
        <v>0</v>
      </c>
      <c r="C1152">
        <v>1</v>
      </c>
      <c r="D1152">
        <v>4</v>
      </c>
      <c r="E1152">
        <v>13</v>
      </c>
      <c r="F1152">
        <v>1</v>
      </c>
      <c r="G1152">
        <v>0</v>
      </c>
      <c r="H1152">
        <f>표5[[#This Row],[공격성공횟수]]/(표5[[#This Row],[공격실패횟수]]+표5[[#This Row],[공격성공횟수]])</f>
        <v>0.23529411764705882</v>
      </c>
    </row>
    <row r="1153" spans="1:8" hidden="1" x14ac:dyDescent="0.4">
      <c r="A1153">
        <v>576</v>
      </c>
      <c r="B1153" t="s">
        <v>1</v>
      </c>
      <c r="C1153">
        <v>0</v>
      </c>
      <c r="D1153">
        <v>1</v>
      </c>
      <c r="E1153">
        <v>16</v>
      </c>
      <c r="F1153">
        <v>4</v>
      </c>
      <c r="G1153">
        <v>1</v>
      </c>
      <c r="H1153">
        <f>표5[[#This Row],[공격성공횟수]]/(표5[[#This Row],[공격실패횟수]]+표5[[#This Row],[공격성공횟수]])</f>
        <v>5.8823529411764705E-2</v>
      </c>
    </row>
    <row r="1154" spans="1:8" x14ac:dyDescent="0.4">
      <c r="A1154">
        <v>577</v>
      </c>
      <c r="B1154" t="s">
        <v>0</v>
      </c>
      <c r="C1154">
        <v>1</v>
      </c>
      <c r="D1154">
        <v>4</v>
      </c>
      <c r="E1154">
        <v>36</v>
      </c>
      <c r="F1154">
        <v>2</v>
      </c>
      <c r="G1154">
        <v>0</v>
      </c>
      <c r="H1154">
        <f>표5[[#This Row],[공격성공횟수]]/(표5[[#This Row],[공격실패횟수]]+표5[[#This Row],[공격성공횟수]])</f>
        <v>0.1</v>
      </c>
    </row>
    <row r="1155" spans="1:8" hidden="1" x14ac:dyDescent="0.4">
      <c r="A1155">
        <v>577</v>
      </c>
      <c r="B1155" t="s">
        <v>1</v>
      </c>
      <c r="C1155">
        <v>0</v>
      </c>
      <c r="D1155">
        <v>2</v>
      </c>
      <c r="E1155">
        <v>38</v>
      </c>
      <c r="F1155">
        <v>4</v>
      </c>
      <c r="G1155">
        <v>1</v>
      </c>
      <c r="H1155">
        <f>표5[[#This Row],[공격성공횟수]]/(표5[[#This Row],[공격실패횟수]]+표5[[#This Row],[공격성공횟수]])</f>
        <v>0.05</v>
      </c>
    </row>
    <row r="1156" spans="1:8" x14ac:dyDescent="0.4">
      <c r="A1156">
        <v>578</v>
      </c>
      <c r="B1156" t="s">
        <v>0</v>
      </c>
      <c r="C1156">
        <v>1</v>
      </c>
      <c r="D1156">
        <v>4</v>
      </c>
      <c r="E1156">
        <v>19</v>
      </c>
      <c r="F1156">
        <v>1</v>
      </c>
      <c r="G1156">
        <v>0</v>
      </c>
      <c r="H1156">
        <f>표5[[#This Row],[공격성공횟수]]/(표5[[#This Row],[공격실패횟수]]+표5[[#This Row],[공격성공횟수]])</f>
        <v>0.17391304347826086</v>
      </c>
    </row>
    <row r="1157" spans="1:8" hidden="1" x14ac:dyDescent="0.4">
      <c r="A1157">
        <v>578</v>
      </c>
      <c r="B1157" t="s">
        <v>1</v>
      </c>
      <c r="C1157">
        <v>0</v>
      </c>
      <c r="D1157">
        <v>1</v>
      </c>
      <c r="E1157">
        <v>21</v>
      </c>
      <c r="F1157">
        <v>4</v>
      </c>
      <c r="G1157">
        <v>1</v>
      </c>
      <c r="H1157">
        <f>표5[[#This Row],[공격성공횟수]]/(표5[[#This Row],[공격실패횟수]]+표5[[#This Row],[공격성공횟수]])</f>
        <v>4.5454545454545456E-2</v>
      </c>
    </row>
    <row r="1158" spans="1:8" x14ac:dyDescent="0.4">
      <c r="A1158">
        <v>579</v>
      </c>
      <c r="B1158" t="s">
        <v>0</v>
      </c>
      <c r="C1158">
        <v>1</v>
      </c>
      <c r="D1158">
        <v>4</v>
      </c>
      <c r="E1158">
        <v>5</v>
      </c>
      <c r="F1158">
        <v>0</v>
      </c>
      <c r="G1158">
        <v>0</v>
      </c>
      <c r="H1158">
        <f>표5[[#This Row],[공격성공횟수]]/(표5[[#This Row],[공격실패횟수]]+표5[[#This Row],[공격성공횟수]])</f>
        <v>0.44444444444444442</v>
      </c>
    </row>
    <row r="1159" spans="1:8" hidden="1" x14ac:dyDescent="0.4">
      <c r="A1159">
        <v>579</v>
      </c>
      <c r="B1159" t="s">
        <v>1</v>
      </c>
      <c r="C1159">
        <v>0</v>
      </c>
      <c r="D1159">
        <v>0</v>
      </c>
      <c r="E1159">
        <v>9</v>
      </c>
      <c r="F1159">
        <v>4</v>
      </c>
      <c r="G1159">
        <v>1</v>
      </c>
      <c r="H1159">
        <f>표5[[#This Row],[공격성공횟수]]/(표5[[#This Row],[공격실패횟수]]+표5[[#This Row],[공격성공횟수]])</f>
        <v>0</v>
      </c>
    </row>
    <row r="1160" spans="1:8" x14ac:dyDescent="0.4">
      <c r="A1160">
        <v>580</v>
      </c>
      <c r="B1160" t="s">
        <v>0</v>
      </c>
      <c r="C1160">
        <v>0</v>
      </c>
      <c r="D1160">
        <v>1</v>
      </c>
      <c r="E1160">
        <v>14</v>
      </c>
      <c r="F1160">
        <v>4</v>
      </c>
      <c r="G1160">
        <v>1</v>
      </c>
      <c r="H1160">
        <f>표5[[#This Row],[공격성공횟수]]/(표5[[#This Row],[공격실패횟수]]+표5[[#This Row],[공격성공횟수]])</f>
        <v>6.6666666666666666E-2</v>
      </c>
    </row>
    <row r="1161" spans="1:8" hidden="1" x14ac:dyDescent="0.4">
      <c r="A1161">
        <v>580</v>
      </c>
      <c r="B1161" t="s">
        <v>1</v>
      </c>
      <c r="C1161">
        <v>1</v>
      </c>
      <c r="D1161">
        <v>4</v>
      </c>
      <c r="E1161">
        <v>11</v>
      </c>
      <c r="F1161">
        <v>1</v>
      </c>
      <c r="G1161">
        <v>0</v>
      </c>
      <c r="H1161">
        <f>표5[[#This Row],[공격성공횟수]]/(표5[[#This Row],[공격실패횟수]]+표5[[#This Row],[공격성공횟수]])</f>
        <v>0.26666666666666666</v>
      </c>
    </row>
    <row r="1162" spans="1:8" x14ac:dyDescent="0.4">
      <c r="A1162">
        <v>581</v>
      </c>
      <c r="B1162" t="s">
        <v>0</v>
      </c>
      <c r="C1162">
        <v>1</v>
      </c>
      <c r="D1162">
        <v>4</v>
      </c>
      <c r="E1162">
        <v>26</v>
      </c>
      <c r="F1162">
        <v>3</v>
      </c>
      <c r="G1162">
        <v>0</v>
      </c>
      <c r="H1162">
        <f>표5[[#This Row],[공격성공횟수]]/(표5[[#This Row],[공격실패횟수]]+표5[[#This Row],[공격성공횟수]])</f>
        <v>0.13333333333333333</v>
      </c>
    </row>
    <row r="1163" spans="1:8" hidden="1" x14ac:dyDescent="0.4">
      <c r="A1163">
        <v>581</v>
      </c>
      <c r="B1163" t="s">
        <v>1</v>
      </c>
      <c r="C1163">
        <v>0</v>
      </c>
      <c r="D1163">
        <v>3</v>
      </c>
      <c r="E1163">
        <v>26</v>
      </c>
      <c r="F1163">
        <v>4</v>
      </c>
      <c r="G1163">
        <v>1</v>
      </c>
      <c r="H1163">
        <f>표5[[#This Row],[공격성공횟수]]/(표5[[#This Row],[공격실패횟수]]+표5[[#This Row],[공격성공횟수]])</f>
        <v>0.10344827586206896</v>
      </c>
    </row>
    <row r="1164" spans="1:8" x14ac:dyDescent="0.4">
      <c r="A1164">
        <v>582</v>
      </c>
      <c r="B1164" t="s">
        <v>0</v>
      </c>
      <c r="C1164">
        <v>1</v>
      </c>
      <c r="D1164">
        <v>4</v>
      </c>
      <c r="E1164">
        <v>7</v>
      </c>
      <c r="F1164">
        <v>3</v>
      </c>
      <c r="G1164">
        <v>0</v>
      </c>
      <c r="H1164">
        <f>표5[[#This Row],[공격성공횟수]]/(표5[[#This Row],[공격실패횟수]]+표5[[#This Row],[공격성공횟수]])</f>
        <v>0.36363636363636365</v>
      </c>
    </row>
    <row r="1165" spans="1:8" hidden="1" x14ac:dyDescent="0.4">
      <c r="A1165">
        <v>582</v>
      </c>
      <c r="B1165" t="s">
        <v>1</v>
      </c>
      <c r="C1165">
        <v>0</v>
      </c>
      <c r="D1165">
        <v>3</v>
      </c>
      <c r="E1165">
        <v>8</v>
      </c>
      <c r="F1165">
        <v>4</v>
      </c>
      <c r="G1165">
        <v>1</v>
      </c>
      <c r="H1165">
        <f>표5[[#This Row],[공격성공횟수]]/(표5[[#This Row],[공격실패횟수]]+표5[[#This Row],[공격성공횟수]])</f>
        <v>0.27272727272727271</v>
      </c>
    </row>
    <row r="1166" spans="1:8" x14ac:dyDescent="0.4">
      <c r="A1166">
        <v>583</v>
      </c>
      <c r="B1166" t="s">
        <v>0</v>
      </c>
      <c r="C1166">
        <v>1</v>
      </c>
      <c r="D1166">
        <v>4</v>
      </c>
      <c r="E1166">
        <v>12</v>
      </c>
      <c r="F1166">
        <v>0</v>
      </c>
      <c r="G1166">
        <v>0</v>
      </c>
      <c r="H1166">
        <f>표5[[#This Row],[공격성공횟수]]/(표5[[#This Row],[공격실패횟수]]+표5[[#This Row],[공격성공횟수]])</f>
        <v>0.25</v>
      </c>
    </row>
    <row r="1167" spans="1:8" hidden="1" x14ac:dyDescent="0.4">
      <c r="A1167">
        <v>583</v>
      </c>
      <c r="B1167" t="s">
        <v>1</v>
      </c>
      <c r="C1167">
        <v>0</v>
      </c>
      <c r="D1167">
        <v>0</v>
      </c>
      <c r="E1167">
        <v>16</v>
      </c>
      <c r="F1167">
        <v>4</v>
      </c>
      <c r="G1167">
        <v>1</v>
      </c>
      <c r="H1167">
        <f>표5[[#This Row],[공격성공횟수]]/(표5[[#This Row],[공격실패횟수]]+표5[[#This Row],[공격성공횟수]])</f>
        <v>0</v>
      </c>
    </row>
    <row r="1168" spans="1:8" x14ac:dyDescent="0.4">
      <c r="A1168">
        <v>584</v>
      </c>
      <c r="B1168" t="s">
        <v>0</v>
      </c>
      <c r="C1168">
        <v>1</v>
      </c>
      <c r="D1168">
        <v>4</v>
      </c>
      <c r="E1168">
        <v>7</v>
      </c>
      <c r="F1168">
        <v>0</v>
      </c>
      <c r="G1168">
        <v>0</v>
      </c>
      <c r="H1168">
        <f>표5[[#This Row],[공격성공횟수]]/(표5[[#This Row],[공격실패횟수]]+표5[[#This Row],[공격성공횟수]])</f>
        <v>0.36363636363636365</v>
      </c>
    </row>
    <row r="1169" spans="1:8" hidden="1" x14ac:dyDescent="0.4">
      <c r="A1169">
        <v>584</v>
      </c>
      <c r="B1169" t="s">
        <v>1</v>
      </c>
      <c r="C1169">
        <v>0</v>
      </c>
      <c r="D1169">
        <v>0</v>
      </c>
      <c r="E1169">
        <v>11</v>
      </c>
      <c r="F1169">
        <v>4</v>
      </c>
      <c r="G1169">
        <v>1</v>
      </c>
      <c r="H1169">
        <f>표5[[#This Row],[공격성공횟수]]/(표5[[#This Row],[공격실패횟수]]+표5[[#This Row],[공격성공횟수]])</f>
        <v>0</v>
      </c>
    </row>
    <row r="1170" spans="1:8" x14ac:dyDescent="0.4">
      <c r="A1170">
        <v>585</v>
      </c>
      <c r="B1170" t="s">
        <v>0</v>
      </c>
      <c r="C1170">
        <v>1</v>
      </c>
      <c r="D1170">
        <v>4</v>
      </c>
      <c r="E1170">
        <v>9</v>
      </c>
      <c r="F1170">
        <v>1</v>
      </c>
      <c r="G1170">
        <v>0</v>
      </c>
      <c r="H1170">
        <f>표5[[#This Row],[공격성공횟수]]/(표5[[#This Row],[공격실패횟수]]+표5[[#This Row],[공격성공횟수]])</f>
        <v>0.30769230769230771</v>
      </c>
    </row>
    <row r="1171" spans="1:8" hidden="1" x14ac:dyDescent="0.4">
      <c r="A1171">
        <v>585</v>
      </c>
      <c r="B1171" t="s">
        <v>1</v>
      </c>
      <c r="C1171">
        <v>0</v>
      </c>
      <c r="D1171">
        <v>1</v>
      </c>
      <c r="E1171">
        <v>12</v>
      </c>
      <c r="F1171">
        <v>4</v>
      </c>
      <c r="G1171">
        <v>1</v>
      </c>
      <c r="H1171">
        <f>표5[[#This Row],[공격성공횟수]]/(표5[[#This Row],[공격실패횟수]]+표5[[#This Row],[공격성공횟수]])</f>
        <v>7.6923076923076927E-2</v>
      </c>
    </row>
    <row r="1172" spans="1:8" x14ac:dyDescent="0.4">
      <c r="A1172">
        <v>586</v>
      </c>
      <c r="B1172" t="s">
        <v>0</v>
      </c>
      <c r="C1172">
        <v>1</v>
      </c>
      <c r="D1172">
        <v>4</v>
      </c>
      <c r="E1172">
        <v>15</v>
      </c>
      <c r="F1172">
        <v>1</v>
      </c>
      <c r="G1172">
        <v>0</v>
      </c>
      <c r="H1172">
        <f>표5[[#This Row],[공격성공횟수]]/(표5[[#This Row],[공격실패횟수]]+표5[[#This Row],[공격성공횟수]])</f>
        <v>0.21052631578947367</v>
      </c>
    </row>
    <row r="1173" spans="1:8" hidden="1" x14ac:dyDescent="0.4">
      <c r="A1173">
        <v>586</v>
      </c>
      <c r="B1173" t="s">
        <v>1</v>
      </c>
      <c r="C1173">
        <v>0</v>
      </c>
      <c r="D1173">
        <v>1</v>
      </c>
      <c r="E1173">
        <v>17</v>
      </c>
      <c r="F1173">
        <v>4</v>
      </c>
      <c r="G1173">
        <v>1</v>
      </c>
      <c r="H1173">
        <f>표5[[#This Row],[공격성공횟수]]/(표5[[#This Row],[공격실패횟수]]+표5[[#This Row],[공격성공횟수]])</f>
        <v>5.5555555555555552E-2</v>
      </c>
    </row>
    <row r="1174" spans="1:8" x14ac:dyDescent="0.4">
      <c r="A1174">
        <v>587</v>
      </c>
      <c r="B1174" t="s">
        <v>0</v>
      </c>
      <c r="C1174">
        <v>1</v>
      </c>
      <c r="D1174">
        <v>4</v>
      </c>
      <c r="E1174">
        <v>9</v>
      </c>
      <c r="F1174">
        <v>0</v>
      </c>
      <c r="G1174">
        <v>0</v>
      </c>
      <c r="H1174">
        <f>표5[[#This Row],[공격성공횟수]]/(표5[[#This Row],[공격실패횟수]]+표5[[#This Row],[공격성공횟수]])</f>
        <v>0.30769230769230771</v>
      </c>
    </row>
    <row r="1175" spans="1:8" hidden="1" x14ac:dyDescent="0.4">
      <c r="A1175">
        <v>587</v>
      </c>
      <c r="B1175" t="s">
        <v>1</v>
      </c>
      <c r="C1175">
        <v>0</v>
      </c>
      <c r="D1175">
        <v>0</v>
      </c>
      <c r="E1175">
        <v>13</v>
      </c>
      <c r="F1175">
        <v>4</v>
      </c>
      <c r="G1175">
        <v>1</v>
      </c>
      <c r="H1175">
        <f>표5[[#This Row],[공격성공횟수]]/(표5[[#This Row],[공격실패횟수]]+표5[[#This Row],[공격성공횟수]])</f>
        <v>0</v>
      </c>
    </row>
    <row r="1176" spans="1:8" x14ac:dyDescent="0.4">
      <c r="A1176">
        <v>588</v>
      </c>
      <c r="B1176" t="s">
        <v>0</v>
      </c>
      <c r="C1176">
        <v>0</v>
      </c>
      <c r="D1176">
        <v>0</v>
      </c>
      <c r="E1176">
        <v>24</v>
      </c>
      <c r="F1176">
        <v>4</v>
      </c>
      <c r="G1176">
        <v>1</v>
      </c>
      <c r="H1176">
        <f>표5[[#This Row],[공격성공횟수]]/(표5[[#This Row],[공격실패횟수]]+표5[[#This Row],[공격성공횟수]])</f>
        <v>0</v>
      </c>
    </row>
    <row r="1177" spans="1:8" hidden="1" x14ac:dyDescent="0.4">
      <c r="A1177">
        <v>588</v>
      </c>
      <c r="B1177" t="s">
        <v>1</v>
      </c>
      <c r="C1177">
        <v>1</v>
      </c>
      <c r="D1177">
        <v>4</v>
      </c>
      <c r="E1177">
        <v>20</v>
      </c>
      <c r="F1177">
        <v>0</v>
      </c>
      <c r="G1177">
        <v>0</v>
      </c>
      <c r="H1177">
        <f>표5[[#This Row],[공격성공횟수]]/(표5[[#This Row],[공격실패횟수]]+표5[[#This Row],[공격성공횟수]])</f>
        <v>0.16666666666666666</v>
      </c>
    </row>
    <row r="1178" spans="1:8" x14ac:dyDescent="0.4">
      <c r="A1178">
        <v>589</v>
      </c>
      <c r="B1178" t="s">
        <v>0</v>
      </c>
      <c r="C1178">
        <v>1</v>
      </c>
      <c r="D1178">
        <v>4</v>
      </c>
      <c r="E1178">
        <v>31</v>
      </c>
      <c r="F1178">
        <v>1</v>
      </c>
      <c r="G1178">
        <v>0</v>
      </c>
      <c r="H1178">
        <f>표5[[#This Row],[공격성공횟수]]/(표5[[#This Row],[공격실패횟수]]+표5[[#This Row],[공격성공횟수]])</f>
        <v>0.11428571428571428</v>
      </c>
    </row>
    <row r="1179" spans="1:8" hidden="1" x14ac:dyDescent="0.4">
      <c r="A1179">
        <v>589</v>
      </c>
      <c r="B1179" t="s">
        <v>1</v>
      </c>
      <c r="C1179">
        <v>0</v>
      </c>
      <c r="D1179">
        <v>1</v>
      </c>
      <c r="E1179">
        <v>32</v>
      </c>
      <c r="F1179">
        <v>4</v>
      </c>
      <c r="G1179">
        <v>1</v>
      </c>
      <c r="H1179">
        <f>표5[[#This Row],[공격성공횟수]]/(표5[[#This Row],[공격실패횟수]]+표5[[#This Row],[공격성공횟수]])</f>
        <v>3.0303030303030304E-2</v>
      </c>
    </row>
    <row r="1180" spans="1:8" x14ac:dyDescent="0.4">
      <c r="A1180">
        <v>590</v>
      </c>
      <c r="B1180" t="s">
        <v>0</v>
      </c>
      <c r="C1180">
        <v>1</v>
      </c>
      <c r="D1180">
        <v>4</v>
      </c>
      <c r="E1180">
        <v>24</v>
      </c>
      <c r="F1180">
        <v>3</v>
      </c>
      <c r="G1180">
        <v>0</v>
      </c>
      <c r="H1180">
        <f>표5[[#This Row],[공격성공횟수]]/(표5[[#This Row],[공격실패횟수]]+표5[[#This Row],[공격성공횟수]])</f>
        <v>0.14285714285714285</v>
      </c>
    </row>
    <row r="1181" spans="1:8" hidden="1" x14ac:dyDescent="0.4">
      <c r="A1181">
        <v>590</v>
      </c>
      <c r="B1181" t="s">
        <v>1</v>
      </c>
      <c r="C1181">
        <v>0</v>
      </c>
      <c r="D1181">
        <v>3</v>
      </c>
      <c r="E1181">
        <v>24</v>
      </c>
      <c r="F1181">
        <v>4</v>
      </c>
      <c r="G1181">
        <v>1</v>
      </c>
      <c r="H1181">
        <f>표5[[#This Row],[공격성공횟수]]/(표5[[#This Row],[공격실패횟수]]+표5[[#This Row],[공격성공횟수]])</f>
        <v>0.1111111111111111</v>
      </c>
    </row>
    <row r="1182" spans="1:8" x14ac:dyDescent="0.4">
      <c r="A1182">
        <v>591</v>
      </c>
      <c r="B1182" t="s">
        <v>0</v>
      </c>
      <c r="C1182">
        <v>0</v>
      </c>
      <c r="D1182">
        <v>2</v>
      </c>
      <c r="E1182">
        <v>22</v>
      </c>
      <c r="F1182">
        <v>4</v>
      </c>
      <c r="G1182">
        <v>1</v>
      </c>
      <c r="H1182">
        <f>표5[[#This Row],[공격성공횟수]]/(표5[[#This Row],[공격실패횟수]]+표5[[#This Row],[공격성공횟수]])</f>
        <v>8.3333333333333329E-2</v>
      </c>
    </row>
    <row r="1183" spans="1:8" hidden="1" x14ac:dyDescent="0.4">
      <c r="A1183">
        <v>591</v>
      </c>
      <c r="B1183" t="s">
        <v>1</v>
      </c>
      <c r="C1183">
        <v>1</v>
      </c>
      <c r="D1183">
        <v>4</v>
      </c>
      <c r="E1183">
        <v>21</v>
      </c>
      <c r="F1183">
        <v>2</v>
      </c>
      <c r="G1183">
        <v>0</v>
      </c>
      <c r="H1183">
        <f>표5[[#This Row],[공격성공횟수]]/(표5[[#This Row],[공격실패횟수]]+표5[[#This Row],[공격성공횟수]])</f>
        <v>0.16</v>
      </c>
    </row>
    <row r="1184" spans="1:8" x14ac:dyDescent="0.4">
      <c r="A1184">
        <v>592</v>
      </c>
      <c r="B1184" t="s">
        <v>0</v>
      </c>
      <c r="C1184">
        <v>1</v>
      </c>
      <c r="D1184">
        <v>4</v>
      </c>
      <c r="E1184">
        <v>10</v>
      </c>
      <c r="F1184">
        <v>0</v>
      </c>
      <c r="G1184">
        <v>0</v>
      </c>
      <c r="H1184">
        <f>표5[[#This Row],[공격성공횟수]]/(표5[[#This Row],[공격실패횟수]]+표5[[#This Row],[공격성공횟수]])</f>
        <v>0.2857142857142857</v>
      </c>
    </row>
    <row r="1185" spans="1:8" hidden="1" x14ac:dyDescent="0.4">
      <c r="A1185">
        <v>592</v>
      </c>
      <c r="B1185" t="s">
        <v>1</v>
      </c>
      <c r="C1185">
        <v>0</v>
      </c>
      <c r="D1185">
        <v>0</v>
      </c>
      <c r="E1185">
        <v>13</v>
      </c>
      <c r="F1185">
        <v>4</v>
      </c>
      <c r="G1185">
        <v>1</v>
      </c>
      <c r="H1185">
        <f>표5[[#This Row],[공격성공횟수]]/(표5[[#This Row],[공격실패횟수]]+표5[[#This Row],[공격성공횟수]])</f>
        <v>0</v>
      </c>
    </row>
    <row r="1186" spans="1:8" x14ac:dyDescent="0.4">
      <c r="A1186">
        <v>593</v>
      </c>
      <c r="B1186" t="s">
        <v>0</v>
      </c>
      <c r="C1186">
        <v>1</v>
      </c>
      <c r="D1186">
        <v>4</v>
      </c>
      <c r="E1186">
        <v>16</v>
      </c>
      <c r="F1186">
        <v>1</v>
      </c>
      <c r="G1186">
        <v>0</v>
      </c>
      <c r="H1186">
        <f>표5[[#This Row],[공격성공횟수]]/(표5[[#This Row],[공격실패횟수]]+표5[[#This Row],[공격성공횟수]])</f>
        <v>0.2</v>
      </c>
    </row>
    <row r="1187" spans="1:8" hidden="1" x14ac:dyDescent="0.4">
      <c r="A1187">
        <v>593</v>
      </c>
      <c r="B1187" t="s">
        <v>1</v>
      </c>
      <c r="C1187">
        <v>0</v>
      </c>
      <c r="D1187">
        <v>1</v>
      </c>
      <c r="E1187">
        <v>19</v>
      </c>
      <c r="F1187">
        <v>4</v>
      </c>
      <c r="G1187">
        <v>1</v>
      </c>
      <c r="H1187">
        <f>표5[[#This Row],[공격성공횟수]]/(표5[[#This Row],[공격실패횟수]]+표5[[#This Row],[공격성공횟수]])</f>
        <v>0.05</v>
      </c>
    </row>
    <row r="1188" spans="1:8" x14ac:dyDescent="0.4">
      <c r="A1188">
        <v>594</v>
      </c>
      <c r="B1188" t="s">
        <v>0</v>
      </c>
      <c r="C1188">
        <v>1</v>
      </c>
      <c r="D1188">
        <v>4</v>
      </c>
      <c r="E1188">
        <v>4</v>
      </c>
      <c r="F1188">
        <v>0</v>
      </c>
      <c r="G1188">
        <v>0</v>
      </c>
      <c r="H1188">
        <f>표5[[#This Row],[공격성공횟수]]/(표5[[#This Row],[공격실패횟수]]+표5[[#This Row],[공격성공횟수]])</f>
        <v>0.5</v>
      </c>
    </row>
    <row r="1189" spans="1:8" hidden="1" x14ac:dyDescent="0.4">
      <c r="A1189">
        <v>594</v>
      </c>
      <c r="B1189" t="s">
        <v>1</v>
      </c>
      <c r="C1189">
        <v>0</v>
      </c>
      <c r="D1189">
        <v>0</v>
      </c>
      <c r="E1189">
        <v>8</v>
      </c>
      <c r="F1189">
        <v>4</v>
      </c>
      <c r="G1189">
        <v>1</v>
      </c>
      <c r="H1189">
        <f>표5[[#This Row],[공격성공횟수]]/(표5[[#This Row],[공격실패횟수]]+표5[[#This Row],[공격성공횟수]])</f>
        <v>0</v>
      </c>
    </row>
    <row r="1190" spans="1:8" x14ac:dyDescent="0.4">
      <c r="A1190">
        <v>595</v>
      </c>
      <c r="B1190" t="s">
        <v>0</v>
      </c>
      <c r="C1190">
        <v>1</v>
      </c>
      <c r="D1190">
        <v>4</v>
      </c>
      <c r="E1190">
        <v>2</v>
      </c>
      <c r="F1190">
        <v>1</v>
      </c>
      <c r="G1190">
        <v>0</v>
      </c>
      <c r="H1190">
        <f>표5[[#This Row],[공격성공횟수]]/(표5[[#This Row],[공격실패횟수]]+표5[[#This Row],[공격성공횟수]])</f>
        <v>0.66666666666666663</v>
      </c>
    </row>
    <row r="1191" spans="1:8" hidden="1" x14ac:dyDescent="0.4">
      <c r="A1191">
        <v>595</v>
      </c>
      <c r="B1191" t="s">
        <v>1</v>
      </c>
      <c r="C1191">
        <v>0</v>
      </c>
      <c r="D1191">
        <v>1</v>
      </c>
      <c r="E1191">
        <v>5</v>
      </c>
      <c r="F1191">
        <v>4</v>
      </c>
      <c r="G1191">
        <v>1</v>
      </c>
      <c r="H1191">
        <f>표5[[#This Row],[공격성공횟수]]/(표5[[#This Row],[공격실패횟수]]+표5[[#This Row],[공격성공횟수]])</f>
        <v>0.16666666666666666</v>
      </c>
    </row>
    <row r="1192" spans="1:8" x14ac:dyDescent="0.4">
      <c r="A1192">
        <v>596</v>
      </c>
      <c r="B1192" t="s">
        <v>0</v>
      </c>
      <c r="C1192">
        <v>1</v>
      </c>
      <c r="D1192">
        <v>4</v>
      </c>
      <c r="E1192">
        <v>7</v>
      </c>
      <c r="F1192">
        <v>1</v>
      </c>
      <c r="G1192">
        <v>0</v>
      </c>
      <c r="H1192">
        <f>표5[[#This Row],[공격성공횟수]]/(표5[[#This Row],[공격실패횟수]]+표5[[#This Row],[공격성공횟수]])</f>
        <v>0.36363636363636365</v>
      </c>
    </row>
    <row r="1193" spans="1:8" hidden="1" x14ac:dyDescent="0.4">
      <c r="A1193">
        <v>596</v>
      </c>
      <c r="B1193" t="s">
        <v>1</v>
      </c>
      <c r="C1193">
        <v>0</v>
      </c>
      <c r="D1193">
        <v>1</v>
      </c>
      <c r="E1193">
        <v>11</v>
      </c>
      <c r="F1193">
        <v>4</v>
      </c>
      <c r="G1193">
        <v>1</v>
      </c>
      <c r="H1193">
        <f>표5[[#This Row],[공격성공횟수]]/(표5[[#This Row],[공격실패횟수]]+표5[[#This Row],[공격성공횟수]])</f>
        <v>8.3333333333333329E-2</v>
      </c>
    </row>
    <row r="1194" spans="1:8" x14ac:dyDescent="0.4">
      <c r="A1194">
        <v>597</v>
      </c>
      <c r="B1194" t="s">
        <v>0</v>
      </c>
      <c r="C1194">
        <v>1</v>
      </c>
      <c r="D1194">
        <v>4</v>
      </c>
      <c r="E1194">
        <v>6</v>
      </c>
      <c r="F1194">
        <v>0</v>
      </c>
      <c r="G1194">
        <v>0</v>
      </c>
      <c r="H1194">
        <f>표5[[#This Row],[공격성공횟수]]/(표5[[#This Row],[공격실패횟수]]+표5[[#This Row],[공격성공횟수]])</f>
        <v>0.4</v>
      </c>
    </row>
    <row r="1195" spans="1:8" hidden="1" x14ac:dyDescent="0.4">
      <c r="A1195">
        <v>597</v>
      </c>
      <c r="B1195" t="s">
        <v>1</v>
      </c>
      <c r="C1195">
        <v>0</v>
      </c>
      <c r="D1195">
        <v>0</v>
      </c>
      <c r="E1195">
        <v>11</v>
      </c>
      <c r="F1195">
        <v>4</v>
      </c>
      <c r="G1195">
        <v>1</v>
      </c>
      <c r="H1195">
        <f>표5[[#This Row],[공격성공횟수]]/(표5[[#This Row],[공격실패횟수]]+표5[[#This Row],[공격성공횟수]])</f>
        <v>0</v>
      </c>
    </row>
    <row r="1196" spans="1:8" x14ac:dyDescent="0.4">
      <c r="A1196">
        <v>598</v>
      </c>
      <c r="B1196" t="s">
        <v>0</v>
      </c>
      <c r="C1196">
        <v>1</v>
      </c>
      <c r="D1196">
        <v>4</v>
      </c>
      <c r="E1196">
        <v>8</v>
      </c>
      <c r="F1196">
        <v>0</v>
      </c>
      <c r="G1196">
        <v>0</v>
      </c>
      <c r="H1196">
        <f>표5[[#This Row],[공격성공횟수]]/(표5[[#This Row],[공격실패횟수]]+표5[[#This Row],[공격성공횟수]])</f>
        <v>0.33333333333333331</v>
      </c>
    </row>
    <row r="1197" spans="1:8" hidden="1" x14ac:dyDescent="0.4">
      <c r="A1197">
        <v>598</v>
      </c>
      <c r="B1197" t="s">
        <v>1</v>
      </c>
      <c r="C1197">
        <v>0</v>
      </c>
      <c r="D1197">
        <v>0</v>
      </c>
      <c r="E1197">
        <v>14</v>
      </c>
      <c r="F1197">
        <v>4</v>
      </c>
      <c r="G1197">
        <v>1</v>
      </c>
      <c r="H1197">
        <f>표5[[#This Row],[공격성공횟수]]/(표5[[#This Row],[공격실패횟수]]+표5[[#This Row],[공격성공횟수]])</f>
        <v>0</v>
      </c>
    </row>
    <row r="1198" spans="1:8" x14ac:dyDescent="0.4">
      <c r="A1198">
        <v>599</v>
      </c>
      <c r="B1198" t="s">
        <v>0</v>
      </c>
      <c r="C1198">
        <v>1</v>
      </c>
      <c r="D1198">
        <v>4</v>
      </c>
      <c r="E1198">
        <v>15</v>
      </c>
      <c r="F1198">
        <v>1</v>
      </c>
      <c r="G1198">
        <v>0</v>
      </c>
      <c r="H1198">
        <f>표5[[#This Row],[공격성공횟수]]/(표5[[#This Row],[공격실패횟수]]+표5[[#This Row],[공격성공횟수]])</f>
        <v>0.21052631578947367</v>
      </c>
    </row>
    <row r="1199" spans="1:8" hidden="1" x14ac:dyDescent="0.4">
      <c r="A1199">
        <v>599</v>
      </c>
      <c r="B1199" t="s">
        <v>1</v>
      </c>
      <c r="C1199">
        <v>0</v>
      </c>
      <c r="D1199">
        <v>1</v>
      </c>
      <c r="E1199">
        <v>17</v>
      </c>
      <c r="F1199">
        <v>4</v>
      </c>
      <c r="G1199">
        <v>1</v>
      </c>
      <c r="H1199">
        <f>표5[[#This Row],[공격성공횟수]]/(표5[[#This Row],[공격실패횟수]]+표5[[#This Row],[공격성공횟수]])</f>
        <v>5.5555555555555552E-2</v>
      </c>
    </row>
    <row r="1200" spans="1:8" x14ac:dyDescent="0.4">
      <c r="A1200">
        <v>600</v>
      </c>
      <c r="B1200" t="s">
        <v>0</v>
      </c>
      <c r="C1200">
        <v>1</v>
      </c>
      <c r="D1200">
        <v>4</v>
      </c>
      <c r="E1200">
        <v>6</v>
      </c>
      <c r="F1200">
        <v>0</v>
      </c>
      <c r="G1200">
        <v>0</v>
      </c>
      <c r="H1200">
        <f>표5[[#This Row],[공격성공횟수]]/(표5[[#This Row],[공격실패횟수]]+표5[[#This Row],[공격성공횟수]])</f>
        <v>0.4</v>
      </c>
    </row>
    <row r="1201" spans="1:8" hidden="1" x14ac:dyDescent="0.4">
      <c r="A1201">
        <v>600</v>
      </c>
      <c r="B1201" t="s">
        <v>1</v>
      </c>
      <c r="C1201">
        <v>0</v>
      </c>
      <c r="D1201">
        <v>0</v>
      </c>
      <c r="E1201">
        <v>10</v>
      </c>
      <c r="F1201">
        <v>4</v>
      </c>
      <c r="G1201">
        <v>1</v>
      </c>
      <c r="H1201">
        <f>표5[[#This Row],[공격성공횟수]]/(표5[[#This Row],[공격실패횟수]]+표5[[#This Row],[공격성공횟수]])</f>
        <v>0</v>
      </c>
    </row>
    <row r="1202" spans="1:8" x14ac:dyDescent="0.4">
      <c r="A1202">
        <v>601</v>
      </c>
      <c r="B1202" t="s">
        <v>0</v>
      </c>
      <c r="C1202">
        <v>1</v>
      </c>
      <c r="D1202">
        <v>4</v>
      </c>
      <c r="E1202">
        <v>16</v>
      </c>
      <c r="F1202">
        <v>3</v>
      </c>
      <c r="G1202">
        <v>0</v>
      </c>
      <c r="H1202">
        <f>표5[[#This Row],[공격성공횟수]]/(표5[[#This Row],[공격실패횟수]]+표5[[#This Row],[공격성공횟수]])</f>
        <v>0.2</v>
      </c>
    </row>
    <row r="1203" spans="1:8" hidden="1" x14ac:dyDescent="0.4">
      <c r="A1203">
        <v>601</v>
      </c>
      <c r="B1203" t="s">
        <v>1</v>
      </c>
      <c r="C1203">
        <v>0</v>
      </c>
      <c r="D1203">
        <v>3</v>
      </c>
      <c r="E1203">
        <v>18</v>
      </c>
      <c r="F1203">
        <v>4</v>
      </c>
      <c r="G1203">
        <v>1</v>
      </c>
      <c r="H1203">
        <f>표5[[#This Row],[공격성공횟수]]/(표5[[#This Row],[공격실패횟수]]+표5[[#This Row],[공격성공횟수]])</f>
        <v>0.14285714285714285</v>
      </c>
    </row>
    <row r="1204" spans="1:8" x14ac:dyDescent="0.4">
      <c r="A1204">
        <v>602</v>
      </c>
      <c r="B1204" t="s">
        <v>0</v>
      </c>
      <c r="C1204">
        <v>1</v>
      </c>
      <c r="D1204">
        <v>4</v>
      </c>
      <c r="E1204">
        <v>23</v>
      </c>
      <c r="F1204">
        <v>0</v>
      </c>
      <c r="G1204">
        <v>0</v>
      </c>
      <c r="H1204">
        <f>표5[[#This Row],[공격성공횟수]]/(표5[[#This Row],[공격실패횟수]]+표5[[#This Row],[공격성공횟수]])</f>
        <v>0.14814814814814814</v>
      </c>
    </row>
    <row r="1205" spans="1:8" hidden="1" x14ac:dyDescent="0.4">
      <c r="A1205">
        <v>602</v>
      </c>
      <c r="B1205" t="s">
        <v>1</v>
      </c>
      <c r="C1205">
        <v>0</v>
      </c>
      <c r="D1205">
        <v>0</v>
      </c>
      <c r="E1205">
        <v>26</v>
      </c>
      <c r="F1205">
        <v>4</v>
      </c>
      <c r="G1205">
        <v>1</v>
      </c>
      <c r="H1205">
        <f>표5[[#This Row],[공격성공횟수]]/(표5[[#This Row],[공격실패횟수]]+표5[[#This Row],[공격성공횟수]])</f>
        <v>0</v>
      </c>
    </row>
    <row r="1206" spans="1:8" x14ac:dyDescent="0.4">
      <c r="A1206">
        <v>603</v>
      </c>
      <c r="B1206" t="s">
        <v>0</v>
      </c>
      <c r="C1206">
        <v>1</v>
      </c>
      <c r="D1206">
        <v>4</v>
      </c>
      <c r="E1206">
        <v>7</v>
      </c>
      <c r="F1206">
        <v>0</v>
      </c>
      <c r="G1206">
        <v>0</v>
      </c>
      <c r="H1206">
        <f>표5[[#This Row],[공격성공횟수]]/(표5[[#This Row],[공격실패횟수]]+표5[[#This Row],[공격성공횟수]])</f>
        <v>0.36363636363636365</v>
      </c>
    </row>
    <row r="1207" spans="1:8" hidden="1" x14ac:dyDescent="0.4">
      <c r="A1207">
        <v>603</v>
      </c>
      <c r="B1207" t="s">
        <v>1</v>
      </c>
      <c r="C1207">
        <v>0</v>
      </c>
      <c r="D1207">
        <v>0</v>
      </c>
      <c r="E1207">
        <v>13</v>
      </c>
      <c r="F1207">
        <v>4</v>
      </c>
      <c r="G1207">
        <v>1</v>
      </c>
      <c r="H1207">
        <f>표5[[#This Row],[공격성공횟수]]/(표5[[#This Row],[공격실패횟수]]+표5[[#This Row],[공격성공횟수]])</f>
        <v>0</v>
      </c>
    </row>
    <row r="1208" spans="1:8" x14ac:dyDescent="0.4">
      <c r="A1208">
        <v>604</v>
      </c>
      <c r="B1208" t="s">
        <v>0</v>
      </c>
      <c r="C1208">
        <v>1</v>
      </c>
      <c r="D1208">
        <v>4</v>
      </c>
      <c r="E1208">
        <v>27</v>
      </c>
      <c r="F1208">
        <v>2</v>
      </c>
      <c r="G1208">
        <v>0</v>
      </c>
      <c r="H1208">
        <f>표5[[#This Row],[공격성공횟수]]/(표5[[#This Row],[공격실패횟수]]+표5[[#This Row],[공격성공횟수]])</f>
        <v>0.12903225806451613</v>
      </c>
    </row>
    <row r="1209" spans="1:8" hidden="1" x14ac:dyDescent="0.4">
      <c r="A1209">
        <v>604</v>
      </c>
      <c r="B1209" t="s">
        <v>1</v>
      </c>
      <c r="C1209">
        <v>0</v>
      </c>
      <c r="D1209">
        <v>2</v>
      </c>
      <c r="E1209">
        <v>27</v>
      </c>
      <c r="F1209">
        <v>4</v>
      </c>
      <c r="G1209">
        <v>1</v>
      </c>
      <c r="H1209">
        <f>표5[[#This Row],[공격성공횟수]]/(표5[[#This Row],[공격실패횟수]]+표5[[#This Row],[공격성공횟수]])</f>
        <v>6.8965517241379309E-2</v>
      </c>
    </row>
    <row r="1210" spans="1:8" x14ac:dyDescent="0.4">
      <c r="A1210">
        <v>605</v>
      </c>
      <c r="B1210" t="s">
        <v>0</v>
      </c>
      <c r="C1210">
        <v>1</v>
      </c>
      <c r="D1210">
        <v>4</v>
      </c>
      <c r="E1210">
        <v>25</v>
      </c>
      <c r="F1210">
        <v>3</v>
      </c>
      <c r="G1210">
        <v>0</v>
      </c>
      <c r="H1210">
        <f>표5[[#This Row],[공격성공횟수]]/(표5[[#This Row],[공격실패횟수]]+표5[[#This Row],[공격성공횟수]])</f>
        <v>0.13793103448275862</v>
      </c>
    </row>
    <row r="1211" spans="1:8" hidden="1" x14ac:dyDescent="0.4">
      <c r="A1211">
        <v>605</v>
      </c>
      <c r="B1211" t="s">
        <v>1</v>
      </c>
      <c r="C1211">
        <v>0</v>
      </c>
      <c r="D1211">
        <v>3</v>
      </c>
      <c r="E1211">
        <v>26</v>
      </c>
      <c r="F1211">
        <v>4</v>
      </c>
      <c r="G1211">
        <v>1</v>
      </c>
      <c r="H1211">
        <f>표5[[#This Row],[공격성공횟수]]/(표5[[#This Row],[공격실패횟수]]+표5[[#This Row],[공격성공횟수]])</f>
        <v>0.10344827586206896</v>
      </c>
    </row>
    <row r="1212" spans="1:8" x14ac:dyDescent="0.4">
      <c r="A1212">
        <v>606</v>
      </c>
      <c r="B1212" t="s">
        <v>0</v>
      </c>
      <c r="C1212">
        <v>1</v>
      </c>
      <c r="D1212">
        <v>4</v>
      </c>
      <c r="E1212">
        <v>5</v>
      </c>
      <c r="F1212">
        <v>2</v>
      </c>
      <c r="G1212">
        <v>0</v>
      </c>
      <c r="H1212">
        <f>표5[[#This Row],[공격성공횟수]]/(표5[[#This Row],[공격실패횟수]]+표5[[#This Row],[공격성공횟수]])</f>
        <v>0.44444444444444442</v>
      </c>
    </row>
    <row r="1213" spans="1:8" hidden="1" x14ac:dyDescent="0.4">
      <c r="A1213">
        <v>606</v>
      </c>
      <c r="B1213" t="s">
        <v>1</v>
      </c>
      <c r="C1213">
        <v>0</v>
      </c>
      <c r="D1213">
        <v>2</v>
      </c>
      <c r="E1213">
        <v>7</v>
      </c>
      <c r="F1213">
        <v>4</v>
      </c>
      <c r="G1213">
        <v>1</v>
      </c>
      <c r="H1213">
        <f>표5[[#This Row],[공격성공횟수]]/(표5[[#This Row],[공격실패횟수]]+표5[[#This Row],[공격성공횟수]])</f>
        <v>0.22222222222222221</v>
      </c>
    </row>
    <row r="1214" spans="1:8" x14ac:dyDescent="0.4">
      <c r="A1214">
        <v>607</v>
      </c>
      <c r="B1214" t="s">
        <v>0</v>
      </c>
      <c r="C1214">
        <v>1</v>
      </c>
      <c r="D1214">
        <v>4</v>
      </c>
      <c r="E1214">
        <v>4</v>
      </c>
      <c r="F1214">
        <v>1</v>
      </c>
      <c r="G1214">
        <v>0</v>
      </c>
      <c r="H1214">
        <f>표5[[#This Row],[공격성공횟수]]/(표5[[#This Row],[공격실패횟수]]+표5[[#This Row],[공격성공횟수]])</f>
        <v>0.5</v>
      </c>
    </row>
    <row r="1215" spans="1:8" hidden="1" x14ac:dyDescent="0.4">
      <c r="A1215">
        <v>607</v>
      </c>
      <c r="B1215" t="s">
        <v>1</v>
      </c>
      <c r="C1215">
        <v>0</v>
      </c>
      <c r="D1215">
        <v>1</v>
      </c>
      <c r="E1215">
        <v>9</v>
      </c>
      <c r="F1215">
        <v>4</v>
      </c>
      <c r="G1215">
        <v>1</v>
      </c>
      <c r="H1215">
        <f>표5[[#This Row],[공격성공횟수]]/(표5[[#This Row],[공격실패횟수]]+표5[[#This Row],[공격성공횟수]])</f>
        <v>0.1</v>
      </c>
    </row>
    <row r="1216" spans="1:8" x14ac:dyDescent="0.4">
      <c r="A1216">
        <v>608</v>
      </c>
      <c r="B1216" t="s">
        <v>0</v>
      </c>
      <c r="C1216">
        <v>1</v>
      </c>
      <c r="D1216">
        <v>4</v>
      </c>
      <c r="E1216">
        <v>13</v>
      </c>
      <c r="F1216">
        <v>1</v>
      </c>
      <c r="G1216">
        <v>0</v>
      </c>
      <c r="H1216">
        <f>표5[[#This Row],[공격성공횟수]]/(표5[[#This Row],[공격실패횟수]]+표5[[#This Row],[공격성공횟수]])</f>
        <v>0.23529411764705882</v>
      </c>
    </row>
    <row r="1217" spans="1:8" hidden="1" x14ac:dyDescent="0.4">
      <c r="A1217">
        <v>608</v>
      </c>
      <c r="B1217" t="s">
        <v>1</v>
      </c>
      <c r="C1217">
        <v>0</v>
      </c>
      <c r="D1217">
        <v>1</v>
      </c>
      <c r="E1217">
        <v>15</v>
      </c>
      <c r="F1217">
        <v>4</v>
      </c>
      <c r="G1217">
        <v>1</v>
      </c>
      <c r="H1217">
        <f>표5[[#This Row],[공격성공횟수]]/(표5[[#This Row],[공격실패횟수]]+표5[[#This Row],[공격성공횟수]])</f>
        <v>6.25E-2</v>
      </c>
    </row>
    <row r="1218" spans="1:8" x14ac:dyDescent="0.4">
      <c r="A1218">
        <v>609</v>
      </c>
      <c r="B1218" t="s">
        <v>0</v>
      </c>
      <c r="C1218">
        <v>1</v>
      </c>
      <c r="D1218">
        <v>4</v>
      </c>
      <c r="E1218">
        <v>21</v>
      </c>
      <c r="F1218">
        <v>0</v>
      </c>
      <c r="G1218">
        <v>0</v>
      </c>
      <c r="H1218">
        <f>표5[[#This Row],[공격성공횟수]]/(표5[[#This Row],[공격실패횟수]]+표5[[#This Row],[공격성공횟수]])</f>
        <v>0.16</v>
      </c>
    </row>
    <row r="1219" spans="1:8" hidden="1" x14ac:dyDescent="0.4">
      <c r="A1219">
        <v>609</v>
      </c>
      <c r="B1219" t="s">
        <v>1</v>
      </c>
      <c r="C1219">
        <v>0</v>
      </c>
      <c r="D1219">
        <v>0</v>
      </c>
      <c r="E1219">
        <v>24</v>
      </c>
      <c r="F1219">
        <v>4</v>
      </c>
      <c r="G1219">
        <v>1</v>
      </c>
      <c r="H1219">
        <f>표5[[#This Row],[공격성공횟수]]/(표5[[#This Row],[공격실패횟수]]+표5[[#This Row],[공격성공횟수]])</f>
        <v>0</v>
      </c>
    </row>
    <row r="1220" spans="1:8" x14ac:dyDescent="0.4">
      <c r="A1220">
        <v>610</v>
      </c>
      <c r="B1220" t="s">
        <v>0</v>
      </c>
      <c r="C1220">
        <v>1</v>
      </c>
      <c r="D1220">
        <v>4</v>
      </c>
      <c r="E1220">
        <v>5</v>
      </c>
      <c r="F1220">
        <v>0</v>
      </c>
      <c r="G1220">
        <v>0</v>
      </c>
      <c r="H1220">
        <f>표5[[#This Row],[공격성공횟수]]/(표5[[#This Row],[공격실패횟수]]+표5[[#This Row],[공격성공횟수]])</f>
        <v>0.44444444444444442</v>
      </c>
    </row>
    <row r="1221" spans="1:8" hidden="1" x14ac:dyDescent="0.4">
      <c r="A1221">
        <v>610</v>
      </c>
      <c r="B1221" t="s">
        <v>1</v>
      </c>
      <c r="C1221">
        <v>0</v>
      </c>
      <c r="D1221">
        <v>0</v>
      </c>
      <c r="E1221">
        <v>9</v>
      </c>
      <c r="F1221">
        <v>4</v>
      </c>
      <c r="G1221">
        <v>1</v>
      </c>
      <c r="H1221">
        <f>표5[[#This Row],[공격성공횟수]]/(표5[[#This Row],[공격실패횟수]]+표5[[#This Row],[공격성공횟수]])</f>
        <v>0</v>
      </c>
    </row>
    <row r="1222" spans="1:8" x14ac:dyDescent="0.4">
      <c r="A1222">
        <v>611</v>
      </c>
      <c r="B1222" t="s">
        <v>0</v>
      </c>
      <c r="C1222">
        <v>0</v>
      </c>
      <c r="D1222">
        <v>0</v>
      </c>
      <c r="E1222">
        <v>16</v>
      </c>
      <c r="F1222">
        <v>4</v>
      </c>
      <c r="G1222">
        <v>1</v>
      </c>
      <c r="H1222">
        <f>표5[[#This Row],[공격성공횟수]]/(표5[[#This Row],[공격실패횟수]]+표5[[#This Row],[공격성공횟수]])</f>
        <v>0</v>
      </c>
    </row>
    <row r="1223" spans="1:8" hidden="1" x14ac:dyDescent="0.4">
      <c r="A1223">
        <v>611</v>
      </c>
      <c r="B1223" t="s">
        <v>1</v>
      </c>
      <c r="C1223">
        <v>1</v>
      </c>
      <c r="D1223">
        <v>4</v>
      </c>
      <c r="E1223">
        <v>13</v>
      </c>
      <c r="F1223">
        <v>0</v>
      </c>
      <c r="G1223">
        <v>0</v>
      </c>
      <c r="H1223">
        <f>표5[[#This Row],[공격성공횟수]]/(표5[[#This Row],[공격실패횟수]]+표5[[#This Row],[공격성공횟수]])</f>
        <v>0.23529411764705882</v>
      </c>
    </row>
    <row r="1224" spans="1:8" x14ac:dyDescent="0.4">
      <c r="A1224">
        <v>612</v>
      </c>
      <c r="B1224" t="s">
        <v>0</v>
      </c>
      <c r="C1224">
        <v>0</v>
      </c>
      <c r="D1224">
        <v>0</v>
      </c>
      <c r="E1224">
        <v>10</v>
      </c>
      <c r="F1224">
        <v>4</v>
      </c>
      <c r="G1224">
        <v>1</v>
      </c>
      <c r="H1224">
        <f>표5[[#This Row],[공격성공횟수]]/(표5[[#This Row],[공격실패횟수]]+표5[[#This Row],[공격성공횟수]])</f>
        <v>0</v>
      </c>
    </row>
    <row r="1225" spans="1:8" hidden="1" x14ac:dyDescent="0.4">
      <c r="A1225">
        <v>612</v>
      </c>
      <c r="B1225" t="s">
        <v>1</v>
      </c>
      <c r="C1225">
        <v>1</v>
      </c>
      <c r="D1225">
        <v>4</v>
      </c>
      <c r="E1225">
        <v>6</v>
      </c>
      <c r="F1225">
        <v>0</v>
      </c>
      <c r="G1225">
        <v>0</v>
      </c>
      <c r="H1225">
        <f>표5[[#This Row],[공격성공횟수]]/(표5[[#This Row],[공격실패횟수]]+표5[[#This Row],[공격성공횟수]])</f>
        <v>0.4</v>
      </c>
    </row>
    <row r="1226" spans="1:8" x14ac:dyDescent="0.4">
      <c r="A1226">
        <v>613</v>
      </c>
      <c r="B1226" t="s">
        <v>0</v>
      </c>
      <c r="C1226">
        <v>0</v>
      </c>
      <c r="D1226">
        <v>0</v>
      </c>
      <c r="E1226">
        <v>26</v>
      </c>
      <c r="F1226">
        <v>4</v>
      </c>
      <c r="G1226">
        <v>1</v>
      </c>
      <c r="H1226">
        <f>표5[[#This Row],[공격성공횟수]]/(표5[[#This Row],[공격실패횟수]]+표5[[#This Row],[공격성공횟수]])</f>
        <v>0</v>
      </c>
    </row>
    <row r="1227" spans="1:8" hidden="1" x14ac:dyDescent="0.4">
      <c r="A1227">
        <v>613</v>
      </c>
      <c r="B1227" t="s">
        <v>1</v>
      </c>
      <c r="C1227">
        <v>1</v>
      </c>
      <c r="D1227">
        <v>4</v>
      </c>
      <c r="E1227">
        <v>21</v>
      </c>
      <c r="F1227">
        <v>0</v>
      </c>
      <c r="G1227">
        <v>0</v>
      </c>
      <c r="H1227">
        <f>표5[[#This Row],[공격성공횟수]]/(표5[[#This Row],[공격실패횟수]]+표5[[#This Row],[공격성공횟수]])</f>
        <v>0.16</v>
      </c>
    </row>
    <row r="1228" spans="1:8" x14ac:dyDescent="0.4">
      <c r="A1228">
        <v>614</v>
      </c>
      <c r="B1228" t="s">
        <v>0</v>
      </c>
      <c r="C1228">
        <v>0</v>
      </c>
      <c r="D1228">
        <v>0</v>
      </c>
      <c r="E1228">
        <v>24</v>
      </c>
      <c r="F1228">
        <v>4</v>
      </c>
      <c r="G1228">
        <v>1</v>
      </c>
      <c r="H1228">
        <f>표5[[#This Row],[공격성공횟수]]/(표5[[#This Row],[공격실패횟수]]+표5[[#This Row],[공격성공횟수]])</f>
        <v>0</v>
      </c>
    </row>
    <row r="1229" spans="1:8" hidden="1" x14ac:dyDescent="0.4">
      <c r="A1229">
        <v>614</v>
      </c>
      <c r="B1229" t="s">
        <v>1</v>
      </c>
      <c r="C1229">
        <v>1</v>
      </c>
      <c r="D1229">
        <v>4</v>
      </c>
      <c r="E1229">
        <v>19</v>
      </c>
      <c r="F1229">
        <v>0</v>
      </c>
      <c r="G1229">
        <v>0</v>
      </c>
      <c r="H1229">
        <f>표5[[#This Row],[공격성공횟수]]/(표5[[#This Row],[공격실패횟수]]+표5[[#This Row],[공격성공횟수]])</f>
        <v>0.17391304347826086</v>
      </c>
    </row>
    <row r="1230" spans="1:8" x14ac:dyDescent="0.4">
      <c r="A1230">
        <v>615</v>
      </c>
      <c r="B1230" t="s">
        <v>0</v>
      </c>
      <c r="C1230">
        <v>1</v>
      </c>
      <c r="D1230">
        <v>4</v>
      </c>
      <c r="E1230">
        <v>11</v>
      </c>
      <c r="F1230">
        <v>0</v>
      </c>
      <c r="G1230">
        <v>0</v>
      </c>
      <c r="H1230">
        <f>표5[[#This Row],[공격성공횟수]]/(표5[[#This Row],[공격실패횟수]]+표5[[#This Row],[공격성공횟수]])</f>
        <v>0.26666666666666666</v>
      </c>
    </row>
    <row r="1231" spans="1:8" hidden="1" x14ac:dyDescent="0.4">
      <c r="A1231">
        <v>615</v>
      </c>
      <c r="B1231" t="s">
        <v>1</v>
      </c>
      <c r="C1231">
        <v>0</v>
      </c>
      <c r="D1231">
        <v>0</v>
      </c>
      <c r="E1231">
        <v>17</v>
      </c>
      <c r="F1231">
        <v>4</v>
      </c>
      <c r="G1231">
        <v>1</v>
      </c>
      <c r="H1231">
        <f>표5[[#This Row],[공격성공횟수]]/(표5[[#This Row],[공격실패횟수]]+표5[[#This Row],[공격성공횟수]])</f>
        <v>0</v>
      </c>
    </row>
    <row r="1232" spans="1:8" x14ac:dyDescent="0.4">
      <c r="A1232">
        <v>616</v>
      </c>
      <c r="B1232" t="s">
        <v>0</v>
      </c>
      <c r="C1232">
        <v>1</v>
      </c>
      <c r="D1232">
        <v>4</v>
      </c>
      <c r="E1232">
        <v>7</v>
      </c>
      <c r="F1232">
        <v>2</v>
      </c>
      <c r="G1232">
        <v>0</v>
      </c>
      <c r="H1232">
        <f>표5[[#This Row],[공격성공횟수]]/(표5[[#This Row],[공격실패횟수]]+표5[[#This Row],[공격성공횟수]])</f>
        <v>0.36363636363636365</v>
      </c>
    </row>
    <row r="1233" spans="1:8" hidden="1" x14ac:dyDescent="0.4">
      <c r="A1233">
        <v>616</v>
      </c>
      <c r="B1233" t="s">
        <v>1</v>
      </c>
      <c r="C1233">
        <v>0</v>
      </c>
      <c r="D1233">
        <v>2</v>
      </c>
      <c r="E1233">
        <v>10</v>
      </c>
      <c r="F1233">
        <v>4</v>
      </c>
      <c r="G1233">
        <v>1</v>
      </c>
      <c r="H1233">
        <f>표5[[#This Row],[공격성공횟수]]/(표5[[#This Row],[공격실패횟수]]+표5[[#This Row],[공격성공횟수]])</f>
        <v>0.16666666666666666</v>
      </c>
    </row>
    <row r="1234" spans="1:8" x14ac:dyDescent="0.4">
      <c r="A1234">
        <v>617</v>
      </c>
      <c r="B1234" t="s">
        <v>0</v>
      </c>
      <c r="C1234">
        <v>1</v>
      </c>
      <c r="D1234">
        <v>4</v>
      </c>
      <c r="E1234">
        <v>28</v>
      </c>
      <c r="F1234">
        <v>2</v>
      </c>
      <c r="G1234">
        <v>0</v>
      </c>
      <c r="H1234">
        <f>표5[[#This Row],[공격성공횟수]]/(표5[[#This Row],[공격실패횟수]]+표5[[#This Row],[공격성공횟수]])</f>
        <v>0.125</v>
      </c>
    </row>
    <row r="1235" spans="1:8" hidden="1" x14ac:dyDescent="0.4">
      <c r="A1235">
        <v>617</v>
      </c>
      <c r="B1235" t="s">
        <v>1</v>
      </c>
      <c r="C1235">
        <v>0</v>
      </c>
      <c r="D1235">
        <v>2</v>
      </c>
      <c r="E1235">
        <v>30</v>
      </c>
      <c r="F1235">
        <v>4</v>
      </c>
      <c r="G1235">
        <v>1</v>
      </c>
      <c r="H1235">
        <f>표5[[#This Row],[공격성공횟수]]/(표5[[#This Row],[공격실패횟수]]+표5[[#This Row],[공격성공횟수]])</f>
        <v>6.25E-2</v>
      </c>
    </row>
    <row r="1236" spans="1:8" x14ac:dyDescent="0.4">
      <c r="A1236">
        <v>618</v>
      </c>
      <c r="B1236" t="s">
        <v>0</v>
      </c>
      <c r="C1236">
        <v>1</v>
      </c>
      <c r="D1236">
        <v>4</v>
      </c>
      <c r="E1236">
        <v>19</v>
      </c>
      <c r="F1236">
        <v>2</v>
      </c>
      <c r="G1236">
        <v>0</v>
      </c>
      <c r="H1236">
        <f>표5[[#This Row],[공격성공횟수]]/(표5[[#This Row],[공격실패횟수]]+표5[[#This Row],[공격성공횟수]])</f>
        <v>0.17391304347826086</v>
      </c>
    </row>
    <row r="1237" spans="1:8" hidden="1" x14ac:dyDescent="0.4">
      <c r="A1237">
        <v>618</v>
      </c>
      <c r="B1237" t="s">
        <v>1</v>
      </c>
      <c r="C1237">
        <v>0</v>
      </c>
      <c r="D1237">
        <v>2</v>
      </c>
      <c r="E1237">
        <v>25</v>
      </c>
      <c r="F1237">
        <v>4</v>
      </c>
      <c r="G1237">
        <v>1</v>
      </c>
      <c r="H1237">
        <f>표5[[#This Row],[공격성공횟수]]/(표5[[#This Row],[공격실패횟수]]+표5[[#This Row],[공격성공횟수]])</f>
        <v>7.407407407407407E-2</v>
      </c>
    </row>
    <row r="1238" spans="1:8" x14ac:dyDescent="0.4">
      <c r="A1238">
        <v>619</v>
      </c>
      <c r="B1238" t="s">
        <v>0</v>
      </c>
      <c r="C1238">
        <v>0</v>
      </c>
      <c r="D1238">
        <v>0</v>
      </c>
      <c r="E1238">
        <v>30</v>
      </c>
      <c r="F1238">
        <v>4</v>
      </c>
      <c r="G1238">
        <v>1</v>
      </c>
      <c r="H1238">
        <f>표5[[#This Row],[공격성공횟수]]/(표5[[#This Row],[공격실패횟수]]+표5[[#This Row],[공격성공횟수]])</f>
        <v>0</v>
      </c>
    </row>
    <row r="1239" spans="1:8" hidden="1" x14ac:dyDescent="0.4">
      <c r="A1239">
        <v>619</v>
      </c>
      <c r="B1239" t="s">
        <v>1</v>
      </c>
      <c r="C1239">
        <v>1</v>
      </c>
      <c r="D1239">
        <v>4</v>
      </c>
      <c r="E1239">
        <v>27</v>
      </c>
      <c r="F1239">
        <v>0</v>
      </c>
      <c r="G1239">
        <v>0</v>
      </c>
      <c r="H1239">
        <f>표5[[#This Row],[공격성공횟수]]/(표5[[#This Row],[공격실패횟수]]+표5[[#This Row],[공격성공횟수]])</f>
        <v>0.12903225806451613</v>
      </c>
    </row>
    <row r="1240" spans="1:8" x14ac:dyDescent="0.4">
      <c r="A1240">
        <v>620</v>
      </c>
      <c r="B1240" t="s">
        <v>0</v>
      </c>
      <c r="C1240">
        <v>1</v>
      </c>
      <c r="D1240">
        <v>4</v>
      </c>
      <c r="E1240">
        <v>29</v>
      </c>
      <c r="F1240">
        <v>3</v>
      </c>
      <c r="G1240">
        <v>0</v>
      </c>
      <c r="H1240">
        <f>표5[[#This Row],[공격성공횟수]]/(표5[[#This Row],[공격실패횟수]]+표5[[#This Row],[공격성공횟수]])</f>
        <v>0.12121212121212122</v>
      </c>
    </row>
    <row r="1241" spans="1:8" hidden="1" x14ac:dyDescent="0.4">
      <c r="A1241">
        <v>620</v>
      </c>
      <c r="B1241" t="s">
        <v>1</v>
      </c>
      <c r="C1241">
        <v>0</v>
      </c>
      <c r="D1241">
        <v>3</v>
      </c>
      <c r="E1241">
        <v>29</v>
      </c>
      <c r="F1241">
        <v>4</v>
      </c>
      <c r="G1241">
        <v>1</v>
      </c>
      <c r="H1241">
        <f>표5[[#This Row],[공격성공횟수]]/(표5[[#This Row],[공격실패횟수]]+표5[[#This Row],[공격성공횟수]])</f>
        <v>9.375E-2</v>
      </c>
    </row>
    <row r="1242" spans="1:8" x14ac:dyDescent="0.4">
      <c r="A1242">
        <v>621</v>
      </c>
      <c r="B1242" t="s">
        <v>0</v>
      </c>
      <c r="C1242">
        <v>1</v>
      </c>
      <c r="D1242">
        <v>4</v>
      </c>
      <c r="E1242">
        <v>6</v>
      </c>
      <c r="F1242">
        <v>0</v>
      </c>
      <c r="G1242">
        <v>0</v>
      </c>
      <c r="H1242">
        <f>표5[[#This Row],[공격성공횟수]]/(표5[[#This Row],[공격실패횟수]]+표5[[#This Row],[공격성공횟수]])</f>
        <v>0.4</v>
      </c>
    </row>
    <row r="1243" spans="1:8" hidden="1" x14ac:dyDescent="0.4">
      <c r="A1243">
        <v>621</v>
      </c>
      <c r="B1243" t="s">
        <v>1</v>
      </c>
      <c r="C1243">
        <v>0</v>
      </c>
      <c r="D1243">
        <v>0</v>
      </c>
      <c r="E1243">
        <v>9</v>
      </c>
      <c r="F1243">
        <v>4</v>
      </c>
      <c r="G1243">
        <v>1</v>
      </c>
      <c r="H1243">
        <f>표5[[#This Row],[공격성공횟수]]/(표5[[#This Row],[공격실패횟수]]+표5[[#This Row],[공격성공횟수]])</f>
        <v>0</v>
      </c>
    </row>
    <row r="1244" spans="1:8" x14ac:dyDescent="0.4">
      <c r="A1244">
        <v>622</v>
      </c>
      <c r="B1244" t="s">
        <v>0</v>
      </c>
      <c r="C1244">
        <v>1</v>
      </c>
      <c r="D1244">
        <v>4</v>
      </c>
      <c r="E1244">
        <v>6</v>
      </c>
      <c r="F1244">
        <v>0</v>
      </c>
      <c r="G1244">
        <v>0</v>
      </c>
      <c r="H1244">
        <f>표5[[#This Row],[공격성공횟수]]/(표5[[#This Row],[공격실패횟수]]+표5[[#This Row],[공격성공횟수]])</f>
        <v>0.4</v>
      </c>
    </row>
    <row r="1245" spans="1:8" hidden="1" x14ac:dyDescent="0.4">
      <c r="A1245">
        <v>622</v>
      </c>
      <c r="B1245" t="s">
        <v>1</v>
      </c>
      <c r="C1245">
        <v>0</v>
      </c>
      <c r="D1245">
        <v>0</v>
      </c>
      <c r="E1245">
        <v>10</v>
      </c>
      <c r="F1245">
        <v>4</v>
      </c>
      <c r="G1245">
        <v>1</v>
      </c>
      <c r="H1245">
        <f>표5[[#This Row],[공격성공횟수]]/(표5[[#This Row],[공격실패횟수]]+표5[[#This Row],[공격성공횟수]])</f>
        <v>0</v>
      </c>
    </row>
    <row r="1246" spans="1:8" x14ac:dyDescent="0.4">
      <c r="A1246">
        <v>623</v>
      </c>
      <c r="B1246" t="s">
        <v>0</v>
      </c>
      <c r="C1246">
        <v>1</v>
      </c>
      <c r="D1246">
        <v>4</v>
      </c>
      <c r="E1246">
        <v>16</v>
      </c>
      <c r="F1246">
        <v>2</v>
      </c>
      <c r="G1246">
        <v>0</v>
      </c>
      <c r="H1246">
        <f>표5[[#This Row],[공격성공횟수]]/(표5[[#This Row],[공격실패횟수]]+표5[[#This Row],[공격성공횟수]])</f>
        <v>0.2</v>
      </c>
    </row>
    <row r="1247" spans="1:8" hidden="1" x14ac:dyDescent="0.4">
      <c r="A1247">
        <v>623</v>
      </c>
      <c r="B1247" t="s">
        <v>1</v>
      </c>
      <c r="C1247">
        <v>0</v>
      </c>
      <c r="D1247">
        <v>2</v>
      </c>
      <c r="E1247">
        <v>18</v>
      </c>
      <c r="F1247">
        <v>4</v>
      </c>
      <c r="G1247">
        <v>1</v>
      </c>
      <c r="H1247">
        <f>표5[[#This Row],[공격성공횟수]]/(표5[[#This Row],[공격실패횟수]]+표5[[#This Row],[공격성공횟수]])</f>
        <v>0.1</v>
      </c>
    </row>
    <row r="1248" spans="1:8" x14ac:dyDescent="0.4">
      <c r="A1248">
        <v>624</v>
      </c>
      <c r="B1248" t="s">
        <v>0</v>
      </c>
      <c r="C1248">
        <v>1</v>
      </c>
      <c r="D1248">
        <v>4</v>
      </c>
      <c r="E1248">
        <v>22</v>
      </c>
      <c r="F1248">
        <v>3</v>
      </c>
      <c r="G1248">
        <v>0</v>
      </c>
      <c r="H1248">
        <f>표5[[#This Row],[공격성공횟수]]/(표5[[#This Row],[공격실패횟수]]+표5[[#This Row],[공격성공횟수]])</f>
        <v>0.15384615384615385</v>
      </c>
    </row>
    <row r="1249" spans="1:8" hidden="1" x14ac:dyDescent="0.4">
      <c r="A1249">
        <v>624</v>
      </c>
      <c r="B1249" t="s">
        <v>1</v>
      </c>
      <c r="C1249">
        <v>0</v>
      </c>
      <c r="D1249">
        <v>3</v>
      </c>
      <c r="E1249">
        <v>22</v>
      </c>
      <c r="F1249">
        <v>4</v>
      </c>
      <c r="G1249">
        <v>1</v>
      </c>
      <c r="H1249">
        <f>표5[[#This Row],[공격성공횟수]]/(표5[[#This Row],[공격실패횟수]]+표5[[#This Row],[공격성공횟수]])</f>
        <v>0.12</v>
      </c>
    </row>
    <row r="1250" spans="1:8" x14ac:dyDescent="0.4">
      <c r="A1250">
        <v>625</v>
      </c>
      <c r="B1250" t="s">
        <v>0</v>
      </c>
      <c r="C1250">
        <v>1</v>
      </c>
      <c r="D1250">
        <v>4</v>
      </c>
      <c r="E1250">
        <v>8</v>
      </c>
      <c r="F1250">
        <v>0</v>
      </c>
      <c r="G1250">
        <v>0</v>
      </c>
      <c r="H1250">
        <f>표5[[#This Row],[공격성공횟수]]/(표5[[#This Row],[공격실패횟수]]+표5[[#This Row],[공격성공횟수]])</f>
        <v>0.33333333333333331</v>
      </c>
    </row>
    <row r="1251" spans="1:8" hidden="1" x14ac:dyDescent="0.4">
      <c r="A1251">
        <v>625</v>
      </c>
      <c r="B1251" t="s">
        <v>1</v>
      </c>
      <c r="C1251">
        <v>0</v>
      </c>
      <c r="D1251">
        <v>0</v>
      </c>
      <c r="E1251">
        <v>14</v>
      </c>
      <c r="F1251">
        <v>4</v>
      </c>
      <c r="G1251">
        <v>1</v>
      </c>
      <c r="H1251">
        <f>표5[[#This Row],[공격성공횟수]]/(표5[[#This Row],[공격실패횟수]]+표5[[#This Row],[공격성공횟수]])</f>
        <v>0</v>
      </c>
    </row>
    <row r="1252" spans="1:8" x14ac:dyDescent="0.4">
      <c r="A1252">
        <v>626</v>
      </c>
      <c r="B1252" t="s">
        <v>0</v>
      </c>
      <c r="C1252">
        <v>1</v>
      </c>
      <c r="D1252">
        <v>4</v>
      </c>
      <c r="E1252">
        <v>6</v>
      </c>
      <c r="F1252">
        <v>1</v>
      </c>
      <c r="G1252">
        <v>0</v>
      </c>
      <c r="H1252">
        <f>표5[[#This Row],[공격성공횟수]]/(표5[[#This Row],[공격실패횟수]]+표5[[#This Row],[공격성공횟수]])</f>
        <v>0.4</v>
      </c>
    </row>
    <row r="1253" spans="1:8" hidden="1" x14ac:dyDescent="0.4">
      <c r="A1253">
        <v>626</v>
      </c>
      <c r="B1253" t="s">
        <v>1</v>
      </c>
      <c r="C1253">
        <v>0</v>
      </c>
      <c r="D1253">
        <v>1</v>
      </c>
      <c r="E1253">
        <v>9</v>
      </c>
      <c r="F1253">
        <v>4</v>
      </c>
      <c r="G1253">
        <v>1</v>
      </c>
      <c r="H1253">
        <f>표5[[#This Row],[공격성공횟수]]/(표5[[#This Row],[공격실패횟수]]+표5[[#This Row],[공격성공횟수]])</f>
        <v>0.1</v>
      </c>
    </row>
    <row r="1254" spans="1:8" x14ac:dyDescent="0.4">
      <c r="A1254">
        <v>627</v>
      </c>
      <c r="B1254" t="s">
        <v>0</v>
      </c>
      <c r="C1254">
        <v>1</v>
      </c>
      <c r="D1254">
        <v>4</v>
      </c>
      <c r="E1254">
        <v>9</v>
      </c>
      <c r="F1254">
        <v>1</v>
      </c>
      <c r="G1254">
        <v>0</v>
      </c>
      <c r="H1254">
        <f>표5[[#This Row],[공격성공횟수]]/(표5[[#This Row],[공격실패횟수]]+표5[[#This Row],[공격성공횟수]])</f>
        <v>0.30769230769230771</v>
      </c>
    </row>
    <row r="1255" spans="1:8" hidden="1" x14ac:dyDescent="0.4">
      <c r="A1255">
        <v>627</v>
      </c>
      <c r="B1255" t="s">
        <v>1</v>
      </c>
      <c r="C1255">
        <v>0</v>
      </c>
      <c r="D1255">
        <v>1</v>
      </c>
      <c r="E1255">
        <v>12</v>
      </c>
      <c r="F1255">
        <v>4</v>
      </c>
      <c r="G1255">
        <v>1</v>
      </c>
      <c r="H1255">
        <f>표5[[#This Row],[공격성공횟수]]/(표5[[#This Row],[공격실패횟수]]+표5[[#This Row],[공격성공횟수]])</f>
        <v>7.6923076923076927E-2</v>
      </c>
    </row>
    <row r="1256" spans="1:8" x14ac:dyDescent="0.4">
      <c r="A1256">
        <v>628</v>
      </c>
      <c r="B1256" t="s">
        <v>0</v>
      </c>
      <c r="C1256">
        <v>1</v>
      </c>
      <c r="D1256">
        <v>4</v>
      </c>
      <c r="E1256">
        <v>8</v>
      </c>
      <c r="F1256">
        <v>0</v>
      </c>
      <c r="G1256">
        <v>0</v>
      </c>
      <c r="H1256">
        <f>표5[[#This Row],[공격성공횟수]]/(표5[[#This Row],[공격실패횟수]]+표5[[#This Row],[공격성공횟수]])</f>
        <v>0.33333333333333331</v>
      </c>
    </row>
    <row r="1257" spans="1:8" hidden="1" x14ac:dyDescent="0.4">
      <c r="A1257">
        <v>628</v>
      </c>
      <c r="B1257" t="s">
        <v>1</v>
      </c>
      <c r="C1257">
        <v>0</v>
      </c>
      <c r="D1257">
        <v>0</v>
      </c>
      <c r="E1257">
        <v>11</v>
      </c>
      <c r="F1257">
        <v>4</v>
      </c>
      <c r="G1257">
        <v>1</v>
      </c>
      <c r="H1257">
        <f>표5[[#This Row],[공격성공횟수]]/(표5[[#This Row],[공격실패횟수]]+표5[[#This Row],[공격성공횟수]])</f>
        <v>0</v>
      </c>
    </row>
    <row r="1258" spans="1:8" x14ac:dyDescent="0.4">
      <c r="A1258">
        <v>629</v>
      </c>
      <c r="B1258" t="s">
        <v>0</v>
      </c>
      <c r="C1258">
        <v>1</v>
      </c>
      <c r="D1258">
        <v>4</v>
      </c>
      <c r="E1258">
        <v>7</v>
      </c>
      <c r="F1258">
        <v>1</v>
      </c>
      <c r="G1258">
        <v>0</v>
      </c>
      <c r="H1258">
        <f>표5[[#This Row],[공격성공횟수]]/(표5[[#This Row],[공격실패횟수]]+표5[[#This Row],[공격성공횟수]])</f>
        <v>0.36363636363636365</v>
      </c>
    </row>
    <row r="1259" spans="1:8" hidden="1" x14ac:dyDescent="0.4">
      <c r="A1259">
        <v>629</v>
      </c>
      <c r="B1259" t="s">
        <v>1</v>
      </c>
      <c r="C1259">
        <v>0</v>
      </c>
      <c r="D1259">
        <v>1</v>
      </c>
      <c r="E1259">
        <v>10</v>
      </c>
      <c r="F1259">
        <v>4</v>
      </c>
      <c r="G1259">
        <v>1</v>
      </c>
      <c r="H1259">
        <f>표5[[#This Row],[공격성공횟수]]/(표5[[#This Row],[공격실패횟수]]+표5[[#This Row],[공격성공횟수]])</f>
        <v>9.0909090909090912E-2</v>
      </c>
    </row>
    <row r="1260" spans="1:8" x14ac:dyDescent="0.4">
      <c r="A1260">
        <v>630</v>
      </c>
      <c r="B1260" t="s">
        <v>0</v>
      </c>
      <c r="C1260">
        <v>1</v>
      </c>
      <c r="D1260">
        <v>4</v>
      </c>
      <c r="E1260">
        <v>6</v>
      </c>
      <c r="F1260">
        <v>0</v>
      </c>
      <c r="G1260">
        <v>0</v>
      </c>
      <c r="H1260">
        <f>표5[[#This Row],[공격성공횟수]]/(표5[[#This Row],[공격실패횟수]]+표5[[#This Row],[공격성공횟수]])</f>
        <v>0.4</v>
      </c>
    </row>
    <row r="1261" spans="1:8" hidden="1" x14ac:dyDescent="0.4">
      <c r="A1261">
        <v>630</v>
      </c>
      <c r="B1261" t="s">
        <v>1</v>
      </c>
      <c r="C1261">
        <v>0</v>
      </c>
      <c r="D1261">
        <v>0</v>
      </c>
      <c r="E1261">
        <v>10</v>
      </c>
      <c r="F1261">
        <v>4</v>
      </c>
      <c r="G1261">
        <v>1</v>
      </c>
      <c r="H1261">
        <f>표5[[#This Row],[공격성공횟수]]/(표5[[#This Row],[공격실패횟수]]+표5[[#This Row],[공격성공횟수]])</f>
        <v>0</v>
      </c>
    </row>
    <row r="1262" spans="1:8" x14ac:dyDescent="0.4">
      <c r="A1262">
        <v>631</v>
      </c>
      <c r="B1262" t="s">
        <v>0</v>
      </c>
      <c r="C1262">
        <v>1</v>
      </c>
      <c r="D1262">
        <v>4</v>
      </c>
      <c r="E1262">
        <v>10</v>
      </c>
      <c r="F1262">
        <v>2</v>
      </c>
      <c r="G1262">
        <v>0</v>
      </c>
      <c r="H1262">
        <f>표5[[#This Row],[공격성공횟수]]/(표5[[#This Row],[공격실패횟수]]+표5[[#This Row],[공격성공횟수]])</f>
        <v>0.2857142857142857</v>
      </c>
    </row>
    <row r="1263" spans="1:8" hidden="1" x14ac:dyDescent="0.4">
      <c r="A1263">
        <v>631</v>
      </c>
      <c r="B1263" t="s">
        <v>1</v>
      </c>
      <c r="C1263">
        <v>0</v>
      </c>
      <c r="D1263">
        <v>2</v>
      </c>
      <c r="E1263">
        <v>12</v>
      </c>
      <c r="F1263">
        <v>4</v>
      </c>
      <c r="G1263">
        <v>1</v>
      </c>
      <c r="H1263">
        <f>표5[[#This Row],[공격성공횟수]]/(표5[[#This Row],[공격실패횟수]]+표5[[#This Row],[공격성공횟수]])</f>
        <v>0.14285714285714285</v>
      </c>
    </row>
    <row r="1264" spans="1:8" x14ac:dyDescent="0.4">
      <c r="A1264">
        <v>632</v>
      </c>
      <c r="B1264" t="s">
        <v>0</v>
      </c>
      <c r="C1264">
        <v>1</v>
      </c>
      <c r="D1264">
        <v>4</v>
      </c>
      <c r="E1264">
        <v>4</v>
      </c>
      <c r="F1264">
        <v>2</v>
      </c>
      <c r="G1264">
        <v>0</v>
      </c>
      <c r="H1264">
        <f>표5[[#This Row],[공격성공횟수]]/(표5[[#This Row],[공격실패횟수]]+표5[[#This Row],[공격성공횟수]])</f>
        <v>0.5</v>
      </c>
    </row>
    <row r="1265" spans="1:8" hidden="1" x14ac:dyDescent="0.4">
      <c r="A1265">
        <v>632</v>
      </c>
      <c r="B1265" t="s">
        <v>1</v>
      </c>
      <c r="C1265">
        <v>0</v>
      </c>
      <c r="D1265">
        <v>2</v>
      </c>
      <c r="E1265">
        <v>6</v>
      </c>
      <c r="F1265">
        <v>4</v>
      </c>
      <c r="G1265">
        <v>1</v>
      </c>
      <c r="H1265">
        <f>표5[[#This Row],[공격성공횟수]]/(표5[[#This Row],[공격실패횟수]]+표5[[#This Row],[공격성공횟수]])</f>
        <v>0.25</v>
      </c>
    </row>
    <row r="1266" spans="1:8" x14ac:dyDescent="0.4">
      <c r="A1266">
        <v>633</v>
      </c>
      <c r="B1266" t="s">
        <v>0</v>
      </c>
      <c r="C1266">
        <v>1</v>
      </c>
      <c r="D1266">
        <v>4</v>
      </c>
      <c r="E1266">
        <v>9</v>
      </c>
      <c r="F1266">
        <v>0</v>
      </c>
      <c r="G1266">
        <v>0</v>
      </c>
      <c r="H1266">
        <f>표5[[#This Row],[공격성공횟수]]/(표5[[#This Row],[공격실패횟수]]+표5[[#This Row],[공격성공횟수]])</f>
        <v>0.30769230769230771</v>
      </c>
    </row>
    <row r="1267" spans="1:8" hidden="1" x14ac:dyDescent="0.4">
      <c r="A1267">
        <v>633</v>
      </c>
      <c r="B1267" t="s">
        <v>1</v>
      </c>
      <c r="C1267">
        <v>0</v>
      </c>
      <c r="D1267">
        <v>0</v>
      </c>
      <c r="E1267">
        <v>13</v>
      </c>
      <c r="F1267">
        <v>4</v>
      </c>
      <c r="G1267">
        <v>1</v>
      </c>
      <c r="H1267">
        <f>표5[[#This Row],[공격성공횟수]]/(표5[[#This Row],[공격실패횟수]]+표5[[#This Row],[공격성공횟수]])</f>
        <v>0</v>
      </c>
    </row>
    <row r="1268" spans="1:8" x14ac:dyDescent="0.4">
      <c r="A1268">
        <v>634</v>
      </c>
      <c r="B1268" t="s">
        <v>0</v>
      </c>
      <c r="C1268">
        <v>1</v>
      </c>
      <c r="D1268">
        <v>4</v>
      </c>
      <c r="E1268">
        <v>6</v>
      </c>
      <c r="F1268">
        <v>0</v>
      </c>
      <c r="G1268">
        <v>0</v>
      </c>
      <c r="H1268">
        <f>표5[[#This Row],[공격성공횟수]]/(표5[[#This Row],[공격실패횟수]]+표5[[#This Row],[공격성공횟수]])</f>
        <v>0.4</v>
      </c>
    </row>
    <row r="1269" spans="1:8" hidden="1" x14ac:dyDescent="0.4">
      <c r="A1269">
        <v>634</v>
      </c>
      <c r="B1269" t="s">
        <v>1</v>
      </c>
      <c r="C1269">
        <v>0</v>
      </c>
      <c r="D1269">
        <v>0</v>
      </c>
      <c r="E1269">
        <v>10</v>
      </c>
      <c r="F1269">
        <v>4</v>
      </c>
      <c r="G1269">
        <v>1</v>
      </c>
      <c r="H1269">
        <f>표5[[#This Row],[공격성공횟수]]/(표5[[#This Row],[공격실패횟수]]+표5[[#This Row],[공격성공횟수]])</f>
        <v>0</v>
      </c>
    </row>
    <row r="1270" spans="1:8" x14ac:dyDescent="0.4">
      <c r="A1270">
        <v>635</v>
      </c>
      <c r="B1270" t="s">
        <v>0</v>
      </c>
      <c r="C1270">
        <v>1</v>
      </c>
      <c r="D1270">
        <v>4</v>
      </c>
      <c r="E1270">
        <v>5</v>
      </c>
      <c r="F1270">
        <v>2</v>
      </c>
      <c r="G1270">
        <v>0</v>
      </c>
      <c r="H1270">
        <f>표5[[#This Row],[공격성공횟수]]/(표5[[#This Row],[공격실패횟수]]+표5[[#This Row],[공격성공횟수]])</f>
        <v>0.44444444444444442</v>
      </c>
    </row>
    <row r="1271" spans="1:8" hidden="1" x14ac:dyDescent="0.4">
      <c r="A1271">
        <v>635</v>
      </c>
      <c r="B1271" t="s">
        <v>1</v>
      </c>
      <c r="C1271">
        <v>0</v>
      </c>
      <c r="D1271">
        <v>2</v>
      </c>
      <c r="E1271">
        <v>7</v>
      </c>
      <c r="F1271">
        <v>4</v>
      </c>
      <c r="G1271">
        <v>1</v>
      </c>
      <c r="H1271">
        <f>표5[[#This Row],[공격성공횟수]]/(표5[[#This Row],[공격실패횟수]]+표5[[#This Row],[공격성공횟수]])</f>
        <v>0.22222222222222221</v>
      </c>
    </row>
    <row r="1272" spans="1:8" x14ac:dyDescent="0.4">
      <c r="A1272">
        <v>636</v>
      </c>
      <c r="B1272" t="s">
        <v>0</v>
      </c>
      <c r="C1272">
        <v>1</v>
      </c>
      <c r="D1272">
        <v>4</v>
      </c>
      <c r="E1272">
        <v>10</v>
      </c>
      <c r="F1272">
        <v>1</v>
      </c>
      <c r="G1272">
        <v>0</v>
      </c>
      <c r="H1272">
        <f>표5[[#This Row],[공격성공횟수]]/(표5[[#This Row],[공격실패횟수]]+표5[[#This Row],[공격성공횟수]])</f>
        <v>0.2857142857142857</v>
      </c>
    </row>
    <row r="1273" spans="1:8" hidden="1" x14ac:dyDescent="0.4">
      <c r="A1273">
        <v>636</v>
      </c>
      <c r="B1273" t="s">
        <v>1</v>
      </c>
      <c r="C1273">
        <v>0</v>
      </c>
      <c r="D1273">
        <v>1</v>
      </c>
      <c r="E1273">
        <v>13</v>
      </c>
      <c r="F1273">
        <v>4</v>
      </c>
      <c r="G1273">
        <v>1</v>
      </c>
      <c r="H1273">
        <f>표5[[#This Row],[공격성공횟수]]/(표5[[#This Row],[공격실패횟수]]+표5[[#This Row],[공격성공횟수]])</f>
        <v>7.1428571428571425E-2</v>
      </c>
    </row>
    <row r="1274" spans="1:8" x14ac:dyDescent="0.4">
      <c r="A1274">
        <v>637</v>
      </c>
      <c r="B1274" t="s">
        <v>0</v>
      </c>
      <c r="C1274">
        <v>0</v>
      </c>
      <c r="D1274">
        <v>3</v>
      </c>
      <c r="E1274">
        <v>15</v>
      </c>
      <c r="F1274">
        <v>4</v>
      </c>
      <c r="G1274">
        <v>1</v>
      </c>
      <c r="H1274">
        <f>표5[[#This Row],[공격성공횟수]]/(표5[[#This Row],[공격실패횟수]]+표5[[#This Row],[공격성공횟수]])</f>
        <v>0.16666666666666666</v>
      </c>
    </row>
    <row r="1275" spans="1:8" hidden="1" x14ac:dyDescent="0.4">
      <c r="A1275">
        <v>637</v>
      </c>
      <c r="B1275" t="s">
        <v>1</v>
      </c>
      <c r="C1275">
        <v>1</v>
      </c>
      <c r="D1275">
        <v>4</v>
      </c>
      <c r="E1275">
        <v>15</v>
      </c>
      <c r="F1275">
        <v>3</v>
      </c>
      <c r="G1275">
        <v>0</v>
      </c>
      <c r="H1275">
        <f>표5[[#This Row],[공격성공횟수]]/(표5[[#This Row],[공격실패횟수]]+표5[[#This Row],[공격성공횟수]])</f>
        <v>0.21052631578947367</v>
      </c>
    </row>
    <row r="1276" spans="1:8" x14ac:dyDescent="0.4">
      <c r="A1276">
        <v>638</v>
      </c>
      <c r="B1276" t="s">
        <v>0</v>
      </c>
      <c r="C1276">
        <v>1</v>
      </c>
      <c r="D1276">
        <v>4</v>
      </c>
      <c r="E1276">
        <v>21</v>
      </c>
      <c r="F1276">
        <v>1</v>
      </c>
      <c r="G1276">
        <v>0</v>
      </c>
      <c r="H1276">
        <f>표5[[#This Row],[공격성공횟수]]/(표5[[#This Row],[공격실패횟수]]+표5[[#This Row],[공격성공횟수]])</f>
        <v>0.16</v>
      </c>
    </row>
    <row r="1277" spans="1:8" hidden="1" x14ac:dyDescent="0.4">
      <c r="A1277">
        <v>638</v>
      </c>
      <c r="B1277" t="s">
        <v>1</v>
      </c>
      <c r="C1277">
        <v>0</v>
      </c>
      <c r="D1277">
        <v>1</v>
      </c>
      <c r="E1277">
        <v>22</v>
      </c>
      <c r="F1277">
        <v>4</v>
      </c>
      <c r="G1277">
        <v>1</v>
      </c>
      <c r="H1277">
        <f>표5[[#This Row],[공격성공횟수]]/(표5[[#This Row],[공격실패횟수]]+표5[[#This Row],[공격성공횟수]])</f>
        <v>4.3478260869565216E-2</v>
      </c>
    </row>
    <row r="1278" spans="1:8" x14ac:dyDescent="0.4">
      <c r="A1278">
        <v>639</v>
      </c>
      <c r="B1278" t="s">
        <v>0</v>
      </c>
      <c r="C1278">
        <v>1</v>
      </c>
      <c r="D1278">
        <v>4</v>
      </c>
      <c r="E1278">
        <v>6</v>
      </c>
      <c r="F1278">
        <v>1</v>
      </c>
      <c r="G1278">
        <v>0</v>
      </c>
      <c r="H1278">
        <f>표5[[#This Row],[공격성공횟수]]/(표5[[#This Row],[공격실패횟수]]+표5[[#This Row],[공격성공횟수]])</f>
        <v>0.4</v>
      </c>
    </row>
    <row r="1279" spans="1:8" hidden="1" x14ac:dyDescent="0.4">
      <c r="A1279">
        <v>639</v>
      </c>
      <c r="B1279" t="s">
        <v>1</v>
      </c>
      <c r="C1279">
        <v>0</v>
      </c>
      <c r="D1279">
        <v>1</v>
      </c>
      <c r="E1279">
        <v>8</v>
      </c>
      <c r="F1279">
        <v>4</v>
      </c>
      <c r="G1279">
        <v>1</v>
      </c>
      <c r="H1279">
        <f>표5[[#This Row],[공격성공횟수]]/(표5[[#This Row],[공격실패횟수]]+표5[[#This Row],[공격성공횟수]])</f>
        <v>0.1111111111111111</v>
      </c>
    </row>
    <row r="1280" spans="1:8" x14ac:dyDescent="0.4">
      <c r="A1280">
        <v>640</v>
      </c>
      <c r="B1280" t="s">
        <v>0</v>
      </c>
      <c r="C1280">
        <v>1</v>
      </c>
      <c r="D1280">
        <v>4</v>
      </c>
      <c r="E1280">
        <v>22</v>
      </c>
      <c r="F1280">
        <v>1</v>
      </c>
      <c r="G1280">
        <v>0</v>
      </c>
      <c r="H1280">
        <f>표5[[#This Row],[공격성공횟수]]/(표5[[#This Row],[공격실패횟수]]+표5[[#This Row],[공격성공횟수]])</f>
        <v>0.15384615384615385</v>
      </c>
    </row>
    <row r="1281" spans="1:8" hidden="1" x14ac:dyDescent="0.4">
      <c r="A1281">
        <v>640</v>
      </c>
      <c r="B1281" t="s">
        <v>1</v>
      </c>
      <c r="C1281">
        <v>0</v>
      </c>
      <c r="D1281">
        <v>1</v>
      </c>
      <c r="E1281">
        <v>25</v>
      </c>
      <c r="F1281">
        <v>4</v>
      </c>
      <c r="G1281">
        <v>1</v>
      </c>
      <c r="H1281">
        <f>표5[[#This Row],[공격성공횟수]]/(표5[[#This Row],[공격실패횟수]]+표5[[#This Row],[공격성공횟수]])</f>
        <v>3.8461538461538464E-2</v>
      </c>
    </row>
    <row r="1282" spans="1:8" x14ac:dyDescent="0.4">
      <c r="A1282">
        <v>641</v>
      </c>
      <c r="B1282" t="s">
        <v>0</v>
      </c>
      <c r="C1282">
        <v>1</v>
      </c>
      <c r="D1282">
        <v>4</v>
      </c>
      <c r="E1282">
        <v>7</v>
      </c>
      <c r="F1282">
        <v>2</v>
      </c>
      <c r="G1282">
        <v>0</v>
      </c>
      <c r="H1282">
        <f>표5[[#This Row],[공격성공횟수]]/(표5[[#This Row],[공격실패횟수]]+표5[[#This Row],[공격성공횟수]])</f>
        <v>0.36363636363636365</v>
      </c>
    </row>
    <row r="1283" spans="1:8" hidden="1" x14ac:dyDescent="0.4">
      <c r="A1283">
        <v>641</v>
      </c>
      <c r="B1283" t="s">
        <v>1</v>
      </c>
      <c r="C1283">
        <v>0</v>
      </c>
      <c r="D1283">
        <v>2</v>
      </c>
      <c r="E1283">
        <v>9</v>
      </c>
      <c r="F1283">
        <v>4</v>
      </c>
      <c r="G1283">
        <v>1</v>
      </c>
      <c r="H1283">
        <f>표5[[#This Row],[공격성공횟수]]/(표5[[#This Row],[공격실패횟수]]+표5[[#This Row],[공격성공횟수]])</f>
        <v>0.18181818181818182</v>
      </c>
    </row>
    <row r="1284" spans="1:8" x14ac:dyDescent="0.4">
      <c r="A1284">
        <v>642</v>
      </c>
      <c r="B1284" t="s">
        <v>0</v>
      </c>
      <c r="C1284">
        <v>1</v>
      </c>
      <c r="D1284">
        <v>4</v>
      </c>
      <c r="E1284">
        <v>8</v>
      </c>
      <c r="F1284">
        <v>1</v>
      </c>
      <c r="G1284">
        <v>0</v>
      </c>
      <c r="H1284">
        <f>표5[[#This Row],[공격성공횟수]]/(표5[[#This Row],[공격실패횟수]]+표5[[#This Row],[공격성공횟수]])</f>
        <v>0.33333333333333331</v>
      </c>
    </row>
    <row r="1285" spans="1:8" hidden="1" x14ac:dyDescent="0.4">
      <c r="A1285">
        <v>642</v>
      </c>
      <c r="B1285" t="s">
        <v>1</v>
      </c>
      <c r="C1285">
        <v>0</v>
      </c>
      <c r="D1285">
        <v>1</v>
      </c>
      <c r="E1285">
        <v>10</v>
      </c>
      <c r="F1285">
        <v>4</v>
      </c>
      <c r="G1285">
        <v>1</v>
      </c>
      <c r="H1285">
        <f>표5[[#This Row],[공격성공횟수]]/(표5[[#This Row],[공격실패횟수]]+표5[[#This Row],[공격성공횟수]])</f>
        <v>9.0909090909090912E-2</v>
      </c>
    </row>
    <row r="1286" spans="1:8" x14ac:dyDescent="0.4">
      <c r="A1286">
        <v>643</v>
      </c>
      <c r="B1286" t="s">
        <v>0</v>
      </c>
      <c r="C1286">
        <v>1</v>
      </c>
      <c r="D1286">
        <v>4</v>
      </c>
      <c r="E1286">
        <v>8</v>
      </c>
      <c r="F1286">
        <v>2</v>
      </c>
      <c r="G1286">
        <v>0</v>
      </c>
      <c r="H1286">
        <f>표5[[#This Row],[공격성공횟수]]/(표5[[#This Row],[공격실패횟수]]+표5[[#This Row],[공격성공횟수]])</f>
        <v>0.33333333333333331</v>
      </c>
    </row>
    <row r="1287" spans="1:8" hidden="1" x14ac:dyDescent="0.4">
      <c r="A1287">
        <v>643</v>
      </c>
      <c r="B1287" t="s">
        <v>1</v>
      </c>
      <c r="C1287">
        <v>0</v>
      </c>
      <c r="D1287">
        <v>2</v>
      </c>
      <c r="E1287">
        <v>11</v>
      </c>
      <c r="F1287">
        <v>4</v>
      </c>
      <c r="G1287">
        <v>1</v>
      </c>
      <c r="H1287">
        <f>표5[[#This Row],[공격성공횟수]]/(표5[[#This Row],[공격실패횟수]]+표5[[#This Row],[공격성공횟수]])</f>
        <v>0.15384615384615385</v>
      </c>
    </row>
    <row r="1288" spans="1:8" x14ac:dyDescent="0.4">
      <c r="A1288">
        <v>644</v>
      </c>
      <c r="B1288" t="s">
        <v>0</v>
      </c>
      <c r="C1288">
        <v>1</v>
      </c>
      <c r="D1288">
        <v>4</v>
      </c>
      <c r="E1288">
        <v>11</v>
      </c>
      <c r="F1288">
        <v>0</v>
      </c>
      <c r="G1288">
        <v>0</v>
      </c>
      <c r="H1288">
        <f>표5[[#This Row],[공격성공횟수]]/(표5[[#This Row],[공격실패횟수]]+표5[[#This Row],[공격성공횟수]])</f>
        <v>0.26666666666666666</v>
      </c>
    </row>
    <row r="1289" spans="1:8" hidden="1" x14ac:dyDescent="0.4">
      <c r="A1289">
        <v>644</v>
      </c>
      <c r="B1289" t="s">
        <v>1</v>
      </c>
      <c r="C1289">
        <v>0</v>
      </c>
      <c r="D1289">
        <v>0</v>
      </c>
      <c r="E1289">
        <v>15</v>
      </c>
      <c r="F1289">
        <v>4</v>
      </c>
      <c r="G1289">
        <v>1</v>
      </c>
      <c r="H1289">
        <f>표5[[#This Row],[공격성공횟수]]/(표5[[#This Row],[공격실패횟수]]+표5[[#This Row],[공격성공횟수]])</f>
        <v>0</v>
      </c>
    </row>
    <row r="1290" spans="1:8" x14ac:dyDescent="0.4">
      <c r="A1290">
        <v>645</v>
      </c>
      <c r="B1290" t="s">
        <v>0</v>
      </c>
      <c r="C1290">
        <v>1</v>
      </c>
      <c r="D1290">
        <v>4</v>
      </c>
      <c r="E1290">
        <v>9</v>
      </c>
      <c r="F1290">
        <v>3</v>
      </c>
      <c r="G1290">
        <v>0</v>
      </c>
      <c r="H1290">
        <f>표5[[#This Row],[공격성공횟수]]/(표5[[#This Row],[공격실패횟수]]+표5[[#This Row],[공격성공횟수]])</f>
        <v>0.30769230769230771</v>
      </c>
    </row>
    <row r="1291" spans="1:8" hidden="1" x14ac:dyDescent="0.4">
      <c r="A1291">
        <v>645</v>
      </c>
      <c r="B1291" t="s">
        <v>1</v>
      </c>
      <c r="C1291">
        <v>0</v>
      </c>
      <c r="D1291">
        <v>3</v>
      </c>
      <c r="E1291">
        <v>9</v>
      </c>
      <c r="F1291">
        <v>4</v>
      </c>
      <c r="G1291">
        <v>1</v>
      </c>
      <c r="H1291">
        <f>표5[[#This Row],[공격성공횟수]]/(표5[[#This Row],[공격실패횟수]]+표5[[#This Row],[공격성공횟수]])</f>
        <v>0.25</v>
      </c>
    </row>
    <row r="1292" spans="1:8" x14ac:dyDescent="0.4">
      <c r="A1292">
        <v>646</v>
      </c>
      <c r="B1292" t="s">
        <v>0</v>
      </c>
      <c r="C1292">
        <v>1</v>
      </c>
      <c r="D1292">
        <v>4</v>
      </c>
      <c r="E1292">
        <v>8</v>
      </c>
      <c r="F1292">
        <v>2</v>
      </c>
      <c r="G1292">
        <v>0</v>
      </c>
      <c r="H1292">
        <f>표5[[#This Row],[공격성공횟수]]/(표5[[#This Row],[공격실패횟수]]+표5[[#This Row],[공격성공횟수]])</f>
        <v>0.33333333333333331</v>
      </c>
    </row>
    <row r="1293" spans="1:8" hidden="1" x14ac:dyDescent="0.4">
      <c r="A1293">
        <v>646</v>
      </c>
      <c r="B1293" t="s">
        <v>1</v>
      </c>
      <c r="C1293">
        <v>0</v>
      </c>
      <c r="D1293">
        <v>2</v>
      </c>
      <c r="E1293">
        <v>10</v>
      </c>
      <c r="F1293">
        <v>4</v>
      </c>
      <c r="G1293">
        <v>1</v>
      </c>
      <c r="H1293">
        <f>표5[[#This Row],[공격성공횟수]]/(표5[[#This Row],[공격실패횟수]]+표5[[#This Row],[공격성공횟수]])</f>
        <v>0.16666666666666666</v>
      </c>
    </row>
    <row r="1294" spans="1:8" x14ac:dyDescent="0.4">
      <c r="A1294">
        <v>647</v>
      </c>
      <c r="B1294" t="s">
        <v>0</v>
      </c>
      <c r="C1294">
        <v>1</v>
      </c>
      <c r="D1294">
        <v>4</v>
      </c>
      <c r="E1294">
        <v>4</v>
      </c>
      <c r="F1294">
        <v>2</v>
      </c>
      <c r="G1294">
        <v>0</v>
      </c>
      <c r="H1294">
        <f>표5[[#This Row],[공격성공횟수]]/(표5[[#This Row],[공격실패횟수]]+표5[[#This Row],[공격성공횟수]])</f>
        <v>0.5</v>
      </c>
    </row>
    <row r="1295" spans="1:8" hidden="1" x14ac:dyDescent="0.4">
      <c r="A1295">
        <v>647</v>
      </c>
      <c r="B1295" t="s">
        <v>1</v>
      </c>
      <c r="C1295">
        <v>0</v>
      </c>
      <c r="D1295">
        <v>2</v>
      </c>
      <c r="E1295">
        <v>6</v>
      </c>
      <c r="F1295">
        <v>4</v>
      </c>
      <c r="G1295">
        <v>1</v>
      </c>
      <c r="H1295">
        <f>표5[[#This Row],[공격성공횟수]]/(표5[[#This Row],[공격실패횟수]]+표5[[#This Row],[공격성공횟수]])</f>
        <v>0.25</v>
      </c>
    </row>
    <row r="1296" spans="1:8" x14ac:dyDescent="0.4">
      <c r="A1296">
        <v>648</v>
      </c>
      <c r="B1296" t="s">
        <v>0</v>
      </c>
      <c r="C1296">
        <v>1</v>
      </c>
      <c r="D1296">
        <v>4</v>
      </c>
      <c r="E1296">
        <v>5</v>
      </c>
      <c r="F1296">
        <v>0</v>
      </c>
      <c r="G1296">
        <v>0</v>
      </c>
      <c r="H1296">
        <f>표5[[#This Row],[공격성공횟수]]/(표5[[#This Row],[공격실패횟수]]+표5[[#This Row],[공격성공횟수]])</f>
        <v>0.44444444444444442</v>
      </c>
    </row>
    <row r="1297" spans="1:8" hidden="1" x14ac:dyDescent="0.4">
      <c r="A1297">
        <v>648</v>
      </c>
      <c r="B1297" t="s">
        <v>1</v>
      </c>
      <c r="C1297">
        <v>0</v>
      </c>
      <c r="D1297">
        <v>0</v>
      </c>
      <c r="E1297">
        <v>9</v>
      </c>
      <c r="F1297">
        <v>4</v>
      </c>
      <c r="G1297">
        <v>1</v>
      </c>
      <c r="H1297">
        <f>표5[[#This Row],[공격성공횟수]]/(표5[[#This Row],[공격실패횟수]]+표5[[#This Row],[공격성공횟수]])</f>
        <v>0</v>
      </c>
    </row>
    <row r="1298" spans="1:8" x14ac:dyDescent="0.4">
      <c r="A1298">
        <v>649</v>
      </c>
      <c r="B1298" t="s">
        <v>0</v>
      </c>
      <c r="C1298">
        <v>1</v>
      </c>
      <c r="D1298">
        <v>4</v>
      </c>
      <c r="E1298">
        <v>5</v>
      </c>
      <c r="F1298">
        <v>0</v>
      </c>
      <c r="G1298">
        <v>0</v>
      </c>
      <c r="H1298">
        <f>표5[[#This Row],[공격성공횟수]]/(표5[[#This Row],[공격실패횟수]]+표5[[#This Row],[공격성공횟수]])</f>
        <v>0.44444444444444442</v>
      </c>
    </row>
    <row r="1299" spans="1:8" hidden="1" x14ac:dyDescent="0.4">
      <c r="A1299">
        <v>649</v>
      </c>
      <c r="B1299" t="s">
        <v>1</v>
      </c>
      <c r="C1299">
        <v>0</v>
      </c>
      <c r="D1299">
        <v>0</v>
      </c>
      <c r="E1299">
        <v>10</v>
      </c>
      <c r="F1299">
        <v>4</v>
      </c>
      <c r="G1299">
        <v>1</v>
      </c>
      <c r="H1299">
        <f>표5[[#This Row],[공격성공횟수]]/(표5[[#This Row],[공격실패횟수]]+표5[[#This Row],[공격성공횟수]])</f>
        <v>0</v>
      </c>
    </row>
    <row r="1300" spans="1:8" x14ac:dyDescent="0.4">
      <c r="A1300">
        <v>650</v>
      </c>
      <c r="B1300" t="s">
        <v>0</v>
      </c>
      <c r="C1300">
        <v>1</v>
      </c>
      <c r="D1300">
        <v>4</v>
      </c>
      <c r="E1300">
        <v>14</v>
      </c>
      <c r="F1300">
        <v>1</v>
      </c>
      <c r="G1300">
        <v>0</v>
      </c>
      <c r="H1300">
        <f>표5[[#This Row],[공격성공횟수]]/(표5[[#This Row],[공격실패횟수]]+표5[[#This Row],[공격성공횟수]])</f>
        <v>0.22222222222222221</v>
      </c>
    </row>
    <row r="1301" spans="1:8" hidden="1" x14ac:dyDescent="0.4">
      <c r="A1301">
        <v>650</v>
      </c>
      <c r="B1301" t="s">
        <v>1</v>
      </c>
      <c r="C1301">
        <v>0</v>
      </c>
      <c r="D1301">
        <v>1</v>
      </c>
      <c r="E1301">
        <v>16</v>
      </c>
      <c r="F1301">
        <v>4</v>
      </c>
      <c r="G1301">
        <v>1</v>
      </c>
      <c r="H1301">
        <f>표5[[#This Row],[공격성공횟수]]/(표5[[#This Row],[공격실패횟수]]+표5[[#This Row],[공격성공횟수]])</f>
        <v>5.8823529411764705E-2</v>
      </c>
    </row>
    <row r="1302" spans="1:8" x14ac:dyDescent="0.4">
      <c r="A1302">
        <v>651</v>
      </c>
      <c r="B1302" t="s">
        <v>0</v>
      </c>
      <c r="C1302">
        <v>1</v>
      </c>
      <c r="D1302">
        <v>4</v>
      </c>
      <c r="E1302">
        <v>34</v>
      </c>
      <c r="F1302">
        <v>3</v>
      </c>
      <c r="G1302">
        <v>0</v>
      </c>
      <c r="H1302">
        <f>표5[[#This Row],[공격성공횟수]]/(표5[[#This Row],[공격실패횟수]]+표5[[#This Row],[공격성공횟수]])</f>
        <v>0.10526315789473684</v>
      </c>
    </row>
    <row r="1303" spans="1:8" hidden="1" x14ac:dyDescent="0.4">
      <c r="A1303">
        <v>651</v>
      </c>
      <c r="B1303" t="s">
        <v>1</v>
      </c>
      <c r="C1303">
        <v>0</v>
      </c>
      <c r="D1303">
        <v>3</v>
      </c>
      <c r="E1303">
        <v>34</v>
      </c>
      <c r="F1303">
        <v>4</v>
      </c>
      <c r="G1303">
        <v>1</v>
      </c>
      <c r="H1303">
        <f>표5[[#This Row],[공격성공횟수]]/(표5[[#This Row],[공격실패횟수]]+표5[[#This Row],[공격성공횟수]])</f>
        <v>8.1081081081081086E-2</v>
      </c>
    </row>
    <row r="1304" spans="1:8" x14ac:dyDescent="0.4">
      <c r="A1304">
        <v>652</v>
      </c>
      <c r="B1304" t="s">
        <v>0</v>
      </c>
      <c r="C1304">
        <v>1</v>
      </c>
      <c r="D1304">
        <v>4</v>
      </c>
      <c r="E1304">
        <v>7</v>
      </c>
      <c r="F1304">
        <v>1</v>
      </c>
      <c r="G1304">
        <v>0</v>
      </c>
      <c r="H1304">
        <f>표5[[#This Row],[공격성공횟수]]/(표5[[#This Row],[공격실패횟수]]+표5[[#This Row],[공격성공횟수]])</f>
        <v>0.36363636363636365</v>
      </c>
    </row>
    <row r="1305" spans="1:8" hidden="1" x14ac:dyDescent="0.4">
      <c r="A1305">
        <v>652</v>
      </c>
      <c r="B1305" t="s">
        <v>1</v>
      </c>
      <c r="C1305">
        <v>0</v>
      </c>
      <c r="D1305">
        <v>1</v>
      </c>
      <c r="E1305">
        <v>10</v>
      </c>
      <c r="F1305">
        <v>4</v>
      </c>
      <c r="G1305">
        <v>1</v>
      </c>
      <c r="H1305">
        <f>표5[[#This Row],[공격성공횟수]]/(표5[[#This Row],[공격실패횟수]]+표5[[#This Row],[공격성공횟수]])</f>
        <v>9.0909090909090912E-2</v>
      </c>
    </row>
    <row r="1306" spans="1:8" x14ac:dyDescent="0.4">
      <c r="A1306">
        <v>653</v>
      </c>
      <c r="B1306" t="s">
        <v>0</v>
      </c>
      <c r="C1306">
        <v>0</v>
      </c>
      <c r="D1306">
        <v>0</v>
      </c>
      <c r="E1306">
        <v>4</v>
      </c>
      <c r="F1306">
        <v>4</v>
      </c>
      <c r="G1306">
        <v>1</v>
      </c>
      <c r="H1306">
        <f>표5[[#This Row],[공격성공횟수]]/(표5[[#This Row],[공격실패횟수]]+표5[[#This Row],[공격성공횟수]])</f>
        <v>0</v>
      </c>
    </row>
    <row r="1307" spans="1:8" hidden="1" x14ac:dyDescent="0.4">
      <c r="A1307">
        <v>653</v>
      </c>
      <c r="B1307" t="s">
        <v>1</v>
      </c>
      <c r="C1307">
        <v>1</v>
      </c>
      <c r="D1307">
        <v>4</v>
      </c>
      <c r="E1307">
        <v>1</v>
      </c>
      <c r="F1307">
        <v>0</v>
      </c>
      <c r="G1307">
        <v>0</v>
      </c>
      <c r="H1307">
        <f>표5[[#This Row],[공격성공횟수]]/(표5[[#This Row],[공격실패횟수]]+표5[[#This Row],[공격성공횟수]])</f>
        <v>0.8</v>
      </c>
    </row>
    <row r="1308" spans="1:8" x14ac:dyDescent="0.4">
      <c r="A1308">
        <v>654</v>
      </c>
      <c r="B1308" t="s">
        <v>0</v>
      </c>
      <c r="C1308">
        <v>1</v>
      </c>
      <c r="D1308">
        <v>4</v>
      </c>
      <c r="E1308">
        <v>13</v>
      </c>
      <c r="F1308">
        <v>3</v>
      </c>
      <c r="G1308">
        <v>0</v>
      </c>
      <c r="H1308">
        <f>표5[[#This Row],[공격성공횟수]]/(표5[[#This Row],[공격실패횟수]]+표5[[#This Row],[공격성공횟수]])</f>
        <v>0.23529411764705882</v>
      </c>
    </row>
    <row r="1309" spans="1:8" hidden="1" x14ac:dyDescent="0.4">
      <c r="A1309">
        <v>654</v>
      </c>
      <c r="B1309" t="s">
        <v>1</v>
      </c>
      <c r="C1309">
        <v>0</v>
      </c>
      <c r="D1309">
        <v>3</v>
      </c>
      <c r="E1309">
        <v>13</v>
      </c>
      <c r="F1309">
        <v>4</v>
      </c>
      <c r="G1309">
        <v>1</v>
      </c>
      <c r="H1309">
        <f>표5[[#This Row],[공격성공횟수]]/(표5[[#This Row],[공격실패횟수]]+표5[[#This Row],[공격성공횟수]])</f>
        <v>0.1875</v>
      </c>
    </row>
    <row r="1310" spans="1:8" x14ac:dyDescent="0.4">
      <c r="A1310">
        <v>655</v>
      </c>
      <c r="B1310" t="s">
        <v>0</v>
      </c>
      <c r="C1310">
        <v>1</v>
      </c>
      <c r="D1310">
        <v>4</v>
      </c>
      <c r="E1310">
        <v>8</v>
      </c>
      <c r="F1310">
        <v>1</v>
      </c>
      <c r="G1310">
        <v>0</v>
      </c>
      <c r="H1310">
        <f>표5[[#This Row],[공격성공횟수]]/(표5[[#This Row],[공격실패횟수]]+표5[[#This Row],[공격성공횟수]])</f>
        <v>0.33333333333333331</v>
      </c>
    </row>
    <row r="1311" spans="1:8" hidden="1" x14ac:dyDescent="0.4">
      <c r="A1311">
        <v>655</v>
      </c>
      <c r="B1311" t="s">
        <v>1</v>
      </c>
      <c r="C1311">
        <v>0</v>
      </c>
      <c r="D1311">
        <v>1</v>
      </c>
      <c r="E1311">
        <v>11</v>
      </c>
      <c r="F1311">
        <v>4</v>
      </c>
      <c r="G1311">
        <v>1</v>
      </c>
      <c r="H1311">
        <f>표5[[#This Row],[공격성공횟수]]/(표5[[#This Row],[공격실패횟수]]+표5[[#This Row],[공격성공횟수]])</f>
        <v>8.3333333333333329E-2</v>
      </c>
    </row>
    <row r="1312" spans="1:8" x14ac:dyDescent="0.4">
      <c r="A1312">
        <v>656</v>
      </c>
      <c r="B1312" t="s">
        <v>0</v>
      </c>
      <c r="C1312">
        <v>1</v>
      </c>
      <c r="D1312">
        <v>4</v>
      </c>
      <c r="E1312">
        <v>23</v>
      </c>
      <c r="F1312">
        <v>0</v>
      </c>
      <c r="G1312">
        <v>0</v>
      </c>
      <c r="H1312">
        <f>표5[[#This Row],[공격성공횟수]]/(표5[[#This Row],[공격실패횟수]]+표5[[#This Row],[공격성공횟수]])</f>
        <v>0.14814814814814814</v>
      </c>
    </row>
    <row r="1313" spans="1:8" hidden="1" x14ac:dyDescent="0.4">
      <c r="A1313">
        <v>656</v>
      </c>
      <c r="B1313" t="s">
        <v>1</v>
      </c>
      <c r="C1313">
        <v>0</v>
      </c>
      <c r="D1313">
        <v>0</v>
      </c>
      <c r="E1313">
        <v>27</v>
      </c>
      <c r="F1313">
        <v>4</v>
      </c>
      <c r="G1313">
        <v>1</v>
      </c>
      <c r="H1313">
        <f>표5[[#This Row],[공격성공횟수]]/(표5[[#This Row],[공격실패횟수]]+표5[[#This Row],[공격성공횟수]])</f>
        <v>0</v>
      </c>
    </row>
    <row r="1314" spans="1:8" x14ac:dyDescent="0.4">
      <c r="A1314">
        <v>657</v>
      </c>
      <c r="B1314" t="s">
        <v>0</v>
      </c>
      <c r="C1314">
        <v>0</v>
      </c>
      <c r="D1314">
        <v>1</v>
      </c>
      <c r="E1314">
        <v>30</v>
      </c>
      <c r="F1314">
        <v>4</v>
      </c>
      <c r="G1314">
        <v>1</v>
      </c>
      <c r="H1314">
        <f>표5[[#This Row],[공격성공횟수]]/(표5[[#This Row],[공격실패횟수]]+표5[[#This Row],[공격성공횟수]])</f>
        <v>3.2258064516129031E-2</v>
      </c>
    </row>
    <row r="1315" spans="1:8" hidden="1" x14ac:dyDescent="0.4">
      <c r="A1315">
        <v>657</v>
      </c>
      <c r="B1315" t="s">
        <v>1</v>
      </c>
      <c r="C1315">
        <v>1</v>
      </c>
      <c r="D1315">
        <v>4</v>
      </c>
      <c r="E1315">
        <v>28</v>
      </c>
      <c r="F1315">
        <v>1</v>
      </c>
      <c r="G1315">
        <v>0</v>
      </c>
      <c r="H1315">
        <f>표5[[#This Row],[공격성공횟수]]/(표5[[#This Row],[공격실패횟수]]+표5[[#This Row],[공격성공횟수]])</f>
        <v>0.125</v>
      </c>
    </row>
    <row r="1316" spans="1:8" x14ac:dyDescent="0.4">
      <c r="A1316">
        <v>658</v>
      </c>
      <c r="B1316" t="s">
        <v>0</v>
      </c>
      <c r="C1316">
        <v>1</v>
      </c>
      <c r="D1316">
        <v>4</v>
      </c>
      <c r="E1316">
        <v>11</v>
      </c>
      <c r="F1316">
        <v>3</v>
      </c>
      <c r="G1316">
        <v>0</v>
      </c>
      <c r="H1316">
        <f>표5[[#This Row],[공격성공횟수]]/(표5[[#This Row],[공격실패횟수]]+표5[[#This Row],[공격성공횟수]])</f>
        <v>0.26666666666666666</v>
      </c>
    </row>
    <row r="1317" spans="1:8" hidden="1" x14ac:dyDescent="0.4">
      <c r="A1317">
        <v>658</v>
      </c>
      <c r="B1317" t="s">
        <v>1</v>
      </c>
      <c r="C1317">
        <v>0</v>
      </c>
      <c r="D1317">
        <v>3</v>
      </c>
      <c r="E1317">
        <v>11</v>
      </c>
      <c r="F1317">
        <v>4</v>
      </c>
      <c r="G1317">
        <v>1</v>
      </c>
      <c r="H1317">
        <f>표5[[#This Row],[공격성공횟수]]/(표5[[#This Row],[공격실패횟수]]+표5[[#This Row],[공격성공횟수]])</f>
        <v>0.21428571428571427</v>
      </c>
    </row>
    <row r="1318" spans="1:8" x14ac:dyDescent="0.4">
      <c r="A1318">
        <v>659</v>
      </c>
      <c r="B1318" t="s">
        <v>0</v>
      </c>
      <c r="C1318">
        <v>1</v>
      </c>
      <c r="D1318">
        <v>4</v>
      </c>
      <c r="E1318">
        <v>8</v>
      </c>
      <c r="F1318">
        <v>1</v>
      </c>
      <c r="G1318">
        <v>0</v>
      </c>
      <c r="H1318">
        <f>표5[[#This Row],[공격성공횟수]]/(표5[[#This Row],[공격실패횟수]]+표5[[#This Row],[공격성공횟수]])</f>
        <v>0.33333333333333331</v>
      </c>
    </row>
    <row r="1319" spans="1:8" hidden="1" x14ac:dyDescent="0.4">
      <c r="A1319">
        <v>659</v>
      </c>
      <c r="B1319" t="s">
        <v>1</v>
      </c>
      <c r="C1319">
        <v>0</v>
      </c>
      <c r="D1319">
        <v>1</v>
      </c>
      <c r="E1319">
        <v>10</v>
      </c>
      <c r="F1319">
        <v>4</v>
      </c>
      <c r="G1319">
        <v>1</v>
      </c>
      <c r="H1319">
        <f>표5[[#This Row],[공격성공횟수]]/(표5[[#This Row],[공격실패횟수]]+표5[[#This Row],[공격성공횟수]])</f>
        <v>9.0909090909090912E-2</v>
      </c>
    </row>
    <row r="1320" spans="1:8" x14ac:dyDescent="0.4">
      <c r="A1320">
        <v>660</v>
      </c>
      <c r="B1320" t="s">
        <v>0</v>
      </c>
      <c r="C1320">
        <v>1</v>
      </c>
      <c r="D1320">
        <v>4</v>
      </c>
      <c r="E1320">
        <v>5</v>
      </c>
      <c r="F1320">
        <v>0</v>
      </c>
      <c r="G1320">
        <v>0</v>
      </c>
      <c r="H1320">
        <f>표5[[#This Row],[공격성공횟수]]/(표5[[#This Row],[공격실패횟수]]+표5[[#This Row],[공격성공횟수]])</f>
        <v>0.44444444444444442</v>
      </c>
    </row>
    <row r="1321" spans="1:8" hidden="1" x14ac:dyDescent="0.4">
      <c r="A1321">
        <v>660</v>
      </c>
      <c r="B1321" t="s">
        <v>1</v>
      </c>
      <c r="C1321">
        <v>0</v>
      </c>
      <c r="D1321">
        <v>0</v>
      </c>
      <c r="E1321">
        <v>10</v>
      </c>
      <c r="F1321">
        <v>4</v>
      </c>
      <c r="G1321">
        <v>1</v>
      </c>
      <c r="H1321">
        <f>표5[[#This Row],[공격성공횟수]]/(표5[[#This Row],[공격실패횟수]]+표5[[#This Row],[공격성공횟수]])</f>
        <v>0</v>
      </c>
    </row>
    <row r="1322" spans="1:8" x14ac:dyDescent="0.4">
      <c r="A1322">
        <v>661</v>
      </c>
      <c r="B1322" t="s">
        <v>0</v>
      </c>
      <c r="C1322">
        <v>1</v>
      </c>
      <c r="D1322">
        <v>4</v>
      </c>
      <c r="E1322">
        <v>34</v>
      </c>
      <c r="F1322">
        <v>3</v>
      </c>
      <c r="G1322">
        <v>0</v>
      </c>
      <c r="H1322">
        <f>표5[[#This Row],[공격성공횟수]]/(표5[[#This Row],[공격실패횟수]]+표5[[#This Row],[공격성공횟수]])</f>
        <v>0.10526315789473684</v>
      </c>
    </row>
    <row r="1323" spans="1:8" hidden="1" x14ac:dyDescent="0.4">
      <c r="A1323">
        <v>661</v>
      </c>
      <c r="B1323" t="s">
        <v>1</v>
      </c>
      <c r="C1323">
        <v>0</v>
      </c>
      <c r="D1323">
        <v>3</v>
      </c>
      <c r="E1323">
        <v>34</v>
      </c>
      <c r="F1323">
        <v>4</v>
      </c>
      <c r="G1323">
        <v>1</v>
      </c>
      <c r="H1323">
        <f>표5[[#This Row],[공격성공횟수]]/(표5[[#This Row],[공격실패횟수]]+표5[[#This Row],[공격성공횟수]])</f>
        <v>8.1081081081081086E-2</v>
      </c>
    </row>
    <row r="1324" spans="1:8" x14ac:dyDescent="0.4">
      <c r="A1324">
        <v>662</v>
      </c>
      <c r="B1324" t="s">
        <v>0</v>
      </c>
      <c r="C1324">
        <v>1</v>
      </c>
      <c r="D1324">
        <v>4</v>
      </c>
      <c r="E1324">
        <v>16</v>
      </c>
      <c r="F1324">
        <v>2</v>
      </c>
      <c r="G1324">
        <v>0</v>
      </c>
      <c r="H1324">
        <f>표5[[#This Row],[공격성공횟수]]/(표5[[#This Row],[공격실패횟수]]+표5[[#This Row],[공격성공횟수]])</f>
        <v>0.2</v>
      </c>
    </row>
    <row r="1325" spans="1:8" hidden="1" x14ac:dyDescent="0.4">
      <c r="A1325">
        <v>662</v>
      </c>
      <c r="B1325" t="s">
        <v>1</v>
      </c>
      <c r="C1325">
        <v>0</v>
      </c>
      <c r="D1325">
        <v>2</v>
      </c>
      <c r="E1325">
        <v>18</v>
      </c>
      <c r="F1325">
        <v>4</v>
      </c>
      <c r="G1325">
        <v>1</v>
      </c>
      <c r="H1325">
        <f>표5[[#This Row],[공격성공횟수]]/(표5[[#This Row],[공격실패횟수]]+표5[[#This Row],[공격성공횟수]])</f>
        <v>0.1</v>
      </c>
    </row>
    <row r="1326" spans="1:8" x14ac:dyDescent="0.4">
      <c r="A1326">
        <v>663</v>
      </c>
      <c r="B1326" t="s">
        <v>0</v>
      </c>
      <c r="C1326">
        <v>1</v>
      </c>
      <c r="D1326">
        <v>4</v>
      </c>
      <c r="E1326">
        <v>15</v>
      </c>
      <c r="F1326">
        <v>2</v>
      </c>
      <c r="G1326">
        <v>0</v>
      </c>
      <c r="H1326">
        <f>표5[[#This Row],[공격성공횟수]]/(표5[[#This Row],[공격실패횟수]]+표5[[#This Row],[공격성공횟수]])</f>
        <v>0.21052631578947367</v>
      </c>
    </row>
    <row r="1327" spans="1:8" hidden="1" x14ac:dyDescent="0.4">
      <c r="A1327">
        <v>663</v>
      </c>
      <c r="B1327" t="s">
        <v>1</v>
      </c>
      <c r="C1327">
        <v>0</v>
      </c>
      <c r="D1327">
        <v>2</v>
      </c>
      <c r="E1327">
        <v>17</v>
      </c>
      <c r="F1327">
        <v>4</v>
      </c>
      <c r="G1327">
        <v>1</v>
      </c>
      <c r="H1327">
        <f>표5[[#This Row],[공격성공횟수]]/(표5[[#This Row],[공격실패횟수]]+표5[[#This Row],[공격성공횟수]])</f>
        <v>0.10526315789473684</v>
      </c>
    </row>
    <row r="1328" spans="1:8" x14ac:dyDescent="0.4">
      <c r="A1328">
        <v>664</v>
      </c>
      <c r="B1328" t="s">
        <v>0</v>
      </c>
      <c r="C1328">
        <v>1</v>
      </c>
      <c r="D1328">
        <v>4</v>
      </c>
      <c r="E1328">
        <v>7</v>
      </c>
      <c r="F1328">
        <v>1</v>
      </c>
      <c r="G1328">
        <v>0</v>
      </c>
      <c r="H1328">
        <f>표5[[#This Row],[공격성공횟수]]/(표5[[#This Row],[공격실패횟수]]+표5[[#This Row],[공격성공횟수]])</f>
        <v>0.36363636363636365</v>
      </c>
    </row>
    <row r="1329" spans="1:8" hidden="1" x14ac:dyDescent="0.4">
      <c r="A1329">
        <v>664</v>
      </c>
      <c r="B1329" t="s">
        <v>1</v>
      </c>
      <c r="C1329">
        <v>0</v>
      </c>
      <c r="D1329">
        <v>1</v>
      </c>
      <c r="E1329">
        <v>10</v>
      </c>
      <c r="F1329">
        <v>4</v>
      </c>
      <c r="G1329">
        <v>1</v>
      </c>
      <c r="H1329">
        <f>표5[[#This Row],[공격성공횟수]]/(표5[[#This Row],[공격실패횟수]]+표5[[#This Row],[공격성공횟수]])</f>
        <v>9.0909090909090912E-2</v>
      </c>
    </row>
    <row r="1330" spans="1:8" x14ac:dyDescent="0.4">
      <c r="A1330">
        <v>665</v>
      </c>
      <c r="B1330" t="s">
        <v>0</v>
      </c>
      <c r="C1330">
        <v>0</v>
      </c>
      <c r="D1330">
        <v>1</v>
      </c>
      <c r="E1330">
        <v>31</v>
      </c>
      <c r="F1330">
        <v>4</v>
      </c>
      <c r="G1330">
        <v>1</v>
      </c>
      <c r="H1330">
        <f>표5[[#This Row],[공격성공횟수]]/(표5[[#This Row],[공격실패횟수]]+표5[[#This Row],[공격성공횟수]])</f>
        <v>3.125E-2</v>
      </c>
    </row>
    <row r="1331" spans="1:8" hidden="1" x14ac:dyDescent="0.4">
      <c r="A1331">
        <v>665</v>
      </c>
      <c r="B1331" t="s">
        <v>1</v>
      </c>
      <c r="C1331">
        <v>1</v>
      </c>
      <c r="D1331">
        <v>4</v>
      </c>
      <c r="E1331">
        <v>28</v>
      </c>
      <c r="F1331">
        <v>1</v>
      </c>
      <c r="G1331">
        <v>0</v>
      </c>
      <c r="H1331">
        <f>표5[[#This Row],[공격성공횟수]]/(표5[[#This Row],[공격실패횟수]]+표5[[#This Row],[공격성공횟수]])</f>
        <v>0.125</v>
      </c>
    </row>
    <row r="1332" spans="1:8" x14ac:dyDescent="0.4">
      <c r="A1332">
        <v>666</v>
      </c>
      <c r="B1332" t="s">
        <v>0</v>
      </c>
      <c r="C1332">
        <v>0</v>
      </c>
      <c r="D1332">
        <v>1</v>
      </c>
      <c r="E1332">
        <v>27</v>
      </c>
      <c r="F1332">
        <v>4</v>
      </c>
      <c r="G1332">
        <v>1</v>
      </c>
      <c r="H1332">
        <f>표5[[#This Row],[공격성공횟수]]/(표5[[#This Row],[공격실패횟수]]+표5[[#This Row],[공격성공횟수]])</f>
        <v>3.5714285714285712E-2</v>
      </c>
    </row>
    <row r="1333" spans="1:8" hidden="1" x14ac:dyDescent="0.4">
      <c r="A1333">
        <v>666</v>
      </c>
      <c r="B1333" t="s">
        <v>1</v>
      </c>
      <c r="C1333">
        <v>1</v>
      </c>
      <c r="D1333">
        <v>4</v>
      </c>
      <c r="E1333">
        <v>23</v>
      </c>
      <c r="F1333">
        <v>1</v>
      </c>
      <c r="G1333">
        <v>0</v>
      </c>
      <c r="H1333">
        <f>표5[[#This Row],[공격성공횟수]]/(표5[[#This Row],[공격실패횟수]]+표5[[#This Row],[공격성공횟수]])</f>
        <v>0.14814814814814814</v>
      </c>
    </row>
    <row r="1334" spans="1:8" x14ac:dyDescent="0.4">
      <c r="A1334">
        <v>667</v>
      </c>
      <c r="B1334" t="s">
        <v>0</v>
      </c>
      <c r="C1334">
        <v>1</v>
      </c>
      <c r="D1334">
        <v>4</v>
      </c>
      <c r="E1334">
        <v>6</v>
      </c>
      <c r="F1334">
        <v>2</v>
      </c>
      <c r="G1334">
        <v>0</v>
      </c>
      <c r="H1334">
        <f>표5[[#This Row],[공격성공횟수]]/(표5[[#This Row],[공격실패횟수]]+표5[[#This Row],[공격성공횟수]])</f>
        <v>0.4</v>
      </c>
    </row>
    <row r="1335" spans="1:8" hidden="1" x14ac:dyDescent="0.4">
      <c r="A1335">
        <v>667</v>
      </c>
      <c r="B1335" t="s">
        <v>1</v>
      </c>
      <c r="C1335">
        <v>0</v>
      </c>
      <c r="D1335">
        <v>2</v>
      </c>
      <c r="E1335">
        <v>7</v>
      </c>
      <c r="F1335">
        <v>4</v>
      </c>
      <c r="G1335">
        <v>1</v>
      </c>
      <c r="H1335">
        <f>표5[[#This Row],[공격성공횟수]]/(표5[[#This Row],[공격실패횟수]]+표5[[#This Row],[공격성공횟수]])</f>
        <v>0.22222222222222221</v>
      </c>
    </row>
    <row r="1336" spans="1:8" x14ac:dyDescent="0.4">
      <c r="A1336">
        <v>668</v>
      </c>
      <c r="B1336" t="s">
        <v>0</v>
      </c>
      <c r="C1336">
        <v>1</v>
      </c>
      <c r="D1336">
        <v>4</v>
      </c>
      <c r="E1336">
        <v>7</v>
      </c>
      <c r="F1336">
        <v>3</v>
      </c>
      <c r="G1336">
        <v>0</v>
      </c>
      <c r="H1336">
        <f>표5[[#This Row],[공격성공횟수]]/(표5[[#This Row],[공격실패횟수]]+표5[[#This Row],[공격성공횟수]])</f>
        <v>0.36363636363636365</v>
      </c>
    </row>
    <row r="1337" spans="1:8" hidden="1" x14ac:dyDescent="0.4">
      <c r="A1337">
        <v>668</v>
      </c>
      <c r="B1337" t="s">
        <v>1</v>
      </c>
      <c r="C1337">
        <v>0</v>
      </c>
      <c r="D1337">
        <v>3</v>
      </c>
      <c r="E1337">
        <v>8</v>
      </c>
      <c r="F1337">
        <v>4</v>
      </c>
      <c r="G1337">
        <v>1</v>
      </c>
      <c r="H1337">
        <f>표5[[#This Row],[공격성공횟수]]/(표5[[#This Row],[공격실패횟수]]+표5[[#This Row],[공격성공횟수]])</f>
        <v>0.27272727272727271</v>
      </c>
    </row>
    <row r="1338" spans="1:8" x14ac:dyDescent="0.4">
      <c r="A1338">
        <v>669</v>
      </c>
      <c r="B1338" t="s">
        <v>0</v>
      </c>
      <c r="C1338">
        <v>1</v>
      </c>
      <c r="D1338">
        <v>4</v>
      </c>
      <c r="E1338">
        <v>19</v>
      </c>
      <c r="F1338">
        <v>1</v>
      </c>
      <c r="G1338">
        <v>0</v>
      </c>
      <c r="H1338">
        <f>표5[[#This Row],[공격성공횟수]]/(표5[[#This Row],[공격실패횟수]]+표5[[#This Row],[공격성공횟수]])</f>
        <v>0.17391304347826086</v>
      </c>
    </row>
    <row r="1339" spans="1:8" hidden="1" x14ac:dyDescent="0.4">
      <c r="A1339">
        <v>669</v>
      </c>
      <c r="B1339" t="s">
        <v>1</v>
      </c>
      <c r="C1339">
        <v>0</v>
      </c>
      <c r="D1339">
        <v>1</v>
      </c>
      <c r="E1339">
        <v>26</v>
      </c>
      <c r="F1339">
        <v>4</v>
      </c>
      <c r="G1339">
        <v>1</v>
      </c>
      <c r="H1339">
        <f>표5[[#This Row],[공격성공횟수]]/(표5[[#This Row],[공격실패횟수]]+표5[[#This Row],[공격성공횟수]])</f>
        <v>3.7037037037037035E-2</v>
      </c>
    </row>
    <row r="1340" spans="1:8" x14ac:dyDescent="0.4">
      <c r="A1340">
        <v>670</v>
      </c>
      <c r="B1340" t="s">
        <v>0</v>
      </c>
      <c r="C1340">
        <v>1</v>
      </c>
      <c r="D1340">
        <v>4</v>
      </c>
      <c r="E1340">
        <v>26</v>
      </c>
      <c r="F1340">
        <v>1</v>
      </c>
      <c r="G1340">
        <v>0</v>
      </c>
      <c r="H1340">
        <f>표5[[#This Row],[공격성공횟수]]/(표5[[#This Row],[공격실패횟수]]+표5[[#This Row],[공격성공횟수]])</f>
        <v>0.13333333333333333</v>
      </c>
    </row>
    <row r="1341" spans="1:8" hidden="1" x14ac:dyDescent="0.4">
      <c r="A1341">
        <v>670</v>
      </c>
      <c r="B1341" t="s">
        <v>1</v>
      </c>
      <c r="C1341">
        <v>0</v>
      </c>
      <c r="D1341">
        <v>1</v>
      </c>
      <c r="E1341">
        <v>28</v>
      </c>
      <c r="F1341">
        <v>4</v>
      </c>
      <c r="G1341">
        <v>1</v>
      </c>
      <c r="H1341">
        <f>표5[[#This Row],[공격성공횟수]]/(표5[[#This Row],[공격실패횟수]]+표5[[#This Row],[공격성공횟수]])</f>
        <v>3.4482758620689655E-2</v>
      </c>
    </row>
    <row r="1342" spans="1:8" x14ac:dyDescent="0.4">
      <c r="A1342">
        <v>671</v>
      </c>
      <c r="B1342" t="s">
        <v>0</v>
      </c>
      <c r="C1342">
        <v>1</v>
      </c>
      <c r="D1342">
        <v>4</v>
      </c>
      <c r="E1342">
        <v>35</v>
      </c>
      <c r="F1342">
        <v>0</v>
      </c>
      <c r="G1342">
        <v>0</v>
      </c>
      <c r="H1342">
        <f>표5[[#This Row],[공격성공횟수]]/(표5[[#This Row],[공격실패횟수]]+표5[[#This Row],[공격성공횟수]])</f>
        <v>0.10256410256410256</v>
      </c>
    </row>
    <row r="1343" spans="1:8" hidden="1" x14ac:dyDescent="0.4">
      <c r="A1343">
        <v>671</v>
      </c>
      <c r="B1343" t="s">
        <v>1</v>
      </c>
      <c r="C1343">
        <v>0</v>
      </c>
      <c r="D1343">
        <v>0</v>
      </c>
      <c r="E1343">
        <v>43</v>
      </c>
      <c r="F1343">
        <v>4</v>
      </c>
      <c r="G1343">
        <v>1</v>
      </c>
      <c r="H1343">
        <f>표5[[#This Row],[공격성공횟수]]/(표5[[#This Row],[공격실패횟수]]+표5[[#This Row],[공격성공횟수]])</f>
        <v>0</v>
      </c>
    </row>
    <row r="1344" spans="1:8" x14ac:dyDescent="0.4">
      <c r="A1344">
        <v>672</v>
      </c>
      <c r="B1344" t="s">
        <v>0</v>
      </c>
      <c r="C1344">
        <v>0</v>
      </c>
      <c r="D1344">
        <v>0</v>
      </c>
      <c r="E1344">
        <v>34</v>
      </c>
      <c r="F1344">
        <v>4</v>
      </c>
      <c r="G1344">
        <v>1</v>
      </c>
      <c r="H1344">
        <f>표5[[#This Row],[공격성공횟수]]/(표5[[#This Row],[공격실패횟수]]+표5[[#This Row],[공격성공횟수]])</f>
        <v>0</v>
      </c>
    </row>
    <row r="1345" spans="1:8" hidden="1" x14ac:dyDescent="0.4">
      <c r="A1345">
        <v>672</v>
      </c>
      <c r="B1345" t="s">
        <v>1</v>
      </c>
      <c r="C1345">
        <v>1</v>
      </c>
      <c r="D1345">
        <v>4</v>
      </c>
      <c r="E1345">
        <v>30</v>
      </c>
      <c r="F1345">
        <v>0</v>
      </c>
      <c r="G1345">
        <v>0</v>
      </c>
      <c r="H1345">
        <f>표5[[#This Row],[공격성공횟수]]/(표5[[#This Row],[공격실패횟수]]+표5[[#This Row],[공격성공횟수]])</f>
        <v>0.11764705882352941</v>
      </c>
    </row>
    <row r="1346" spans="1:8" x14ac:dyDescent="0.4">
      <c r="A1346">
        <v>673</v>
      </c>
      <c r="B1346" t="s">
        <v>0</v>
      </c>
      <c r="C1346">
        <v>1</v>
      </c>
      <c r="D1346">
        <v>4</v>
      </c>
      <c r="E1346">
        <v>9</v>
      </c>
      <c r="F1346">
        <v>1</v>
      </c>
      <c r="G1346">
        <v>0</v>
      </c>
      <c r="H1346">
        <f>표5[[#This Row],[공격성공횟수]]/(표5[[#This Row],[공격실패횟수]]+표5[[#This Row],[공격성공횟수]])</f>
        <v>0.30769230769230771</v>
      </c>
    </row>
    <row r="1347" spans="1:8" hidden="1" x14ac:dyDescent="0.4">
      <c r="A1347">
        <v>673</v>
      </c>
      <c r="B1347" t="s">
        <v>1</v>
      </c>
      <c r="C1347">
        <v>0</v>
      </c>
      <c r="D1347">
        <v>1</v>
      </c>
      <c r="E1347">
        <v>11</v>
      </c>
      <c r="F1347">
        <v>4</v>
      </c>
      <c r="G1347">
        <v>1</v>
      </c>
      <c r="H1347">
        <f>표5[[#This Row],[공격성공횟수]]/(표5[[#This Row],[공격실패횟수]]+표5[[#This Row],[공격성공횟수]])</f>
        <v>8.3333333333333329E-2</v>
      </c>
    </row>
    <row r="1348" spans="1:8" x14ac:dyDescent="0.4">
      <c r="A1348">
        <v>674</v>
      </c>
      <c r="B1348" t="s">
        <v>0</v>
      </c>
      <c r="C1348">
        <v>1</v>
      </c>
      <c r="D1348">
        <v>4</v>
      </c>
      <c r="E1348">
        <v>10</v>
      </c>
      <c r="F1348">
        <v>1</v>
      </c>
      <c r="G1348">
        <v>0</v>
      </c>
      <c r="H1348">
        <f>표5[[#This Row],[공격성공횟수]]/(표5[[#This Row],[공격실패횟수]]+표5[[#This Row],[공격성공횟수]])</f>
        <v>0.2857142857142857</v>
      </c>
    </row>
    <row r="1349" spans="1:8" hidden="1" x14ac:dyDescent="0.4">
      <c r="A1349">
        <v>674</v>
      </c>
      <c r="B1349" t="s">
        <v>1</v>
      </c>
      <c r="C1349">
        <v>0</v>
      </c>
      <c r="D1349">
        <v>1</v>
      </c>
      <c r="E1349">
        <v>14</v>
      </c>
      <c r="F1349">
        <v>4</v>
      </c>
      <c r="G1349">
        <v>1</v>
      </c>
      <c r="H1349">
        <f>표5[[#This Row],[공격성공횟수]]/(표5[[#This Row],[공격실패횟수]]+표5[[#This Row],[공격성공횟수]])</f>
        <v>6.6666666666666666E-2</v>
      </c>
    </row>
    <row r="1350" spans="1:8" x14ac:dyDescent="0.4">
      <c r="A1350">
        <v>675</v>
      </c>
      <c r="B1350" t="s">
        <v>0</v>
      </c>
      <c r="C1350">
        <v>0</v>
      </c>
      <c r="D1350">
        <v>0</v>
      </c>
      <c r="E1350">
        <v>17</v>
      </c>
      <c r="F1350">
        <v>4</v>
      </c>
      <c r="G1350">
        <v>1</v>
      </c>
      <c r="H1350">
        <f>표5[[#This Row],[공격성공횟수]]/(표5[[#This Row],[공격실패횟수]]+표5[[#This Row],[공격성공횟수]])</f>
        <v>0</v>
      </c>
    </row>
    <row r="1351" spans="1:8" hidden="1" x14ac:dyDescent="0.4">
      <c r="A1351">
        <v>675</v>
      </c>
      <c r="B1351" t="s">
        <v>1</v>
      </c>
      <c r="C1351">
        <v>1</v>
      </c>
      <c r="D1351">
        <v>4</v>
      </c>
      <c r="E1351">
        <v>14</v>
      </c>
      <c r="F1351">
        <v>0</v>
      </c>
      <c r="G1351">
        <v>0</v>
      </c>
      <c r="H1351">
        <f>표5[[#This Row],[공격성공횟수]]/(표5[[#This Row],[공격실패횟수]]+표5[[#This Row],[공격성공횟수]])</f>
        <v>0.22222222222222221</v>
      </c>
    </row>
    <row r="1352" spans="1:8" x14ac:dyDescent="0.4">
      <c r="A1352">
        <v>676</v>
      </c>
      <c r="B1352" t="s">
        <v>0</v>
      </c>
      <c r="C1352">
        <v>0</v>
      </c>
      <c r="D1352">
        <v>0</v>
      </c>
      <c r="E1352">
        <v>22</v>
      </c>
      <c r="F1352">
        <v>4</v>
      </c>
      <c r="G1352">
        <v>1</v>
      </c>
      <c r="H1352">
        <f>표5[[#This Row],[공격성공횟수]]/(표5[[#This Row],[공격실패횟수]]+표5[[#This Row],[공격성공횟수]])</f>
        <v>0</v>
      </c>
    </row>
    <row r="1353" spans="1:8" hidden="1" x14ac:dyDescent="0.4">
      <c r="A1353">
        <v>676</v>
      </c>
      <c r="B1353" t="s">
        <v>1</v>
      </c>
      <c r="C1353">
        <v>1</v>
      </c>
      <c r="D1353">
        <v>4</v>
      </c>
      <c r="E1353">
        <v>17</v>
      </c>
      <c r="F1353">
        <v>0</v>
      </c>
      <c r="G1353">
        <v>0</v>
      </c>
      <c r="H1353">
        <f>표5[[#This Row],[공격성공횟수]]/(표5[[#This Row],[공격실패횟수]]+표5[[#This Row],[공격성공횟수]])</f>
        <v>0.19047619047619047</v>
      </c>
    </row>
    <row r="1354" spans="1:8" x14ac:dyDescent="0.4">
      <c r="A1354">
        <v>677</v>
      </c>
      <c r="B1354" t="s">
        <v>0</v>
      </c>
      <c r="C1354">
        <v>1</v>
      </c>
      <c r="D1354">
        <v>4</v>
      </c>
      <c r="E1354">
        <v>19</v>
      </c>
      <c r="F1354">
        <v>1</v>
      </c>
      <c r="G1354">
        <v>0</v>
      </c>
      <c r="H1354">
        <f>표5[[#This Row],[공격성공횟수]]/(표5[[#This Row],[공격실패횟수]]+표5[[#This Row],[공격성공횟수]])</f>
        <v>0.17391304347826086</v>
      </c>
    </row>
    <row r="1355" spans="1:8" hidden="1" x14ac:dyDescent="0.4">
      <c r="A1355">
        <v>677</v>
      </c>
      <c r="B1355" t="s">
        <v>1</v>
      </c>
      <c r="C1355">
        <v>0</v>
      </c>
      <c r="D1355">
        <v>1</v>
      </c>
      <c r="E1355">
        <v>21</v>
      </c>
      <c r="F1355">
        <v>4</v>
      </c>
      <c r="G1355">
        <v>1</v>
      </c>
      <c r="H1355">
        <f>표5[[#This Row],[공격성공횟수]]/(표5[[#This Row],[공격실패횟수]]+표5[[#This Row],[공격성공횟수]])</f>
        <v>4.5454545454545456E-2</v>
      </c>
    </row>
    <row r="1356" spans="1:8" x14ac:dyDescent="0.4">
      <c r="A1356">
        <v>678</v>
      </c>
      <c r="B1356" t="s">
        <v>0</v>
      </c>
      <c r="C1356">
        <v>1</v>
      </c>
      <c r="D1356">
        <v>4</v>
      </c>
      <c r="E1356">
        <v>16</v>
      </c>
      <c r="F1356">
        <v>3</v>
      </c>
      <c r="G1356">
        <v>0</v>
      </c>
      <c r="H1356">
        <f>표5[[#This Row],[공격성공횟수]]/(표5[[#This Row],[공격실패횟수]]+표5[[#This Row],[공격성공횟수]])</f>
        <v>0.2</v>
      </c>
    </row>
    <row r="1357" spans="1:8" hidden="1" x14ac:dyDescent="0.4">
      <c r="A1357">
        <v>678</v>
      </c>
      <c r="B1357" t="s">
        <v>1</v>
      </c>
      <c r="C1357">
        <v>0</v>
      </c>
      <c r="D1357">
        <v>3</v>
      </c>
      <c r="E1357">
        <v>16</v>
      </c>
      <c r="F1357">
        <v>4</v>
      </c>
      <c r="G1357">
        <v>1</v>
      </c>
      <c r="H1357">
        <f>표5[[#This Row],[공격성공횟수]]/(표5[[#This Row],[공격실패횟수]]+표5[[#This Row],[공격성공횟수]])</f>
        <v>0.15789473684210525</v>
      </c>
    </row>
    <row r="1358" spans="1:8" x14ac:dyDescent="0.4">
      <c r="A1358">
        <v>679</v>
      </c>
      <c r="B1358" t="s">
        <v>0</v>
      </c>
      <c r="C1358">
        <v>1</v>
      </c>
      <c r="D1358">
        <v>4</v>
      </c>
      <c r="E1358">
        <v>7</v>
      </c>
      <c r="F1358">
        <v>2</v>
      </c>
      <c r="G1358">
        <v>0</v>
      </c>
      <c r="H1358">
        <f>표5[[#This Row],[공격성공횟수]]/(표5[[#This Row],[공격실패횟수]]+표5[[#This Row],[공격성공횟수]])</f>
        <v>0.36363636363636365</v>
      </c>
    </row>
    <row r="1359" spans="1:8" hidden="1" x14ac:dyDescent="0.4">
      <c r="A1359">
        <v>679</v>
      </c>
      <c r="B1359" t="s">
        <v>1</v>
      </c>
      <c r="C1359">
        <v>0</v>
      </c>
      <c r="D1359">
        <v>2</v>
      </c>
      <c r="E1359">
        <v>9</v>
      </c>
      <c r="F1359">
        <v>4</v>
      </c>
      <c r="G1359">
        <v>1</v>
      </c>
      <c r="H1359">
        <f>표5[[#This Row],[공격성공횟수]]/(표5[[#This Row],[공격실패횟수]]+표5[[#This Row],[공격성공횟수]])</f>
        <v>0.18181818181818182</v>
      </c>
    </row>
    <row r="1360" spans="1:8" x14ac:dyDescent="0.4">
      <c r="A1360">
        <v>680</v>
      </c>
      <c r="B1360" t="s">
        <v>0</v>
      </c>
      <c r="C1360">
        <v>1</v>
      </c>
      <c r="D1360">
        <v>4</v>
      </c>
      <c r="E1360">
        <v>15</v>
      </c>
      <c r="F1360">
        <v>0</v>
      </c>
      <c r="G1360">
        <v>0</v>
      </c>
      <c r="H1360">
        <f>표5[[#This Row],[공격성공횟수]]/(표5[[#This Row],[공격실패횟수]]+표5[[#This Row],[공격성공횟수]])</f>
        <v>0.21052631578947367</v>
      </c>
    </row>
    <row r="1361" spans="1:8" hidden="1" x14ac:dyDescent="0.4">
      <c r="A1361">
        <v>680</v>
      </c>
      <c r="B1361" t="s">
        <v>1</v>
      </c>
      <c r="C1361">
        <v>0</v>
      </c>
      <c r="D1361">
        <v>0</v>
      </c>
      <c r="E1361">
        <v>19</v>
      </c>
      <c r="F1361">
        <v>4</v>
      </c>
      <c r="G1361">
        <v>1</v>
      </c>
      <c r="H1361">
        <f>표5[[#This Row],[공격성공횟수]]/(표5[[#This Row],[공격실패횟수]]+표5[[#This Row],[공격성공횟수]])</f>
        <v>0</v>
      </c>
    </row>
    <row r="1362" spans="1:8" x14ac:dyDescent="0.4">
      <c r="A1362">
        <v>681</v>
      </c>
      <c r="B1362" t="s">
        <v>0</v>
      </c>
      <c r="C1362">
        <v>1</v>
      </c>
      <c r="D1362">
        <v>4</v>
      </c>
      <c r="E1362">
        <v>11</v>
      </c>
      <c r="F1362">
        <v>0</v>
      </c>
      <c r="G1362">
        <v>0</v>
      </c>
      <c r="H1362">
        <f>표5[[#This Row],[공격성공횟수]]/(표5[[#This Row],[공격실패횟수]]+표5[[#This Row],[공격성공횟수]])</f>
        <v>0.26666666666666666</v>
      </c>
    </row>
    <row r="1363" spans="1:8" hidden="1" x14ac:dyDescent="0.4">
      <c r="A1363">
        <v>681</v>
      </c>
      <c r="B1363" t="s">
        <v>1</v>
      </c>
      <c r="C1363">
        <v>0</v>
      </c>
      <c r="D1363">
        <v>0</v>
      </c>
      <c r="E1363">
        <v>15</v>
      </c>
      <c r="F1363">
        <v>4</v>
      </c>
      <c r="G1363">
        <v>1</v>
      </c>
      <c r="H1363">
        <f>표5[[#This Row],[공격성공횟수]]/(표5[[#This Row],[공격실패횟수]]+표5[[#This Row],[공격성공횟수]])</f>
        <v>0</v>
      </c>
    </row>
    <row r="1364" spans="1:8" x14ac:dyDescent="0.4">
      <c r="A1364">
        <v>682</v>
      </c>
      <c r="B1364" t="s">
        <v>0</v>
      </c>
      <c r="C1364">
        <v>1</v>
      </c>
      <c r="D1364">
        <v>4</v>
      </c>
      <c r="E1364">
        <v>9</v>
      </c>
      <c r="F1364">
        <v>0</v>
      </c>
      <c r="G1364">
        <v>0</v>
      </c>
      <c r="H1364">
        <f>표5[[#This Row],[공격성공횟수]]/(표5[[#This Row],[공격실패횟수]]+표5[[#This Row],[공격성공횟수]])</f>
        <v>0.30769230769230771</v>
      </c>
    </row>
    <row r="1365" spans="1:8" hidden="1" x14ac:dyDescent="0.4">
      <c r="A1365">
        <v>682</v>
      </c>
      <c r="B1365" t="s">
        <v>1</v>
      </c>
      <c r="C1365">
        <v>0</v>
      </c>
      <c r="D1365">
        <v>0</v>
      </c>
      <c r="E1365">
        <v>12</v>
      </c>
      <c r="F1365">
        <v>4</v>
      </c>
      <c r="G1365">
        <v>1</v>
      </c>
      <c r="H1365">
        <f>표5[[#This Row],[공격성공횟수]]/(표5[[#This Row],[공격실패횟수]]+표5[[#This Row],[공격성공횟수]])</f>
        <v>0</v>
      </c>
    </row>
    <row r="1366" spans="1:8" x14ac:dyDescent="0.4">
      <c r="A1366">
        <v>683</v>
      </c>
      <c r="B1366" t="s">
        <v>0</v>
      </c>
      <c r="C1366">
        <v>1</v>
      </c>
      <c r="D1366">
        <v>4</v>
      </c>
      <c r="E1366">
        <v>31</v>
      </c>
      <c r="F1366">
        <v>3</v>
      </c>
      <c r="G1366">
        <v>0</v>
      </c>
      <c r="H1366">
        <f>표5[[#This Row],[공격성공횟수]]/(표5[[#This Row],[공격실패횟수]]+표5[[#This Row],[공격성공횟수]])</f>
        <v>0.11428571428571428</v>
      </c>
    </row>
    <row r="1367" spans="1:8" hidden="1" x14ac:dyDescent="0.4">
      <c r="A1367">
        <v>683</v>
      </c>
      <c r="B1367" t="s">
        <v>1</v>
      </c>
      <c r="C1367">
        <v>0</v>
      </c>
      <c r="D1367">
        <v>3</v>
      </c>
      <c r="E1367">
        <v>32</v>
      </c>
      <c r="F1367">
        <v>4</v>
      </c>
      <c r="G1367">
        <v>1</v>
      </c>
      <c r="H1367">
        <f>표5[[#This Row],[공격성공횟수]]/(표5[[#This Row],[공격실패횟수]]+표5[[#This Row],[공격성공횟수]])</f>
        <v>8.5714285714285715E-2</v>
      </c>
    </row>
    <row r="1368" spans="1:8" x14ac:dyDescent="0.4">
      <c r="A1368">
        <v>684</v>
      </c>
      <c r="B1368" t="s">
        <v>0</v>
      </c>
      <c r="C1368">
        <v>1</v>
      </c>
      <c r="D1368">
        <v>4</v>
      </c>
      <c r="E1368">
        <v>6</v>
      </c>
      <c r="F1368">
        <v>1</v>
      </c>
      <c r="G1368">
        <v>0</v>
      </c>
      <c r="H1368">
        <f>표5[[#This Row],[공격성공횟수]]/(표5[[#This Row],[공격실패횟수]]+표5[[#This Row],[공격성공횟수]])</f>
        <v>0.4</v>
      </c>
    </row>
    <row r="1369" spans="1:8" hidden="1" x14ac:dyDescent="0.4">
      <c r="A1369">
        <v>684</v>
      </c>
      <c r="B1369" t="s">
        <v>1</v>
      </c>
      <c r="C1369">
        <v>0</v>
      </c>
      <c r="D1369">
        <v>1</v>
      </c>
      <c r="E1369">
        <v>10</v>
      </c>
      <c r="F1369">
        <v>4</v>
      </c>
      <c r="G1369">
        <v>1</v>
      </c>
      <c r="H1369">
        <f>표5[[#This Row],[공격성공횟수]]/(표5[[#This Row],[공격실패횟수]]+표5[[#This Row],[공격성공횟수]])</f>
        <v>9.0909090909090912E-2</v>
      </c>
    </row>
    <row r="1370" spans="1:8" x14ac:dyDescent="0.4">
      <c r="A1370">
        <v>685</v>
      </c>
      <c r="B1370" t="s">
        <v>0</v>
      </c>
      <c r="C1370">
        <v>1</v>
      </c>
      <c r="D1370">
        <v>4</v>
      </c>
      <c r="E1370">
        <v>15</v>
      </c>
      <c r="F1370">
        <v>2</v>
      </c>
      <c r="G1370">
        <v>0</v>
      </c>
      <c r="H1370">
        <f>표5[[#This Row],[공격성공횟수]]/(표5[[#This Row],[공격실패횟수]]+표5[[#This Row],[공격성공횟수]])</f>
        <v>0.21052631578947367</v>
      </c>
    </row>
    <row r="1371" spans="1:8" hidden="1" x14ac:dyDescent="0.4">
      <c r="A1371">
        <v>685</v>
      </c>
      <c r="B1371" t="s">
        <v>1</v>
      </c>
      <c r="C1371">
        <v>0</v>
      </c>
      <c r="D1371">
        <v>2</v>
      </c>
      <c r="E1371">
        <v>16</v>
      </c>
      <c r="F1371">
        <v>4</v>
      </c>
      <c r="G1371">
        <v>1</v>
      </c>
      <c r="H1371">
        <f>표5[[#This Row],[공격성공횟수]]/(표5[[#This Row],[공격실패횟수]]+표5[[#This Row],[공격성공횟수]])</f>
        <v>0.1111111111111111</v>
      </c>
    </row>
    <row r="1372" spans="1:8" x14ac:dyDescent="0.4">
      <c r="A1372">
        <v>686</v>
      </c>
      <c r="B1372" t="s">
        <v>0</v>
      </c>
      <c r="C1372">
        <v>1</v>
      </c>
      <c r="D1372">
        <v>4</v>
      </c>
      <c r="E1372">
        <v>4</v>
      </c>
      <c r="F1372">
        <v>0</v>
      </c>
      <c r="G1372">
        <v>0</v>
      </c>
      <c r="H1372">
        <f>표5[[#This Row],[공격성공횟수]]/(표5[[#This Row],[공격실패횟수]]+표5[[#This Row],[공격성공횟수]])</f>
        <v>0.5</v>
      </c>
    </row>
    <row r="1373" spans="1:8" hidden="1" x14ac:dyDescent="0.4">
      <c r="A1373">
        <v>686</v>
      </c>
      <c r="B1373" t="s">
        <v>1</v>
      </c>
      <c r="C1373">
        <v>0</v>
      </c>
      <c r="D1373">
        <v>0</v>
      </c>
      <c r="E1373">
        <v>8</v>
      </c>
      <c r="F1373">
        <v>4</v>
      </c>
      <c r="G1373">
        <v>1</v>
      </c>
      <c r="H1373">
        <f>표5[[#This Row],[공격성공횟수]]/(표5[[#This Row],[공격실패횟수]]+표5[[#This Row],[공격성공횟수]])</f>
        <v>0</v>
      </c>
    </row>
    <row r="1374" spans="1:8" x14ac:dyDescent="0.4">
      <c r="A1374">
        <v>687</v>
      </c>
      <c r="B1374" t="s">
        <v>0</v>
      </c>
      <c r="C1374">
        <v>1</v>
      </c>
      <c r="D1374">
        <v>4</v>
      </c>
      <c r="E1374">
        <v>6</v>
      </c>
      <c r="F1374">
        <v>2</v>
      </c>
      <c r="G1374">
        <v>0</v>
      </c>
      <c r="H1374">
        <f>표5[[#This Row],[공격성공횟수]]/(표5[[#This Row],[공격실패횟수]]+표5[[#This Row],[공격성공횟수]])</f>
        <v>0.4</v>
      </c>
    </row>
    <row r="1375" spans="1:8" hidden="1" x14ac:dyDescent="0.4">
      <c r="A1375">
        <v>687</v>
      </c>
      <c r="B1375" t="s">
        <v>1</v>
      </c>
      <c r="C1375">
        <v>0</v>
      </c>
      <c r="D1375">
        <v>2</v>
      </c>
      <c r="E1375">
        <v>10</v>
      </c>
      <c r="F1375">
        <v>4</v>
      </c>
      <c r="G1375">
        <v>1</v>
      </c>
      <c r="H1375">
        <f>표5[[#This Row],[공격성공횟수]]/(표5[[#This Row],[공격실패횟수]]+표5[[#This Row],[공격성공횟수]])</f>
        <v>0.16666666666666666</v>
      </c>
    </row>
    <row r="1376" spans="1:8" x14ac:dyDescent="0.4">
      <c r="A1376">
        <v>688</v>
      </c>
      <c r="B1376" t="s">
        <v>0</v>
      </c>
      <c r="C1376">
        <v>0</v>
      </c>
      <c r="D1376">
        <v>0</v>
      </c>
      <c r="E1376">
        <v>19</v>
      </c>
      <c r="F1376">
        <v>4</v>
      </c>
      <c r="G1376">
        <v>1</v>
      </c>
      <c r="H1376">
        <f>표5[[#This Row],[공격성공횟수]]/(표5[[#This Row],[공격실패횟수]]+표5[[#This Row],[공격성공횟수]])</f>
        <v>0</v>
      </c>
    </row>
    <row r="1377" spans="1:8" hidden="1" x14ac:dyDescent="0.4">
      <c r="A1377">
        <v>688</v>
      </c>
      <c r="B1377" t="s">
        <v>1</v>
      </c>
      <c r="C1377">
        <v>1</v>
      </c>
      <c r="D1377">
        <v>4</v>
      </c>
      <c r="E1377">
        <v>15</v>
      </c>
      <c r="F1377">
        <v>0</v>
      </c>
      <c r="G1377">
        <v>0</v>
      </c>
      <c r="H1377">
        <f>표5[[#This Row],[공격성공횟수]]/(표5[[#This Row],[공격실패횟수]]+표5[[#This Row],[공격성공횟수]])</f>
        <v>0.21052631578947367</v>
      </c>
    </row>
    <row r="1378" spans="1:8" x14ac:dyDescent="0.4">
      <c r="A1378">
        <v>689</v>
      </c>
      <c r="B1378" t="s">
        <v>0</v>
      </c>
      <c r="C1378">
        <v>0</v>
      </c>
      <c r="D1378">
        <v>0</v>
      </c>
      <c r="E1378">
        <v>19</v>
      </c>
      <c r="F1378">
        <v>4</v>
      </c>
      <c r="G1378">
        <v>1</v>
      </c>
      <c r="H1378">
        <f>표5[[#This Row],[공격성공횟수]]/(표5[[#This Row],[공격실패횟수]]+표5[[#This Row],[공격성공횟수]])</f>
        <v>0</v>
      </c>
    </row>
    <row r="1379" spans="1:8" hidden="1" x14ac:dyDescent="0.4">
      <c r="A1379">
        <v>689</v>
      </c>
      <c r="B1379" t="s">
        <v>1</v>
      </c>
      <c r="C1379">
        <v>1</v>
      </c>
      <c r="D1379">
        <v>4</v>
      </c>
      <c r="E1379">
        <v>15</v>
      </c>
      <c r="F1379">
        <v>0</v>
      </c>
      <c r="G1379">
        <v>0</v>
      </c>
      <c r="H1379">
        <f>표5[[#This Row],[공격성공횟수]]/(표5[[#This Row],[공격실패횟수]]+표5[[#This Row],[공격성공횟수]])</f>
        <v>0.21052631578947367</v>
      </c>
    </row>
    <row r="1380" spans="1:8" x14ac:dyDescent="0.4">
      <c r="A1380">
        <v>690</v>
      </c>
      <c r="B1380" t="s">
        <v>0</v>
      </c>
      <c r="C1380">
        <v>1</v>
      </c>
      <c r="D1380">
        <v>4</v>
      </c>
      <c r="E1380">
        <v>13</v>
      </c>
      <c r="F1380">
        <v>0</v>
      </c>
      <c r="G1380">
        <v>0</v>
      </c>
      <c r="H1380">
        <f>표5[[#This Row],[공격성공횟수]]/(표5[[#This Row],[공격실패횟수]]+표5[[#This Row],[공격성공횟수]])</f>
        <v>0.23529411764705882</v>
      </c>
    </row>
    <row r="1381" spans="1:8" hidden="1" x14ac:dyDescent="0.4">
      <c r="A1381">
        <v>690</v>
      </c>
      <c r="B1381" t="s">
        <v>1</v>
      </c>
      <c r="C1381">
        <v>0</v>
      </c>
      <c r="D1381">
        <v>0</v>
      </c>
      <c r="E1381">
        <v>16</v>
      </c>
      <c r="F1381">
        <v>4</v>
      </c>
      <c r="G1381">
        <v>1</v>
      </c>
      <c r="H1381">
        <f>표5[[#This Row],[공격성공횟수]]/(표5[[#This Row],[공격실패횟수]]+표5[[#This Row],[공격성공횟수]])</f>
        <v>0</v>
      </c>
    </row>
    <row r="1382" spans="1:8" x14ac:dyDescent="0.4">
      <c r="A1382">
        <v>691</v>
      </c>
      <c r="B1382" t="s">
        <v>0</v>
      </c>
      <c r="C1382">
        <v>1</v>
      </c>
      <c r="D1382">
        <v>4</v>
      </c>
      <c r="E1382">
        <v>8</v>
      </c>
      <c r="F1382">
        <v>0</v>
      </c>
      <c r="G1382">
        <v>0</v>
      </c>
      <c r="H1382">
        <f>표5[[#This Row],[공격성공횟수]]/(표5[[#This Row],[공격실패횟수]]+표5[[#This Row],[공격성공횟수]])</f>
        <v>0.33333333333333331</v>
      </c>
    </row>
    <row r="1383" spans="1:8" hidden="1" x14ac:dyDescent="0.4">
      <c r="A1383">
        <v>691</v>
      </c>
      <c r="B1383" t="s">
        <v>1</v>
      </c>
      <c r="C1383">
        <v>0</v>
      </c>
      <c r="D1383">
        <v>0</v>
      </c>
      <c r="E1383">
        <v>13</v>
      </c>
      <c r="F1383">
        <v>4</v>
      </c>
      <c r="G1383">
        <v>1</v>
      </c>
      <c r="H1383">
        <f>표5[[#This Row],[공격성공횟수]]/(표5[[#This Row],[공격실패횟수]]+표5[[#This Row],[공격성공횟수]])</f>
        <v>0</v>
      </c>
    </row>
    <row r="1384" spans="1:8" x14ac:dyDescent="0.4">
      <c r="A1384">
        <v>692</v>
      </c>
      <c r="B1384" t="s">
        <v>0</v>
      </c>
      <c r="C1384">
        <v>1</v>
      </c>
      <c r="D1384">
        <v>4</v>
      </c>
      <c r="E1384">
        <v>7</v>
      </c>
      <c r="F1384">
        <v>1</v>
      </c>
      <c r="G1384">
        <v>0</v>
      </c>
      <c r="H1384">
        <f>표5[[#This Row],[공격성공횟수]]/(표5[[#This Row],[공격실패횟수]]+표5[[#This Row],[공격성공횟수]])</f>
        <v>0.36363636363636365</v>
      </c>
    </row>
    <row r="1385" spans="1:8" hidden="1" x14ac:dyDescent="0.4">
      <c r="A1385">
        <v>692</v>
      </c>
      <c r="B1385" t="s">
        <v>1</v>
      </c>
      <c r="C1385">
        <v>0</v>
      </c>
      <c r="D1385">
        <v>1</v>
      </c>
      <c r="E1385">
        <v>9</v>
      </c>
      <c r="F1385">
        <v>4</v>
      </c>
      <c r="G1385">
        <v>1</v>
      </c>
      <c r="H1385">
        <f>표5[[#This Row],[공격성공횟수]]/(표5[[#This Row],[공격실패횟수]]+표5[[#This Row],[공격성공횟수]])</f>
        <v>0.1</v>
      </c>
    </row>
    <row r="1386" spans="1:8" x14ac:dyDescent="0.4">
      <c r="A1386">
        <v>693</v>
      </c>
      <c r="B1386" t="s">
        <v>0</v>
      </c>
      <c r="C1386">
        <v>0</v>
      </c>
      <c r="D1386">
        <v>3</v>
      </c>
      <c r="E1386">
        <v>27</v>
      </c>
      <c r="F1386">
        <v>4</v>
      </c>
      <c r="G1386">
        <v>1</v>
      </c>
      <c r="H1386">
        <f>표5[[#This Row],[공격성공횟수]]/(표5[[#This Row],[공격실패횟수]]+표5[[#This Row],[공격성공횟수]])</f>
        <v>0.1</v>
      </c>
    </row>
    <row r="1387" spans="1:8" hidden="1" x14ac:dyDescent="0.4">
      <c r="A1387">
        <v>693</v>
      </c>
      <c r="B1387" t="s">
        <v>1</v>
      </c>
      <c r="C1387">
        <v>1</v>
      </c>
      <c r="D1387">
        <v>4</v>
      </c>
      <c r="E1387">
        <v>27</v>
      </c>
      <c r="F1387">
        <v>3</v>
      </c>
      <c r="G1387">
        <v>0</v>
      </c>
      <c r="H1387">
        <f>표5[[#This Row],[공격성공횟수]]/(표5[[#This Row],[공격실패횟수]]+표5[[#This Row],[공격성공횟수]])</f>
        <v>0.12903225806451613</v>
      </c>
    </row>
    <row r="1388" spans="1:8" x14ac:dyDescent="0.4">
      <c r="A1388">
        <v>694</v>
      </c>
      <c r="B1388" t="s">
        <v>0</v>
      </c>
      <c r="C1388">
        <v>1</v>
      </c>
      <c r="D1388">
        <v>4</v>
      </c>
      <c r="E1388">
        <v>14</v>
      </c>
      <c r="F1388">
        <v>0</v>
      </c>
      <c r="G1388">
        <v>0</v>
      </c>
      <c r="H1388">
        <f>표5[[#This Row],[공격성공횟수]]/(표5[[#This Row],[공격실패횟수]]+표5[[#This Row],[공격성공횟수]])</f>
        <v>0.22222222222222221</v>
      </c>
    </row>
    <row r="1389" spans="1:8" hidden="1" x14ac:dyDescent="0.4">
      <c r="A1389">
        <v>694</v>
      </c>
      <c r="B1389" t="s">
        <v>1</v>
      </c>
      <c r="C1389">
        <v>0</v>
      </c>
      <c r="D1389">
        <v>0</v>
      </c>
      <c r="E1389">
        <v>22</v>
      </c>
      <c r="F1389">
        <v>4</v>
      </c>
      <c r="G1389">
        <v>1</v>
      </c>
      <c r="H1389">
        <f>표5[[#This Row],[공격성공횟수]]/(표5[[#This Row],[공격실패횟수]]+표5[[#This Row],[공격성공횟수]])</f>
        <v>0</v>
      </c>
    </row>
    <row r="1390" spans="1:8" x14ac:dyDescent="0.4">
      <c r="A1390">
        <v>695</v>
      </c>
      <c r="B1390" t="s">
        <v>0</v>
      </c>
      <c r="C1390">
        <v>1</v>
      </c>
      <c r="D1390">
        <v>4</v>
      </c>
      <c r="E1390">
        <v>5</v>
      </c>
      <c r="F1390">
        <v>1</v>
      </c>
      <c r="G1390">
        <v>0</v>
      </c>
      <c r="H1390">
        <f>표5[[#This Row],[공격성공횟수]]/(표5[[#This Row],[공격실패횟수]]+표5[[#This Row],[공격성공횟수]])</f>
        <v>0.44444444444444442</v>
      </c>
    </row>
    <row r="1391" spans="1:8" hidden="1" x14ac:dyDescent="0.4">
      <c r="A1391">
        <v>695</v>
      </c>
      <c r="B1391" t="s">
        <v>1</v>
      </c>
      <c r="C1391">
        <v>0</v>
      </c>
      <c r="D1391">
        <v>1</v>
      </c>
      <c r="E1391">
        <v>7</v>
      </c>
      <c r="F1391">
        <v>4</v>
      </c>
      <c r="G1391">
        <v>1</v>
      </c>
      <c r="H1391">
        <f>표5[[#This Row],[공격성공횟수]]/(표5[[#This Row],[공격실패횟수]]+표5[[#This Row],[공격성공횟수]])</f>
        <v>0.125</v>
      </c>
    </row>
    <row r="1392" spans="1:8" x14ac:dyDescent="0.4">
      <c r="A1392">
        <v>696</v>
      </c>
      <c r="B1392" t="s">
        <v>0</v>
      </c>
      <c r="C1392">
        <v>1</v>
      </c>
      <c r="D1392">
        <v>4</v>
      </c>
      <c r="E1392">
        <v>8</v>
      </c>
      <c r="F1392">
        <v>1</v>
      </c>
      <c r="G1392">
        <v>0</v>
      </c>
      <c r="H1392">
        <f>표5[[#This Row],[공격성공횟수]]/(표5[[#This Row],[공격실패횟수]]+표5[[#This Row],[공격성공횟수]])</f>
        <v>0.33333333333333331</v>
      </c>
    </row>
    <row r="1393" spans="1:8" hidden="1" x14ac:dyDescent="0.4">
      <c r="A1393">
        <v>696</v>
      </c>
      <c r="B1393" t="s">
        <v>1</v>
      </c>
      <c r="C1393">
        <v>0</v>
      </c>
      <c r="D1393">
        <v>1</v>
      </c>
      <c r="E1393">
        <v>11</v>
      </c>
      <c r="F1393">
        <v>4</v>
      </c>
      <c r="G1393">
        <v>1</v>
      </c>
      <c r="H1393">
        <f>표5[[#This Row],[공격성공횟수]]/(표5[[#This Row],[공격실패횟수]]+표5[[#This Row],[공격성공횟수]])</f>
        <v>8.3333333333333329E-2</v>
      </c>
    </row>
    <row r="1394" spans="1:8" x14ac:dyDescent="0.4">
      <c r="A1394">
        <v>697</v>
      </c>
      <c r="B1394" t="s">
        <v>0</v>
      </c>
      <c r="C1394">
        <v>0</v>
      </c>
      <c r="D1394">
        <v>0</v>
      </c>
      <c r="E1394">
        <v>17</v>
      </c>
      <c r="F1394">
        <v>4</v>
      </c>
      <c r="G1394">
        <v>1</v>
      </c>
      <c r="H1394">
        <f>표5[[#This Row],[공격성공횟수]]/(표5[[#This Row],[공격실패횟수]]+표5[[#This Row],[공격성공횟수]])</f>
        <v>0</v>
      </c>
    </row>
    <row r="1395" spans="1:8" hidden="1" x14ac:dyDescent="0.4">
      <c r="A1395">
        <v>697</v>
      </c>
      <c r="B1395" t="s">
        <v>1</v>
      </c>
      <c r="C1395">
        <v>1</v>
      </c>
      <c r="D1395">
        <v>4</v>
      </c>
      <c r="E1395">
        <v>14</v>
      </c>
      <c r="F1395">
        <v>0</v>
      </c>
      <c r="G1395">
        <v>0</v>
      </c>
      <c r="H1395">
        <f>표5[[#This Row],[공격성공횟수]]/(표5[[#This Row],[공격실패횟수]]+표5[[#This Row],[공격성공횟수]])</f>
        <v>0.22222222222222221</v>
      </c>
    </row>
    <row r="1396" spans="1:8" x14ac:dyDescent="0.4">
      <c r="A1396">
        <v>698</v>
      </c>
      <c r="B1396" t="s">
        <v>0</v>
      </c>
      <c r="C1396">
        <v>1</v>
      </c>
      <c r="D1396">
        <v>4</v>
      </c>
      <c r="E1396">
        <v>21</v>
      </c>
      <c r="F1396">
        <v>0</v>
      </c>
      <c r="G1396">
        <v>0</v>
      </c>
      <c r="H1396">
        <f>표5[[#This Row],[공격성공횟수]]/(표5[[#This Row],[공격실패횟수]]+표5[[#This Row],[공격성공횟수]])</f>
        <v>0.16</v>
      </c>
    </row>
    <row r="1397" spans="1:8" hidden="1" x14ac:dyDescent="0.4">
      <c r="A1397">
        <v>698</v>
      </c>
      <c r="B1397" t="s">
        <v>1</v>
      </c>
      <c r="C1397">
        <v>0</v>
      </c>
      <c r="D1397">
        <v>0</v>
      </c>
      <c r="E1397">
        <v>28</v>
      </c>
      <c r="F1397">
        <v>4</v>
      </c>
      <c r="G1397">
        <v>1</v>
      </c>
      <c r="H1397">
        <f>표5[[#This Row],[공격성공횟수]]/(표5[[#This Row],[공격실패횟수]]+표5[[#This Row],[공격성공횟수]])</f>
        <v>0</v>
      </c>
    </row>
    <row r="1398" spans="1:8" x14ac:dyDescent="0.4">
      <c r="A1398">
        <v>699</v>
      </c>
      <c r="B1398" t="s">
        <v>0</v>
      </c>
      <c r="C1398">
        <v>1</v>
      </c>
      <c r="D1398">
        <v>4</v>
      </c>
      <c r="E1398">
        <v>9</v>
      </c>
      <c r="F1398">
        <v>1</v>
      </c>
      <c r="G1398">
        <v>0</v>
      </c>
      <c r="H1398">
        <f>표5[[#This Row],[공격성공횟수]]/(표5[[#This Row],[공격실패횟수]]+표5[[#This Row],[공격성공횟수]])</f>
        <v>0.30769230769230771</v>
      </c>
    </row>
    <row r="1399" spans="1:8" hidden="1" x14ac:dyDescent="0.4">
      <c r="A1399">
        <v>699</v>
      </c>
      <c r="B1399" t="s">
        <v>1</v>
      </c>
      <c r="C1399">
        <v>0</v>
      </c>
      <c r="D1399">
        <v>1</v>
      </c>
      <c r="E1399">
        <v>12</v>
      </c>
      <c r="F1399">
        <v>4</v>
      </c>
      <c r="G1399">
        <v>1</v>
      </c>
      <c r="H1399">
        <f>표5[[#This Row],[공격성공횟수]]/(표5[[#This Row],[공격실패횟수]]+표5[[#This Row],[공격성공횟수]])</f>
        <v>7.6923076923076927E-2</v>
      </c>
    </row>
    <row r="1400" spans="1:8" x14ac:dyDescent="0.4">
      <c r="A1400">
        <v>700</v>
      </c>
      <c r="B1400" t="s">
        <v>0</v>
      </c>
      <c r="C1400">
        <v>1</v>
      </c>
      <c r="D1400">
        <v>4</v>
      </c>
      <c r="E1400">
        <v>35</v>
      </c>
      <c r="F1400">
        <v>2</v>
      </c>
      <c r="G1400">
        <v>0</v>
      </c>
      <c r="H1400">
        <f>표5[[#This Row],[공격성공횟수]]/(표5[[#This Row],[공격실패횟수]]+표5[[#This Row],[공격성공횟수]])</f>
        <v>0.10256410256410256</v>
      </c>
    </row>
    <row r="1401" spans="1:8" hidden="1" x14ac:dyDescent="0.4">
      <c r="A1401">
        <v>700</v>
      </c>
      <c r="B1401" t="s">
        <v>1</v>
      </c>
      <c r="C1401">
        <v>0</v>
      </c>
      <c r="D1401">
        <v>2</v>
      </c>
      <c r="E1401">
        <v>36</v>
      </c>
      <c r="F1401">
        <v>4</v>
      </c>
      <c r="G1401">
        <v>1</v>
      </c>
      <c r="H1401">
        <f>표5[[#This Row],[공격성공횟수]]/(표5[[#This Row],[공격실패횟수]]+표5[[#This Row],[공격성공횟수]])</f>
        <v>5.2631578947368418E-2</v>
      </c>
    </row>
    <row r="1402" spans="1:8" x14ac:dyDescent="0.4">
      <c r="A1402">
        <v>701</v>
      </c>
      <c r="B1402" t="s">
        <v>0</v>
      </c>
      <c r="C1402">
        <v>0</v>
      </c>
      <c r="D1402">
        <v>0</v>
      </c>
      <c r="E1402">
        <v>23</v>
      </c>
      <c r="F1402">
        <v>4</v>
      </c>
      <c r="G1402">
        <v>1</v>
      </c>
      <c r="H1402">
        <f>표5[[#This Row],[공격성공횟수]]/(표5[[#This Row],[공격실패횟수]]+표5[[#This Row],[공격성공횟수]])</f>
        <v>0</v>
      </c>
    </row>
    <row r="1403" spans="1:8" hidden="1" x14ac:dyDescent="0.4">
      <c r="A1403">
        <v>701</v>
      </c>
      <c r="B1403" t="s">
        <v>1</v>
      </c>
      <c r="C1403">
        <v>1</v>
      </c>
      <c r="D1403">
        <v>4</v>
      </c>
      <c r="E1403">
        <v>20</v>
      </c>
      <c r="F1403">
        <v>0</v>
      </c>
      <c r="G1403">
        <v>0</v>
      </c>
      <c r="H1403">
        <f>표5[[#This Row],[공격성공횟수]]/(표5[[#This Row],[공격실패횟수]]+표5[[#This Row],[공격성공횟수]])</f>
        <v>0.16666666666666666</v>
      </c>
    </row>
    <row r="1404" spans="1:8" x14ac:dyDescent="0.4">
      <c r="A1404">
        <v>702</v>
      </c>
      <c r="B1404" t="s">
        <v>0</v>
      </c>
      <c r="C1404">
        <v>1</v>
      </c>
      <c r="D1404">
        <v>4</v>
      </c>
      <c r="E1404">
        <v>17</v>
      </c>
      <c r="F1404">
        <v>1</v>
      </c>
      <c r="G1404">
        <v>0</v>
      </c>
      <c r="H1404">
        <f>표5[[#This Row],[공격성공횟수]]/(표5[[#This Row],[공격실패횟수]]+표5[[#This Row],[공격성공횟수]])</f>
        <v>0.19047619047619047</v>
      </c>
    </row>
    <row r="1405" spans="1:8" hidden="1" x14ac:dyDescent="0.4">
      <c r="A1405">
        <v>702</v>
      </c>
      <c r="B1405" t="s">
        <v>1</v>
      </c>
      <c r="C1405">
        <v>0</v>
      </c>
      <c r="D1405">
        <v>1</v>
      </c>
      <c r="E1405">
        <v>24</v>
      </c>
      <c r="F1405">
        <v>4</v>
      </c>
      <c r="G1405">
        <v>1</v>
      </c>
      <c r="H1405">
        <f>표5[[#This Row],[공격성공횟수]]/(표5[[#This Row],[공격실패횟수]]+표5[[#This Row],[공격성공횟수]])</f>
        <v>0.04</v>
      </c>
    </row>
    <row r="1406" spans="1:8" x14ac:dyDescent="0.4">
      <c r="A1406">
        <v>703</v>
      </c>
      <c r="B1406" t="s">
        <v>0</v>
      </c>
      <c r="C1406">
        <v>1</v>
      </c>
      <c r="D1406">
        <v>4</v>
      </c>
      <c r="E1406">
        <v>13</v>
      </c>
      <c r="F1406">
        <v>2</v>
      </c>
      <c r="G1406">
        <v>0</v>
      </c>
      <c r="H1406">
        <f>표5[[#This Row],[공격성공횟수]]/(표5[[#This Row],[공격실패횟수]]+표5[[#This Row],[공격성공횟수]])</f>
        <v>0.23529411764705882</v>
      </c>
    </row>
    <row r="1407" spans="1:8" hidden="1" x14ac:dyDescent="0.4">
      <c r="A1407">
        <v>703</v>
      </c>
      <c r="B1407" t="s">
        <v>1</v>
      </c>
      <c r="C1407">
        <v>0</v>
      </c>
      <c r="D1407">
        <v>2</v>
      </c>
      <c r="E1407">
        <v>15</v>
      </c>
      <c r="F1407">
        <v>4</v>
      </c>
      <c r="G1407">
        <v>1</v>
      </c>
      <c r="H1407">
        <f>표5[[#This Row],[공격성공횟수]]/(표5[[#This Row],[공격실패횟수]]+표5[[#This Row],[공격성공횟수]])</f>
        <v>0.11764705882352941</v>
      </c>
    </row>
    <row r="1408" spans="1:8" x14ac:dyDescent="0.4">
      <c r="A1408">
        <v>704</v>
      </c>
      <c r="B1408" t="s">
        <v>0</v>
      </c>
      <c r="C1408">
        <v>0</v>
      </c>
      <c r="D1408">
        <v>1</v>
      </c>
      <c r="E1408">
        <v>13</v>
      </c>
      <c r="F1408">
        <v>4</v>
      </c>
      <c r="G1408">
        <v>1</v>
      </c>
      <c r="H1408">
        <f>표5[[#This Row],[공격성공횟수]]/(표5[[#This Row],[공격실패횟수]]+표5[[#This Row],[공격성공횟수]])</f>
        <v>7.1428571428571425E-2</v>
      </c>
    </row>
    <row r="1409" spans="1:8" hidden="1" x14ac:dyDescent="0.4">
      <c r="A1409">
        <v>704</v>
      </c>
      <c r="B1409" t="s">
        <v>1</v>
      </c>
      <c r="C1409">
        <v>1</v>
      </c>
      <c r="D1409">
        <v>4</v>
      </c>
      <c r="E1409">
        <v>11</v>
      </c>
      <c r="F1409">
        <v>1</v>
      </c>
      <c r="G1409">
        <v>0</v>
      </c>
      <c r="H1409">
        <f>표5[[#This Row],[공격성공횟수]]/(표5[[#This Row],[공격실패횟수]]+표5[[#This Row],[공격성공횟수]])</f>
        <v>0.26666666666666666</v>
      </c>
    </row>
    <row r="1410" spans="1:8" x14ac:dyDescent="0.4">
      <c r="A1410">
        <v>705</v>
      </c>
      <c r="B1410" t="s">
        <v>0</v>
      </c>
      <c r="C1410">
        <v>1</v>
      </c>
      <c r="D1410">
        <v>4</v>
      </c>
      <c r="E1410">
        <v>28</v>
      </c>
      <c r="F1410">
        <v>3</v>
      </c>
      <c r="G1410">
        <v>0</v>
      </c>
      <c r="H1410">
        <f>표5[[#This Row],[공격성공횟수]]/(표5[[#This Row],[공격실패횟수]]+표5[[#This Row],[공격성공횟수]])</f>
        <v>0.125</v>
      </c>
    </row>
    <row r="1411" spans="1:8" hidden="1" x14ac:dyDescent="0.4">
      <c r="A1411">
        <v>705</v>
      </c>
      <c r="B1411" t="s">
        <v>1</v>
      </c>
      <c r="C1411">
        <v>0</v>
      </c>
      <c r="D1411">
        <v>3</v>
      </c>
      <c r="E1411">
        <v>27</v>
      </c>
      <c r="F1411">
        <v>4</v>
      </c>
      <c r="G1411">
        <v>1</v>
      </c>
      <c r="H1411">
        <f>표5[[#This Row],[공격성공횟수]]/(표5[[#This Row],[공격실패횟수]]+표5[[#This Row],[공격성공횟수]])</f>
        <v>0.1</v>
      </c>
    </row>
    <row r="1412" spans="1:8" x14ac:dyDescent="0.4">
      <c r="A1412">
        <v>706</v>
      </c>
      <c r="B1412" t="s">
        <v>0</v>
      </c>
      <c r="C1412">
        <v>1</v>
      </c>
      <c r="D1412">
        <v>4</v>
      </c>
      <c r="E1412">
        <v>12</v>
      </c>
      <c r="F1412">
        <v>1</v>
      </c>
      <c r="G1412">
        <v>0</v>
      </c>
      <c r="H1412">
        <f>표5[[#This Row],[공격성공횟수]]/(표5[[#This Row],[공격실패횟수]]+표5[[#This Row],[공격성공횟수]])</f>
        <v>0.25</v>
      </c>
    </row>
    <row r="1413" spans="1:8" hidden="1" x14ac:dyDescent="0.4">
      <c r="A1413">
        <v>706</v>
      </c>
      <c r="B1413" t="s">
        <v>1</v>
      </c>
      <c r="C1413">
        <v>0</v>
      </c>
      <c r="D1413">
        <v>1</v>
      </c>
      <c r="E1413">
        <v>16</v>
      </c>
      <c r="F1413">
        <v>4</v>
      </c>
      <c r="G1413">
        <v>1</v>
      </c>
      <c r="H1413">
        <f>표5[[#This Row],[공격성공횟수]]/(표5[[#This Row],[공격실패횟수]]+표5[[#This Row],[공격성공횟수]])</f>
        <v>5.8823529411764705E-2</v>
      </c>
    </row>
    <row r="1414" spans="1:8" x14ac:dyDescent="0.4">
      <c r="A1414">
        <v>707</v>
      </c>
      <c r="B1414" t="s">
        <v>0</v>
      </c>
      <c r="C1414">
        <v>1</v>
      </c>
      <c r="D1414">
        <v>4</v>
      </c>
      <c r="E1414">
        <v>15</v>
      </c>
      <c r="F1414">
        <v>1</v>
      </c>
      <c r="G1414">
        <v>0</v>
      </c>
      <c r="H1414">
        <f>표5[[#This Row],[공격성공횟수]]/(표5[[#This Row],[공격실패횟수]]+표5[[#This Row],[공격성공횟수]])</f>
        <v>0.21052631578947367</v>
      </c>
    </row>
    <row r="1415" spans="1:8" hidden="1" x14ac:dyDescent="0.4">
      <c r="A1415">
        <v>707</v>
      </c>
      <c r="B1415" t="s">
        <v>1</v>
      </c>
      <c r="C1415">
        <v>0</v>
      </c>
      <c r="D1415">
        <v>1</v>
      </c>
      <c r="E1415">
        <v>18</v>
      </c>
      <c r="F1415">
        <v>4</v>
      </c>
      <c r="G1415">
        <v>1</v>
      </c>
      <c r="H1415">
        <f>표5[[#This Row],[공격성공횟수]]/(표5[[#This Row],[공격실패횟수]]+표5[[#This Row],[공격성공횟수]])</f>
        <v>5.2631578947368418E-2</v>
      </c>
    </row>
    <row r="1416" spans="1:8" x14ac:dyDescent="0.4">
      <c r="A1416">
        <v>708</v>
      </c>
      <c r="B1416" t="s">
        <v>0</v>
      </c>
      <c r="C1416">
        <v>1</v>
      </c>
      <c r="D1416">
        <v>4</v>
      </c>
      <c r="E1416">
        <v>22</v>
      </c>
      <c r="F1416">
        <v>2</v>
      </c>
      <c r="G1416">
        <v>0</v>
      </c>
      <c r="H1416">
        <f>표5[[#This Row],[공격성공횟수]]/(표5[[#This Row],[공격실패횟수]]+표5[[#This Row],[공격성공횟수]])</f>
        <v>0.15384615384615385</v>
      </c>
    </row>
    <row r="1417" spans="1:8" hidden="1" x14ac:dyDescent="0.4">
      <c r="A1417">
        <v>708</v>
      </c>
      <c r="B1417" t="s">
        <v>1</v>
      </c>
      <c r="C1417">
        <v>0</v>
      </c>
      <c r="D1417">
        <v>2</v>
      </c>
      <c r="E1417">
        <v>23</v>
      </c>
      <c r="F1417">
        <v>4</v>
      </c>
      <c r="G1417">
        <v>1</v>
      </c>
      <c r="H1417">
        <f>표5[[#This Row],[공격성공횟수]]/(표5[[#This Row],[공격실패횟수]]+표5[[#This Row],[공격성공횟수]])</f>
        <v>0.08</v>
      </c>
    </row>
    <row r="1418" spans="1:8" x14ac:dyDescent="0.4">
      <c r="A1418">
        <v>709</v>
      </c>
      <c r="B1418" t="s">
        <v>0</v>
      </c>
      <c r="C1418">
        <v>0</v>
      </c>
      <c r="D1418">
        <v>2</v>
      </c>
      <c r="E1418">
        <v>30</v>
      </c>
      <c r="F1418">
        <v>4</v>
      </c>
      <c r="G1418">
        <v>1</v>
      </c>
      <c r="H1418">
        <f>표5[[#This Row],[공격성공횟수]]/(표5[[#This Row],[공격실패횟수]]+표5[[#This Row],[공격성공횟수]])</f>
        <v>6.25E-2</v>
      </c>
    </row>
    <row r="1419" spans="1:8" hidden="1" x14ac:dyDescent="0.4">
      <c r="A1419">
        <v>709</v>
      </c>
      <c r="B1419" t="s">
        <v>1</v>
      </c>
      <c r="C1419">
        <v>1</v>
      </c>
      <c r="D1419">
        <v>4</v>
      </c>
      <c r="E1419">
        <v>28</v>
      </c>
      <c r="F1419">
        <v>2</v>
      </c>
      <c r="G1419">
        <v>0</v>
      </c>
      <c r="H1419">
        <f>표5[[#This Row],[공격성공횟수]]/(표5[[#This Row],[공격실패횟수]]+표5[[#This Row],[공격성공횟수]])</f>
        <v>0.125</v>
      </c>
    </row>
    <row r="1420" spans="1:8" x14ac:dyDescent="0.4">
      <c r="A1420">
        <v>710</v>
      </c>
      <c r="B1420" t="s">
        <v>0</v>
      </c>
      <c r="C1420">
        <v>0</v>
      </c>
      <c r="D1420">
        <v>0</v>
      </c>
      <c r="E1420">
        <v>18</v>
      </c>
      <c r="F1420">
        <v>4</v>
      </c>
      <c r="G1420">
        <v>1</v>
      </c>
      <c r="H1420">
        <f>표5[[#This Row],[공격성공횟수]]/(표5[[#This Row],[공격실패횟수]]+표5[[#This Row],[공격성공횟수]])</f>
        <v>0</v>
      </c>
    </row>
    <row r="1421" spans="1:8" hidden="1" x14ac:dyDescent="0.4">
      <c r="A1421">
        <v>710</v>
      </c>
      <c r="B1421" t="s">
        <v>1</v>
      </c>
      <c r="C1421">
        <v>1</v>
      </c>
      <c r="D1421">
        <v>4</v>
      </c>
      <c r="E1421">
        <v>13</v>
      </c>
      <c r="F1421">
        <v>0</v>
      </c>
      <c r="G1421">
        <v>0</v>
      </c>
      <c r="H1421">
        <f>표5[[#This Row],[공격성공횟수]]/(표5[[#This Row],[공격실패횟수]]+표5[[#This Row],[공격성공횟수]])</f>
        <v>0.23529411764705882</v>
      </c>
    </row>
    <row r="1422" spans="1:8" x14ac:dyDescent="0.4">
      <c r="A1422">
        <v>711</v>
      </c>
      <c r="B1422" t="s">
        <v>0</v>
      </c>
      <c r="C1422">
        <v>1</v>
      </c>
      <c r="D1422">
        <v>4</v>
      </c>
      <c r="E1422">
        <v>14</v>
      </c>
      <c r="F1422">
        <v>1</v>
      </c>
      <c r="G1422">
        <v>0</v>
      </c>
      <c r="H1422">
        <f>표5[[#This Row],[공격성공횟수]]/(표5[[#This Row],[공격실패횟수]]+표5[[#This Row],[공격성공횟수]])</f>
        <v>0.22222222222222221</v>
      </c>
    </row>
    <row r="1423" spans="1:8" hidden="1" x14ac:dyDescent="0.4">
      <c r="A1423">
        <v>711</v>
      </c>
      <c r="B1423" t="s">
        <v>1</v>
      </c>
      <c r="C1423">
        <v>0</v>
      </c>
      <c r="D1423">
        <v>1</v>
      </c>
      <c r="E1423">
        <v>16</v>
      </c>
      <c r="F1423">
        <v>4</v>
      </c>
      <c r="G1423">
        <v>1</v>
      </c>
      <c r="H1423">
        <f>표5[[#This Row],[공격성공횟수]]/(표5[[#This Row],[공격실패횟수]]+표5[[#This Row],[공격성공횟수]])</f>
        <v>5.8823529411764705E-2</v>
      </c>
    </row>
    <row r="1424" spans="1:8" x14ac:dyDescent="0.4">
      <c r="A1424">
        <v>712</v>
      </c>
      <c r="B1424" t="s">
        <v>0</v>
      </c>
      <c r="C1424">
        <v>1</v>
      </c>
      <c r="D1424">
        <v>4</v>
      </c>
      <c r="E1424">
        <v>8</v>
      </c>
      <c r="F1424">
        <v>3</v>
      </c>
      <c r="G1424">
        <v>0</v>
      </c>
      <c r="H1424">
        <f>표5[[#This Row],[공격성공횟수]]/(표5[[#This Row],[공격실패횟수]]+표5[[#This Row],[공격성공횟수]])</f>
        <v>0.33333333333333331</v>
      </c>
    </row>
    <row r="1425" spans="1:8" hidden="1" x14ac:dyDescent="0.4">
      <c r="A1425">
        <v>712</v>
      </c>
      <c r="B1425" t="s">
        <v>1</v>
      </c>
      <c r="C1425">
        <v>0</v>
      </c>
      <c r="D1425">
        <v>3</v>
      </c>
      <c r="E1425">
        <v>9</v>
      </c>
      <c r="F1425">
        <v>4</v>
      </c>
      <c r="G1425">
        <v>1</v>
      </c>
      <c r="H1425">
        <f>표5[[#This Row],[공격성공횟수]]/(표5[[#This Row],[공격실패횟수]]+표5[[#This Row],[공격성공횟수]])</f>
        <v>0.25</v>
      </c>
    </row>
    <row r="1426" spans="1:8" x14ac:dyDescent="0.4">
      <c r="A1426">
        <v>713</v>
      </c>
      <c r="B1426" t="s">
        <v>0</v>
      </c>
      <c r="C1426">
        <v>0</v>
      </c>
      <c r="D1426">
        <v>0</v>
      </c>
      <c r="E1426">
        <v>29</v>
      </c>
      <c r="F1426">
        <v>4</v>
      </c>
      <c r="G1426">
        <v>1</v>
      </c>
      <c r="H1426">
        <f>표5[[#This Row],[공격성공횟수]]/(표5[[#This Row],[공격실패횟수]]+표5[[#This Row],[공격성공횟수]])</f>
        <v>0</v>
      </c>
    </row>
    <row r="1427" spans="1:8" hidden="1" x14ac:dyDescent="0.4">
      <c r="A1427">
        <v>713</v>
      </c>
      <c r="B1427" t="s">
        <v>1</v>
      </c>
      <c r="C1427">
        <v>1</v>
      </c>
      <c r="D1427">
        <v>4</v>
      </c>
      <c r="E1427">
        <v>26</v>
      </c>
      <c r="F1427">
        <v>0</v>
      </c>
      <c r="G1427">
        <v>0</v>
      </c>
      <c r="H1427">
        <f>표5[[#This Row],[공격성공횟수]]/(표5[[#This Row],[공격실패횟수]]+표5[[#This Row],[공격성공횟수]])</f>
        <v>0.13333333333333333</v>
      </c>
    </row>
    <row r="1428" spans="1:8" x14ac:dyDescent="0.4">
      <c r="A1428">
        <v>714</v>
      </c>
      <c r="B1428" t="s">
        <v>0</v>
      </c>
      <c r="C1428">
        <v>1</v>
      </c>
      <c r="D1428">
        <v>4</v>
      </c>
      <c r="E1428">
        <v>12</v>
      </c>
      <c r="F1428">
        <v>1</v>
      </c>
      <c r="G1428">
        <v>0</v>
      </c>
      <c r="H1428">
        <f>표5[[#This Row],[공격성공횟수]]/(표5[[#This Row],[공격실패횟수]]+표5[[#This Row],[공격성공횟수]])</f>
        <v>0.25</v>
      </c>
    </row>
    <row r="1429" spans="1:8" hidden="1" x14ac:dyDescent="0.4">
      <c r="A1429">
        <v>714</v>
      </c>
      <c r="B1429" t="s">
        <v>1</v>
      </c>
      <c r="C1429">
        <v>0</v>
      </c>
      <c r="D1429">
        <v>1</v>
      </c>
      <c r="E1429">
        <v>14</v>
      </c>
      <c r="F1429">
        <v>4</v>
      </c>
      <c r="G1429">
        <v>1</v>
      </c>
      <c r="H1429">
        <f>표5[[#This Row],[공격성공횟수]]/(표5[[#This Row],[공격실패횟수]]+표5[[#This Row],[공격성공횟수]])</f>
        <v>6.6666666666666666E-2</v>
      </c>
    </row>
    <row r="1430" spans="1:8" x14ac:dyDescent="0.4">
      <c r="A1430">
        <v>715</v>
      </c>
      <c r="B1430" t="s">
        <v>0</v>
      </c>
      <c r="C1430">
        <v>0</v>
      </c>
      <c r="D1430">
        <v>0</v>
      </c>
      <c r="E1430">
        <v>22</v>
      </c>
      <c r="F1430">
        <v>4</v>
      </c>
      <c r="G1430">
        <v>1</v>
      </c>
      <c r="H1430">
        <f>표5[[#This Row],[공격성공횟수]]/(표5[[#This Row],[공격실패횟수]]+표5[[#This Row],[공격성공횟수]])</f>
        <v>0</v>
      </c>
    </row>
    <row r="1431" spans="1:8" hidden="1" x14ac:dyDescent="0.4">
      <c r="A1431">
        <v>715</v>
      </c>
      <c r="B1431" t="s">
        <v>1</v>
      </c>
      <c r="C1431">
        <v>1</v>
      </c>
      <c r="D1431">
        <v>4</v>
      </c>
      <c r="E1431">
        <v>18</v>
      </c>
      <c r="F1431">
        <v>0</v>
      </c>
      <c r="G1431">
        <v>0</v>
      </c>
      <c r="H1431">
        <f>표5[[#This Row],[공격성공횟수]]/(표5[[#This Row],[공격실패횟수]]+표5[[#This Row],[공격성공횟수]])</f>
        <v>0.18181818181818182</v>
      </c>
    </row>
    <row r="1432" spans="1:8" x14ac:dyDescent="0.4">
      <c r="A1432">
        <v>716</v>
      </c>
      <c r="B1432" t="s">
        <v>0</v>
      </c>
      <c r="C1432">
        <v>1</v>
      </c>
      <c r="D1432">
        <v>4</v>
      </c>
      <c r="E1432">
        <v>13</v>
      </c>
      <c r="F1432">
        <v>2</v>
      </c>
      <c r="G1432">
        <v>0</v>
      </c>
      <c r="H1432">
        <f>표5[[#This Row],[공격성공횟수]]/(표5[[#This Row],[공격실패횟수]]+표5[[#This Row],[공격성공횟수]])</f>
        <v>0.23529411764705882</v>
      </c>
    </row>
    <row r="1433" spans="1:8" hidden="1" x14ac:dyDescent="0.4">
      <c r="A1433">
        <v>716</v>
      </c>
      <c r="B1433" t="s">
        <v>1</v>
      </c>
      <c r="C1433">
        <v>0</v>
      </c>
      <c r="D1433">
        <v>2</v>
      </c>
      <c r="E1433">
        <v>14</v>
      </c>
      <c r="F1433">
        <v>4</v>
      </c>
      <c r="G1433">
        <v>1</v>
      </c>
      <c r="H1433">
        <f>표5[[#This Row],[공격성공횟수]]/(표5[[#This Row],[공격실패횟수]]+표5[[#This Row],[공격성공횟수]])</f>
        <v>0.125</v>
      </c>
    </row>
    <row r="1434" spans="1:8" x14ac:dyDescent="0.4">
      <c r="A1434">
        <v>717</v>
      </c>
      <c r="B1434" t="s">
        <v>0</v>
      </c>
      <c r="C1434">
        <v>1</v>
      </c>
      <c r="D1434">
        <v>4</v>
      </c>
      <c r="E1434">
        <v>15</v>
      </c>
      <c r="F1434">
        <v>2</v>
      </c>
      <c r="G1434">
        <v>0</v>
      </c>
      <c r="H1434">
        <f>표5[[#This Row],[공격성공횟수]]/(표5[[#This Row],[공격실패횟수]]+표5[[#This Row],[공격성공횟수]])</f>
        <v>0.21052631578947367</v>
      </c>
    </row>
    <row r="1435" spans="1:8" hidden="1" x14ac:dyDescent="0.4">
      <c r="A1435">
        <v>717</v>
      </c>
      <c r="B1435" t="s">
        <v>1</v>
      </c>
      <c r="C1435">
        <v>0</v>
      </c>
      <c r="D1435">
        <v>2</v>
      </c>
      <c r="E1435">
        <v>16</v>
      </c>
      <c r="F1435">
        <v>4</v>
      </c>
      <c r="G1435">
        <v>1</v>
      </c>
      <c r="H1435">
        <f>표5[[#This Row],[공격성공횟수]]/(표5[[#This Row],[공격실패횟수]]+표5[[#This Row],[공격성공횟수]])</f>
        <v>0.1111111111111111</v>
      </c>
    </row>
    <row r="1436" spans="1:8" x14ac:dyDescent="0.4">
      <c r="A1436">
        <v>718</v>
      </c>
      <c r="B1436" t="s">
        <v>0</v>
      </c>
      <c r="C1436">
        <v>1</v>
      </c>
      <c r="D1436">
        <v>4</v>
      </c>
      <c r="E1436">
        <v>9</v>
      </c>
      <c r="F1436">
        <v>0</v>
      </c>
      <c r="G1436">
        <v>0</v>
      </c>
      <c r="H1436">
        <f>표5[[#This Row],[공격성공횟수]]/(표5[[#This Row],[공격실패횟수]]+표5[[#This Row],[공격성공횟수]])</f>
        <v>0.30769230769230771</v>
      </c>
    </row>
    <row r="1437" spans="1:8" hidden="1" x14ac:dyDescent="0.4">
      <c r="A1437">
        <v>718</v>
      </c>
      <c r="B1437" t="s">
        <v>1</v>
      </c>
      <c r="C1437">
        <v>0</v>
      </c>
      <c r="D1437">
        <v>0</v>
      </c>
      <c r="E1437">
        <v>13</v>
      </c>
      <c r="F1437">
        <v>4</v>
      </c>
      <c r="G1437">
        <v>1</v>
      </c>
      <c r="H1437">
        <f>표5[[#This Row],[공격성공횟수]]/(표5[[#This Row],[공격실패횟수]]+표5[[#This Row],[공격성공횟수]])</f>
        <v>0</v>
      </c>
    </row>
    <row r="1438" spans="1:8" x14ac:dyDescent="0.4">
      <c r="A1438">
        <v>719</v>
      </c>
      <c r="B1438" t="s">
        <v>0</v>
      </c>
      <c r="C1438">
        <v>1</v>
      </c>
      <c r="D1438">
        <v>4</v>
      </c>
      <c r="E1438">
        <v>17</v>
      </c>
      <c r="F1438">
        <v>1</v>
      </c>
      <c r="G1438">
        <v>0</v>
      </c>
      <c r="H1438">
        <f>표5[[#This Row],[공격성공횟수]]/(표5[[#This Row],[공격실패횟수]]+표5[[#This Row],[공격성공횟수]])</f>
        <v>0.19047619047619047</v>
      </c>
    </row>
    <row r="1439" spans="1:8" hidden="1" x14ac:dyDescent="0.4">
      <c r="A1439">
        <v>719</v>
      </c>
      <c r="B1439" t="s">
        <v>1</v>
      </c>
      <c r="C1439">
        <v>0</v>
      </c>
      <c r="D1439">
        <v>1</v>
      </c>
      <c r="E1439">
        <v>20</v>
      </c>
      <c r="F1439">
        <v>4</v>
      </c>
      <c r="G1439">
        <v>1</v>
      </c>
      <c r="H1439">
        <f>표5[[#This Row],[공격성공횟수]]/(표5[[#This Row],[공격실패횟수]]+표5[[#This Row],[공격성공횟수]])</f>
        <v>4.7619047619047616E-2</v>
      </c>
    </row>
    <row r="1440" spans="1:8" x14ac:dyDescent="0.4">
      <c r="A1440">
        <v>720</v>
      </c>
      <c r="B1440" t="s">
        <v>0</v>
      </c>
      <c r="C1440">
        <v>1</v>
      </c>
      <c r="D1440">
        <v>4</v>
      </c>
      <c r="E1440">
        <v>10</v>
      </c>
      <c r="F1440">
        <v>0</v>
      </c>
      <c r="G1440">
        <v>0</v>
      </c>
      <c r="H1440">
        <f>표5[[#This Row],[공격성공횟수]]/(표5[[#This Row],[공격실패횟수]]+표5[[#This Row],[공격성공횟수]])</f>
        <v>0.2857142857142857</v>
      </c>
    </row>
    <row r="1441" spans="1:8" hidden="1" x14ac:dyDescent="0.4">
      <c r="A1441">
        <v>720</v>
      </c>
      <c r="B1441" t="s">
        <v>1</v>
      </c>
      <c r="C1441">
        <v>0</v>
      </c>
      <c r="D1441">
        <v>0</v>
      </c>
      <c r="E1441">
        <v>16</v>
      </c>
      <c r="F1441">
        <v>4</v>
      </c>
      <c r="G1441">
        <v>1</v>
      </c>
      <c r="H1441">
        <f>표5[[#This Row],[공격성공횟수]]/(표5[[#This Row],[공격실패횟수]]+표5[[#This Row],[공격성공횟수]])</f>
        <v>0</v>
      </c>
    </row>
    <row r="1442" spans="1:8" x14ac:dyDescent="0.4">
      <c r="A1442">
        <v>721</v>
      </c>
      <c r="B1442" t="s">
        <v>0</v>
      </c>
      <c r="C1442">
        <v>1</v>
      </c>
      <c r="D1442">
        <v>4</v>
      </c>
      <c r="E1442">
        <v>13</v>
      </c>
      <c r="F1442">
        <v>1</v>
      </c>
      <c r="G1442">
        <v>0</v>
      </c>
      <c r="H1442">
        <f>표5[[#This Row],[공격성공횟수]]/(표5[[#This Row],[공격실패횟수]]+표5[[#This Row],[공격성공횟수]])</f>
        <v>0.23529411764705882</v>
      </c>
    </row>
    <row r="1443" spans="1:8" hidden="1" x14ac:dyDescent="0.4">
      <c r="A1443">
        <v>721</v>
      </c>
      <c r="B1443" t="s">
        <v>1</v>
      </c>
      <c r="C1443">
        <v>0</v>
      </c>
      <c r="D1443">
        <v>1</v>
      </c>
      <c r="E1443">
        <v>15</v>
      </c>
      <c r="F1443">
        <v>4</v>
      </c>
      <c r="G1443">
        <v>1</v>
      </c>
      <c r="H1443">
        <f>표5[[#This Row],[공격성공횟수]]/(표5[[#This Row],[공격실패횟수]]+표5[[#This Row],[공격성공횟수]])</f>
        <v>6.25E-2</v>
      </c>
    </row>
    <row r="1444" spans="1:8" x14ac:dyDescent="0.4">
      <c r="A1444">
        <v>722</v>
      </c>
      <c r="B1444" t="s">
        <v>0</v>
      </c>
      <c r="C1444">
        <v>1</v>
      </c>
      <c r="D1444">
        <v>4</v>
      </c>
      <c r="E1444">
        <v>9</v>
      </c>
      <c r="F1444">
        <v>0</v>
      </c>
      <c r="G1444">
        <v>0</v>
      </c>
      <c r="H1444">
        <f>표5[[#This Row],[공격성공횟수]]/(표5[[#This Row],[공격실패횟수]]+표5[[#This Row],[공격성공횟수]])</f>
        <v>0.30769230769230771</v>
      </c>
    </row>
    <row r="1445" spans="1:8" hidden="1" x14ac:dyDescent="0.4">
      <c r="A1445">
        <v>722</v>
      </c>
      <c r="B1445" t="s">
        <v>1</v>
      </c>
      <c r="C1445">
        <v>0</v>
      </c>
      <c r="D1445">
        <v>0</v>
      </c>
      <c r="E1445">
        <v>13</v>
      </c>
      <c r="F1445">
        <v>4</v>
      </c>
      <c r="G1445">
        <v>1</v>
      </c>
      <c r="H1445">
        <f>표5[[#This Row],[공격성공횟수]]/(표5[[#This Row],[공격실패횟수]]+표5[[#This Row],[공격성공횟수]])</f>
        <v>0</v>
      </c>
    </row>
    <row r="1446" spans="1:8" x14ac:dyDescent="0.4">
      <c r="A1446">
        <v>723</v>
      </c>
      <c r="B1446" t="s">
        <v>0</v>
      </c>
      <c r="C1446">
        <v>1</v>
      </c>
      <c r="D1446">
        <v>4</v>
      </c>
      <c r="E1446">
        <v>8</v>
      </c>
      <c r="F1446">
        <v>1</v>
      </c>
      <c r="G1446">
        <v>0</v>
      </c>
      <c r="H1446">
        <f>표5[[#This Row],[공격성공횟수]]/(표5[[#This Row],[공격실패횟수]]+표5[[#This Row],[공격성공횟수]])</f>
        <v>0.33333333333333331</v>
      </c>
    </row>
    <row r="1447" spans="1:8" hidden="1" x14ac:dyDescent="0.4">
      <c r="A1447">
        <v>723</v>
      </c>
      <c r="B1447" t="s">
        <v>1</v>
      </c>
      <c r="C1447">
        <v>0</v>
      </c>
      <c r="D1447">
        <v>1</v>
      </c>
      <c r="E1447">
        <v>11</v>
      </c>
      <c r="F1447">
        <v>4</v>
      </c>
      <c r="G1447">
        <v>1</v>
      </c>
      <c r="H1447">
        <f>표5[[#This Row],[공격성공횟수]]/(표5[[#This Row],[공격실패횟수]]+표5[[#This Row],[공격성공횟수]])</f>
        <v>8.3333333333333329E-2</v>
      </c>
    </row>
    <row r="1448" spans="1:8" x14ac:dyDescent="0.4">
      <c r="A1448">
        <v>724</v>
      </c>
      <c r="B1448" t="s">
        <v>0</v>
      </c>
      <c r="C1448">
        <v>1</v>
      </c>
      <c r="D1448">
        <v>4</v>
      </c>
      <c r="E1448">
        <v>6</v>
      </c>
      <c r="F1448">
        <v>0</v>
      </c>
      <c r="G1448">
        <v>0</v>
      </c>
      <c r="H1448">
        <f>표5[[#This Row],[공격성공횟수]]/(표5[[#This Row],[공격실패횟수]]+표5[[#This Row],[공격성공횟수]])</f>
        <v>0.4</v>
      </c>
    </row>
    <row r="1449" spans="1:8" hidden="1" x14ac:dyDescent="0.4">
      <c r="A1449">
        <v>724</v>
      </c>
      <c r="B1449" t="s">
        <v>1</v>
      </c>
      <c r="C1449">
        <v>0</v>
      </c>
      <c r="D1449">
        <v>0</v>
      </c>
      <c r="E1449">
        <v>10</v>
      </c>
      <c r="F1449">
        <v>4</v>
      </c>
      <c r="G1449">
        <v>1</v>
      </c>
      <c r="H1449">
        <f>표5[[#This Row],[공격성공횟수]]/(표5[[#This Row],[공격실패횟수]]+표5[[#This Row],[공격성공횟수]])</f>
        <v>0</v>
      </c>
    </row>
    <row r="1450" spans="1:8" x14ac:dyDescent="0.4">
      <c r="A1450">
        <v>725</v>
      </c>
      <c r="B1450" t="s">
        <v>0</v>
      </c>
      <c r="C1450">
        <v>1</v>
      </c>
      <c r="D1450">
        <v>4</v>
      </c>
      <c r="E1450">
        <v>9</v>
      </c>
      <c r="F1450">
        <v>0</v>
      </c>
      <c r="G1450">
        <v>0</v>
      </c>
      <c r="H1450">
        <f>표5[[#This Row],[공격성공횟수]]/(표5[[#This Row],[공격실패횟수]]+표5[[#This Row],[공격성공횟수]])</f>
        <v>0.30769230769230771</v>
      </c>
    </row>
    <row r="1451" spans="1:8" hidden="1" x14ac:dyDescent="0.4">
      <c r="A1451">
        <v>725</v>
      </c>
      <c r="B1451" t="s">
        <v>1</v>
      </c>
      <c r="C1451">
        <v>0</v>
      </c>
      <c r="D1451">
        <v>0</v>
      </c>
      <c r="E1451">
        <v>15</v>
      </c>
      <c r="F1451">
        <v>4</v>
      </c>
      <c r="G1451">
        <v>1</v>
      </c>
      <c r="H1451">
        <f>표5[[#This Row],[공격성공횟수]]/(표5[[#This Row],[공격실패횟수]]+표5[[#This Row],[공격성공횟수]])</f>
        <v>0</v>
      </c>
    </row>
    <row r="1452" spans="1:8" x14ac:dyDescent="0.4">
      <c r="A1452">
        <v>726</v>
      </c>
      <c r="B1452" t="s">
        <v>0</v>
      </c>
      <c r="C1452">
        <v>1</v>
      </c>
      <c r="D1452">
        <v>4</v>
      </c>
      <c r="E1452">
        <v>10</v>
      </c>
      <c r="F1452">
        <v>2</v>
      </c>
      <c r="G1452">
        <v>0</v>
      </c>
      <c r="H1452">
        <f>표5[[#This Row],[공격성공횟수]]/(표5[[#This Row],[공격실패횟수]]+표5[[#This Row],[공격성공횟수]])</f>
        <v>0.2857142857142857</v>
      </c>
    </row>
    <row r="1453" spans="1:8" hidden="1" x14ac:dyDescent="0.4">
      <c r="A1453">
        <v>726</v>
      </c>
      <c r="B1453" t="s">
        <v>1</v>
      </c>
      <c r="C1453">
        <v>0</v>
      </c>
      <c r="D1453">
        <v>2</v>
      </c>
      <c r="E1453">
        <v>12</v>
      </c>
      <c r="F1453">
        <v>4</v>
      </c>
      <c r="G1453">
        <v>1</v>
      </c>
      <c r="H1453">
        <f>표5[[#This Row],[공격성공횟수]]/(표5[[#This Row],[공격실패횟수]]+표5[[#This Row],[공격성공횟수]])</f>
        <v>0.14285714285714285</v>
      </c>
    </row>
    <row r="1454" spans="1:8" x14ac:dyDescent="0.4">
      <c r="A1454">
        <v>727</v>
      </c>
      <c r="B1454" t="s">
        <v>0</v>
      </c>
      <c r="C1454">
        <v>1</v>
      </c>
      <c r="D1454">
        <v>4</v>
      </c>
      <c r="E1454">
        <v>14</v>
      </c>
      <c r="F1454">
        <v>3</v>
      </c>
      <c r="G1454">
        <v>0</v>
      </c>
      <c r="H1454">
        <f>표5[[#This Row],[공격성공횟수]]/(표5[[#This Row],[공격실패횟수]]+표5[[#This Row],[공격성공횟수]])</f>
        <v>0.22222222222222221</v>
      </c>
    </row>
    <row r="1455" spans="1:8" hidden="1" x14ac:dyDescent="0.4">
      <c r="A1455">
        <v>727</v>
      </c>
      <c r="B1455" t="s">
        <v>1</v>
      </c>
      <c r="C1455">
        <v>0</v>
      </c>
      <c r="D1455">
        <v>3</v>
      </c>
      <c r="E1455">
        <v>13</v>
      </c>
      <c r="F1455">
        <v>4</v>
      </c>
      <c r="G1455">
        <v>1</v>
      </c>
      <c r="H1455">
        <f>표5[[#This Row],[공격성공횟수]]/(표5[[#This Row],[공격실패횟수]]+표5[[#This Row],[공격성공횟수]])</f>
        <v>0.1875</v>
      </c>
    </row>
    <row r="1456" spans="1:8" x14ac:dyDescent="0.4">
      <c r="A1456">
        <v>728</v>
      </c>
      <c r="B1456" t="s">
        <v>0</v>
      </c>
      <c r="C1456">
        <v>1</v>
      </c>
      <c r="D1456">
        <v>4</v>
      </c>
      <c r="E1456">
        <v>12</v>
      </c>
      <c r="F1456">
        <v>2</v>
      </c>
      <c r="G1456">
        <v>0</v>
      </c>
      <c r="H1456">
        <f>표5[[#This Row],[공격성공횟수]]/(표5[[#This Row],[공격실패횟수]]+표5[[#This Row],[공격성공횟수]])</f>
        <v>0.25</v>
      </c>
    </row>
    <row r="1457" spans="1:8" hidden="1" x14ac:dyDescent="0.4">
      <c r="A1457">
        <v>728</v>
      </c>
      <c r="B1457" t="s">
        <v>1</v>
      </c>
      <c r="C1457">
        <v>0</v>
      </c>
      <c r="D1457">
        <v>2</v>
      </c>
      <c r="E1457">
        <v>14</v>
      </c>
      <c r="F1457">
        <v>4</v>
      </c>
      <c r="G1457">
        <v>1</v>
      </c>
      <c r="H1457">
        <f>표5[[#This Row],[공격성공횟수]]/(표5[[#This Row],[공격실패횟수]]+표5[[#This Row],[공격성공횟수]])</f>
        <v>0.125</v>
      </c>
    </row>
    <row r="1458" spans="1:8" x14ac:dyDescent="0.4">
      <c r="A1458">
        <v>729</v>
      </c>
      <c r="B1458" t="s">
        <v>0</v>
      </c>
      <c r="C1458">
        <v>0</v>
      </c>
      <c r="D1458">
        <v>0</v>
      </c>
      <c r="E1458">
        <v>6</v>
      </c>
      <c r="F1458">
        <v>4</v>
      </c>
      <c r="G1458">
        <v>1</v>
      </c>
      <c r="H1458">
        <f>표5[[#This Row],[공격성공횟수]]/(표5[[#This Row],[공격실패횟수]]+표5[[#This Row],[공격성공횟수]])</f>
        <v>0</v>
      </c>
    </row>
    <row r="1459" spans="1:8" hidden="1" x14ac:dyDescent="0.4">
      <c r="A1459">
        <v>729</v>
      </c>
      <c r="B1459" t="s">
        <v>1</v>
      </c>
      <c r="C1459">
        <v>1</v>
      </c>
      <c r="D1459">
        <v>4</v>
      </c>
      <c r="E1459">
        <v>2</v>
      </c>
      <c r="F1459">
        <v>0</v>
      </c>
      <c r="G1459">
        <v>0</v>
      </c>
      <c r="H1459">
        <f>표5[[#This Row],[공격성공횟수]]/(표5[[#This Row],[공격실패횟수]]+표5[[#This Row],[공격성공횟수]])</f>
        <v>0.66666666666666663</v>
      </c>
    </row>
    <row r="1460" spans="1:8" x14ac:dyDescent="0.4">
      <c r="A1460">
        <v>730</v>
      </c>
      <c r="B1460" t="s">
        <v>0</v>
      </c>
      <c r="C1460">
        <v>1</v>
      </c>
      <c r="D1460">
        <v>4</v>
      </c>
      <c r="E1460">
        <v>5</v>
      </c>
      <c r="F1460">
        <v>0</v>
      </c>
      <c r="G1460">
        <v>0</v>
      </c>
      <c r="H1460">
        <f>표5[[#This Row],[공격성공횟수]]/(표5[[#This Row],[공격실패횟수]]+표5[[#This Row],[공격성공횟수]])</f>
        <v>0.44444444444444442</v>
      </c>
    </row>
    <row r="1461" spans="1:8" hidden="1" x14ac:dyDescent="0.4">
      <c r="A1461">
        <v>730</v>
      </c>
      <c r="B1461" t="s">
        <v>1</v>
      </c>
      <c r="C1461">
        <v>0</v>
      </c>
      <c r="D1461">
        <v>0</v>
      </c>
      <c r="E1461">
        <v>8</v>
      </c>
      <c r="F1461">
        <v>4</v>
      </c>
      <c r="G1461">
        <v>1</v>
      </c>
      <c r="H1461">
        <f>표5[[#This Row],[공격성공횟수]]/(표5[[#This Row],[공격실패횟수]]+표5[[#This Row],[공격성공횟수]])</f>
        <v>0</v>
      </c>
    </row>
    <row r="1462" spans="1:8" x14ac:dyDescent="0.4">
      <c r="A1462">
        <v>731</v>
      </c>
      <c r="B1462" t="s">
        <v>0</v>
      </c>
      <c r="C1462">
        <v>1</v>
      </c>
      <c r="D1462">
        <v>4</v>
      </c>
      <c r="E1462">
        <v>22</v>
      </c>
      <c r="F1462">
        <v>1</v>
      </c>
      <c r="G1462">
        <v>0</v>
      </c>
      <c r="H1462">
        <f>표5[[#This Row],[공격성공횟수]]/(표5[[#This Row],[공격실패횟수]]+표5[[#This Row],[공격성공횟수]])</f>
        <v>0.15384615384615385</v>
      </c>
    </row>
    <row r="1463" spans="1:8" hidden="1" x14ac:dyDescent="0.4">
      <c r="A1463">
        <v>731</v>
      </c>
      <c r="B1463" t="s">
        <v>1</v>
      </c>
      <c r="C1463">
        <v>0</v>
      </c>
      <c r="D1463">
        <v>1</v>
      </c>
      <c r="E1463">
        <v>25</v>
      </c>
      <c r="F1463">
        <v>4</v>
      </c>
      <c r="G1463">
        <v>1</v>
      </c>
      <c r="H1463">
        <f>표5[[#This Row],[공격성공횟수]]/(표5[[#This Row],[공격실패횟수]]+표5[[#This Row],[공격성공횟수]])</f>
        <v>3.8461538461538464E-2</v>
      </c>
    </row>
    <row r="1464" spans="1:8" x14ac:dyDescent="0.4">
      <c r="A1464">
        <v>732</v>
      </c>
      <c r="B1464" t="s">
        <v>0</v>
      </c>
      <c r="C1464">
        <v>1</v>
      </c>
      <c r="D1464">
        <v>4</v>
      </c>
      <c r="E1464">
        <v>12</v>
      </c>
      <c r="F1464">
        <v>1</v>
      </c>
      <c r="G1464">
        <v>0</v>
      </c>
      <c r="H1464">
        <f>표5[[#This Row],[공격성공횟수]]/(표5[[#This Row],[공격실패횟수]]+표5[[#This Row],[공격성공횟수]])</f>
        <v>0.25</v>
      </c>
    </row>
    <row r="1465" spans="1:8" hidden="1" x14ac:dyDescent="0.4">
      <c r="A1465">
        <v>732</v>
      </c>
      <c r="B1465" t="s">
        <v>1</v>
      </c>
      <c r="C1465">
        <v>0</v>
      </c>
      <c r="D1465">
        <v>1</v>
      </c>
      <c r="E1465">
        <v>15</v>
      </c>
      <c r="F1465">
        <v>4</v>
      </c>
      <c r="G1465">
        <v>1</v>
      </c>
      <c r="H1465">
        <f>표5[[#This Row],[공격성공횟수]]/(표5[[#This Row],[공격실패횟수]]+표5[[#This Row],[공격성공횟수]])</f>
        <v>6.25E-2</v>
      </c>
    </row>
    <row r="1466" spans="1:8" x14ac:dyDescent="0.4">
      <c r="A1466">
        <v>733</v>
      </c>
      <c r="B1466" t="s">
        <v>0</v>
      </c>
      <c r="C1466">
        <v>1</v>
      </c>
      <c r="D1466">
        <v>4</v>
      </c>
      <c r="E1466">
        <v>16</v>
      </c>
      <c r="F1466">
        <v>0</v>
      </c>
      <c r="G1466">
        <v>0</v>
      </c>
      <c r="H1466">
        <f>표5[[#This Row],[공격성공횟수]]/(표5[[#This Row],[공격실패횟수]]+표5[[#This Row],[공격성공횟수]])</f>
        <v>0.2</v>
      </c>
    </row>
    <row r="1467" spans="1:8" hidden="1" x14ac:dyDescent="0.4">
      <c r="A1467">
        <v>733</v>
      </c>
      <c r="B1467" t="s">
        <v>1</v>
      </c>
      <c r="C1467">
        <v>0</v>
      </c>
      <c r="D1467">
        <v>0</v>
      </c>
      <c r="E1467">
        <v>23</v>
      </c>
      <c r="F1467">
        <v>4</v>
      </c>
      <c r="G1467">
        <v>1</v>
      </c>
      <c r="H1467">
        <f>표5[[#This Row],[공격성공횟수]]/(표5[[#This Row],[공격실패횟수]]+표5[[#This Row],[공격성공횟수]])</f>
        <v>0</v>
      </c>
    </row>
    <row r="1468" spans="1:8" x14ac:dyDescent="0.4">
      <c r="A1468">
        <v>734</v>
      </c>
      <c r="B1468" t="s">
        <v>0</v>
      </c>
      <c r="C1468">
        <v>1</v>
      </c>
      <c r="D1468">
        <v>4</v>
      </c>
      <c r="E1468">
        <v>10</v>
      </c>
      <c r="F1468">
        <v>0</v>
      </c>
      <c r="G1468">
        <v>0</v>
      </c>
      <c r="H1468">
        <f>표5[[#This Row],[공격성공횟수]]/(표5[[#This Row],[공격실패횟수]]+표5[[#This Row],[공격성공횟수]])</f>
        <v>0.2857142857142857</v>
      </c>
    </row>
    <row r="1469" spans="1:8" hidden="1" x14ac:dyDescent="0.4">
      <c r="A1469">
        <v>734</v>
      </c>
      <c r="B1469" t="s">
        <v>1</v>
      </c>
      <c r="C1469">
        <v>0</v>
      </c>
      <c r="D1469">
        <v>0</v>
      </c>
      <c r="E1469">
        <v>16</v>
      </c>
      <c r="F1469">
        <v>4</v>
      </c>
      <c r="G1469">
        <v>1</v>
      </c>
      <c r="H1469">
        <f>표5[[#This Row],[공격성공횟수]]/(표5[[#This Row],[공격실패횟수]]+표5[[#This Row],[공격성공횟수]])</f>
        <v>0</v>
      </c>
    </row>
    <row r="1470" spans="1:8" x14ac:dyDescent="0.4">
      <c r="A1470">
        <v>735</v>
      </c>
      <c r="B1470" t="s">
        <v>0</v>
      </c>
      <c r="C1470">
        <v>0</v>
      </c>
      <c r="D1470">
        <v>1</v>
      </c>
      <c r="E1470">
        <v>9</v>
      </c>
      <c r="F1470">
        <v>4</v>
      </c>
      <c r="G1470">
        <v>1</v>
      </c>
      <c r="H1470">
        <f>표5[[#This Row],[공격성공횟수]]/(표5[[#This Row],[공격실패횟수]]+표5[[#This Row],[공격성공횟수]])</f>
        <v>0.1</v>
      </c>
    </row>
    <row r="1471" spans="1:8" hidden="1" x14ac:dyDescent="0.4">
      <c r="A1471">
        <v>735</v>
      </c>
      <c r="B1471" t="s">
        <v>1</v>
      </c>
      <c r="C1471">
        <v>1</v>
      </c>
      <c r="D1471">
        <v>4</v>
      </c>
      <c r="E1471">
        <v>7</v>
      </c>
      <c r="F1471">
        <v>1</v>
      </c>
      <c r="G1471">
        <v>0</v>
      </c>
      <c r="H1471">
        <f>표5[[#This Row],[공격성공횟수]]/(표5[[#This Row],[공격실패횟수]]+표5[[#This Row],[공격성공횟수]])</f>
        <v>0.36363636363636365</v>
      </c>
    </row>
    <row r="1472" spans="1:8" x14ac:dyDescent="0.4">
      <c r="A1472">
        <v>736</v>
      </c>
      <c r="B1472" t="s">
        <v>0</v>
      </c>
      <c r="C1472">
        <v>1</v>
      </c>
      <c r="D1472">
        <v>4</v>
      </c>
      <c r="E1472">
        <v>4</v>
      </c>
      <c r="F1472">
        <v>0</v>
      </c>
      <c r="G1472">
        <v>0</v>
      </c>
      <c r="H1472">
        <f>표5[[#This Row],[공격성공횟수]]/(표5[[#This Row],[공격실패횟수]]+표5[[#This Row],[공격성공횟수]])</f>
        <v>0.5</v>
      </c>
    </row>
    <row r="1473" spans="1:8" hidden="1" x14ac:dyDescent="0.4">
      <c r="A1473">
        <v>736</v>
      </c>
      <c r="B1473" t="s">
        <v>1</v>
      </c>
      <c r="C1473">
        <v>0</v>
      </c>
      <c r="D1473">
        <v>0</v>
      </c>
      <c r="E1473">
        <v>8</v>
      </c>
      <c r="F1473">
        <v>4</v>
      </c>
      <c r="G1473">
        <v>1</v>
      </c>
      <c r="H1473">
        <f>표5[[#This Row],[공격성공횟수]]/(표5[[#This Row],[공격실패횟수]]+표5[[#This Row],[공격성공횟수]])</f>
        <v>0</v>
      </c>
    </row>
    <row r="1474" spans="1:8" x14ac:dyDescent="0.4">
      <c r="A1474">
        <v>737</v>
      </c>
      <c r="B1474" t="s">
        <v>0</v>
      </c>
      <c r="C1474">
        <v>1</v>
      </c>
      <c r="D1474">
        <v>4</v>
      </c>
      <c r="E1474">
        <v>15</v>
      </c>
      <c r="F1474">
        <v>0</v>
      </c>
      <c r="G1474">
        <v>0</v>
      </c>
      <c r="H1474">
        <f>표5[[#This Row],[공격성공횟수]]/(표5[[#This Row],[공격실패횟수]]+표5[[#This Row],[공격성공횟수]])</f>
        <v>0.21052631578947367</v>
      </c>
    </row>
    <row r="1475" spans="1:8" hidden="1" x14ac:dyDescent="0.4">
      <c r="A1475">
        <v>737</v>
      </c>
      <c r="B1475" t="s">
        <v>1</v>
      </c>
      <c r="C1475">
        <v>0</v>
      </c>
      <c r="D1475">
        <v>0</v>
      </c>
      <c r="E1475">
        <v>26</v>
      </c>
      <c r="F1475">
        <v>4</v>
      </c>
      <c r="G1475">
        <v>1</v>
      </c>
      <c r="H1475">
        <f>표5[[#This Row],[공격성공횟수]]/(표5[[#This Row],[공격실패횟수]]+표5[[#This Row],[공격성공횟수]])</f>
        <v>0</v>
      </c>
    </row>
    <row r="1476" spans="1:8" x14ac:dyDescent="0.4">
      <c r="A1476">
        <v>738</v>
      </c>
      <c r="B1476" t="s">
        <v>0</v>
      </c>
      <c r="C1476">
        <v>1</v>
      </c>
      <c r="D1476">
        <v>4</v>
      </c>
      <c r="E1476">
        <v>8</v>
      </c>
      <c r="F1476">
        <v>2</v>
      </c>
      <c r="G1476">
        <v>0</v>
      </c>
      <c r="H1476">
        <f>표5[[#This Row],[공격성공횟수]]/(표5[[#This Row],[공격실패횟수]]+표5[[#This Row],[공격성공횟수]])</f>
        <v>0.33333333333333331</v>
      </c>
    </row>
    <row r="1477" spans="1:8" hidden="1" x14ac:dyDescent="0.4">
      <c r="A1477">
        <v>738</v>
      </c>
      <c r="B1477" t="s">
        <v>1</v>
      </c>
      <c r="C1477">
        <v>0</v>
      </c>
      <c r="D1477">
        <v>2</v>
      </c>
      <c r="E1477">
        <v>11</v>
      </c>
      <c r="F1477">
        <v>4</v>
      </c>
      <c r="G1477">
        <v>1</v>
      </c>
      <c r="H1477">
        <f>표5[[#This Row],[공격성공횟수]]/(표5[[#This Row],[공격실패횟수]]+표5[[#This Row],[공격성공횟수]])</f>
        <v>0.15384615384615385</v>
      </c>
    </row>
    <row r="1478" spans="1:8" x14ac:dyDescent="0.4">
      <c r="A1478">
        <v>739</v>
      </c>
      <c r="B1478" t="s">
        <v>0</v>
      </c>
      <c r="C1478">
        <v>1</v>
      </c>
      <c r="D1478">
        <v>4</v>
      </c>
      <c r="E1478">
        <v>13</v>
      </c>
      <c r="F1478">
        <v>1</v>
      </c>
      <c r="G1478">
        <v>0</v>
      </c>
      <c r="H1478">
        <f>표5[[#This Row],[공격성공횟수]]/(표5[[#This Row],[공격실패횟수]]+표5[[#This Row],[공격성공횟수]])</f>
        <v>0.23529411764705882</v>
      </c>
    </row>
    <row r="1479" spans="1:8" hidden="1" x14ac:dyDescent="0.4">
      <c r="A1479">
        <v>739</v>
      </c>
      <c r="B1479" t="s">
        <v>1</v>
      </c>
      <c r="C1479">
        <v>0</v>
      </c>
      <c r="D1479">
        <v>1</v>
      </c>
      <c r="E1479">
        <v>15</v>
      </c>
      <c r="F1479">
        <v>4</v>
      </c>
      <c r="G1479">
        <v>1</v>
      </c>
      <c r="H1479">
        <f>표5[[#This Row],[공격성공횟수]]/(표5[[#This Row],[공격실패횟수]]+표5[[#This Row],[공격성공횟수]])</f>
        <v>6.25E-2</v>
      </c>
    </row>
    <row r="1480" spans="1:8" x14ac:dyDescent="0.4">
      <c r="A1480">
        <v>740</v>
      </c>
      <c r="B1480" t="s">
        <v>0</v>
      </c>
      <c r="C1480">
        <v>0</v>
      </c>
      <c r="D1480">
        <v>0</v>
      </c>
      <c r="E1480">
        <v>27</v>
      </c>
      <c r="F1480">
        <v>4</v>
      </c>
      <c r="G1480">
        <v>1</v>
      </c>
      <c r="H1480">
        <f>표5[[#This Row],[공격성공횟수]]/(표5[[#This Row],[공격실패횟수]]+표5[[#This Row],[공격성공횟수]])</f>
        <v>0</v>
      </c>
    </row>
    <row r="1481" spans="1:8" hidden="1" x14ac:dyDescent="0.4">
      <c r="A1481">
        <v>740</v>
      </c>
      <c r="B1481" t="s">
        <v>1</v>
      </c>
      <c r="C1481">
        <v>1</v>
      </c>
      <c r="D1481">
        <v>4</v>
      </c>
      <c r="E1481">
        <v>23</v>
      </c>
      <c r="F1481">
        <v>0</v>
      </c>
      <c r="G1481">
        <v>0</v>
      </c>
      <c r="H1481">
        <f>표5[[#This Row],[공격성공횟수]]/(표5[[#This Row],[공격실패횟수]]+표5[[#This Row],[공격성공횟수]])</f>
        <v>0.14814814814814814</v>
      </c>
    </row>
    <row r="1482" spans="1:8" x14ac:dyDescent="0.4">
      <c r="A1482">
        <v>741</v>
      </c>
      <c r="B1482" t="s">
        <v>0</v>
      </c>
      <c r="C1482">
        <v>1</v>
      </c>
      <c r="D1482">
        <v>4</v>
      </c>
      <c r="E1482">
        <v>7</v>
      </c>
      <c r="F1482">
        <v>2</v>
      </c>
      <c r="G1482">
        <v>0</v>
      </c>
      <c r="H1482">
        <f>표5[[#This Row],[공격성공횟수]]/(표5[[#This Row],[공격실패횟수]]+표5[[#This Row],[공격성공횟수]])</f>
        <v>0.36363636363636365</v>
      </c>
    </row>
    <row r="1483" spans="1:8" hidden="1" x14ac:dyDescent="0.4">
      <c r="A1483">
        <v>741</v>
      </c>
      <c r="B1483" t="s">
        <v>1</v>
      </c>
      <c r="C1483">
        <v>0</v>
      </c>
      <c r="D1483">
        <v>2</v>
      </c>
      <c r="E1483">
        <v>8</v>
      </c>
      <c r="F1483">
        <v>4</v>
      </c>
      <c r="G1483">
        <v>1</v>
      </c>
      <c r="H1483">
        <f>표5[[#This Row],[공격성공횟수]]/(표5[[#This Row],[공격실패횟수]]+표5[[#This Row],[공격성공횟수]])</f>
        <v>0.2</v>
      </c>
    </row>
    <row r="1484" spans="1:8" x14ac:dyDescent="0.4">
      <c r="A1484">
        <v>742</v>
      </c>
      <c r="B1484" t="s">
        <v>0</v>
      </c>
      <c r="C1484">
        <v>1</v>
      </c>
      <c r="D1484">
        <v>4</v>
      </c>
      <c r="E1484">
        <v>24</v>
      </c>
      <c r="F1484">
        <v>3</v>
      </c>
      <c r="G1484">
        <v>0</v>
      </c>
      <c r="H1484">
        <f>표5[[#This Row],[공격성공횟수]]/(표5[[#This Row],[공격실패횟수]]+표5[[#This Row],[공격성공횟수]])</f>
        <v>0.14285714285714285</v>
      </c>
    </row>
    <row r="1485" spans="1:8" hidden="1" x14ac:dyDescent="0.4">
      <c r="A1485">
        <v>742</v>
      </c>
      <c r="B1485" t="s">
        <v>1</v>
      </c>
      <c r="C1485">
        <v>0</v>
      </c>
      <c r="D1485">
        <v>3</v>
      </c>
      <c r="E1485">
        <v>24</v>
      </c>
      <c r="F1485">
        <v>4</v>
      </c>
      <c r="G1485">
        <v>1</v>
      </c>
      <c r="H1485">
        <f>표5[[#This Row],[공격성공횟수]]/(표5[[#This Row],[공격실패횟수]]+표5[[#This Row],[공격성공횟수]])</f>
        <v>0.1111111111111111</v>
      </c>
    </row>
    <row r="1486" spans="1:8" x14ac:dyDescent="0.4">
      <c r="A1486">
        <v>743</v>
      </c>
      <c r="B1486" t="s">
        <v>0</v>
      </c>
      <c r="C1486">
        <v>1</v>
      </c>
      <c r="D1486">
        <v>4</v>
      </c>
      <c r="E1486">
        <v>8</v>
      </c>
      <c r="F1486">
        <v>0</v>
      </c>
      <c r="G1486">
        <v>0</v>
      </c>
      <c r="H1486">
        <f>표5[[#This Row],[공격성공횟수]]/(표5[[#This Row],[공격실패횟수]]+표5[[#This Row],[공격성공횟수]])</f>
        <v>0.33333333333333331</v>
      </c>
    </row>
    <row r="1487" spans="1:8" hidden="1" x14ac:dyDescent="0.4">
      <c r="A1487">
        <v>743</v>
      </c>
      <c r="B1487" t="s">
        <v>1</v>
      </c>
      <c r="C1487">
        <v>0</v>
      </c>
      <c r="D1487">
        <v>0</v>
      </c>
      <c r="E1487">
        <v>11</v>
      </c>
      <c r="F1487">
        <v>4</v>
      </c>
      <c r="G1487">
        <v>1</v>
      </c>
      <c r="H1487">
        <f>표5[[#This Row],[공격성공횟수]]/(표5[[#This Row],[공격실패횟수]]+표5[[#This Row],[공격성공횟수]])</f>
        <v>0</v>
      </c>
    </row>
    <row r="1488" spans="1:8" x14ac:dyDescent="0.4">
      <c r="A1488">
        <v>744</v>
      </c>
      <c r="B1488" t="s">
        <v>0</v>
      </c>
      <c r="C1488">
        <v>1</v>
      </c>
      <c r="D1488">
        <v>4</v>
      </c>
      <c r="E1488">
        <v>5</v>
      </c>
      <c r="F1488">
        <v>0</v>
      </c>
      <c r="G1488">
        <v>0</v>
      </c>
      <c r="H1488">
        <f>표5[[#This Row],[공격성공횟수]]/(표5[[#This Row],[공격실패횟수]]+표5[[#This Row],[공격성공횟수]])</f>
        <v>0.44444444444444442</v>
      </c>
    </row>
    <row r="1489" spans="1:8" hidden="1" x14ac:dyDescent="0.4">
      <c r="A1489">
        <v>744</v>
      </c>
      <c r="B1489" t="s">
        <v>1</v>
      </c>
      <c r="C1489">
        <v>0</v>
      </c>
      <c r="D1489">
        <v>0</v>
      </c>
      <c r="E1489">
        <v>9</v>
      </c>
      <c r="F1489">
        <v>4</v>
      </c>
      <c r="G1489">
        <v>1</v>
      </c>
      <c r="H1489">
        <f>표5[[#This Row],[공격성공횟수]]/(표5[[#This Row],[공격실패횟수]]+표5[[#This Row],[공격성공횟수]])</f>
        <v>0</v>
      </c>
    </row>
    <row r="1490" spans="1:8" x14ac:dyDescent="0.4">
      <c r="A1490">
        <v>745</v>
      </c>
      <c r="B1490" t="s">
        <v>0</v>
      </c>
      <c r="C1490">
        <v>1</v>
      </c>
      <c r="D1490">
        <v>4</v>
      </c>
      <c r="E1490">
        <v>33</v>
      </c>
      <c r="F1490">
        <v>0</v>
      </c>
      <c r="G1490">
        <v>0</v>
      </c>
      <c r="H1490">
        <f>표5[[#This Row],[공격성공횟수]]/(표5[[#This Row],[공격실패횟수]]+표5[[#This Row],[공격성공횟수]])</f>
        <v>0.10810810810810811</v>
      </c>
    </row>
    <row r="1491" spans="1:8" hidden="1" x14ac:dyDescent="0.4">
      <c r="A1491">
        <v>745</v>
      </c>
      <c r="B1491" t="s">
        <v>1</v>
      </c>
      <c r="C1491">
        <v>0</v>
      </c>
      <c r="D1491">
        <v>0</v>
      </c>
      <c r="E1491">
        <v>43</v>
      </c>
      <c r="F1491">
        <v>4</v>
      </c>
      <c r="G1491">
        <v>1</v>
      </c>
      <c r="H1491">
        <f>표5[[#This Row],[공격성공횟수]]/(표5[[#This Row],[공격실패횟수]]+표5[[#This Row],[공격성공횟수]])</f>
        <v>0</v>
      </c>
    </row>
    <row r="1492" spans="1:8" x14ac:dyDescent="0.4">
      <c r="A1492">
        <v>746</v>
      </c>
      <c r="B1492" t="s">
        <v>0</v>
      </c>
      <c r="C1492">
        <v>1</v>
      </c>
      <c r="D1492">
        <v>4</v>
      </c>
      <c r="E1492">
        <v>19</v>
      </c>
      <c r="F1492">
        <v>1</v>
      </c>
      <c r="G1492">
        <v>0</v>
      </c>
      <c r="H1492">
        <f>표5[[#This Row],[공격성공횟수]]/(표5[[#This Row],[공격실패횟수]]+표5[[#This Row],[공격성공횟수]])</f>
        <v>0.17391304347826086</v>
      </c>
    </row>
    <row r="1493" spans="1:8" hidden="1" x14ac:dyDescent="0.4">
      <c r="A1493">
        <v>746</v>
      </c>
      <c r="B1493" t="s">
        <v>1</v>
      </c>
      <c r="C1493">
        <v>0</v>
      </c>
      <c r="D1493">
        <v>1</v>
      </c>
      <c r="E1493">
        <v>26</v>
      </c>
      <c r="F1493">
        <v>4</v>
      </c>
      <c r="G1493">
        <v>1</v>
      </c>
      <c r="H1493">
        <f>표5[[#This Row],[공격성공횟수]]/(표5[[#This Row],[공격실패횟수]]+표5[[#This Row],[공격성공횟수]])</f>
        <v>3.7037037037037035E-2</v>
      </c>
    </row>
    <row r="1494" spans="1:8" x14ac:dyDescent="0.4">
      <c r="A1494">
        <v>747</v>
      </c>
      <c r="B1494" t="s">
        <v>0</v>
      </c>
      <c r="C1494">
        <v>1</v>
      </c>
      <c r="D1494">
        <v>4</v>
      </c>
      <c r="E1494">
        <v>6</v>
      </c>
      <c r="F1494">
        <v>2</v>
      </c>
      <c r="G1494">
        <v>0</v>
      </c>
      <c r="H1494">
        <f>표5[[#This Row],[공격성공횟수]]/(표5[[#This Row],[공격실패횟수]]+표5[[#This Row],[공격성공횟수]])</f>
        <v>0.4</v>
      </c>
    </row>
    <row r="1495" spans="1:8" hidden="1" x14ac:dyDescent="0.4">
      <c r="A1495">
        <v>747</v>
      </c>
      <c r="B1495" t="s">
        <v>1</v>
      </c>
      <c r="C1495">
        <v>0</v>
      </c>
      <c r="D1495">
        <v>2</v>
      </c>
      <c r="E1495">
        <v>8</v>
      </c>
      <c r="F1495">
        <v>4</v>
      </c>
      <c r="G1495">
        <v>1</v>
      </c>
      <c r="H1495">
        <f>표5[[#This Row],[공격성공횟수]]/(표5[[#This Row],[공격실패횟수]]+표5[[#This Row],[공격성공횟수]])</f>
        <v>0.2</v>
      </c>
    </row>
    <row r="1496" spans="1:8" x14ac:dyDescent="0.4">
      <c r="A1496">
        <v>748</v>
      </c>
      <c r="B1496" t="s">
        <v>0</v>
      </c>
      <c r="C1496">
        <v>1</v>
      </c>
      <c r="D1496">
        <v>4</v>
      </c>
      <c r="E1496">
        <v>27</v>
      </c>
      <c r="F1496">
        <v>3</v>
      </c>
      <c r="G1496">
        <v>0</v>
      </c>
      <c r="H1496">
        <f>표5[[#This Row],[공격성공횟수]]/(표5[[#This Row],[공격실패횟수]]+표5[[#This Row],[공격성공횟수]])</f>
        <v>0.12903225806451613</v>
      </c>
    </row>
    <row r="1497" spans="1:8" hidden="1" x14ac:dyDescent="0.4">
      <c r="A1497">
        <v>748</v>
      </c>
      <c r="B1497" t="s">
        <v>1</v>
      </c>
      <c r="C1497">
        <v>0</v>
      </c>
      <c r="D1497">
        <v>3</v>
      </c>
      <c r="E1497">
        <v>27</v>
      </c>
      <c r="F1497">
        <v>4</v>
      </c>
      <c r="G1497">
        <v>1</v>
      </c>
      <c r="H1497">
        <f>표5[[#This Row],[공격성공횟수]]/(표5[[#This Row],[공격실패횟수]]+표5[[#This Row],[공격성공횟수]])</f>
        <v>0.1</v>
      </c>
    </row>
    <row r="1498" spans="1:8" x14ac:dyDescent="0.4">
      <c r="A1498">
        <v>749</v>
      </c>
      <c r="B1498" t="s">
        <v>0</v>
      </c>
      <c r="C1498">
        <v>1</v>
      </c>
      <c r="D1498">
        <v>4</v>
      </c>
      <c r="E1498">
        <v>4</v>
      </c>
      <c r="F1498">
        <v>1</v>
      </c>
      <c r="G1498">
        <v>0</v>
      </c>
      <c r="H1498">
        <f>표5[[#This Row],[공격성공횟수]]/(표5[[#This Row],[공격실패횟수]]+표5[[#This Row],[공격성공횟수]])</f>
        <v>0.5</v>
      </c>
    </row>
    <row r="1499" spans="1:8" hidden="1" x14ac:dyDescent="0.4">
      <c r="A1499">
        <v>749</v>
      </c>
      <c r="B1499" t="s">
        <v>1</v>
      </c>
      <c r="C1499">
        <v>0</v>
      </c>
      <c r="D1499">
        <v>1</v>
      </c>
      <c r="E1499">
        <v>7</v>
      </c>
      <c r="F1499">
        <v>4</v>
      </c>
      <c r="G1499">
        <v>1</v>
      </c>
      <c r="H1499">
        <f>표5[[#This Row],[공격성공횟수]]/(표5[[#This Row],[공격실패횟수]]+표5[[#This Row],[공격성공횟수]])</f>
        <v>0.125</v>
      </c>
    </row>
    <row r="1500" spans="1:8" x14ac:dyDescent="0.4">
      <c r="A1500">
        <v>750</v>
      </c>
      <c r="B1500" t="s">
        <v>0</v>
      </c>
      <c r="C1500">
        <v>1</v>
      </c>
      <c r="D1500">
        <v>4</v>
      </c>
      <c r="E1500">
        <v>7</v>
      </c>
      <c r="F1500">
        <v>1</v>
      </c>
      <c r="G1500">
        <v>0</v>
      </c>
      <c r="H1500">
        <f>표5[[#This Row],[공격성공횟수]]/(표5[[#This Row],[공격실패횟수]]+표5[[#This Row],[공격성공횟수]])</f>
        <v>0.36363636363636365</v>
      </c>
    </row>
    <row r="1501" spans="1:8" hidden="1" x14ac:dyDescent="0.4">
      <c r="A1501">
        <v>750</v>
      </c>
      <c r="B1501" t="s">
        <v>1</v>
      </c>
      <c r="C1501">
        <v>0</v>
      </c>
      <c r="D1501">
        <v>1</v>
      </c>
      <c r="E1501">
        <v>10</v>
      </c>
      <c r="F1501">
        <v>4</v>
      </c>
      <c r="G1501">
        <v>1</v>
      </c>
      <c r="H1501">
        <f>표5[[#This Row],[공격성공횟수]]/(표5[[#This Row],[공격실패횟수]]+표5[[#This Row],[공격성공횟수]])</f>
        <v>9.0909090909090912E-2</v>
      </c>
    </row>
    <row r="1502" spans="1:8" x14ac:dyDescent="0.4">
      <c r="A1502">
        <v>751</v>
      </c>
      <c r="B1502" t="s">
        <v>0</v>
      </c>
      <c r="C1502">
        <v>1</v>
      </c>
      <c r="D1502">
        <v>4</v>
      </c>
      <c r="E1502">
        <v>9</v>
      </c>
      <c r="F1502">
        <v>1</v>
      </c>
      <c r="G1502">
        <v>0</v>
      </c>
      <c r="H1502">
        <f>표5[[#This Row],[공격성공횟수]]/(표5[[#This Row],[공격실패횟수]]+표5[[#This Row],[공격성공횟수]])</f>
        <v>0.30769230769230771</v>
      </c>
    </row>
    <row r="1503" spans="1:8" hidden="1" x14ac:dyDescent="0.4">
      <c r="A1503">
        <v>751</v>
      </c>
      <c r="B1503" t="s">
        <v>1</v>
      </c>
      <c r="C1503">
        <v>0</v>
      </c>
      <c r="D1503">
        <v>1</v>
      </c>
      <c r="E1503">
        <v>12</v>
      </c>
      <c r="F1503">
        <v>4</v>
      </c>
      <c r="G1503">
        <v>1</v>
      </c>
      <c r="H1503">
        <f>표5[[#This Row],[공격성공횟수]]/(표5[[#This Row],[공격실패횟수]]+표5[[#This Row],[공격성공횟수]])</f>
        <v>7.6923076923076927E-2</v>
      </c>
    </row>
    <row r="1504" spans="1:8" x14ac:dyDescent="0.4">
      <c r="A1504">
        <v>752</v>
      </c>
      <c r="B1504" t="s">
        <v>0</v>
      </c>
      <c r="C1504">
        <v>1</v>
      </c>
      <c r="D1504">
        <v>4</v>
      </c>
      <c r="E1504">
        <v>9</v>
      </c>
      <c r="F1504">
        <v>2</v>
      </c>
      <c r="G1504">
        <v>0</v>
      </c>
      <c r="H1504">
        <f>표5[[#This Row],[공격성공횟수]]/(표5[[#This Row],[공격실패횟수]]+표5[[#This Row],[공격성공횟수]])</f>
        <v>0.30769230769230771</v>
      </c>
    </row>
    <row r="1505" spans="1:8" hidden="1" x14ac:dyDescent="0.4">
      <c r="A1505">
        <v>752</v>
      </c>
      <c r="B1505" t="s">
        <v>1</v>
      </c>
      <c r="C1505">
        <v>0</v>
      </c>
      <c r="D1505">
        <v>2</v>
      </c>
      <c r="E1505">
        <v>11</v>
      </c>
      <c r="F1505">
        <v>4</v>
      </c>
      <c r="G1505">
        <v>1</v>
      </c>
      <c r="H1505">
        <f>표5[[#This Row],[공격성공횟수]]/(표5[[#This Row],[공격실패횟수]]+표5[[#This Row],[공격성공횟수]])</f>
        <v>0.15384615384615385</v>
      </c>
    </row>
    <row r="1506" spans="1:8" x14ac:dyDescent="0.4">
      <c r="A1506">
        <v>753</v>
      </c>
      <c r="B1506" t="s">
        <v>0</v>
      </c>
      <c r="C1506">
        <v>1</v>
      </c>
      <c r="D1506">
        <v>4</v>
      </c>
      <c r="E1506">
        <v>9</v>
      </c>
      <c r="F1506">
        <v>3</v>
      </c>
      <c r="G1506">
        <v>0</v>
      </c>
      <c r="H1506">
        <f>표5[[#This Row],[공격성공횟수]]/(표5[[#This Row],[공격실패횟수]]+표5[[#This Row],[공격성공횟수]])</f>
        <v>0.30769230769230771</v>
      </c>
    </row>
    <row r="1507" spans="1:8" hidden="1" x14ac:dyDescent="0.4">
      <c r="A1507">
        <v>753</v>
      </c>
      <c r="B1507" t="s">
        <v>1</v>
      </c>
      <c r="C1507">
        <v>0</v>
      </c>
      <c r="D1507">
        <v>3</v>
      </c>
      <c r="E1507">
        <v>10</v>
      </c>
      <c r="F1507">
        <v>4</v>
      </c>
      <c r="G1507">
        <v>1</v>
      </c>
      <c r="H1507">
        <f>표5[[#This Row],[공격성공횟수]]/(표5[[#This Row],[공격실패횟수]]+표5[[#This Row],[공격성공횟수]])</f>
        <v>0.23076923076923078</v>
      </c>
    </row>
    <row r="1508" spans="1:8" x14ac:dyDescent="0.4">
      <c r="A1508">
        <v>754</v>
      </c>
      <c r="B1508" t="s">
        <v>0</v>
      </c>
      <c r="C1508">
        <v>0</v>
      </c>
      <c r="D1508">
        <v>0</v>
      </c>
      <c r="E1508">
        <v>18</v>
      </c>
      <c r="F1508">
        <v>4</v>
      </c>
      <c r="G1508">
        <v>1</v>
      </c>
      <c r="H1508">
        <f>표5[[#This Row],[공격성공횟수]]/(표5[[#This Row],[공격실패횟수]]+표5[[#This Row],[공격성공횟수]])</f>
        <v>0</v>
      </c>
    </row>
    <row r="1509" spans="1:8" hidden="1" x14ac:dyDescent="0.4">
      <c r="A1509">
        <v>754</v>
      </c>
      <c r="B1509" t="s">
        <v>1</v>
      </c>
      <c r="C1509">
        <v>1</v>
      </c>
      <c r="D1509">
        <v>4</v>
      </c>
      <c r="E1509">
        <v>15</v>
      </c>
      <c r="F1509">
        <v>0</v>
      </c>
      <c r="G1509">
        <v>0</v>
      </c>
      <c r="H1509">
        <f>표5[[#This Row],[공격성공횟수]]/(표5[[#This Row],[공격실패횟수]]+표5[[#This Row],[공격성공횟수]])</f>
        <v>0.21052631578947367</v>
      </c>
    </row>
    <row r="1510" spans="1:8" x14ac:dyDescent="0.4">
      <c r="A1510">
        <v>755</v>
      </c>
      <c r="B1510" t="s">
        <v>0</v>
      </c>
      <c r="C1510">
        <v>1</v>
      </c>
      <c r="D1510">
        <v>4</v>
      </c>
      <c r="E1510">
        <v>12</v>
      </c>
      <c r="F1510">
        <v>2</v>
      </c>
      <c r="G1510">
        <v>0</v>
      </c>
      <c r="H1510">
        <f>표5[[#This Row],[공격성공횟수]]/(표5[[#This Row],[공격실패횟수]]+표5[[#This Row],[공격성공횟수]])</f>
        <v>0.25</v>
      </c>
    </row>
    <row r="1511" spans="1:8" hidden="1" x14ac:dyDescent="0.4">
      <c r="A1511">
        <v>755</v>
      </c>
      <c r="B1511" t="s">
        <v>1</v>
      </c>
      <c r="C1511">
        <v>0</v>
      </c>
      <c r="D1511">
        <v>2</v>
      </c>
      <c r="E1511">
        <v>13</v>
      </c>
      <c r="F1511">
        <v>4</v>
      </c>
      <c r="G1511">
        <v>1</v>
      </c>
      <c r="H1511">
        <f>표5[[#This Row],[공격성공횟수]]/(표5[[#This Row],[공격실패횟수]]+표5[[#This Row],[공격성공횟수]])</f>
        <v>0.13333333333333333</v>
      </c>
    </row>
    <row r="1512" spans="1:8" x14ac:dyDescent="0.4">
      <c r="A1512">
        <v>756</v>
      </c>
      <c r="B1512" t="s">
        <v>0</v>
      </c>
      <c r="C1512">
        <v>1</v>
      </c>
      <c r="D1512">
        <v>4</v>
      </c>
      <c r="E1512">
        <v>8</v>
      </c>
      <c r="F1512">
        <v>1</v>
      </c>
      <c r="G1512">
        <v>0</v>
      </c>
      <c r="H1512">
        <f>표5[[#This Row],[공격성공횟수]]/(표5[[#This Row],[공격실패횟수]]+표5[[#This Row],[공격성공횟수]])</f>
        <v>0.33333333333333331</v>
      </c>
    </row>
    <row r="1513" spans="1:8" hidden="1" x14ac:dyDescent="0.4">
      <c r="A1513">
        <v>756</v>
      </c>
      <c r="B1513" t="s">
        <v>1</v>
      </c>
      <c r="C1513">
        <v>0</v>
      </c>
      <c r="D1513">
        <v>1</v>
      </c>
      <c r="E1513">
        <v>10</v>
      </c>
      <c r="F1513">
        <v>4</v>
      </c>
      <c r="G1513">
        <v>1</v>
      </c>
      <c r="H1513">
        <f>표5[[#This Row],[공격성공횟수]]/(표5[[#This Row],[공격실패횟수]]+표5[[#This Row],[공격성공횟수]])</f>
        <v>9.0909090909090912E-2</v>
      </c>
    </row>
    <row r="1514" spans="1:8" x14ac:dyDescent="0.4">
      <c r="A1514">
        <v>757</v>
      </c>
      <c r="B1514" t="s">
        <v>0</v>
      </c>
      <c r="C1514">
        <v>1</v>
      </c>
      <c r="D1514">
        <v>4</v>
      </c>
      <c r="E1514">
        <v>4</v>
      </c>
      <c r="F1514">
        <v>0</v>
      </c>
      <c r="G1514">
        <v>0</v>
      </c>
      <c r="H1514">
        <f>표5[[#This Row],[공격성공횟수]]/(표5[[#This Row],[공격실패횟수]]+표5[[#This Row],[공격성공횟수]])</f>
        <v>0.5</v>
      </c>
    </row>
    <row r="1515" spans="1:8" hidden="1" x14ac:dyDescent="0.4">
      <c r="A1515">
        <v>757</v>
      </c>
      <c r="B1515" t="s">
        <v>1</v>
      </c>
      <c r="C1515">
        <v>0</v>
      </c>
      <c r="D1515">
        <v>0</v>
      </c>
      <c r="E1515">
        <v>8</v>
      </c>
      <c r="F1515">
        <v>4</v>
      </c>
      <c r="G1515">
        <v>1</v>
      </c>
      <c r="H1515">
        <f>표5[[#This Row],[공격성공횟수]]/(표5[[#This Row],[공격실패횟수]]+표5[[#This Row],[공격성공횟수]])</f>
        <v>0</v>
      </c>
    </row>
    <row r="1516" spans="1:8" x14ac:dyDescent="0.4">
      <c r="A1516">
        <v>758</v>
      </c>
      <c r="B1516" t="s">
        <v>0</v>
      </c>
      <c r="C1516">
        <v>1</v>
      </c>
      <c r="D1516">
        <v>4</v>
      </c>
      <c r="E1516">
        <v>34</v>
      </c>
      <c r="F1516">
        <v>3</v>
      </c>
      <c r="G1516">
        <v>0</v>
      </c>
      <c r="H1516">
        <f>표5[[#This Row],[공격성공횟수]]/(표5[[#This Row],[공격실패횟수]]+표5[[#This Row],[공격성공횟수]])</f>
        <v>0.10526315789473684</v>
      </c>
    </row>
    <row r="1517" spans="1:8" hidden="1" x14ac:dyDescent="0.4">
      <c r="A1517">
        <v>758</v>
      </c>
      <c r="B1517" t="s">
        <v>1</v>
      </c>
      <c r="C1517">
        <v>0</v>
      </c>
      <c r="D1517">
        <v>3</v>
      </c>
      <c r="E1517">
        <v>35</v>
      </c>
      <c r="F1517">
        <v>4</v>
      </c>
      <c r="G1517">
        <v>1</v>
      </c>
      <c r="H1517">
        <f>표5[[#This Row],[공격성공횟수]]/(표5[[#This Row],[공격실패횟수]]+표5[[#This Row],[공격성공횟수]])</f>
        <v>7.8947368421052627E-2</v>
      </c>
    </row>
    <row r="1518" spans="1:8" x14ac:dyDescent="0.4">
      <c r="A1518">
        <v>759</v>
      </c>
      <c r="B1518" t="s">
        <v>0</v>
      </c>
      <c r="C1518">
        <v>1</v>
      </c>
      <c r="D1518">
        <v>4</v>
      </c>
      <c r="E1518">
        <v>4</v>
      </c>
      <c r="F1518">
        <v>0</v>
      </c>
      <c r="G1518">
        <v>0</v>
      </c>
      <c r="H1518">
        <f>표5[[#This Row],[공격성공횟수]]/(표5[[#This Row],[공격실패횟수]]+표5[[#This Row],[공격성공횟수]])</f>
        <v>0.5</v>
      </c>
    </row>
    <row r="1519" spans="1:8" hidden="1" x14ac:dyDescent="0.4">
      <c r="A1519">
        <v>759</v>
      </c>
      <c r="B1519" t="s">
        <v>1</v>
      </c>
      <c r="C1519">
        <v>0</v>
      </c>
      <c r="D1519">
        <v>0</v>
      </c>
      <c r="E1519">
        <v>7</v>
      </c>
      <c r="F1519">
        <v>4</v>
      </c>
      <c r="G1519">
        <v>1</v>
      </c>
      <c r="H1519">
        <f>표5[[#This Row],[공격성공횟수]]/(표5[[#This Row],[공격실패횟수]]+표5[[#This Row],[공격성공횟수]])</f>
        <v>0</v>
      </c>
    </row>
    <row r="1520" spans="1:8" x14ac:dyDescent="0.4">
      <c r="A1520">
        <v>760</v>
      </c>
      <c r="B1520" t="s">
        <v>0</v>
      </c>
      <c r="C1520">
        <v>1</v>
      </c>
      <c r="D1520">
        <v>4</v>
      </c>
      <c r="E1520">
        <v>19</v>
      </c>
      <c r="F1520">
        <v>1</v>
      </c>
      <c r="G1520">
        <v>0</v>
      </c>
      <c r="H1520">
        <f>표5[[#This Row],[공격성공횟수]]/(표5[[#This Row],[공격실패횟수]]+표5[[#This Row],[공격성공횟수]])</f>
        <v>0.17391304347826086</v>
      </c>
    </row>
    <row r="1521" spans="1:8" hidden="1" x14ac:dyDescent="0.4">
      <c r="A1521">
        <v>760</v>
      </c>
      <c r="B1521" t="s">
        <v>1</v>
      </c>
      <c r="C1521">
        <v>0</v>
      </c>
      <c r="D1521">
        <v>1</v>
      </c>
      <c r="E1521">
        <v>22</v>
      </c>
      <c r="F1521">
        <v>4</v>
      </c>
      <c r="G1521">
        <v>1</v>
      </c>
      <c r="H1521">
        <f>표5[[#This Row],[공격성공횟수]]/(표5[[#This Row],[공격실패횟수]]+표5[[#This Row],[공격성공횟수]])</f>
        <v>4.3478260869565216E-2</v>
      </c>
    </row>
    <row r="1522" spans="1:8" x14ac:dyDescent="0.4">
      <c r="A1522">
        <v>761</v>
      </c>
      <c r="B1522" t="s">
        <v>0</v>
      </c>
      <c r="C1522">
        <v>1</v>
      </c>
      <c r="D1522">
        <v>4</v>
      </c>
      <c r="E1522">
        <v>8</v>
      </c>
      <c r="F1522">
        <v>0</v>
      </c>
      <c r="G1522">
        <v>0</v>
      </c>
      <c r="H1522">
        <f>표5[[#This Row],[공격성공횟수]]/(표5[[#This Row],[공격실패횟수]]+표5[[#This Row],[공격성공횟수]])</f>
        <v>0.33333333333333331</v>
      </c>
    </row>
    <row r="1523" spans="1:8" hidden="1" x14ac:dyDescent="0.4">
      <c r="A1523">
        <v>761</v>
      </c>
      <c r="B1523" t="s">
        <v>1</v>
      </c>
      <c r="C1523">
        <v>0</v>
      </c>
      <c r="D1523">
        <v>0</v>
      </c>
      <c r="E1523">
        <v>14</v>
      </c>
      <c r="F1523">
        <v>4</v>
      </c>
      <c r="G1523">
        <v>1</v>
      </c>
      <c r="H1523">
        <f>표5[[#This Row],[공격성공횟수]]/(표5[[#This Row],[공격실패횟수]]+표5[[#This Row],[공격성공횟수]])</f>
        <v>0</v>
      </c>
    </row>
    <row r="1524" spans="1:8" x14ac:dyDescent="0.4">
      <c r="A1524">
        <v>762</v>
      </c>
      <c r="B1524" t="s">
        <v>0</v>
      </c>
      <c r="C1524">
        <v>0</v>
      </c>
      <c r="D1524">
        <v>1</v>
      </c>
      <c r="E1524">
        <v>16</v>
      </c>
      <c r="F1524">
        <v>4</v>
      </c>
      <c r="G1524">
        <v>1</v>
      </c>
      <c r="H1524">
        <f>표5[[#This Row],[공격성공횟수]]/(표5[[#This Row],[공격실패횟수]]+표5[[#This Row],[공격성공횟수]])</f>
        <v>5.8823529411764705E-2</v>
      </c>
    </row>
    <row r="1525" spans="1:8" hidden="1" x14ac:dyDescent="0.4">
      <c r="A1525">
        <v>762</v>
      </c>
      <c r="B1525" t="s">
        <v>1</v>
      </c>
      <c r="C1525">
        <v>1</v>
      </c>
      <c r="D1525">
        <v>4</v>
      </c>
      <c r="E1525">
        <v>15</v>
      </c>
      <c r="F1525">
        <v>1</v>
      </c>
      <c r="G1525">
        <v>0</v>
      </c>
      <c r="H1525">
        <f>표5[[#This Row],[공격성공횟수]]/(표5[[#This Row],[공격실패횟수]]+표5[[#This Row],[공격성공횟수]])</f>
        <v>0.21052631578947367</v>
      </c>
    </row>
    <row r="1526" spans="1:8" x14ac:dyDescent="0.4">
      <c r="A1526">
        <v>763</v>
      </c>
      <c r="B1526" t="s">
        <v>0</v>
      </c>
      <c r="C1526">
        <v>1</v>
      </c>
      <c r="D1526">
        <v>4</v>
      </c>
      <c r="E1526">
        <v>11</v>
      </c>
      <c r="F1526">
        <v>1</v>
      </c>
      <c r="G1526">
        <v>0</v>
      </c>
      <c r="H1526">
        <f>표5[[#This Row],[공격성공횟수]]/(표5[[#This Row],[공격실패횟수]]+표5[[#This Row],[공격성공횟수]])</f>
        <v>0.26666666666666666</v>
      </c>
    </row>
    <row r="1527" spans="1:8" hidden="1" x14ac:dyDescent="0.4">
      <c r="A1527">
        <v>763</v>
      </c>
      <c r="B1527" t="s">
        <v>1</v>
      </c>
      <c r="C1527">
        <v>0</v>
      </c>
      <c r="D1527">
        <v>1</v>
      </c>
      <c r="E1527">
        <v>13</v>
      </c>
      <c r="F1527">
        <v>4</v>
      </c>
      <c r="G1527">
        <v>1</v>
      </c>
      <c r="H1527">
        <f>표5[[#This Row],[공격성공횟수]]/(표5[[#This Row],[공격실패횟수]]+표5[[#This Row],[공격성공횟수]])</f>
        <v>7.1428571428571425E-2</v>
      </c>
    </row>
    <row r="1528" spans="1:8" x14ac:dyDescent="0.4">
      <c r="A1528">
        <v>764</v>
      </c>
      <c r="B1528" t="s">
        <v>0</v>
      </c>
      <c r="C1528">
        <v>0</v>
      </c>
      <c r="D1528">
        <v>1</v>
      </c>
      <c r="E1528">
        <v>13</v>
      </c>
      <c r="F1528">
        <v>4</v>
      </c>
      <c r="G1528">
        <v>1</v>
      </c>
      <c r="H1528">
        <f>표5[[#This Row],[공격성공횟수]]/(표5[[#This Row],[공격실패횟수]]+표5[[#This Row],[공격성공횟수]])</f>
        <v>7.1428571428571425E-2</v>
      </c>
    </row>
    <row r="1529" spans="1:8" hidden="1" x14ac:dyDescent="0.4">
      <c r="A1529">
        <v>764</v>
      </c>
      <c r="B1529" t="s">
        <v>1</v>
      </c>
      <c r="C1529">
        <v>1</v>
      </c>
      <c r="D1529">
        <v>4</v>
      </c>
      <c r="E1529">
        <v>11</v>
      </c>
      <c r="F1529">
        <v>1</v>
      </c>
      <c r="G1529">
        <v>0</v>
      </c>
      <c r="H1529">
        <f>표5[[#This Row],[공격성공횟수]]/(표5[[#This Row],[공격실패횟수]]+표5[[#This Row],[공격성공횟수]])</f>
        <v>0.26666666666666666</v>
      </c>
    </row>
    <row r="1530" spans="1:8" x14ac:dyDescent="0.4">
      <c r="A1530">
        <v>765</v>
      </c>
      <c r="B1530" t="s">
        <v>0</v>
      </c>
      <c r="C1530">
        <v>1</v>
      </c>
      <c r="D1530">
        <v>4</v>
      </c>
      <c r="E1530">
        <v>9</v>
      </c>
      <c r="F1530">
        <v>0</v>
      </c>
      <c r="G1530">
        <v>0</v>
      </c>
      <c r="H1530">
        <f>표5[[#This Row],[공격성공횟수]]/(표5[[#This Row],[공격실패횟수]]+표5[[#This Row],[공격성공횟수]])</f>
        <v>0.30769230769230771</v>
      </c>
    </row>
    <row r="1531" spans="1:8" hidden="1" x14ac:dyDescent="0.4">
      <c r="A1531">
        <v>765</v>
      </c>
      <c r="B1531" t="s">
        <v>1</v>
      </c>
      <c r="C1531">
        <v>0</v>
      </c>
      <c r="D1531">
        <v>0</v>
      </c>
      <c r="E1531">
        <v>11</v>
      </c>
      <c r="F1531">
        <v>4</v>
      </c>
      <c r="G1531">
        <v>1</v>
      </c>
      <c r="H1531">
        <f>표5[[#This Row],[공격성공횟수]]/(표5[[#This Row],[공격실패횟수]]+표5[[#This Row],[공격성공횟수]])</f>
        <v>0</v>
      </c>
    </row>
    <row r="1532" spans="1:8" x14ac:dyDescent="0.4">
      <c r="A1532">
        <v>766</v>
      </c>
      <c r="B1532" t="s">
        <v>0</v>
      </c>
      <c r="C1532">
        <v>1</v>
      </c>
      <c r="D1532">
        <v>4</v>
      </c>
      <c r="E1532">
        <v>6</v>
      </c>
      <c r="F1532">
        <v>0</v>
      </c>
      <c r="G1532">
        <v>0</v>
      </c>
      <c r="H1532">
        <f>표5[[#This Row],[공격성공횟수]]/(표5[[#This Row],[공격실패횟수]]+표5[[#This Row],[공격성공횟수]])</f>
        <v>0.4</v>
      </c>
    </row>
    <row r="1533" spans="1:8" hidden="1" x14ac:dyDescent="0.4">
      <c r="A1533">
        <v>766</v>
      </c>
      <c r="B1533" t="s">
        <v>1</v>
      </c>
      <c r="C1533">
        <v>0</v>
      </c>
      <c r="D1533">
        <v>0</v>
      </c>
      <c r="E1533">
        <v>10</v>
      </c>
      <c r="F1533">
        <v>4</v>
      </c>
      <c r="G1533">
        <v>1</v>
      </c>
      <c r="H1533">
        <f>표5[[#This Row],[공격성공횟수]]/(표5[[#This Row],[공격실패횟수]]+표5[[#This Row],[공격성공횟수]])</f>
        <v>0</v>
      </c>
    </row>
    <row r="1534" spans="1:8" x14ac:dyDescent="0.4">
      <c r="A1534">
        <v>767</v>
      </c>
      <c r="B1534" t="s">
        <v>0</v>
      </c>
      <c r="C1534">
        <v>1</v>
      </c>
      <c r="D1534">
        <v>4</v>
      </c>
      <c r="E1534">
        <v>13</v>
      </c>
      <c r="F1534">
        <v>2</v>
      </c>
      <c r="G1534">
        <v>0</v>
      </c>
      <c r="H1534">
        <f>표5[[#This Row],[공격성공횟수]]/(표5[[#This Row],[공격실패횟수]]+표5[[#This Row],[공격성공횟수]])</f>
        <v>0.23529411764705882</v>
      </c>
    </row>
    <row r="1535" spans="1:8" hidden="1" x14ac:dyDescent="0.4">
      <c r="A1535">
        <v>767</v>
      </c>
      <c r="B1535" t="s">
        <v>1</v>
      </c>
      <c r="C1535">
        <v>0</v>
      </c>
      <c r="D1535">
        <v>2</v>
      </c>
      <c r="E1535">
        <v>15</v>
      </c>
      <c r="F1535">
        <v>4</v>
      </c>
      <c r="G1535">
        <v>1</v>
      </c>
      <c r="H1535">
        <f>표5[[#This Row],[공격성공횟수]]/(표5[[#This Row],[공격실패횟수]]+표5[[#This Row],[공격성공횟수]])</f>
        <v>0.11764705882352941</v>
      </c>
    </row>
    <row r="1536" spans="1:8" x14ac:dyDescent="0.4">
      <c r="A1536">
        <v>768</v>
      </c>
      <c r="B1536" t="s">
        <v>0</v>
      </c>
      <c r="C1536">
        <v>1</v>
      </c>
      <c r="D1536">
        <v>4</v>
      </c>
      <c r="E1536">
        <v>26</v>
      </c>
      <c r="F1536">
        <v>3</v>
      </c>
      <c r="G1536">
        <v>0</v>
      </c>
      <c r="H1536">
        <f>표5[[#This Row],[공격성공횟수]]/(표5[[#This Row],[공격실패횟수]]+표5[[#This Row],[공격성공횟수]])</f>
        <v>0.13333333333333333</v>
      </c>
    </row>
    <row r="1537" spans="1:8" hidden="1" x14ac:dyDescent="0.4">
      <c r="A1537">
        <v>768</v>
      </c>
      <c r="B1537" t="s">
        <v>1</v>
      </c>
      <c r="C1537">
        <v>0</v>
      </c>
      <c r="D1537">
        <v>3</v>
      </c>
      <c r="E1537">
        <v>26</v>
      </c>
      <c r="F1537">
        <v>4</v>
      </c>
      <c r="G1537">
        <v>1</v>
      </c>
      <c r="H1537">
        <f>표5[[#This Row],[공격성공횟수]]/(표5[[#This Row],[공격실패횟수]]+표5[[#This Row],[공격성공횟수]])</f>
        <v>0.10344827586206896</v>
      </c>
    </row>
    <row r="1538" spans="1:8" x14ac:dyDescent="0.4">
      <c r="A1538">
        <v>769</v>
      </c>
      <c r="B1538" t="s">
        <v>0</v>
      </c>
      <c r="C1538">
        <v>1</v>
      </c>
      <c r="D1538">
        <v>4</v>
      </c>
      <c r="E1538">
        <v>7</v>
      </c>
      <c r="F1538">
        <v>1</v>
      </c>
      <c r="G1538">
        <v>0</v>
      </c>
      <c r="H1538">
        <f>표5[[#This Row],[공격성공횟수]]/(표5[[#This Row],[공격실패횟수]]+표5[[#This Row],[공격성공횟수]])</f>
        <v>0.36363636363636365</v>
      </c>
    </row>
    <row r="1539" spans="1:8" hidden="1" x14ac:dyDescent="0.4">
      <c r="A1539">
        <v>769</v>
      </c>
      <c r="B1539" t="s">
        <v>1</v>
      </c>
      <c r="C1539">
        <v>0</v>
      </c>
      <c r="D1539">
        <v>1</v>
      </c>
      <c r="E1539">
        <v>10</v>
      </c>
      <c r="F1539">
        <v>4</v>
      </c>
      <c r="G1539">
        <v>1</v>
      </c>
      <c r="H1539">
        <f>표5[[#This Row],[공격성공횟수]]/(표5[[#This Row],[공격실패횟수]]+표5[[#This Row],[공격성공횟수]])</f>
        <v>9.0909090909090912E-2</v>
      </c>
    </row>
    <row r="1540" spans="1:8" x14ac:dyDescent="0.4">
      <c r="A1540">
        <v>770</v>
      </c>
      <c r="B1540" t="s">
        <v>0</v>
      </c>
      <c r="C1540">
        <v>1</v>
      </c>
      <c r="D1540">
        <v>4</v>
      </c>
      <c r="E1540">
        <v>13</v>
      </c>
      <c r="F1540">
        <v>1</v>
      </c>
      <c r="G1540">
        <v>0</v>
      </c>
      <c r="H1540">
        <f>표5[[#This Row],[공격성공횟수]]/(표5[[#This Row],[공격실패횟수]]+표5[[#This Row],[공격성공횟수]])</f>
        <v>0.23529411764705882</v>
      </c>
    </row>
    <row r="1541" spans="1:8" hidden="1" x14ac:dyDescent="0.4">
      <c r="A1541">
        <v>770</v>
      </c>
      <c r="B1541" t="s">
        <v>1</v>
      </c>
      <c r="C1541">
        <v>0</v>
      </c>
      <c r="D1541">
        <v>1</v>
      </c>
      <c r="E1541">
        <v>16</v>
      </c>
      <c r="F1541">
        <v>4</v>
      </c>
      <c r="G1541">
        <v>1</v>
      </c>
      <c r="H1541">
        <f>표5[[#This Row],[공격성공횟수]]/(표5[[#This Row],[공격실패횟수]]+표5[[#This Row],[공격성공횟수]])</f>
        <v>5.8823529411764705E-2</v>
      </c>
    </row>
    <row r="1542" spans="1:8" x14ac:dyDescent="0.4">
      <c r="A1542">
        <v>771</v>
      </c>
      <c r="B1542" t="s">
        <v>0</v>
      </c>
      <c r="C1542">
        <v>1</v>
      </c>
      <c r="D1542">
        <v>4</v>
      </c>
      <c r="E1542">
        <v>7</v>
      </c>
      <c r="F1542">
        <v>1</v>
      </c>
      <c r="G1542">
        <v>0</v>
      </c>
      <c r="H1542">
        <f>표5[[#This Row],[공격성공횟수]]/(표5[[#This Row],[공격실패횟수]]+표5[[#This Row],[공격성공횟수]])</f>
        <v>0.36363636363636365</v>
      </c>
    </row>
    <row r="1543" spans="1:8" hidden="1" x14ac:dyDescent="0.4">
      <c r="A1543">
        <v>771</v>
      </c>
      <c r="B1543" t="s">
        <v>1</v>
      </c>
      <c r="C1543">
        <v>0</v>
      </c>
      <c r="D1543">
        <v>1</v>
      </c>
      <c r="E1543">
        <v>10</v>
      </c>
      <c r="F1543">
        <v>4</v>
      </c>
      <c r="G1543">
        <v>1</v>
      </c>
      <c r="H1543">
        <f>표5[[#This Row],[공격성공횟수]]/(표5[[#This Row],[공격실패횟수]]+표5[[#This Row],[공격성공횟수]])</f>
        <v>9.0909090909090912E-2</v>
      </c>
    </row>
    <row r="1544" spans="1:8" x14ac:dyDescent="0.4">
      <c r="A1544">
        <v>772</v>
      </c>
      <c r="B1544" t="s">
        <v>0</v>
      </c>
      <c r="C1544">
        <v>1</v>
      </c>
      <c r="D1544">
        <v>4</v>
      </c>
      <c r="E1544">
        <v>24</v>
      </c>
      <c r="F1544">
        <v>3</v>
      </c>
      <c r="G1544">
        <v>0</v>
      </c>
      <c r="H1544">
        <f>표5[[#This Row],[공격성공횟수]]/(표5[[#This Row],[공격실패횟수]]+표5[[#This Row],[공격성공횟수]])</f>
        <v>0.14285714285714285</v>
      </c>
    </row>
    <row r="1545" spans="1:8" hidden="1" x14ac:dyDescent="0.4">
      <c r="A1545">
        <v>772</v>
      </c>
      <c r="B1545" t="s">
        <v>1</v>
      </c>
      <c r="C1545">
        <v>0</v>
      </c>
      <c r="D1545">
        <v>3</v>
      </c>
      <c r="E1545">
        <v>24</v>
      </c>
      <c r="F1545">
        <v>4</v>
      </c>
      <c r="G1545">
        <v>1</v>
      </c>
      <c r="H1545">
        <f>표5[[#This Row],[공격성공횟수]]/(표5[[#This Row],[공격실패횟수]]+표5[[#This Row],[공격성공횟수]])</f>
        <v>0.1111111111111111</v>
      </c>
    </row>
    <row r="1546" spans="1:8" x14ac:dyDescent="0.4">
      <c r="A1546">
        <v>773</v>
      </c>
      <c r="B1546" t="s">
        <v>0</v>
      </c>
      <c r="C1546">
        <v>1</v>
      </c>
      <c r="D1546">
        <v>4</v>
      </c>
      <c r="E1546">
        <v>7</v>
      </c>
      <c r="F1546">
        <v>0</v>
      </c>
      <c r="G1546">
        <v>0</v>
      </c>
      <c r="H1546">
        <f>표5[[#This Row],[공격성공횟수]]/(표5[[#This Row],[공격실패횟수]]+표5[[#This Row],[공격성공횟수]])</f>
        <v>0.36363636363636365</v>
      </c>
    </row>
    <row r="1547" spans="1:8" hidden="1" x14ac:dyDescent="0.4">
      <c r="A1547">
        <v>773</v>
      </c>
      <c r="B1547" t="s">
        <v>1</v>
      </c>
      <c r="C1547">
        <v>0</v>
      </c>
      <c r="D1547">
        <v>0</v>
      </c>
      <c r="E1547">
        <v>11</v>
      </c>
      <c r="F1547">
        <v>4</v>
      </c>
      <c r="G1547">
        <v>1</v>
      </c>
      <c r="H1547">
        <f>표5[[#This Row],[공격성공횟수]]/(표5[[#This Row],[공격실패횟수]]+표5[[#This Row],[공격성공횟수]])</f>
        <v>0</v>
      </c>
    </row>
    <row r="1548" spans="1:8" x14ac:dyDescent="0.4">
      <c r="A1548">
        <v>774</v>
      </c>
      <c r="B1548" t="s">
        <v>0</v>
      </c>
      <c r="C1548">
        <v>1</v>
      </c>
      <c r="D1548">
        <v>4</v>
      </c>
      <c r="E1548">
        <v>5</v>
      </c>
      <c r="F1548">
        <v>0</v>
      </c>
      <c r="G1548">
        <v>0</v>
      </c>
      <c r="H1548">
        <f>표5[[#This Row],[공격성공횟수]]/(표5[[#This Row],[공격실패횟수]]+표5[[#This Row],[공격성공횟수]])</f>
        <v>0.44444444444444442</v>
      </c>
    </row>
    <row r="1549" spans="1:8" hidden="1" x14ac:dyDescent="0.4">
      <c r="A1549">
        <v>774</v>
      </c>
      <c r="B1549" t="s">
        <v>1</v>
      </c>
      <c r="C1549">
        <v>0</v>
      </c>
      <c r="D1549">
        <v>0</v>
      </c>
      <c r="E1549">
        <v>9</v>
      </c>
      <c r="F1549">
        <v>4</v>
      </c>
      <c r="G1549">
        <v>1</v>
      </c>
      <c r="H1549">
        <f>표5[[#This Row],[공격성공횟수]]/(표5[[#This Row],[공격실패횟수]]+표5[[#This Row],[공격성공횟수]])</f>
        <v>0</v>
      </c>
    </row>
    <row r="1550" spans="1:8" x14ac:dyDescent="0.4">
      <c r="A1550">
        <v>775</v>
      </c>
      <c r="B1550" t="s">
        <v>0</v>
      </c>
      <c r="C1550">
        <v>1</v>
      </c>
      <c r="D1550">
        <v>4</v>
      </c>
      <c r="E1550">
        <v>8</v>
      </c>
      <c r="F1550">
        <v>0</v>
      </c>
      <c r="G1550">
        <v>0</v>
      </c>
      <c r="H1550">
        <f>표5[[#This Row],[공격성공횟수]]/(표5[[#This Row],[공격실패횟수]]+표5[[#This Row],[공격성공횟수]])</f>
        <v>0.33333333333333331</v>
      </c>
    </row>
    <row r="1551" spans="1:8" hidden="1" x14ac:dyDescent="0.4">
      <c r="A1551">
        <v>775</v>
      </c>
      <c r="B1551" t="s">
        <v>1</v>
      </c>
      <c r="C1551">
        <v>0</v>
      </c>
      <c r="D1551">
        <v>0</v>
      </c>
      <c r="E1551">
        <v>11</v>
      </c>
      <c r="F1551">
        <v>4</v>
      </c>
      <c r="G1551">
        <v>1</v>
      </c>
      <c r="H1551">
        <f>표5[[#This Row],[공격성공횟수]]/(표5[[#This Row],[공격실패횟수]]+표5[[#This Row],[공격성공횟수]])</f>
        <v>0</v>
      </c>
    </row>
    <row r="1552" spans="1:8" x14ac:dyDescent="0.4">
      <c r="A1552">
        <v>776</v>
      </c>
      <c r="B1552" t="s">
        <v>0</v>
      </c>
      <c r="C1552">
        <v>1</v>
      </c>
      <c r="D1552">
        <v>4</v>
      </c>
      <c r="E1552">
        <v>21</v>
      </c>
      <c r="F1552">
        <v>0</v>
      </c>
      <c r="G1552">
        <v>0</v>
      </c>
      <c r="H1552">
        <f>표5[[#This Row],[공격성공횟수]]/(표5[[#This Row],[공격실패횟수]]+표5[[#This Row],[공격성공횟수]])</f>
        <v>0.16</v>
      </c>
    </row>
    <row r="1553" spans="1:8" hidden="1" x14ac:dyDescent="0.4">
      <c r="A1553">
        <v>776</v>
      </c>
      <c r="B1553" t="s">
        <v>1</v>
      </c>
      <c r="C1553">
        <v>0</v>
      </c>
      <c r="D1553">
        <v>0</v>
      </c>
      <c r="E1553">
        <v>30</v>
      </c>
      <c r="F1553">
        <v>4</v>
      </c>
      <c r="G1553">
        <v>1</v>
      </c>
      <c r="H1553">
        <f>표5[[#This Row],[공격성공횟수]]/(표5[[#This Row],[공격실패횟수]]+표5[[#This Row],[공격성공횟수]])</f>
        <v>0</v>
      </c>
    </row>
    <row r="1554" spans="1:8" x14ac:dyDescent="0.4">
      <c r="A1554">
        <v>777</v>
      </c>
      <c r="B1554" t="s">
        <v>0</v>
      </c>
      <c r="C1554">
        <v>1</v>
      </c>
      <c r="D1554">
        <v>4</v>
      </c>
      <c r="E1554">
        <v>13</v>
      </c>
      <c r="F1554">
        <v>0</v>
      </c>
      <c r="G1554">
        <v>0</v>
      </c>
      <c r="H1554">
        <f>표5[[#This Row],[공격성공횟수]]/(표5[[#This Row],[공격실패횟수]]+표5[[#This Row],[공격성공횟수]])</f>
        <v>0.23529411764705882</v>
      </c>
    </row>
    <row r="1555" spans="1:8" hidden="1" x14ac:dyDescent="0.4">
      <c r="A1555">
        <v>777</v>
      </c>
      <c r="B1555" t="s">
        <v>1</v>
      </c>
      <c r="C1555">
        <v>0</v>
      </c>
      <c r="D1555">
        <v>0</v>
      </c>
      <c r="E1555">
        <v>17</v>
      </c>
      <c r="F1555">
        <v>4</v>
      </c>
      <c r="G1555">
        <v>1</v>
      </c>
      <c r="H1555">
        <f>표5[[#This Row],[공격성공횟수]]/(표5[[#This Row],[공격실패횟수]]+표5[[#This Row],[공격성공횟수]])</f>
        <v>0</v>
      </c>
    </row>
    <row r="1556" spans="1:8" x14ac:dyDescent="0.4">
      <c r="A1556">
        <v>778</v>
      </c>
      <c r="B1556" t="s">
        <v>0</v>
      </c>
      <c r="C1556">
        <v>1</v>
      </c>
      <c r="D1556">
        <v>4</v>
      </c>
      <c r="E1556">
        <v>3</v>
      </c>
      <c r="F1556">
        <v>0</v>
      </c>
      <c r="G1556">
        <v>0</v>
      </c>
      <c r="H1556">
        <f>표5[[#This Row],[공격성공횟수]]/(표5[[#This Row],[공격실패횟수]]+표5[[#This Row],[공격성공횟수]])</f>
        <v>0.5714285714285714</v>
      </c>
    </row>
    <row r="1557" spans="1:8" hidden="1" x14ac:dyDescent="0.4">
      <c r="A1557">
        <v>778</v>
      </c>
      <c r="B1557" t="s">
        <v>1</v>
      </c>
      <c r="C1557">
        <v>0</v>
      </c>
      <c r="D1557">
        <v>0</v>
      </c>
      <c r="E1557">
        <v>8</v>
      </c>
      <c r="F1557">
        <v>4</v>
      </c>
      <c r="G1557">
        <v>1</v>
      </c>
      <c r="H1557">
        <f>표5[[#This Row],[공격성공횟수]]/(표5[[#This Row],[공격실패횟수]]+표5[[#This Row],[공격성공횟수]])</f>
        <v>0</v>
      </c>
    </row>
    <row r="1558" spans="1:8" x14ac:dyDescent="0.4">
      <c r="A1558">
        <v>779</v>
      </c>
      <c r="B1558" t="s">
        <v>0</v>
      </c>
      <c r="C1558">
        <v>1</v>
      </c>
      <c r="D1558">
        <v>4</v>
      </c>
      <c r="E1558">
        <v>7</v>
      </c>
      <c r="F1558">
        <v>0</v>
      </c>
      <c r="G1558">
        <v>0</v>
      </c>
      <c r="H1558">
        <f>표5[[#This Row],[공격성공횟수]]/(표5[[#This Row],[공격실패횟수]]+표5[[#This Row],[공격성공횟수]])</f>
        <v>0.36363636363636365</v>
      </c>
    </row>
    <row r="1559" spans="1:8" hidden="1" x14ac:dyDescent="0.4">
      <c r="A1559">
        <v>779</v>
      </c>
      <c r="B1559" t="s">
        <v>1</v>
      </c>
      <c r="C1559">
        <v>0</v>
      </c>
      <c r="D1559">
        <v>0</v>
      </c>
      <c r="E1559">
        <v>11</v>
      </c>
      <c r="F1559">
        <v>4</v>
      </c>
      <c r="G1559">
        <v>1</v>
      </c>
      <c r="H1559">
        <f>표5[[#This Row],[공격성공횟수]]/(표5[[#This Row],[공격실패횟수]]+표5[[#This Row],[공격성공횟수]])</f>
        <v>0</v>
      </c>
    </row>
    <row r="1560" spans="1:8" x14ac:dyDescent="0.4">
      <c r="A1560">
        <v>780</v>
      </c>
      <c r="B1560" t="s">
        <v>0</v>
      </c>
      <c r="C1560">
        <v>1</v>
      </c>
      <c r="D1560">
        <v>4</v>
      </c>
      <c r="E1560">
        <v>11</v>
      </c>
      <c r="F1560">
        <v>0</v>
      </c>
      <c r="G1560">
        <v>0</v>
      </c>
      <c r="H1560">
        <f>표5[[#This Row],[공격성공횟수]]/(표5[[#This Row],[공격실패횟수]]+표5[[#This Row],[공격성공횟수]])</f>
        <v>0.26666666666666666</v>
      </c>
    </row>
    <row r="1561" spans="1:8" hidden="1" x14ac:dyDescent="0.4">
      <c r="A1561">
        <v>780</v>
      </c>
      <c r="B1561" t="s">
        <v>1</v>
      </c>
      <c r="C1561">
        <v>0</v>
      </c>
      <c r="D1561">
        <v>0</v>
      </c>
      <c r="E1561">
        <v>14</v>
      </c>
      <c r="F1561">
        <v>4</v>
      </c>
      <c r="G1561">
        <v>1</v>
      </c>
      <c r="H1561">
        <f>표5[[#This Row],[공격성공횟수]]/(표5[[#This Row],[공격실패횟수]]+표5[[#This Row],[공격성공횟수]])</f>
        <v>0</v>
      </c>
    </row>
    <row r="1562" spans="1:8" x14ac:dyDescent="0.4">
      <c r="A1562">
        <v>781</v>
      </c>
      <c r="B1562" t="s">
        <v>0</v>
      </c>
      <c r="C1562">
        <v>0</v>
      </c>
      <c r="D1562">
        <v>1</v>
      </c>
      <c r="E1562">
        <v>23</v>
      </c>
      <c r="F1562">
        <v>4</v>
      </c>
      <c r="G1562">
        <v>1</v>
      </c>
      <c r="H1562">
        <f>표5[[#This Row],[공격성공횟수]]/(표5[[#This Row],[공격실패횟수]]+표5[[#This Row],[공격성공횟수]])</f>
        <v>4.1666666666666664E-2</v>
      </c>
    </row>
    <row r="1563" spans="1:8" hidden="1" x14ac:dyDescent="0.4">
      <c r="A1563">
        <v>781</v>
      </c>
      <c r="B1563" t="s">
        <v>1</v>
      </c>
      <c r="C1563">
        <v>1</v>
      </c>
      <c r="D1563">
        <v>4</v>
      </c>
      <c r="E1563">
        <v>20</v>
      </c>
      <c r="F1563">
        <v>1</v>
      </c>
      <c r="G1563">
        <v>0</v>
      </c>
      <c r="H1563">
        <f>표5[[#This Row],[공격성공횟수]]/(표5[[#This Row],[공격실패횟수]]+표5[[#This Row],[공격성공횟수]])</f>
        <v>0.16666666666666666</v>
      </c>
    </row>
    <row r="1564" spans="1:8" x14ac:dyDescent="0.4">
      <c r="A1564">
        <v>782</v>
      </c>
      <c r="B1564" t="s">
        <v>0</v>
      </c>
      <c r="C1564">
        <v>1</v>
      </c>
      <c r="D1564">
        <v>4</v>
      </c>
      <c r="E1564">
        <v>9</v>
      </c>
      <c r="F1564">
        <v>2</v>
      </c>
      <c r="G1564">
        <v>0</v>
      </c>
      <c r="H1564">
        <f>표5[[#This Row],[공격성공횟수]]/(표5[[#This Row],[공격실패횟수]]+표5[[#This Row],[공격성공횟수]])</f>
        <v>0.30769230769230771</v>
      </c>
    </row>
    <row r="1565" spans="1:8" hidden="1" x14ac:dyDescent="0.4">
      <c r="A1565">
        <v>782</v>
      </c>
      <c r="B1565" t="s">
        <v>1</v>
      </c>
      <c r="C1565">
        <v>0</v>
      </c>
      <c r="D1565">
        <v>2</v>
      </c>
      <c r="E1565">
        <v>10</v>
      </c>
      <c r="F1565">
        <v>4</v>
      </c>
      <c r="G1565">
        <v>1</v>
      </c>
      <c r="H1565">
        <f>표5[[#This Row],[공격성공횟수]]/(표5[[#This Row],[공격실패횟수]]+표5[[#This Row],[공격성공횟수]])</f>
        <v>0.16666666666666666</v>
      </c>
    </row>
    <row r="1566" spans="1:8" x14ac:dyDescent="0.4">
      <c r="A1566">
        <v>783</v>
      </c>
      <c r="B1566" t="s">
        <v>0</v>
      </c>
      <c r="C1566">
        <v>1</v>
      </c>
      <c r="D1566">
        <v>4</v>
      </c>
      <c r="E1566">
        <v>22</v>
      </c>
      <c r="F1566">
        <v>3</v>
      </c>
      <c r="G1566">
        <v>0</v>
      </c>
      <c r="H1566">
        <f>표5[[#This Row],[공격성공횟수]]/(표5[[#This Row],[공격실패횟수]]+표5[[#This Row],[공격성공횟수]])</f>
        <v>0.15384615384615385</v>
      </c>
    </row>
    <row r="1567" spans="1:8" hidden="1" x14ac:dyDescent="0.4">
      <c r="A1567">
        <v>783</v>
      </c>
      <c r="B1567" t="s">
        <v>1</v>
      </c>
      <c r="C1567">
        <v>0</v>
      </c>
      <c r="D1567">
        <v>3</v>
      </c>
      <c r="E1567">
        <v>22</v>
      </c>
      <c r="F1567">
        <v>4</v>
      </c>
      <c r="G1567">
        <v>1</v>
      </c>
      <c r="H1567">
        <f>표5[[#This Row],[공격성공횟수]]/(표5[[#This Row],[공격실패횟수]]+표5[[#This Row],[공격성공횟수]])</f>
        <v>0.12</v>
      </c>
    </row>
    <row r="1568" spans="1:8" x14ac:dyDescent="0.4">
      <c r="A1568">
        <v>784</v>
      </c>
      <c r="B1568" t="s">
        <v>0</v>
      </c>
      <c r="C1568">
        <v>1</v>
      </c>
      <c r="D1568">
        <v>4</v>
      </c>
      <c r="E1568">
        <v>6</v>
      </c>
      <c r="F1568">
        <v>1</v>
      </c>
      <c r="G1568">
        <v>0</v>
      </c>
      <c r="H1568">
        <f>표5[[#This Row],[공격성공횟수]]/(표5[[#This Row],[공격실패횟수]]+표5[[#This Row],[공격성공횟수]])</f>
        <v>0.4</v>
      </c>
    </row>
    <row r="1569" spans="1:8" hidden="1" x14ac:dyDescent="0.4">
      <c r="A1569">
        <v>784</v>
      </c>
      <c r="B1569" t="s">
        <v>1</v>
      </c>
      <c r="C1569">
        <v>0</v>
      </c>
      <c r="D1569">
        <v>1</v>
      </c>
      <c r="E1569">
        <v>9</v>
      </c>
      <c r="F1569">
        <v>4</v>
      </c>
      <c r="G1569">
        <v>1</v>
      </c>
      <c r="H1569">
        <f>표5[[#This Row],[공격성공횟수]]/(표5[[#This Row],[공격실패횟수]]+표5[[#This Row],[공격성공횟수]])</f>
        <v>0.1</v>
      </c>
    </row>
    <row r="1570" spans="1:8" x14ac:dyDescent="0.4">
      <c r="A1570">
        <v>785</v>
      </c>
      <c r="B1570" t="s">
        <v>0</v>
      </c>
      <c r="C1570">
        <v>1</v>
      </c>
      <c r="D1570">
        <v>4</v>
      </c>
      <c r="E1570">
        <v>8</v>
      </c>
      <c r="F1570">
        <v>0</v>
      </c>
      <c r="G1570">
        <v>0</v>
      </c>
      <c r="H1570">
        <f>표5[[#This Row],[공격성공횟수]]/(표5[[#This Row],[공격실패횟수]]+표5[[#This Row],[공격성공횟수]])</f>
        <v>0.33333333333333331</v>
      </c>
    </row>
    <row r="1571" spans="1:8" hidden="1" x14ac:dyDescent="0.4">
      <c r="A1571">
        <v>785</v>
      </c>
      <c r="B1571" t="s">
        <v>1</v>
      </c>
      <c r="C1571">
        <v>0</v>
      </c>
      <c r="D1571">
        <v>0</v>
      </c>
      <c r="E1571">
        <v>13</v>
      </c>
      <c r="F1571">
        <v>4</v>
      </c>
      <c r="G1571">
        <v>1</v>
      </c>
      <c r="H1571">
        <f>표5[[#This Row],[공격성공횟수]]/(표5[[#This Row],[공격실패횟수]]+표5[[#This Row],[공격성공횟수]])</f>
        <v>0</v>
      </c>
    </row>
    <row r="1572" spans="1:8" x14ac:dyDescent="0.4">
      <c r="A1572">
        <v>786</v>
      </c>
      <c r="B1572" t="s">
        <v>0</v>
      </c>
      <c r="C1572">
        <v>1</v>
      </c>
      <c r="D1572">
        <v>4</v>
      </c>
      <c r="E1572">
        <v>23</v>
      </c>
      <c r="F1572">
        <v>2</v>
      </c>
      <c r="G1572">
        <v>0</v>
      </c>
      <c r="H1572">
        <f>표5[[#This Row],[공격성공횟수]]/(표5[[#This Row],[공격실패횟수]]+표5[[#This Row],[공격성공횟수]])</f>
        <v>0.14814814814814814</v>
      </c>
    </row>
    <row r="1573" spans="1:8" hidden="1" x14ac:dyDescent="0.4">
      <c r="A1573">
        <v>786</v>
      </c>
      <c r="B1573" t="s">
        <v>1</v>
      </c>
      <c r="C1573">
        <v>0</v>
      </c>
      <c r="D1573">
        <v>2</v>
      </c>
      <c r="E1573">
        <v>25</v>
      </c>
      <c r="F1573">
        <v>4</v>
      </c>
      <c r="G1573">
        <v>1</v>
      </c>
      <c r="H1573">
        <f>표5[[#This Row],[공격성공횟수]]/(표5[[#This Row],[공격실패횟수]]+표5[[#This Row],[공격성공횟수]])</f>
        <v>7.407407407407407E-2</v>
      </c>
    </row>
    <row r="1574" spans="1:8" x14ac:dyDescent="0.4">
      <c r="A1574">
        <v>787</v>
      </c>
      <c r="B1574" t="s">
        <v>0</v>
      </c>
      <c r="C1574">
        <v>1</v>
      </c>
      <c r="D1574">
        <v>4</v>
      </c>
      <c r="E1574">
        <v>6</v>
      </c>
      <c r="F1574">
        <v>0</v>
      </c>
      <c r="G1574">
        <v>0</v>
      </c>
      <c r="H1574">
        <f>표5[[#This Row],[공격성공횟수]]/(표5[[#This Row],[공격실패횟수]]+표5[[#This Row],[공격성공횟수]])</f>
        <v>0.4</v>
      </c>
    </row>
    <row r="1575" spans="1:8" hidden="1" x14ac:dyDescent="0.4">
      <c r="A1575">
        <v>787</v>
      </c>
      <c r="B1575" t="s">
        <v>1</v>
      </c>
      <c r="C1575">
        <v>0</v>
      </c>
      <c r="D1575">
        <v>0</v>
      </c>
      <c r="E1575">
        <v>10</v>
      </c>
      <c r="F1575">
        <v>4</v>
      </c>
      <c r="G1575">
        <v>1</v>
      </c>
      <c r="H1575">
        <f>표5[[#This Row],[공격성공횟수]]/(표5[[#This Row],[공격실패횟수]]+표5[[#This Row],[공격성공횟수]])</f>
        <v>0</v>
      </c>
    </row>
    <row r="1576" spans="1:8" x14ac:dyDescent="0.4">
      <c r="A1576">
        <v>788</v>
      </c>
      <c r="B1576" t="s">
        <v>0</v>
      </c>
      <c r="C1576">
        <v>0</v>
      </c>
      <c r="D1576">
        <v>2</v>
      </c>
      <c r="E1576">
        <v>11</v>
      </c>
      <c r="F1576">
        <v>4</v>
      </c>
      <c r="G1576">
        <v>1</v>
      </c>
      <c r="H1576">
        <f>표5[[#This Row],[공격성공횟수]]/(표5[[#This Row],[공격실패횟수]]+표5[[#This Row],[공격성공횟수]])</f>
        <v>0.15384615384615385</v>
      </c>
    </row>
    <row r="1577" spans="1:8" hidden="1" x14ac:dyDescent="0.4">
      <c r="A1577">
        <v>788</v>
      </c>
      <c r="B1577" t="s">
        <v>1</v>
      </c>
      <c r="C1577">
        <v>1</v>
      </c>
      <c r="D1577">
        <v>4</v>
      </c>
      <c r="E1577">
        <v>9</v>
      </c>
      <c r="F1577">
        <v>2</v>
      </c>
      <c r="G1577">
        <v>0</v>
      </c>
      <c r="H1577">
        <f>표5[[#This Row],[공격성공횟수]]/(표5[[#This Row],[공격실패횟수]]+표5[[#This Row],[공격성공횟수]])</f>
        <v>0.30769230769230771</v>
      </c>
    </row>
    <row r="1578" spans="1:8" x14ac:dyDescent="0.4">
      <c r="A1578">
        <v>789</v>
      </c>
      <c r="B1578" t="s">
        <v>0</v>
      </c>
      <c r="C1578">
        <v>1</v>
      </c>
      <c r="D1578">
        <v>4</v>
      </c>
      <c r="E1578">
        <v>5</v>
      </c>
      <c r="F1578">
        <v>0</v>
      </c>
      <c r="G1578">
        <v>0</v>
      </c>
      <c r="H1578">
        <f>표5[[#This Row],[공격성공횟수]]/(표5[[#This Row],[공격실패횟수]]+표5[[#This Row],[공격성공횟수]])</f>
        <v>0.44444444444444442</v>
      </c>
    </row>
    <row r="1579" spans="1:8" hidden="1" x14ac:dyDescent="0.4">
      <c r="A1579">
        <v>789</v>
      </c>
      <c r="B1579" t="s">
        <v>1</v>
      </c>
      <c r="C1579">
        <v>0</v>
      </c>
      <c r="D1579">
        <v>0</v>
      </c>
      <c r="E1579">
        <v>8</v>
      </c>
      <c r="F1579">
        <v>4</v>
      </c>
      <c r="G1579">
        <v>1</v>
      </c>
      <c r="H1579">
        <f>표5[[#This Row],[공격성공횟수]]/(표5[[#This Row],[공격실패횟수]]+표5[[#This Row],[공격성공횟수]])</f>
        <v>0</v>
      </c>
    </row>
    <row r="1580" spans="1:8" x14ac:dyDescent="0.4">
      <c r="A1580">
        <v>790</v>
      </c>
      <c r="B1580" t="s">
        <v>0</v>
      </c>
      <c r="C1580">
        <v>0</v>
      </c>
      <c r="D1580">
        <v>0</v>
      </c>
      <c r="E1580">
        <v>17</v>
      </c>
      <c r="F1580">
        <v>4</v>
      </c>
      <c r="G1580">
        <v>1</v>
      </c>
      <c r="H1580">
        <f>표5[[#This Row],[공격성공횟수]]/(표5[[#This Row],[공격실패횟수]]+표5[[#This Row],[공격성공횟수]])</f>
        <v>0</v>
      </c>
    </row>
    <row r="1581" spans="1:8" hidden="1" x14ac:dyDescent="0.4">
      <c r="A1581">
        <v>790</v>
      </c>
      <c r="B1581" t="s">
        <v>1</v>
      </c>
      <c r="C1581">
        <v>1</v>
      </c>
      <c r="D1581">
        <v>4</v>
      </c>
      <c r="E1581">
        <v>14</v>
      </c>
      <c r="F1581">
        <v>0</v>
      </c>
      <c r="G1581">
        <v>0</v>
      </c>
      <c r="H1581">
        <f>표5[[#This Row],[공격성공횟수]]/(표5[[#This Row],[공격실패횟수]]+표5[[#This Row],[공격성공횟수]])</f>
        <v>0.22222222222222221</v>
      </c>
    </row>
    <row r="1582" spans="1:8" x14ac:dyDescent="0.4">
      <c r="A1582">
        <v>791</v>
      </c>
      <c r="B1582" t="s">
        <v>0</v>
      </c>
      <c r="C1582">
        <v>1</v>
      </c>
      <c r="D1582">
        <v>4</v>
      </c>
      <c r="E1582">
        <v>8</v>
      </c>
      <c r="F1582">
        <v>0</v>
      </c>
      <c r="G1582">
        <v>0</v>
      </c>
      <c r="H1582">
        <f>표5[[#This Row],[공격성공횟수]]/(표5[[#This Row],[공격실패횟수]]+표5[[#This Row],[공격성공횟수]])</f>
        <v>0.33333333333333331</v>
      </c>
    </row>
    <row r="1583" spans="1:8" hidden="1" x14ac:dyDescent="0.4">
      <c r="A1583">
        <v>791</v>
      </c>
      <c r="B1583" t="s">
        <v>1</v>
      </c>
      <c r="C1583">
        <v>0</v>
      </c>
      <c r="D1583">
        <v>0</v>
      </c>
      <c r="E1583">
        <v>11</v>
      </c>
      <c r="F1583">
        <v>4</v>
      </c>
      <c r="G1583">
        <v>1</v>
      </c>
      <c r="H1583">
        <f>표5[[#This Row],[공격성공횟수]]/(표5[[#This Row],[공격실패횟수]]+표5[[#This Row],[공격성공횟수]])</f>
        <v>0</v>
      </c>
    </row>
    <row r="1584" spans="1:8" x14ac:dyDescent="0.4">
      <c r="A1584">
        <v>792</v>
      </c>
      <c r="B1584" t="s">
        <v>0</v>
      </c>
      <c r="C1584">
        <v>0</v>
      </c>
      <c r="D1584">
        <v>0</v>
      </c>
      <c r="E1584">
        <v>30</v>
      </c>
      <c r="F1584">
        <v>4</v>
      </c>
      <c r="G1584">
        <v>1</v>
      </c>
      <c r="H1584">
        <f>표5[[#This Row],[공격성공횟수]]/(표5[[#This Row],[공격실패횟수]]+표5[[#This Row],[공격성공횟수]])</f>
        <v>0</v>
      </c>
    </row>
    <row r="1585" spans="1:8" hidden="1" x14ac:dyDescent="0.4">
      <c r="A1585">
        <v>792</v>
      </c>
      <c r="B1585" t="s">
        <v>1</v>
      </c>
      <c r="C1585">
        <v>1</v>
      </c>
      <c r="D1585">
        <v>4</v>
      </c>
      <c r="E1585">
        <v>26</v>
      </c>
      <c r="F1585">
        <v>0</v>
      </c>
      <c r="G1585">
        <v>0</v>
      </c>
      <c r="H1585">
        <f>표5[[#This Row],[공격성공횟수]]/(표5[[#This Row],[공격실패횟수]]+표5[[#This Row],[공격성공횟수]])</f>
        <v>0.13333333333333333</v>
      </c>
    </row>
    <row r="1586" spans="1:8" x14ac:dyDescent="0.4">
      <c r="A1586">
        <v>793</v>
      </c>
      <c r="B1586" t="s">
        <v>0</v>
      </c>
      <c r="C1586">
        <v>1</v>
      </c>
      <c r="D1586">
        <v>4</v>
      </c>
      <c r="E1586">
        <v>16</v>
      </c>
      <c r="F1586">
        <v>1</v>
      </c>
      <c r="G1586">
        <v>0</v>
      </c>
      <c r="H1586">
        <f>표5[[#This Row],[공격성공횟수]]/(표5[[#This Row],[공격실패횟수]]+표5[[#This Row],[공격성공횟수]])</f>
        <v>0.2</v>
      </c>
    </row>
    <row r="1587" spans="1:8" hidden="1" x14ac:dyDescent="0.4">
      <c r="A1587">
        <v>793</v>
      </c>
      <c r="B1587" t="s">
        <v>1</v>
      </c>
      <c r="C1587">
        <v>0</v>
      </c>
      <c r="D1587">
        <v>1</v>
      </c>
      <c r="E1587">
        <v>18</v>
      </c>
      <c r="F1587">
        <v>4</v>
      </c>
      <c r="G1587">
        <v>1</v>
      </c>
      <c r="H1587">
        <f>표5[[#This Row],[공격성공횟수]]/(표5[[#This Row],[공격실패횟수]]+표5[[#This Row],[공격성공횟수]])</f>
        <v>5.2631578947368418E-2</v>
      </c>
    </row>
    <row r="1588" spans="1:8" x14ac:dyDescent="0.4">
      <c r="A1588">
        <v>794</v>
      </c>
      <c r="B1588" t="s">
        <v>0</v>
      </c>
      <c r="C1588">
        <v>1</v>
      </c>
      <c r="D1588">
        <v>4</v>
      </c>
      <c r="E1588">
        <v>9</v>
      </c>
      <c r="F1588">
        <v>0</v>
      </c>
      <c r="G1588">
        <v>0</v>
      </c>
      <c r="H1588">
        <f>표5[[#This Row],[공격성공횟수]]/(표5[[#This Row],[공격실패횟수]]+표5[[#This Row],[공격성공횟수]])</f>
        <v>0.30769230769230771</v>
      </c>
    </row>
    <row r="1589" spans="1:8" hidden="1" x14ac:dyDescent="0.4">
      <c r="A1589">
        <v>794</v>
      </c>
      <c r="B1589" t="s">
        <v>1</v>
      </c>
      <c r="C1589">
        <v>0</v>
      </c>
      <c r="D1589">
        <v>0</v>
      </c>
      <c r="E1589">
        <v>13</v>
      </c>
      <c r="F1589">
        <v>4</v>
      </c>
      <c r="G1589">
        <v>1</v>
      </c>
      <c r="H1589">
        <f>표5[[#This Row],[공격성공횟수]]/(표5[[#This Row],[공격실패횟수]]+표5[[#This Row],[공격성공횟수]])</f>
        <v>0</v>
      </c>
    </row>
    <row r="1590" spans="1:8" x14ac:dyDescent="0.4">
      <c r="A1590">
        <v>795</v>
      </c>
      <c r="B1590" t="s">
        <v>0</v>
      </c>
      <c r="C1590">
        <v>1</v>
      </c>
      <c r="D1590">
        <v>4</v>
      </c>
      <c r="E1590">
        <v>6</v>
      </c>
      <c r="F1590">
        <v>0</v>
      </c>
      <c r="G1590">
        <v>0</v>
      </c>
      <c r="H1590">
        <f>표5[[#This Row],[공격성공횟수]]/(표5[[#This Row],[공격실패횟수]]+표5[[#This Row],[공격성공횟수]])</f>
        <v>0.4</v>
      </c>
    </row>
    <row r="1591" spans="1:8" hidden="1" x14ac:dyDescent="0.4">
      <c r="A1591">
        <v>795</v>
      </c>
      <c r="B1591" t="s">
        <v>1</v>
      </c>
      <c r="C1591">
        <v>0</v>
      </c>
      <c r="D1591">
        <v>0</v>
      </c>
      <c r="E1591">
        <v>10</v>
      </c>
      <c r="F1591">
        <v>4</v>
      </c>
      <c r="G1591">
        <v>1</v>
      </c>
      <c r="H1591">
        <f>표5[[#This Row],[공격성공횟수]]/(표5[[#This Row],[공격실패횟수]]+표5[[#This Row],[공격성공횟수]])</f>
        <v>0</v>
      </c>
    </row>
    <row r="1592" spans="1:8" x14ac:dyDescent="0.4">
      <c r="A1592">
        <v>796</v>
      </c>
      <c r="B1592" t="s">
        <v>0</v>
      </c>
      <c r="C1592">
        <v>1</v>
      </c>
      <c r="D1592">
        <v>4</v>
      </c>
      <c r="E1592">
        <v>16</v>
      </c>
      <c r="F1592">
        <v>1</v>
      </c>
      <c r="G1592">
        <v>0</v>
      </c>
      <c r="H1592">
        <f>표5[[#This Row],[공격성공횟수]]/(표5[[#This Row],[공격실패횟수]]+표5[[#This Row],[공격성공횟수]])</f>
        <v>0.2</v>
      </c>
    </row>
    <row r="1593" spans="1:8" hidden="1" x14ac:dyDescent="0.4">
      <c r="A1593">
        <v>796</v>
      </c>
      <c r="B1593" t="s">
        <v>1</v>
      </c>
      <c r="C1593">
        <v>0</v>
      </c>
      <c r="D1593">
        <v>1</v>
      </c>
      <c r="E1593">
        <v>19</v>
      </c>
      <c r="F1593">
        <v>4</v>
      </c>
      <c r="G1593">
        <v>1</v>
      </c>
      <c r="H1593">
        <f>표5[[#This Row],[공격성공횟수]]/(표5[[#This Row],[공격실패횟수]]+표5[[#This Row],[공격성공횟수]])</f>
        <v>0.05</v>
      </c>
    </row>
    <row r="1594" spans="1:8" x14ac:dyDescent="0.4">
      <c r="A1594">
        <v>797</v>
      </c>
      <c r="B1594" t="s">
        <v>0</v>
      </c>
      <c r="C1594">
        <v>0</v>
      </c>
      <c r="D1594">
        <v>0</v>
      </c>
      <c r="E1594">
        <v>18</v>
      </c>
      <c r="F1594">
        <v>4</v>
      </c>
      <c r="G1594">
        <v>1</v>
      </c>
      <c r="H1594">
        <f>표5[[#This Row],[공격성공횟수]]/(표5[[#This Row],[공격실패횟수]]+표5[[#This Row],[공격성공횟수]])</f>
        <v>0</v>
      </c>
    </row>
    <row r="1595" spans="1:8" hidden="1" x14ac:dyDescent="0.4">
      <c r="A1595">
        <v>797</v>
      </c>
      <c r="B1595" t="s">
        <v>1</v>
      </c>
      <c r="C1595">
        <v>1</v>
      </c>
      <c r="D1595">
        <v>4</v>
      </c>
      <c r="E1595">
        <v>14</v>
      </c>
      <c r="F1595">
        <v>0</v>
      </c>
      <c r="G1595">
        <v>0</v>
      </c>
      <c r="H1595">
        <f>표5[[#This Row],[공격성공횟수]]/(표5[[#This Row],[공격실패횟수]]+표5[[#This Row],[공격성공횟수]])</f>
        <v>0.22222222222222221</v>
      </c>
    </row>
    <row r="1596" spans="1:8" x14ac:dyDescent="0.4">
      <c r="A1596">
        <v>798</v>
      </c>
      <c r="B1596" t="s">
        <v>0</v>
      </c>
      <c r="C1596">
        <v>1</v>
      </c>
      <c r="D1596">
        <v>4</v>
      </c>
      <c r="E1596">
        <v>40</v>
      </c>
      <c r="F1596">
        <v>3</v>
      </c>
      <c r="G1596">
        <v>0</v>
      </c>
      <c r="H1596">
        <f>표5[[#This Row],[공격성공횟수]]/(표5[[#This Row],[공격실패횟수]]+표5[[#This Row],[공격성공횟수]])</f>
        <v>9.0909090909090912E-2</v>
      </c>
    </row>
    <row r="1597" spans="1:8" hidden="1" x14ac:dyDescent="0.4">
      <c r="A1597">
        <v>798</v>
      </c>
      <c r="B1597" t="s">
        <v>1</v>
      </c>
      <c r="C1597">
        <v>0</v>
      </c>
      <c r="D1597">
        <v>3</v>
      </c>
      <c r="E1597">
        <v>39</v>
      </c>
      <c r="F1597">
        <v>4</v>
      </c>
      <c r="G1597">
        <v>1</v>
      </c>
      <c r="H1597">
        <f>표5[[#This Row],[공격성공횟수]]/(표5[[#This Row],[공격실패횟수]]+표5[[#This Row],[공격성공횟수]])</f>
        <v>7.1428571428571425E-2</v>
      </c>
    </row>
    <row r="1598" spans="1:8" x14ac:dyDescent="0.4">
      <c r="A1598">
        <v>799</v>
      </c>
      <c r="B1598" t="s">
        <v>0</v>
      </c>
      <c r="C1598">
        <v>1</v>
      </c>
      <c r="D1598">
        <v>4</v>
      </c>
      <c r="E1598">
        <v>6</v>
      </c>
      <c r="F1598">
        <v>0</v>
      </c>
      <c r="G1598">
        <v>0</v>
      </c>
      <c r="H1598">
        <f>표5[[#This Row],[공격성공횟수]]/(표5[[#This Row],[공격실패횟수]]+표5[[#This Row],[공격성공횟수]])</f>
        <v>0.4</v>
      </c>
    </row>
    <row r="1599" spans="1:8" hidden="1" x14ac:dyDescent="0.4">
      <c r="A1599">
        <v>799</v>
      </c>
      <c r="B1599" t="s">
        <v>1</v>
      </c>
      <c r="C1599">
        <v>0</v>
      </c>
      <c r="D1599">
        <v>0</v>
      </c>
      <c r="E1599">
        <v>10</v>
      </c>
      <c r="F1599">
        <v>4</v>
      </c>
      <c r="G1599">
        <v>1</v>
      </c>
      <c r="H1599">
        <f>표5[[#This Row],[공격성공횟수]]/(표5[[#This Row],[공격실패횟수]]+표5[[#This Row],[공격성공횟수]])</f>
        <v>0</v>
      </c>
    </row>
    <row r="1600" spans="1:8" x14ac:dyDescent="0.4">
      <c r="A1600">
        <v>800</v>
      </c>
      <c r="B1600" t="s">
        <v>0</v>
      </c>
      <c r="C1600">
        <v>1</v>
      </c>
      <c r="D1600">
        <v>4</v>
      </c>
      <c r="E1600">
        <v>7</v>
      </c>
      <c r="F1600">
        <v>0</v>
      </c>
      <c r="G1600">
        <v>0</v>
      </c>
      <c r="H1600">
        <f>표5[[#This Row],[공격성공횟수]]/(표5[[#This Row],[공격실패횟수]]+표5[[#This Row],[공격성공횟수]])</f>
        <v>0.36363636363636365</v>
      </c>
    </row>
    <row r="1601" spans="1:8" hidden="1" x14ac:dyDescent="0.4">
      <c r="A1601">
        <v>800</v>
      </c>
      <c r="B1601" t="s">
        <v>1</v>
      </c>
      <c r="C1601">
        <v>0</v>
      </c>
      <c r="D1601">
        <v>0</v>
      </c>
      <c r="E1601">
        <v>11</v>
      </c>
      <c r="F1601">
        <v>4</v>
      </c>
      <c r="G1601">
        <v>1</v>
      </c>
      <c r="H1601">
        <f>표5[[#This Row],[공격성공횟수]]/(표5[[#This Row],[공격실패횟수]]+표5[[#This Row],[공격성공횟수]])</f>
        <v>0</v>
      </c>
    </row>
    <row r="1602" spans="1:8" x14ac:dyDescent="0.4">
      <c r="A1602">
        <v>801</v>
      </c>
      <c r="B1602" t="s">
        <v>0</v>
      </c>
      <c r="C1602">
        <v>1</v>
      </c>
      <c r="D1602">
        <v>4</v>
      </c>
      <c r="E1602">
        <v>10</v>
      </c>
      <c r="F1602">
        <v>0</v>
      </c>
      <c r="G1602">
        <v>0</v>
      </c>
      <c r="H1602">
        <f>표5[[#This Row],[공격성공횟수]]/(표5[[#This Row],[공격실패횟수]]+표5[[#This Row],[공격성공횟수]])</f>
        <v>0.2857142857142857</v>
      </c>
    </row>
    <row r="1603" spans="1:8" hidden="1" x14ac:dyDescent="0.4">
      <c r="A1603">
        <v>801</v>
      </c>
      <c r="B1603" t="s">
        <v>1</v>
      </c>
      <c r="C1603">
        <v>0</v>
      </c>
      <c r="D1603">
        <v>0</v>
      </c>
      <c r="E1603">
        <v>13</v>
      </c>
      <c r="F1603">
        <v>4</v>
      </c>
      <c r="G1603">
        <v>1</v>
      </c>
      <c r="H1603">
        <f>표5[[#This Row],[공격성공횟수]]/(표5[[#This Row],[공격실패횟수]]+표5[[#This Row],[공격성공횟수]])</f>
        <v>0</v>
      </c>
    </row>
    <row r="1604" spans="1:8" x14ac:dyDescent="0.4">
      <c r="A1604">
        <v>802</v>
      </c>
      <c r="B1604" t="s">
        <v>0</v>
      </c>
      <c r="C1604">
        <v>1</v>
      </c>
      <c r="D1604">
        <v>4</v>
      </c>
      <c r="E1604">
        <v>17</v>
      </c>
      <c r="F1604">
        <v>1</v>
      </c>
      <c r="G1604">
        <v>0</v>
      </c>
      <c r="H1604">
        <f>표5[[#This Row],[공격성공횟수]]/(표5[[#This Row],[공격실패횟수]]+표5[[#This Row],[공격성공횟수]])</f>
        <v>0.19047619047619047</v>
      </c>
    </row>
    <row r="1605" spans="1:8" hidden="1" x14ac:dyDescent="0.4">
      <c r="A1605">
        <v>802</v>
      </c>
      <c r="B1605" t="s">
        <v>1</v>
      </c>
      <c r="C1605">
        <v>0</v>
      </c>
      <c r="D1605">
        <v>1</v>
      </c>
      <c r="E1605">
        <v>22</v>
      </c>
      <c r="F1605">
        <v>4</v>
      </c>
      <c r="G1605">
        <v>1</v>
      </c>
      <c r="H1605">
        <f>표5[[#This Row],[공격성공횟수]]/(표5[[#This Row],[공격실패횟수]]+표5[[#This Row],[공격성공횟수]])</f>
        <v>4.3478260869565216E-2</v>
      </c>
    </row>
    <row r="1606" spans="1:8" x14ac:dyDescent="0.4">
      <c r="A1606">
        <v>803</v>
      </c>
      <c r="B1606" t="s">
        <v>0</v>
      </c>
      <c r="C1606">
        <v>1</v>
      </c>
      <c r="D1606">
        <v>4</v>
      </c>
      <c r="E1606">
        <v>7</v>
      </c>
      <c r="F1606">
        <v>1</v>
      </c>
      <c r="G1606">
        <v>0</v>
      </c>
      <c r="H1606">
        <f>표5[[#This Row],[공격성공횟수]]/(표5[[#This Row],[공격실패횟수]]+표5[[#This Row],[공격성공횟수]])</f>
        <v>0.36363636363636365</v>
      </c>
    </row>
    <row r="1607" spans="1:8" hidden="1" x14ac:dyDescent="0.4">
      <c r="A1607">
        <v>803</v>
      </c>
      <c r="B1607" t="s">
        <v>1</v>
      </c>
      <c r="C1607">
        <v>0</v>
      </c>
      <c r="D1607">
        <v>1</v>
      </c>
      <c r="E1607">
        <v>9</v>
      </c>
      <c r="F1607">
        <v>4</v>
      </c>
      <c r="G1607">
        <v>1</v>
      </c>
      <c r="H1607">
        <f>표5[[#This Row],[공격성공횟수]]/(표5[[#This Row],[공격실패횟수]]+표5[[#This Row],[공격성공횟수]])</f>
        <v>0.1</v>
      </c>
    </row>
    <row r="1608" spans="1:8" x14ac:dyDescent="0.4">
      <c r="A1608">
        <v>804</v>
      </c>
      <c r="B1608" t="s">
        <v>0</v>
      </c>
      <c r="C1608">
        <v>1</v>
      </c>
      <c r="D1608">
        <v>4</v>
      </c>
      <c r="E1608">
        <v>28</v>
      </c>
      <c r="F1608">
        <v>0</v>
      </c>
      <c r="G1608">
        <v>0</v>
      </c>
      <c r="H1608">
        <f>표5[[#This Row],[공격성공횟수]]/(표5[[#This Row],[공격실패횟수]]+표5[[#This Row],[공격성공횟수]])</f>
        <v>0.125</v>
      </c>
    </row>
    <row r="1609" spans="1:8" hidden="1" x14ac:dyDescent="0.4">
      <c r="A1609">
        <v>804</v>
      </c>
      <c r="B1609" t="s">
        <v>1</v>
      </c>
      <c r="C1609">
        <v>0</v>
      </c>
      <c r="D1609">
        <v>0</v>
      </c>
      <c r="E1609">
        <v>31</v>
      </c>
      <c r="F1609">
        <v>4</v>
      </c>
      <c r="G1609">
        <v>1</v>
      </c>
      <c r="H1609">
        <f>표5[[#This Row],[공격성공횟수]]/(표5[[#This Row],[공격실패횟수]]+표5[[#This Row],[공격성공횟수]])</f>
        <v>0</v>
      </c>
    </row>
    <row r="1610" spans="1:8" x14ac:dyDescent="0.4">
      <c r="A1610">
        <v>805</v>
      </c>
      <c r="B1610" t="s">
        <v>0</v>
      </c>
      <c r="C1610">
        <v>0</v>
      </c>
      <c r="D1610">
        <v>0</v>
      </c>
      <c r="E1610">
        <v>22</v>
      </c>
      <c r="F1610">
        <v>4</v>
      </c>
      <c r="G1610">
        <v>1</v>
      </c>
      <c r="H1610">
        <f>표5[[#This Row],[공격성공횟수]]/(표5[[#This Row],[공격실패횟수]]+표5[[#This Row],[공격성공횟수]])</f>
        <v>0</v>
      </c>
    </row>
    <row r="1611" spans="1:8" hidden="1" x14ac:dyDescent="0.4">
      <c r="A1611">
        <v>805</v>
      </c>
      <c r="B1611" t="s">
        <v>1</v>
      </c>
      <c r="C1611">
        <v>1</v>
      </c>
      <c r="D1611">
        <v>4</v>
      </c>
      <c r="E1611">
        <v>19</v>
      </c>
      <c r="F1611">
        <v>0</v>
      </c>
      <c r="G1611">
        <v>0</v>
      </c>
      <c r="H1611">
        <f>표5[[#This Row],[공격성공횟수]]/(표5[[#This Row],[공격실패횟수]]+표5[[#This Row],[공격성공횟수]])</f>
        <v>0.17391304347826086</v>
      </c>
    </row>
    <row r="1612" spans="1:8" x14ac:dyDescent="0.4">
      <c r="A1612">
        <v>806</v>
      </c>
      <c r="B1612" t="s">
        <v>0</v>
      </c>
      <c r="C1612">
        <v>1</v>
      </c>
      <c r="D1612">
        <v>4</v>
      </c>
      <c r="E1612">
        <v>7</v>
      </c>
      <c r="F1612">
        <v>2</v>
      </c>
      <c r="G1612">
        <v>0</v>
      </c>
      <c r="H1612">
        <f>표5[[#This Row],[공격성공횟수]]/(표5[[#This Row],[공격실패횟수]]+표5[[#This Row],[공격성공횟수]])</f>
        <v>0.36363636363636365</v>
      </c>
    </row>
    <row r="1613" spans="1:8" hidden="1" x14ac:dyDescent="0.4">
      <c r="A1613">
        <v>806</v>
      </c>
      <c r="B1613" t="s">
        <v>1</v>
      </c>
      <c r="C1613">
        <v>0</v>
      </c>
      <c r="D1613">
        <v>2</v>
      </c>
      <c r="E1613">
        <v>8</v>
      </c>
      <c r="F1613">
        <v>4</v>
      </c>
      <c r="G1613">
        <v>1</v>
      </c>
      <c r="H1613">
        <f>표5[[#This Row],[공격성공횟수]]/(표5[[#This Row],[공격실패횟수]]+표5[[#This Row],[공격성공횟수]])</f>
        <v>0.2</v>
      </c>
    </row>
    <row r="1614" spans="1:8" x14ac:dyDescent="0.4">
      <c r="A1614">
        <v>807</v>
      </c>
      <c r="B1614" t="s">
        <v>0</v>
      </c>
      <c r="C1614">
        <v>1</v>
      </c>
      <c r="D1614">
        <v>4</v>
      </c>
      <c r="E1614">
        <v>4</v>
      </c>
      <c r="F1614">
        <v>0</v>
      </c>
      <c r="G1614">
        <v>0</v>
      </c>
      <c r="H1614">
        <f>표5[[#This Row],[공격성공횟수]]/(표5[[#This Row],[공격실패횟수]]+표5[[#This Row],[공격성공횟수]])</f>
        <v>0.5</v>
      </c>
    </row>
    <row r="1615" spans="1:8" hidden="1" x14ac:dyDescent="0.4">
      <c r="A1615">
        <v>807</v>
      </c>
      <c r="B1615" t="s">
        <v>1</v>
      </c>
      <c r="C1615">
        <v>0</v>
      </c>
      <c r="D1615">
        <v>0</v>
      </c>
      <c r="E1615">
        <v>8</v>
      </c>
      <c r="F1615">
        <v>4</v>
      </c>
      <c r="G1615">
        <v>1</v>
      </c>
      <c r="H1615">
        <f>표5[[#This Row],[공격성공횟수]]/(표5[[#This Row],[공격실패횟수]]+표5[[#This Row],[공격성공횟수]])</f>
        <v>0</v>
      </c>
    </row>
    <row r="1616" spans="1:8" x14ac:dyDescent="0.4">
      <c r="A1616">
        <v>808</v>
      </c>
      <c r="B1616" t="s">
        <v>0</v>
      </c>
      <c r="C1616">
        <v>1</v>
      </c>
      <c r="D1616">
        <v>4</v>
      </c>
      <c r="E1616">
        <v>10</v>
      </c>
      <c r="F1616">
        <v>1</v>
      </c>
      <c r="G1616">
        <v>0</v>
      </c>
      <c r="H1616">
        <f>표5[[#This Row],[공격성공횟수]]/(표5[[#This Row],[공격실패횟수]]+표5[[#This Row],[공격성공횟수]])</f>
        <v>0.2857142857142857</v>
      </c>
    </row>
    <row r="1617" spans="1:8" hidden="1" x14ac:dyDescent="0.4">
      <c r="A1617">
        <v>808</v>
      </c>
      <c r="B1617" t="s">
        <v>1</v>
      </c>
      <c r="C1617">
        <v>0</v>
      </c>
      <c r="D1617">
        <v>1</v>
      </c>
      <c r="E1617">
        <v>13</v>
      </c>
      <c r="F1617">
        <v>4</v>
      </c>
      <c r="G1617">
        <v>1</v>
      </c>
      <c r="H1617">
        <f>표5[[#This Row],[공격성공횟수]]/(표5[[#This Row],[공격실패횟수]]+표5[[#This Row],[공격성공횟수]])</f>
        <v>7.1428571428571425E-2</v>
      </c>
    </row>
    <row r="1618" spans="1:8" x14ac:dyDescent="0.4">
      <c r="A1618">
        <v>809</v>
      </c>
      <c r="B1618" t="s">
        <v>0</v>
      </c>
      <c r="C1618">
        <v>1</v>
      </c>
      <c r="D1618">
        <v>4</v>
      </c>
      <c r="E1618">
        <v>4</v>
      </c>
      <c r="F1618">
        <v>2</v>
      </c>
      <c r="G1618">
        <v>0</v>
      </c>
      <c r="H1618">
        <f>표5[[#This Row],[공격성공횟수]]/(표5[[#This Row],[공격실패횟수]]+표5[[#This Row],[공격성공횟수]])</f>
        <v>0.5</v>
      </c>
    </row>
    <row r="1619" spans="1:8" hidden="1" x14ac:dyDescent="0.4">
      <c r="A1619">
        <v>809</v>
      </c>
      <c r="B1619" t="s">
        <v>1</v>
      </c>
      <c r="C1619">
        <v>0</v>
      </c>
      <c r="D1619">
        <v>2</v>
      </c>
      <c r="E1619">
        <v>6</v>
      </c>
      <c r="F1619">
        <v>4</v>
      </c>
      <c r="G1619">
        <v>1</v>
      </c>
      <c r="H1619">
        <f>표5[[#This Row],[공격성공횟수]]/(표5[[#This Row],[공격실패횟수]]+표5[[#This Row],[공격성공횟수]])</f>
        <v>0.25</v>
      </c>
    </row>
    <row r="1620" spans="1:8" x14ac:dyDescent="0.4">
      <c r="A1620">
        <v>810</v>
      </c>
      <c r="B1620" t="s">
        <v>0</v>
      </c>
      <c r="C1620">
        <v>1</v>
      </c>
      <c r="D1620">
        <v>4</v>
      </c>
      <c r="E1620">
        <v>10</v>
      </c>
      <c r="F1620">
        <v>1</v>
      </c>
      <c r="G1620">
        <v>0</v>
      </c>
      <c r="H1620">
        <f>표5[[#This Row],[공격성공횟수]]/(표5[[#This Row],[공격실패횟수]]+표5[[#This Row],[공격성공횟수]])</f>
        <v>0.2857142857142857</v>
      </c>
    </row>
    <row r="1621" spans="1:8" hidden="1" x14ac:dyDescent="0.4">
      <c r="A1621">
        <v>810</v>
      </c>
      <c r="B1621" t="s">
        <v>1</v>
      </c>
      <c r="C1621">
        <v>0</v>
      </c>
      <c r="D1621">
        <v>1</v>
      </c>
      <c r="E1621">
        <v>13</v>
      </c>
      <c r="F1621">
        <v>4</v>
      </c>
      <c r="G1621">
        <v>1</v>
      </c>
      <c r="H1621">
        <f>표5[[#This Row],[공격성공횟수]]/(표5[[#This Row],[공격실패횟수]]+표5[[#This Row],[공격성공횟수]])</f>
        <v>7.1428571428571425E-2</v>
      </c>
    </row>
    <row r="1622" spans="1:8" x14ac:dyDescent="0.4">
      <c r="A1622">
        <v>811</v>
      </c>
      <c r="B1622" t="s">
        <v>0</v>
      </c>
      <c r="C1622">
        <v>1</v>
      </c>
      <c r="D1622">
        <v>4</v>
      </c>
      <c r="E1622">
        <v>22</v>
      </c>
      <c r="F1622">
        <v>2</v>
      </c>
      <c r="G1622">
        <v>0</v>
      </c>
      <c r="H1622">
        <f>표5[[#This Row],[공격성공횟수]]/(표5[[#This Row],[공격실패횟수]]+표5[[#This Row],[공격성공횟수]])</f>
        <v>0.15384615384615385</v>
      </c>
    </row>
    <row r="1623" spans="1:8" hidden="1" x14ac:dyDescent="0.4">
      <c r="A1623">
        <v>811</v>
      </c>
      <c r="B1623" t="s">
        <v>1</v>
      </c>
      <c r="C1623">
        <v>0</v>
      </c>
      <c r="D1623">
        <v>2</v>
      </c>
      <c r="E1623">
        <v>24</v>
      </c>
      <c r="F1623">
        <v>4</v>
      </c>
      <c r="G1623">
        <v>1</v>
      </c>
      <c r="H1623">
        <f>표5[[#This Row],[공격성공횟수]]/(표5[[#This Row],[공격실패횟수]]+표5[[#This Row],[공격성공횟수]])</f>
        <v>7.6923076923076927E-2</v>
      </c>
    </row>
    <row r="1624" spans="1:8" x14ac:dyDescent="0.4">
      <c r="A1624">
        <v>812</v>
      </c>
      <c r="B1624" t="s">
        <v>0</v>
      </c>
      <c r="C1624">
        <v>0</v>
      </c>
      <c r="D1624">
        <v>2</v>
      </c>
      <c r="E1624">
        <v>7</v>
      </c>
      <c r="F1624">
        <v>4</v>
      </c>
      <c r="G1624">
        <v>1</v>
      </c>
      <c r="H1624">
        <f>표5[[#This Row],[공격성공횟수]]/(표5[[#This Row],[공격실패횟수]]+표5[[#This Row],[공격성공횟수]])</f>
        <v>0.22222222222222221</v>
      </c>
    </row>
    <row r="1625" spans="1:8" hidden="1" x14ac:dyDescent="0.4">
      <c r="A1625">
        <v>812</v>
      </c>
      <c r="B1625" t="s">
        <v>1</v>
      </c>
      <c r="C1625">
        <v>1</v>
      </c>
      <c r="D1625">
        <v>4</v>
      </c>
      <c r="E1625">
        <v>7</v>
      </c>
      <c r="F1625">
        <v>2</v>
      </c>
      <c r="G1625">
        <v>0</v>
      </c>
      <c r="H1625">
        <f>표5[[#This Row],[공격성공횟수]]/(표5[[#This Row],[공격실패횟수]]+표5[[#This Row],[공격성공횟수]])</f>
        <v>0.36363636363636365</v>
      </c>
    </row>
    <row r="1626" spans="1:8" x14ac:dyDescent="0.4">
      <c r="A1626">
        <v>813</v>
      </c>
      <c r="B1626" t="s">
        <v>0</v>
      </c>
      <c r="C1626">
        <v>1</v>
      </c>
      <c r="D1626">
        <v>4</v>
      </c>
      <c r="E1626">
        <v>5</v>
      </c>
      <c r="F1626">
        <v>0</v>
      </c>
      <c r="G1626">
        <v>0</v>
      </c>
      <c r="H1626">
        <f>표5[[#This Row],[공격성공횟수]]/(표5[[#This Row],[공격실패횟수]]+표5[[#This Row],[공격성공횟수]])</f>
        <v>0.44444444444444442</v>
      </c>
    </row>
    <row r="1627" spans="1:8" hidden="1" x14ac:dyDescent="0.4">
      <c r="A1627">
        <v>813</v>
      </c>
      <c r="B1627" t="s">
        <v>1</v>
      </c>
      <c r="C1627">
        <v>0</v>
      </c>
      <c r="D1627">
        <v>0</v>
      </c>
      <c r="E1627">
        <v>8</v>
      </c>
      <c r="F1627">
        <v>4</v>
      </c>
      <c r="G1627">
        <v>1</v>
      </c>
      <c r="H1627">
        <f>표5[[#This Row],[공격성공횟수]]/(표5[[#This Row],[공격실패횟수]]+표5[[#This Row],[공격성공횟수]])</f>
        <v>0</v>
      </c>
    </row>
    <row r="1628" spans="1:8" x14ac:dyDescent="0.4">
      <c r="A1628">
        <v>814</v>
      </c>
      <c r="B1628" t="s">
        <v>0</v>
      </c>
      <c r="C1628">
        <v>1</v>
      </c>
      <c r="D1628">
        <v>4</v>
      </c>
      <c r="E1628">
        <v>4</v>
      </c>
      <c r="F1628">
        <v>0</v>
      </c>
      <c r="G1628">
        <v>0</v>
      </c>
      <c r="H1628">
        <f>표5[[#This Row],[공격성공횟수]]/(표5[[#This Row],[공격실패횟수]]+표5[[#This Row],[공격성공횟수]])</f>
        <v>0.5</v>
      </c>
    </row>
    <row r="1629" spans="1:8" hidden="1" x14ac:dyDescent="0.4">
      <c r="A1629">
        <v>814</v>
      </c>
      <c r="B1629" t="s">
        <v>1</v>
      </c>
      <c r="C1629">
        <v>0</v>
      </c>
      <c r="D1629">
        <v>0</v>
      </c>
      <c r="E1629">
        <v>8</v>
      </c>
      <c r="F1629">
        <v>4</v>
      </c>
      <c r="G1629">
        <v>1</v>
      </c>
      <c r="H1629">
        <f>표5[[#This Row],[공격성공횟수]]/(표5[[#This Row],[공격실패횟수]]+표5[[#This Row],[공격성공횟수]])</f>
        <v>0</v>
      </c>
    </row>
    <row r="1630" spans="1:8" x14ac:dyDescent="0.4">
      <c r="A1630">
        <v>815</v>
      </c>
      <c r="B1630" t="s">
        <v>0</v>
      </c>
      <c r="C1630">
        <v>1</v>
      </c>
      <c r="D1630">
        <v>4</v>
      </c>
      <c r="E1630">
        <v>8</v>
      </c>
      <c r="F1630">
        <v>0</v>
      </c>
      <c r="G1630">
        <v>0</v>
      </c>
      <c r="H1630">
        <f>표5[[#This Row],[공격성공횟수]]/(표5[[#This Row],[공격실패횟수]]+표5[[#This Row],[공격성공횟수]])</f>
        <v>0.33333333333333331</v>
      </c>
    </row>
    <row r="1631" spans="1:8" hidden="1" x14ac:dyDescent="0.4">
      <c r="A1631">
        <v>815</v>
      </c>
      <c r="B1631" t="s">
        <v>1</v>
      </c>
      <c r="C1631">
        <v>0</v>
      </c>
      <c r="D1631">
        <v>0</v>
      </c>
      <c r="E1631">
        <v>11</v>
      </c>
      <c r="F1631">
        <v>4</v>
      </c>
      <c r="G1631">
        <v>1</v>
      </c>
      <c r="H1631">
        <f>표5[[#This Row],[공격성공횟수]]/(표5[[#This Row],[공격실패횟수]]+표5[[#This Row],[공격성공횟수]])</f>
        <v>0</v>
      </c>
    </row>
    <row r="1632" spans="1:8" x14ac:dyDescent="0.4">
      <c r="A1632">
        <v>816</v>
      </c>
      <c r="B1632" t="s">
        <v>0</v>
      </c>
      <c r="C1632">
        <v>0</v>
      </c>
      <c r="D1632">
        <v>1</v>
      </c>
      <c r="E1632">
        <v>23</v>
      </c>
      <c r="F1632">
        <v>4</v>
      </c>
      <c r="G1632">
        <v>1</v>
      </c>
      <c r="H1632">
        <f>표5[[#This Row],[공격성공횟수]]/(표5[[#This Row],[공격실패횟수]]+표5[[#This Row],[공격성공횟수]])</f>
        <v>4.1666666666666664E-2</v>
      </c>
    </row>
    <row r="1633" spans="1:8" hidden="1" x14ac:dyDescent="0.4">
      <c r="A1633">
        <v>816</v>
      </c>
      <c r="B1633" t="s">
        <v>1</v>
      </c>
      <c r="C1633">
        <v>1</v>
      </c>
      <c r="D1633">
        <v>4</v>
      </c>
      <c r="E1633">
        <v>21</v>
      </c>
      <c r="F1633">
        <v>1</v>
      </c>
      <c r="G1633">
        <v>0</v>
      </c>
      <c r="H1633">
        <f>표5[[#This Row],[공격성공횟수]]/(표5[[#This Row],[공격실패횟수]]+표5[[#This Row],[공격성공횟수]])</f>
        <v>0.16</v>
      </c>
    </row>
    <row r="1634" spans="1:8" x14ac:dyDescent="0.4">
      <c r="A1634">
        <v>817</v>
      </c>
      <c r="B1634" t="s">
        <v>0</v>
      </c>
      <c r="C1634">
        <v>0</v>
      </c>
      <c r="D1634">
        <v>0</v>
      </c>
      <c r="E1634">
        <v>21</v>
      </c>
      <c r="F1634">
        <v>4</v>
      </c>
      <c r="G1634">
        <v>1</v>
      </c>
      <c r="H1634">
        <f>표5[[#This Row],[공격성공횟수]]/(표5[[#This Row],[공격실패횟수]]+표5[[#This Row],[공격성공횟수]])</f>
        <v>0</v>
      </c>
    </row>
    <row r="1635" spans="1:8" hidden="1" x14ac:dyDescent="0.4">
      <c r="A1635">
        <v>817</v>
      </c>
      <c r="B1635" t="s">
        <v>1</v>
      </c>
      <c r="C1635">
        <v>1</v>
      </c>
      <c r="D1635">
        <v>4</v>
      </c>
      <c r="E1635">
        <v>17</v>
      </c>
      <c r="F1635">
        <v>0</v>
      </c>
      <c r="G1635">
        <v>0</v>
      </c>
      <c r="H1635">
        <f>표5[[#This Row],[공격성공횟수]]/(표5[[#This Row],[공격실패횟수]]+표5[[#This Row],[공격성공횟수]])</f>
        <v>0.19047619047619047</v>
      </c>
    </row>
    <row r="1636" spans="1:8" x14ac:dyDescent="0.4">
      <c r="A1636">
        <v>818</v>
      </c>
      <c r="B1636" t="s">
        <v>0</v>
      </c>
      <c r="C1636">
        <v>0</v>
      </c>
      <c r="D1636">
        <v>1</v>
      </c>
      <c r="E1636">
        <v>16</v>
      </c>
      <c r="F1636">
        <v>4</v>
      </c>
      <c r="G1636">
        <v>1</v>
      </c>
      <c r="H1636">
        <f>표5[[#This Row],[공격성공횟수]]/(표5[[#This Row],[공격실패횟수]]+표5[[#This Row],[공격성공횟수]])</f>
        <v>5.8823529411764705E-2</v>
      </c>
    </row>
    <row r="1637" spans="1:8" hidden="1" x14ac:dyDescent="0.4">
      <c r="A1637">
        <v>818</v>
      </c>
      <c r="B1637" t="s">
        <v>1</v>
      </c>
      <c r="C1637">
        <v>1</v>
      </c>
      <c r="D1637">
        <v>4</v>
      </c>
      <c r="E1637">
        <v>13</v>
      </c>
      <c r="F1637">
        <v>1</v>
      </c>
      <c r="G1637">
        <v>0</v>
      </c>
      <c r="H1637">
        <f>표5[[#This Row],[공격성공횟수]]/(표5[[#This Row],[공격실패횟수]]+표5[[#This Row],[공격성공횟수]])</f>
        <v>0.23529411764705882</v>
      </c>
    </row>
    <row r="1638" spans="1:8" x14ac:dyDescent="0.4">
      <c r="A1638">
        <v>819</v>
      </c>
      <c r="B1638" t="s">
        <v>0</v>
      </c>
      <c r="C1638">
        <v>1</v>
      </c>
      <c r="D1638">
        <v>4</v>
      </c>
      <c r="E1638">
        <v>12</v>
      </c>
      <c r="F1638">
        <v>0</v>
      </c>
      <c r="G1638">
        <v>0</v>
      </c>
      <c r="H1638">
        <f>표5[[#This Row],[공격성공횟수]]/(표5[[#This Row],[공격실패횟수]]+표5[[#This Row],[공격성공횟수]])</f>
        <v>0.25</v>
      </c>
    </row>
    <row r="1639" spans="1:8" hidden="1" x14ac:dyDescent="0.4">
      <c r="A1639">
        <v>819</v>
      </c>
      <c r="B1639" t="s">
        <v>1</v>
      </c>
      <c r="C1639">
        <v>0</v>
      </c>
      <c r="D1639">
        <v>0</v>
      </c>
      <c r="E1639">
        <v>17</v>
      </c>
      <c r="F1639">
        <v>4</v>
      </c>
      <c r="G1639">
        <v>1</v>
      </c>
      <c r="H1639">
        <f>표5[[#This Row],[공격성공횟수]]/(표5[[#This Row],[공격실패횟수]]+표5[[#This Row],[공격성공횟수]])</f>
        <v>0</v>
      </c>
    </row>
    <row r="1640" spans="1:8" x14ac:dyDescent="0.4">
      <c r="A1640">
        <v>820</v>
      </c>
      <c r="B1640" t="s">
        <v>0</v>
      </c>
      <c r="C1640">
        <v>1</v>
      </c>
      <c r="D1640">
        <v>4</v>
      </c>
      <c r="E1640">
        <v>17</v>
      </c>
      <c r="F1640">
        <v>1</v>
      </c>
      <c r="G1640">
        <v>0</v>
      </c>
      <c r="H1640">
        <f>표5[[#This Row],[공격성공횟수]]/(표5[[#This Row],[공격실패횟수]]+표5[[#This Row],[공격성공횟수]])</f>
        <v>0.19047619047619047</v>
      </c>
    </row>
    <row r="1641" spans="1:8" hidden="1" x14ac:dyDescent="0.4">
      <c r="A1641">
        <v>820</v>
      </c>
      <c r="B1641" t="s">
        <v>1</v>
      </c>
      <c r="C1641">
        <v>0</v>
      </c>
      <c r="D1641">
        <v>1</v>
      </c>
      <c r="E1641">
        <v>20</v>
      </c>
      <c r="F1641">
        <v>4</v>
      </c>
      <c r="G1641">
        <v>1</v>
      </c>
      <c r="H1641">
        <f>표5[[#This Row],[공격성공횟수]]/(표5[[#This Row],[공격실패횟수]]+표5[[#This Row],[공격성공횟수]])</f>
        <v>4.7619047619047616E-2</v>
      </c>
    </row>
    <row r="1642" spans="1:8" x14ac:dyDescent="0.4">
      <c r="A1642">
        <v>821</v>
      </c>
      <c r="B1642" t="s">
        <v>0</v>
      </c>
      <c r="C1642">
        <v>1</v>
      </c>
      <c r="D1642">
        <v>4</v>
      </c>
      <c r="E1642">
        <v>23</v>
      </c>
      <c r="F1642">
        <v>3</v>
      </c>
      <c r="G1642">
        <v>0</v>
      </c>
      <c r="H1642">
        <f>표5[[#This Row],[공격성공횟수]]/(표5[[#This Row],[공격실패횟수]]+표5[[#This Row],[공격성공횟수]])</f>
        <v>0.14814814814814814</v>
      </c>
    </row>
    <row r="1643" spans="1:8" hidden="1" x14ac:dyDescent="0.4">
      <c r="A1643">
        <v>821</v>
      </c>
      <c r="B1643" t="s">
        <v>1</v>
      </c>
      <c r="C1643">
        <v>0</v>
      </c>
      <c r="D1643">
        <v>3</v>
      </c>
      <c r="E1643">
        <v>24</v>
      </c>
      <c r="F1643">
        <v>4</v>
      </c>
      <c r="G1643">
        <v>1</v>
      </c>
      <c r="H1643">
        <f>표5[[#This Row],[공격성공횟수]]/(표5[[#This Row],[공격실패횟수]]+표5[[#This Row],[공격성공횟수]])</f>
        <v>0.1111111111111111</v>
      </c>
    </row>
    <row r="1644" spans="1:8" x14ac:dyDescent="0.4">
      <c r="A1644">
        <v>822</v>
      </c>
      <c r="B1644" t="s">
        <v>0</v>
      </c>
      <c r="C1644">
        <v>1</v>
      </c>
      <c r="D1644">
        <v>4</v>
      </c>
      <c r="E1644">
        <v>16</v>
      </c>
      <c r="F1644">
        <v>0</v>
      </c>
      <c r="G1644">
        <v>0</v>
      </c>
      <c r="H1644">
        <f>표5[[#This Row],[공격성공횟수]]/(표5[[#This Row],[공격실패횟수]]+표5[[#This Row],[공격성공횟수]])</f>
        <v>0.2</v>
      </c>
    </row>
    <row r="1645" spans="1:8" hidden="1" x14ac:dyDescent="0.4">
      <c r="A1645">
        <v>822</v>
      </c>
      <c r="B1645" t="s">
        <v>1</v>
      </c>
      <c r="C1645">
        <v>0</v>
      </c>
      <c r="D1645">
        <v>0</v>
      </c>
      <c r="E1645">
        <v>24</v>
      </c>
      <c r="F1645">
        <v>4</v>
      </c>
      <c r="G1645">
        <v>1</v>
      </c>
      <c r="H1645">
        <f>표5[[#This Row],[공격성공횟수]]/(표5[[#This Row],[공격실패횟수]]+표5[[#This Row],[공격성공횟수]])</f>
        <v>0</v>
      </c>
    </row>
    <row r="1646" spans="1:8" x14ac:dyDescent="0.4">
      <c r="A1646">
        <v>823</v>
      </c>
      <c r="B1646" t="s">
        <v>0</v>
      </c>
      <c r="C1646">
        <v>0</v>
      </c>
      <c r="D1646">
        <v>1</v>
      </c>
      <c r="E1646">
        <v>16</v>
      </c>
      <c r="F1646">
        <v>4</v>
      </c>
      <c r="G1646">
        <v>1</v>
      </c>
      <c r="H1646">
        <f>표5[[#This Row],[공격성공횟수]]/(표5[[#This Row],[공격실패횟수]]+표5[[#This Row],[공격성공횟수]])</f>
        <v>5.8823529411764705E-2</v>
      </c>
    </row>
    <row r="1647" spans="1:8" hidden="1" x14ac:dyDescent="0.4">
      <c r="A1647">
        <v>823</v>
      </c>
      <c r="B1647" t="s">
        <v>1</v>
      </c>
      <c r="C1647">
        <v>1</v>
      </c>
      <c r="D1647">
        <v>4</v>
      </c>
      <c r="E1647">
        <v>13</v>
      </c>
      <c r="F1647">
        <v>1</v>
      </c>
      <c r="G1647">
        <v>0</v>
      </c>
      <c r="H1647">
        <f>표5[[#This Row],[공격성공횟수]]/(표5[[#This Row],[공격실패횟수]]+표5[[#This Row],[공격성공횟수]])</f>
        <v>0.23529411764705882</v>
      </c>
    </row>
    <row r="1648" spans="1:8" x14ac:dyDescent="0.4">
      <c r="A1648">
        <v>824</v>
      </c>
      <c r="B1648" t="s">
        <v>0</v>
      </c>
      <c r="C1648">
        <v>1</v>
      </c>
      <c r="D1648">
        <v>4</v>
      </c>
      <c r="E1648">
        <v>6</v>
      </c>
      <c r="F1648">
        <v>0</v>
      </c>
      <c r="G1648">
        <v>0</v>
      </c>
      <c r="H1648">
        <f>표5[[#This Row],[공격성공횟수]]/(표5[[#This Row],[공격실패횟수]]+표5[[#This Row],[공격성공횟수]])</f>
        <v>0.4</v>
      </c>
    </row>
    <row r="1649" spans="1:8" hidden="1" x14ac:dyDescent="0.4">
      <c r="A1649">
        <v>824</v>
      </c>
      <c r="B1649" t="s">
        <v>1</v>
      </c>
      <c r="C1649">
        <v>0</v>
      </c>
      <c r="D1649">
        <v>0</v>
      </c>
      <c r="E1649">
        <v>9</v>
      </c>
      <c r="F1649">
        <v>4</v>
      </c>
      <c r="G1649">
        <v>1</v>
      </c>
      <c r="H1649">
        <f>표5[[#This Row],[공격성공횟수]]/(표5[[#This Row],[공격실패횟수]]+표5[[#This Row],[공격성공횟수]])</f>
        <v>0</v>
      </c>
    </row>
    <row r="1650" spans="1:8" x14ac:dyDescent="0.4">
      <c r="A1650">
        <v>825</v>
      </c>
      <c r="B1650" t="s">
        <v>0</v>
      </c>
      <c r="C1650">
        <v>1</v>
      </c>
      <c r="D1650">
        <v>4</v>
      </c>
      <c r="E1650">
        <v>24</v>
      </c>
      <c r="F1650">
        <v>2</v>
      </c>
      <c r="G1650">
        <v>0</v>
      </c>
      <c r="H1650">
        <f>표5[[#This Row],[공격성공횟수]]/(표5[[#This Row],[공격실패횟수]]+표5[[#This Row],[공격성공횟수]])</f>
        <v>0.14285714285714285</v>
      </c>
    </row>
    <row r="1651" spans="1:8" hidden="1" x14ac:dyDescent="0.4">
      <c r="A1651">
        <v>825</v>
      </c>
      <c r="B1651" t="s">
        <v>1</v>
      </c>
      <c r="C1651">
        <v>0</v>
      </c>
      <c r="D1651">
        <v>2</v>
      </c>
      <c r="E1651">
        <v>25</v>
      </c>
      <c r="F1651">
        <v>4</v>
      </c>
      <c r="G1651">
        <v>1</v>
      </c>
      <c r="H1651">
        <f>표5[[#This Row],[공격성공횟수]]/(표5[[#This Row],[공격실패횟수]]+표5[[#This Row],[공격성공횟수]])</f>
        <v>7.407407407407407E-2</v>
      </c>
    </row>
    <row r="1652" spans="1:8" x14ac:dyDescent="0.4">
      <c r="A1652">
        <v>826</v>
      </c>
      <c r="B1652" t="s">
        <v>0</v>
      </c>
      <c r="C1652">
        <v>1</v>
      </c>
      <c r="D1652">
        <v>4</v>
      </c>
      <c r="E1652">
        <v>10</v>
      </c>
      <c r="F1652">
        <v>0</v>
      </c>
      <c r="G1652">
        <v>0</v>
      </c>
      <c r="H1652">
        <f>표5[[#This Row],[공격성공횟수]]/(표5[[#This Row],[공격실패횟수]]+표5[[#This Row],[공격성공횟수]])</f>
        <v>0.2857142857142857</v>
      </c>
    </row>
    <row r="1653" spans="1:8" hidden="1" x14ac:dyDescent="0.4">
      <c r="A1653">
        <v>826</v>
      </c>
      <c r="B1653" t="s">
        <v>1</v>
      </c>
      <c r="C1653">
        <v>0</v>
      </c>
      <c r="D1653">
        <v>0</v>
      </c>
      <c r="E1653">
        <v>14</v>
      </c>
      <c r="F1653">
        <v>4</v>
      </c>
      <c r="G1653">
        <v>1</v>
      </c>
      <c r="H1653">
        <f>표5[[#This Row],[공격성공횟수]]/(표5[[#This Row],[공격실패횟수]]+표5[[#This Row],[공격성공횟수]])</f>
        <v>0</v>
      </c>
    </row>
    <row r="1654" spans="1:8" x14ac:dyDescent="0.4">
      <c r="A1654">
        <v>827</v>
      </c>
      <c r="B1654" t="s">
        <v>0</v>
      </c>
      <c r="C1654">
        <v>1</v>
      </c>
      <c r="D1654">
        <v>4</v>
      </c>
      <c r="E1654">
        <v>11</v>
      </c>
      <c r="F1654">
        <v>0</v>
      </c>
      <c r="G1654">
        <v>0</v>
      </c>
      <c r="H1654">
        <f>표5[[#This Row],[공격성공횟수]]/(표5[[#This Row],[공격실패횟수]]+표5[[#This Row],[공격성공횟수]])</f>
        <v>0.26666666666666666</v>
      </c>
    </row>
    <row r="1655" spans="1:8" hidden="1" x14ac:dyDescent="0.4">
      <c r="A1655">
        <v>827</v>
      </c>
      <c r="B1655" t="s">
        <v>1</v>
      </c>
      <c r="C1655">
        <v>0</v>
      </c>
      <c r="D1655">
        <v>0</v>
      </c>
      <c r="E1655">
        <v>16</v>
      </c>
      <c r="F1655">
        <v>4</v>
      </c>
      <c r="G1655">
        <v>1</v>
      </c>
      <c r="H1655">
        <f>표5[[#This Row],[공격성공횟수]]/(표5[[#This Row],[공격실패횟수]]+표5[[#This Row],[공격성공횟수]])</f>
        <v>0</v>
      </c>
    </row>
    <row r="1656" spans="1:8" x14ac:dyDescent="0.4">
      <c r="A1656">
        <v>828</v>
      </c>
      <c r="B1656" t="s">
        <v>0</v>
      </c>
      <c r="C1656">
        <v>0</v>
      </c>
      <c r="D1656">
        <v>0</v>
      </c>
      <c r="E1656">
        <v>22</v>
      </c>
      <c r="F1656">
        <v>4</v>
      </c>
      <c r="G1656">
        <v>1</v>
      </c>
      <c r="H1656">
        <f>표5[[#This Row],[공격성공횟수]]/(표5[[#This Row],[공격실패횟수]]+표5[[#This Row],[공격성공횟수]])</f>
        <v>0</v>
      </c>
    </row>
    <row r="1657" spans="1:8" hidden="1" x14ac:dyDescent="0.4">
      <c r="A1657">
        <v>828</v>
      </c>
      <c r="B1657" t="s">
        <v>1</v>
      </c>
      <c r="C1657">
        <v>1</v>
      </c>
      <c r="D1657">
        <v>4</v>
      </c>
      <c r="E1657">
        <v>19</v>
      </c>
      <c r="F1657">
        <v>0</v>
      </c>
      <c r="G1657">
        <v>0</v>
      </c>
      <c r="H1657">
        <f>표5[[#This Row],[공격성공횟수]]/(표5[[#This Row],[공격실패횟수]]+표5[[#This Row],[공격성공횟수]])</f>
        <v>0.17391304347826086</v>
      </c>
    </row>
    <row r="1658" spans="1:8" x14ac:dyDescent="0.4">
      <c r="A1658">
        <v>829</v>
      </c>
      <c r="B1658" t="s">
        <v>0</v>
      </c>
      <c r="C1658">
        <v>0</v>
      </c>
      <c r="D1658">
        <v>0</v>
      </c>
      <c r="E1658">
        <v>13</v>
      </c>
      <c r="F1658">
        <v>4</v>
      </c>
      <c r="G1658">
        <v>1</v>
      </c>
      <c r="H1658">
        <f>표5[[#This Row],[공격성공횟수]]/(표5[[#This Row],[공격실패횟수]]+표5[[#This Row],[공격성공횟수]])</f>
        <v>0</v>
      </c>
    </row>
    <row r="1659" spans="1:8" hidden="1" x14ac:dyDescent="0.4">
      <c r="A1659">
        <v>829</v>
      </c>
      <c r="B1659" t="s">
        <v>1</v>
      </c>
      <c r="C1659">
        <v>1</v>
      </c>
      <c r="D1659">
        <v>4</v>
      </c>
      <c r="E1659">
        <v>9</v>
      </c>
      <c r="F1659">
        <v>0</v>
      </c>
      <c r="G1659">
        <v>0</v>
      </c>
      <c r="H1659">
        <f>표5[[#This Row],[공격성공횟수]]/(표5[[#This Row],[공격실패횟수]]+표5[[#This Row],[공격성공횟수]])</f>
        <v>0.30769230769230771</v>
      </c>
    </row>
    <row r="1660" spans="1:8" x14ac:dyDescent="0.4">
      <c r="A1660">
        <v>830</v>
      </c>
      <c r="B1660" t="s">
        <v>0</v>
      </c>
      <c r="C1660">
        <v>1</v>
      </c>
      <c r="D1660">
        <v>4</v>
      </c>
      <c r="E1660">
        <v>7</v>
      </c>
      <c r="F1660">
        <v>2</v>
      </c>
      <c r="G1660">
        <v>0</v>
      </c>
      <c r="H1660">
        <f>표5[[#This Row],[공격성공횟수]]/(표5[[#This Row],[공격실패횟수]]+표5[[#This Row],[공격성공횟수]])</f>
        <v>0.36363636363636365</v>
      </c>
    </row>
    <row r="1661" spans="1:8" hidden="1" x14ac:dyDescent="0.4">
      <c r="A1661">
        <v>830</v>
      </c>
      <c r="B1661" t="s">
        <v>1</v>
      </c>
      <c r="C1661">
        <v>0</v>
      </c>
      <c r="D1661">
        <v>2</v>
      </c>
      <c r="E1661">
        <v>8</v>
      </c>
      <c r="F1661">
        <v>4</v>
      </c>
      <c r="G1661">
        <v>1</v>
      </c>
      <c r="H1661">
        <f>표5[[#This Row],[공격성공횟수]]/(표5[[#This Row],[공격실패횟수]]+표5[[#This Row],[공격성공횟수]])</f>
        <v>0.2</v>
      </c>
    </row>
    <row r="1662" spans="1:8" x14ac:dyDescent="0.4">
      <c r="A1662">
        <v>831</v>
      </c>
      <c r="B1662" t="s">
        <v>0</v>
      </c>
      <c r="C1662">
        <v>1</v>
      </c>
      <c r="D1662">
        <v>4</v>
      </c>
      <c r="E1662">
        <v>20</v>
      </c>
      <c r="F1662">
        <v>2</v>
      </c>
      <c r="G1662">
        <v>0</v>
      </c>
      <c r="H1662">
        <f>표5[[#This Row],[공격성공횟수]]/(표5[[#This Row],[공격실패횟수]]+표5[[#This Row],[공격성공횟수]])</f>
        <v>0.16666666666666666</v>
      </c>
    </row>
    <row r="1663" spans="1:8" hidden="1" x14ac:dyDescent="0.4">
      <c r="A1663">
        <v>831</v>
      </c>
      <c r="B1663" t="s">
        <v>1</v>
      </c>
      <c r="C1663">
        <v>0</v>
      </c>
      <c r="D1663">
        <v>2</v>
      </c>
      <c r="E1663">
        <v>21</v>
      </c>
      <c r="F1663">
        <v>4</v>
      </c>
      <c r="G1663">
        <v>1</v>
      </c>
      <c r="H1663">
        <f>표5[[#This Row],[공격성공횟수]]/(표5[[#This Row],[공격실패횟수]]+표5[[#This Row],[공격성공횟수]])</f>
        <v>8.6956521739130432E-2</v>
      </c>
    </row>
    <row r="1664" spans="1:8" x14ac:dyDescent="0.4">
      <c r="A1664">
        <v>832</v>
      </c>
      <c r="B1664" t="s">
        <v>0</v>
      </c>
      <c r="C1664">
        <v>0</v>
      </c>
      <c r="D1664">
        <v>0</v>
      </c>
      <c r="E1664">
        <v>47</v>
      </c>
      <c r="F1664">
        <v>4</v>
      </c>
      <c r="G1664">
        <v>1</v>
      </c>
      <c r="H1664">
        <f>표5[[#This Row],[공격성공횟수]]/(표5[[#This Row],[공격실패횟수]]+표5[[#This Row],[공격성공횟수]])</f>
        <v>0</v>
      </c>
    </row>
    <row r="1665" spans="1:8" hidden="1" x14ac:dyDescent="0.4">
      <c r="A1665">
        <v>832</v>
      </c>
      <c r="B1665" t="s">
        <v>1</v>
      </c>
      <c r="C1665">
        <v>1</v>
      </c>
      <c r="D1665">
        <v>4</v>
      </c>
      <c r="E1665">
        <v>42</v>
      </c>
      <c r="F1665">
        <v>0</v>
      </c>
      <c r="G1665">
        <v>0</v>
      </c>
      <c r="H1665">
        <f>표5[[#This Row],[공격성공횟수]]/(표5[[#This Row],[공격실패횟수]]+표5[[#This Row],[공격성공횟수]])</f>
        <v>8.6956521739130432E-2</v>
      </c>
    </row>
    <row r="1666" spans="1:8" x14ac:dyDescent="0.4">
      <c r="A1666">
        <v>833</v>
      </c>
      <c r="B1666" t="s">
        <v>0</v>
      </c>
      <c r="C1666">
        <v>1</v>
      </c>
      <c r="D1666">
        <v>4</v>
      </c>
      <c r="E1666">
        <v>7</v>
      </c>
      <c r="F1666">
        <v>2</v>
      </c>
      <c r="G1666">
        <v>0</v>
      </c>
      <c r="H1666">
        <f>표5[[#This Row],[공격성공횟수]]/(표5[[#This Row],[공격실패횟수]]+표5[[#This Row],[공격성공횟수]])</f>
        <v>0.36363636363636365</v>
      </c>
    </row>
    <row r="1667" spans="1:8" hidden="1" x14ac:dyDescent="0.4">
      <c r="A1667">
        <v>833</v>
      </c>
      <c r="B1667" t="s">
        <v>1</v>
      </c>
      <c r="C1667">
        <v>0</v>
      </c>
      <c r="D1667">
        <v>2</v>
      </c>
      <c r="E1667">
        <v>9</v>
      </c>
      <c r="F1667">
        <v>4</v>
      </c>
      <c r="G1667">
        <v>1</v>
      </c>
      <c r="H1667">
        <f>표5[[#This Row],[공격성공횟수]]/(표5[[#This Row],[공격실패횟수]]+표5[[#This Row],[공격성공횟수]])</f>
        <v>0.18181818181818182</v>
      </c>
    </row>
    <row r="1668" spans="1:8" x14ac:dyDescent="0.4">
      <c r="A1668">
        <v>834</v>
      </c>
      <c r="B1668" t="s">
        <v>0</v>
      </c>
      <c r="C1668">
        <v>1</v>
      </c>
      <c r="D1668">
        <v>4</v>
      </c>
      <c r="E1668">
        <v>12</v>
      </c>
      <c r="F1668">
        <v>0</v>
      </c>
      <c r="G1668">
        <v>0</v>
      </c>
      <c r="H1668">
        <f>표5[[#This Row],[공격성공횟수]]/(표5[[#This Row],[공격실패횟수]]+표5[[#This Row],[공격성공횟수]])</f>
        <v>0.25</v>
      </c>
    </row>
    <row r="1669" spans="1:8" hidden="1" x14ac:dyDescent="0.4">
      <c r="A1669">
        <v>834</v>
      </c>
      <c r="B1669" t="s">
        <v>1</v>
      </c>
      <c r="C1669">
        <v>0</v>
      </c>
      <c r="D1669">
        <v>0</v>
      </c>
      <c r="E1669">
        <v>16</v>
      </c>
      <c r="F1669">
        <v>4</v>
      </c>
      <c r="G1669">
        <v>1</v>
      </c>
      <c r="H1669">
        <f>표5[[#This Row],[공격성공횟수]]/(표5[[#This Row],[공격실패횟수]]+표5[[#This Row],[공격성공횟수]])</f>
        <v>0</v>
      </c>
    </row>
    <row r="1670" spans="1:8" x14ac:dyDescent="0.4">
      <c r="A1670">
        <v>835</v>
      </c>
      <c r="B1670" t="s">
        <v>0</v>
      </c>
      <c r="C1670">
        <v>1</v>
      </c>
      <c r="D1670">
        <v>4</v>
      </c>
      <c r="E1670">
        <v>5</v>
      </c>
      <c r="F1670">
        <v>0</v>
      </c>
      <c r="G1670">
        <v>0</v>
      </c>
      <c r="H1670">
        <f>표5[[#This Row],[공격성공횟수]]/(표5[[#This Row],[공격실패횟수]]+표5[[#This Row],[공격성공횟수]])</f>
        <v>0.44444444444444442</v>
      </c>
    </row>
    <row r="1671" spans="1:8" hidden="1" x14ac:dyDescent="0.4">
      <c r="A1671">
        <v>835</v>
      </c>
      <c r="B1671" t="s">
        <v>1</v>
      </c>
      <c r="C1671">
        <v>0</v>
      </c>
      <c r="D1671">
        <v>0</v>
      </c>
      <c r="E1671">
        <v>13</v>
      </c>
      <c r="F1671">
        <v>4</v>
      </c>
      <c r="G1671">
        <v>1</v>
      </c>
      <c r="H1671">
        <f>표5[[#This Row],[공격성공횟수]]/(표5[[#This Row],[공격실패횟수]]+표5[[#This Row],[공격성공횟수]])</f>
        <v>0</v>
      </c>
    </row>
    <row r="1672" spans="1:8" x14ac:dyDescent="0.4">
      <c r="A1672">
        <v>836</v>
      </c>
      <c r="B1672" t="s">
        <v>0</v>
      </c>
      <c r="C1672">
        <v>1</v>
      </c>
      <c r="D1672">
        <v>4</v>
      </c>
      <c r="E1672">
        <v>5</v>
      </c>
      <c r="F1672">
        <v>1</v>
      </c>
      <c r="G1672">
        <v>0</v>
      </c>
      <c r="H1672">
        <f>표5[[#This Row],[공격성공횟수]]/(표5[[#This Row],[공격실패횟수]]+표5[[#This Row],[공격성공횟수]])</f>
        <v>0.44444444444444442</v>
      </c>
    </row>
    <row r="1673" spans="1:8" hidden="1" x14ac:dyDescent="0.4">
      <c r="A1673">
        <v>836</v>
      </c>
      <c r="B1673" t="s">
        <v>1</v>
      </c>
      <c r="C1673">
        <v>0</v>
      </c>
      <c r="D1673">
        <v>1</v>
      </c>
      <c r="E1673">
        <v>8</v>
      </c>
      <c r="F1673">
        <v>4</v>
      </c>
      <c r="G1673">
        <v>1</v>
      </c>
      <c r="H1673">
        <f>표5[[#This Row],[공격성공횟수]]/(표5[[#This Row],[공격실패횟수]]+표5[[#This Row],[공격성공횟수]])</f>
        <v>0.1111111111111111</v>
      </c>
    </row>
    <row r="1674" spans="1:8" x14ac:dyDescent="0.4">
      <c r="A1674">
        <v>837</v>
      </c>
      <c r="B1674" t="s">
        <v>0</v>
      </c>
      <c r="C1674">
        <v>0</v>
      </c>
      <c r="D1674">
        <v>2</v>
      </c>
      <c r="E1674">
        <v>12</v>
      </c>
      <c r="F1674">
        <v>4</v>
      </c>
      <c r="G1674">
        <v>1</v>
      </c>
      <c r="H1674">
        <f>표5[[#This Row],[공격성공횟수]]/(표5[[#This Row],[공격실패횟수]]+표5[[#This Row],[공격성공횟수]])</f>
        <v>0.14285714285714285</v>
      </c>
    </row>
    <row r="1675" spans="1:8" hidden="1" x14ac:dyDescent="0.4">
      <c r="A1675">
        <v>837</v>
      </c>
      <c r="B1675" t="s">
        <v>1</v>
      </c>
      <c r="C1675">
        <v>1</v>
      </c>
      <c r="D1675">
        <v>4</v>
      </c>
      <c r="E1675">
        <v>11</v>
      </c>
      <c r="F1675">
        <v>2</v>
      </c>
      <c r="G1675">
        <v>0</v>
      </c>
      <c r="H1675">
        <f>표5[[#This Row],[공격성공횟수]]/(표5[[#This Row],[공격실패횟수]]+표5[[#This Row],[공격성공횟수]])</f>
        <v>0.26666666666666666</v>
      </c>
    </row>
    <row r="1676" spans="1:8" x14ac:dyDescent="0.4">
      <c r="A1676">
        <v>838</v>
      </c>
      <c r="B1676" t="s">
        <v>0</v>
      </c>
      <c r="C1676">
        <v>1</v>
      </c>
      <c r="D1676">
        <v>4</v>
      </c>
      <c r="E1676">
        <v>7</v>
      </c>
      <c r="F1676">
        <v>0</v>
      </c>
      <c r="G1676">
        <v>0</v>
      </c>
      <c r="H1676">
        <f>표5[[#This Row],[공격성공횟수]]/(표5[[#This Row],[공격실패횟수]]+표5[[#This Row],[공격성공횟수]])</f>
        <v>0.36363636363636365</v>
      </c>
    </row>
    <row r="1677" spans="1:8" hidden="1" x14ac:dyDescent="0.4">
      <c r="A1677">
        <v>838</v>
      </c>
      <c r="B1677" t="s">
        <v>1</v>
      </c>
      <c r="C1677">
        <v>0</v>
      </c>
      <c r="D1677">
        <v>0</v>
      </c>
      <c r="E1677">
        <v>10</v>
      </c>
      <c r="F1677">
        <v>4</v>
      </c>
      <c r="G1677">
        <v>1</v>
      </c>
      <c r="H1677">
        <f>표5[[#This Row],[공격성공횟수]]/(표5[[#This Row],[공격실패횟수]]+표5[[#This Row],[공격성공횟수]])</f>
        <v>0</v>
      </c>
    </row>
    <row r="1678" spans="1:8" x14ac:dyDescent="0.4">
      <c r="A1678">
        <v>839</v>
      </c>
      <c r="B1678" t="s">
        <v>0</v>
      </c>
      <c r="C1678">
        <v>1</v>
      </c>
      <c r="D1678">
        <v>4</v>
      </c>
      <c r="E1678">
        <v>19</v>
      </c>
      <c r="F1678">
        <v>0</v>
      </c>
      <c r="G1678">
        <v>0</v>
      </c>
      <c r="H1678">
        <f>표5[[#This Row],[공격성공횟수]]/(표5[[#This Row],[공격실패횟수]]+표5[[#This Row],[공격성공횟수]])</f>
        <v>0.17391304347826086</v>
      </c>
    </row>
    <row r="1679" spans="1:8" hidden="1" x14ac:dyDescent="0.4">
      <c r="A1679">
        <v>839</v>
      </c>
      <c r="B1679" t="s">
        <v>1</v>
      </c>
      <c r="C1679">
        <v>0</v>
      </c>
      <c r="D1679">
        <v>0</v>
      </c>
      <c r="E1679">
        <v>30</v>
      </c>
      <c r="F1679">
        <v>4</v>
      </c>
      <c r="G1679">
        <v>1</v>
      </c>
      <c r="H1679">
        <f>표5[[#This Row],[공격성공횟수]]/(표5[[#This Row],[공격실패횟수]]+표5[[#This Row],[공격성공횟수]])</f>
        <v>0</v>
      </c>
    </row>
    <row r="1680" spans="1:8" x14ac:dyDescent="0.4">
      <c r="A1680">
        <v>840</v>
      </c>
      <c r="B1680" t="s">
        <v>0</v>
      </c>
      <c r="C1680">
        <v>1</v>
      </c>
      <c r="D1680">
        <v>4</v>
      </c>
      <c r="E1680">
        <v>17</v>
      </c>
      <c r="F1680">
        <v>3</v>
      </c>
      <c r="G1680">
        <v>0</v>
      </c>
      <c r="H1680">
        <f>표5[[#This Row],[공격성공횟수]]/(표5[[#This Row],[공격실패횟수]]+표5[[#This Row],[공격성공횟수]])</f>
        <v>0.19047619047619047</v>
      </c>
    </row>
    <row r="1681" spans="1:8" hidden="1" x14ac:dyDescent="0.4">
      <c r="A1681">
        <v>840</v>
      </c>
      <c r="B1681" t="s">
        <v>1</v>
      </c>
      <c r="C1681">
        <v>0</v>
      </c>
      <c r="D1681">
        <v>3</v>
      </c>
      <c r="E1681">
        <v>19</v>
      </c>
      <c r="F1681">
        <v>4</v>
      </c>
      <c r="G1681">
        <v>1</v>
      </c>
      <c r="H1681">
        <f>표5[[#This Row],[공격성공횟수]]/(표5[[#This Row],[공격실패횟수]]+표5[[#This Row],[공격성공횟수]])</f>
        <v>0.13636363636363635</v>
      </c>
    </row>
    <row r="1682" spans="1:8" x14ac:dyDescent="0.4">
      <c r="A1682">
        <v>841</v>
      </c>
      <c r="B1682" t="s">
        <v>0</v>
      </c>
      <c r="C1682">
        <v>1</v>
      </c>
      <c r="D1682">
        <v>4</v>
      </c>
      <c r="E1682">
        <v>19</v>
      </c>
      <c r="F1682">
        <v>2</v>
      </c>
      <c r="G1682">
        <v>0</v>
      </c>
      <c r="H1682">
        <f>표5[[#This Row],[공격성공횟수]]/(표5[[#This Row],[공격실패횟수]]+표5[[#This Row],[공격성공횟수]])</f>
        <v>0.17391304347826086</v>
      </c>
    </row>
    <row r="1683" spans="1:8" hidden="1" x14ac:dyDescent="0.4">
      <c r="A1683">
        <v>841</v>
      </c>
      <c r="B1683" t="s">
        <v>1</v>
      </c>
      <c r="C1683">
        <v>0</v>
      </c>
      <c r="D1683">
        <v>2</v>
      </c>
      <c r="E1683">
        <v>21</v>
      </c>
      <c r="F1683">
        <v>4</v>
      </c>
      <c r="G1683">
        <v>1</v>
      </c>
      <c r="H1683">
        <f>표5[[#This Row],[공격성공횟수]]/(표5[[#This Row],[공격실패횟수]]+표5[[#This Row],[공격성공횟수]])</f>
        <v>8.6956521739130432E-2</v>
      </c>
    </row>
    <row r="1684" spans="1:8" x14ac:dyDescent="0.4">
      <c r="A1684">
        <v>842</v>
      </c>
      <c r="B1684" t="s">
        <v>0</v>
      </c>
      <c r="C1684">
        <v>1</v>
      </c>
      <c r="D1684">
        <v>4</v>
      </c>
      <c r="E1684">
        <v>12</v>
      </c>
      <c r="F1684">
        <v>1</v>
      </c>
      <c r="G1684">
        <v>0</v>
      </c>
      <c r="H1684">
        <f>표5[[#This Row],[공격성공횟수]]/(표5[[#This Row],[공격실패횟수]]+표5[[#This Row],[공격성공횟수]])</f>
        <v>0.25</v>
      </c>
    </row>
    <row r="1685" spans="1:8" hidden="1" x14ac:dyDescent="0.4">
      <c r="A1685">
        <v>842</v>
      </c>
      <c r="B1685" t="s">
        <v>1</v>
      </c>
      <c r="C1685">
        <v>0</v>
      </c>
      <c r="D1685">
        <v>1</v>
      </c>
      <c r="E1685">
        <v>15</v>
      </c>
      <c r="F1685">
        <v>4</v>
      </c>
      <c r="G1685">
        <v>1</v>
      </c>
      <c r="H1685">
        <f>표5[[#This Row],[공격성공횟수]]/(표5[[#This Row],[공격실패횟수]]+표5[[#This Row],[공격성공횟수]])</f>
        <v>6.25E-2</v>
      </c>
    </row>
    <row r="1686" spans="1:8" x14ac:dyDescent="0.4">
      <c r="A1686">
        <v>843</v>
      </c>
      <c r="B1686" t="s">
        <v>0</v>
      </c>
      <c r="C1686">
        <v>1</v>
      </c>
      <c r="D1686">
        <v>4</v>
      </c>
      <c r="E1686">
        <v>9</v>
      </c>
      <c r="F1686">
        <v>1</v>
      </c>
      <c r="G1686">
        <v>0</v>
      </c>
      <c r="H1686">
        <f>표5[[#This Row],[공격성공횟수]]/(표5[[#This Row],[공격실패횟수]]+표5[[#This Row],[공격성공횟수]])</f>
        <v>0.30769230769230771</v>
      </c>
    </row>
    <row r="1687" spans="1:8" hidden="1" x14ac:dyDescent="0.4">
      <c r="A1687">
        <v>843</v>
      </c>
      <c r="B1687" t="s">
        <v>1</v>
      </c>
      <c r="C1687">
        <v>0</v>
      </c>
      <c r="D1687">
        <v>1</v>
      </c>
      <c r="E1687">
        <v>12</v>
      </c>
      <c r="F1687">
        <v>4</v>
      </c>
      <c r="G1687">
        <v>1</v>
      </c>
      <c r="H1687">
        <f>표5[[#This Row],[공격성공횟수]]/(표5[[#This Row],[공격실패횟수]]+표5[[#This Row],[공격성공횟수]])</f>
        <v>7.6923076923076927E-2</v>
      </c>
    </row>
    <row r="1688" spans="1:8" x14ac:dyDescent="0.4">
      <c r="A1688">
        <v>844</v>
      </c>
      <c r="B1688" t="s">
        <v>0</v>
      </c>
      <c r="C1688">
        <v>1</v>
      </c>
      <c r="D1688">
        <v>4</v>
      </c>
      <c r="E1688">
        <v>12</v>
      </c>
      <c r="F1688">
        <v>0</v>
      </c>
      <c r="G1688">
        <v>0</v>
      </c>
      <c r="H1688">
        <f>표5[[#This Row],[공격성공횟수]]/(표5[[#This Row],[공격실패횟수]]+표5[[#This Row],[공격성공횟수]])</f>
        <v>0.25</v>
      </c>
    </row>
    <row r="1689" spans="1:8" hidden="1" x14ac:dyDescent="0.4">
      <c r="A1689">
        <v>844</v>
      </c>
      <c r="B1689" t="s">
        <v>1</v>
      </c>
      <c r="C1689">
        <v>0</v>
      </c>
      <c r="D1689">
        <v>0</v>
      </c>
      <c r="E1689">
        <v>17</v>
      </c>
      <c r="F1689">
        <v>4</v>
      </c>
      <c r="G1689">
        <v>1</v>
      </c>
      <c r="H1689">
        <f>표5[[#This Row],[공격성공횟수]]/(표5[[#This Row],[공격실패횟수]]+표5[[#This Row],[공격성공횟수]])</f>
        <v>0</v>
      </c>
    </row>
    <row r="1690" spans="1:8" x14ac:dyDescent="0.4">
      <c r="A1690">
        <v>845</v>
      </c>
      <c r="B1690" t="s">
        <v>0</v>
      </c>
      <c r="C1690">
        <v>1</v>
      </c>
      <c r="D1690">
        <v>4</v>
      </c>
      <c r="E1690">
        <v>7</v>
      </c>
      <c r="F1690">
        <v>1</v>
      </c>
      <c r="G1690">
        <v>0</v>
      </c>
      <c r="H1690">
        <f>표5[[#This Row],[공격성공횟수]]/(표5[[#This Row],[공격실패횟수]]+표5[[#This Row],[공격성공횟수]])</f>
        <v>0.36363636363636365</v>
      </c>
    </row>
    <row r="1691" spans="1:8" hidden="1" x14ac:dyDescent="0.4">
      <c r="A1691">
        <v>845</v>
      </c>
      <c r="B1691" t="s">
        <v>1</v>
      </c>
      <c r="C1691">
        <v>0</v>
      </c>
      <c r="D1691">
        <v>1</v>
      </c>
      <c r="E1691">
        <v>10</v>
      </c>
      <c r="F1691">
        <v>4</v>
      </c>
      <c r="G1691">
        <v>1</v>
      </c>
      <c r="H1691">
        <f>표5[[#This Row],[공격성공횟수]]/(표5[[#This Row],[공격실패횟수]]+표5[[#This Row],[공격성공횟수]])</f>
        <v>9.0909090909090912E-2</v>
      </c>
    </row>
    <row r="1692" spans="1:8" x14ac:dyDescent="0.4">
      <c r="A1692">
        <v>846</v>
      </c>
      <c r="B1692" t="s">
        <v>0</v>
      </c>
      <c r="C1692">
        <v>1</v>
      </c>
      <c r="D1692">
        <v>4</v>
      </c>
      <c r="E1692">
        <v>12</v>
      </c>
      <c r="F1692">
        <v>0</v>
      </c>
      <c r="G1692">
        <v>0</v>
      </c>
      <c r="H1692">
        <f>표5[[#This Row],[공격성공횟수]]/(표5[[#This Row],[공격실패횟수]]+표5[[#This Row],[공격성공횟수]])</f>
        <v>0.25</v>
      </c>
    </row>
    <row r="1693" spans="1:8" hidden="1" x14ac:dyDescent="0.4">
      <c r="A1693">
        <v>846</v>
      </c>
      <c r="B1693" t="s">
        <v>1</v>
      </c>
      <c r="C1693">
        <v>0</v>
      </c>
      <c r="D1693">
        <v>0</v>
      </c>
      <c r="E1693">
        <v>20</v>
      </c>
      <c r="F1693">
        <v>4</v>
      </c>
      <c r="G1693">
        <v>1</v>
      </c>
      <c r="H1693">
        <f>표5[[#This Row],[공격성공횟수]]/(표5[[#This Row],[공격실패횟수]]+표5[[#This Row],[공격성공횟수]])</f>
        <v>0</v>
      </c>
    </row>
    <row r="1694" spans="1:8" x14ac:dyDescent="0.4">
      <c r="A1694">
        <v>847</v>
      </c>
      <c r="B1694" t="s">
        <v>0</v>
      </c>
      <c r="C1694">
        <v>1</v>
      </c>
      <c r="D1694">
        <v>4</v>
      </c>
      <c r="E1694">
        <v>8</v>
      </c>
      <c r="F1694">
        <v>1</v>
      </c>
      <c r="G1694">
        <v>0</v>
      </c>
      <c r="H1694">
        <f>표5[[#This Row],[공격성공횟수]]/(표5[[#This Row],[공격실패횟수]]+표5[[#This Row],[공격성공횟수]])</f>
        <v>0.33333333333333331</v>
      </c>
    </row>
    <row r="1695" spans="1:8" hidden="1" x14ac:dyDescent="0.4">
      <c r="A1695">
        <v>847</v>
      </c>
      <c r="B1695" t="s">
        <v>1</v>
      </c>
      <c r="C1695">
        <v>0</v>
      </c>
      <c r="D1695">
        <v>1</v>
      </c>
      <c r="E1695">
        <v>11</v>
      </c>
      <c r="F1695">
        <v>4</v>
      </c>
      <c r="G1695">
        <v>1</v>
      </c>
      <c r="H1695">
        <f>표5[[#This Row],[공격성공횟수]]/(표5[[#This Row],[공격실패횟수]]+표5[[#This Row],[공격성공횟수]])</f>
        <v>8.3333333333333329E-2</v>
      </c>
    </row>
    <row r="1696" spans="1:8" x14ac:dyDescent="0.4">
      <c r="A1696">
        <v>848</v>
      </c>
      <c r="B1696" t="s">
        <v>0</v>
      </c>
      <c r="C1696">
        <v>1</v>
      </c>
      <c r="D1696">
        <v>4</v>
      </c>
      <c r="E1696">
        <v>11</v>
      </c>
      <c r="F1696">
        <v>1</v>
      </c>
      <c r="G1696">
        <v>0</v>
      </c>
      <c r="H1696">
        <f>표5[[#This Row],[공격성공횟수]]/(표5[[#This Row],[공격실패횟수]]+표5[[#This Row],[공격성공횟수]])</f>
        <v>0.26666666666666666</v>
      </c>
    </row>
    <row r="1697" spans="1:8" hidden="1" x14ac:dyDescent="0.4">
      <c r="A1697">
        <v>848</v>
      </c>
      <c r="B1697" t="s">
        <v>1</v>
      </c>
      <c r="C1697">
        <v>0</v>
      </c>
      <c r="D1697">
        <v>1</v>
      </c>
      <c r="E1697">
        <v>13</v>
      </c>
      <c r="F1697">
        <v>4</v>
      </c>
      <c r="G1697">
        <v>1</v>
      </c>
      <c r="H1697">
        <f>표5[[#This Row],[공격성공횟수]]/(표5[[#This Row],[공격실패횟수]]+표5[[#This Row],[공격성공횟수]])</f>
        <v>7.1428571428571425E-2</v>
      </c>
    </row>
    <row r="1698" spans="1:8" x14ac:dyDescent="0.4">
      <c r="A1698">
        <v>849</v>
      </c>
      <c r="B1698" t="s">
        <v>0</v>
      </c>
      <c r="C1698">
        <v>1</v>
      </c>
      <c r="D1698">
        <v>4</v>
      </c>
      <c r="E1698">
        <v>11</v>
      </c>
      <c r="F1698">
        <v>0</v>
      </c>
      <c r="G1698">
        <v>0</v>
      </c>
      <c r="H1698">
        <f>표5[[#This Row],[공격성공횟수]]/(표5[[#This Row],[공격실패횟수]]+표5[[#This Row],[공격성공횟수]])</f>
        <v>0.26666666666666666</v>
      </c>
    </row>
    <row r="1699" spans="1:8" hidden="1" x14ac:dyDescent="0.4">
      <c r="A1699">
        <v>849</v>
      </c>
      <c r="B1699" t="s">
        <v>1</v>
      </c>
      <c r="C1699">
        <v>0</v>
      </c>
      <c r="D1699">
        <v>0</v>
      </c>
      <c r="E1699">
        <v>15</v>
      </c>
      <c r="F1699">
        <v>4</v>
      </c>
      <c r="G1699">
        <v>1</v>
      </c>
      <c r="H1699">
        <f>표5[[#This Row],[공격성공횟수]]/(표5[[#This Row],[공격실패횟수]]+표5[[#This Row],[공격성공횟수]])</f>
        <v>0</v>
      </c>
    </row>
    <row r="1700" spans="1:8" x14ac:dyDescent="0.4">
      <c r="A1700">
        <v>850</v>
      </c>
      <c r="B1700" t="s">
        <v>0</v>
      </c>
      <c r="C1700">
        <v>1</v>
      </c>
      <c r="D1700">
        <v>4</v>
      </c>
      <c r="E1700">
        <v>8</v>
      </c>
      <c r="F1700">
        <v>2</v>
      </c>
      <c r="G1700">
        <v>0</v>
      </c>
      <c r="H1700">
        <f>표5[[#This Row],[공격성공횟수]]/(표5[[#This Row],[공격실패횟수]]+표5[[#This Row],[공격성공횟수]])</f>
        <v>0.33333333333333331</v>
      </c>
    </row>
    <row r="1701" spans="1:8" hidden="1" x14ac:dyDescent="0.4">
      <c r="A1701">
        <v>850</v>
      </c>
      <c r="B1701" t="s">
        <v>1</v>
      </c>
      <c r="C1701">
        <v>0</v>
      </c>
      <c r="D1701">
        <v>2</v>
      </c>
      <c r="E1701">
        <v>9</v>
      </c>
      <c r="F1701">
        <v>4</v>
      </c>
      <c r="G1701">
        <v>1</v>
      </c>
      <c r="H1701">
        <f>표5[[#This Row],[공격성공횟수]]/(표5[[#This Row],[공격실패횟수]]+표5[[#This Row],[공격성공횟수]])</f>
        <v>0.18181818181818182</v>
      </c>
    </row>
    <row r="1702" spans="1:8" x14ac:dyDescent="0.4">
      <c r="A1702">
        <v>851</v>
      </c>
      <c r="B1702" t="s">
        <v>0</v>
      </c>
      <c r="C1702">
        <v>1</v>
      </c>
      <c r="D1702">
        <v>4</v>
      </c>
      <c r="E1702">
        <v>15</v>
      </c>
      <c r="F1702">
        <v>1</v>
      </c>
      <c r="G1702">
        <v>0</v>
      </c>
      <c r="H1702">
        <f>표5[[#This Row],[공격성공횟수]]/(표5[[#This Row],[공격실패횟수]]+표5[[#This Row],[공격성공횟수]])</f>
        <v>0.21052631578947367</v>
      </c>
    </row>
    <row r="1703" spans="1:8" hidden="1" x14ac:dyDescent="0.4">
      <c r="A1703">
        <v>851</v>
      </c>
      <c r="B1703" t="s">
        <v>1</v>
      </c>
      <c r="C1703">
        <v>0</v>
      </c>
      <c r="D1703">
        <v>1</v>
      </c>
      <c r="E1703">
        <v>18</v>
      </c>
      <c r="F1703">
        <v>4</v>
      </c>
      <c r="G1703">
        <v>1</v>
      </c>
      <c r="H1703">
        <f>표5[[#This Row],[공격성공횟수]]/(표5[[#This Row],[공격실패횟수]]+표5[[#This Row],[공격성공횟수]])</f>
        <v>5.2631578947368418E-2</v>
      </c>
    </row>
    <row r="1704" spans="1:8" x14ac:dyDescent="0.4">
      <c r="A1704">
        <v>852</v>
      </c>
      <c r="B1704" t="s">
        <v>0</v>
      </c>
      <c r="C1704">
        <v>0</v>
      </c>
      <c r="D1704">
        <v>1</v>
      </c>
      <c r="E1704">
        <v>10</v>
      </c>
      <c r="F1704">
        <v>4</v>
      </c>
      <c r="G1704">
        <v>1</v>
      </c>
      <c r="H1704">
        <f>표5[[#This Row],[공격성공횟수]]/(표5[[#This Row],[공격실패횟수]]+표5[[#This Row],[공격성공횟수]])</f>
        <v>9.0909090909090912E-2</v>
      </c>
    </row>
    <row r="1705" spans="1:8" hidden="1" x14ac:dyDescent="0.4">
      <c r="A1705">
        <v>852</v>
      </c>
      <c r="B1705" t="s">
        <v>1</v>
      </c>
      <c r="C1705">
        <v>1</v>
      </c>
      <c r="D1705">
        <v>4</v>
      </c>
      <c r="E1705">
        <v>8</v>
      </c>
      <c r="F1705">
        <v>1</v>
      </c>
      <c r="G1705">
        <v>0</v>
      </c>
      <c r="H1705">
        <f>표5[[#This Row],[공격성공횟수]]/(표5[[#This Row],[공격실패횟수]]+표5[[#This Row],[공격성공횟수]])</f>
        <v>0.33333333333333331</v>
      </c>
    </row>
    <row r="1706" spans="1:8" x14ac:dyDescent="0.4">
      <c r="A1706">
        <v>853</v>
      </c>
      <c r="B1706" t="s">
        <v>0</v>
      </c>
      <c r="C1706">
        <v>0</v>
      </c>
      <c r="D1706">
        <v>2</v>
      </c>
      <c r="E1706">
        <v>30</v>
      </c>
      <c r="F1706">
        <v>4</v>
      </c>
      <c r="G1706">
        <v>1</v>
      </c>
      <c r="H1706">
        <f>표5[[#This Row],[공격성공횟수]]/(표5[[#This Row],[공격실패횟수]]+표5[[#This Row],[공격성공횟수]])</f>
        <v>6.25E-2</v>
      </c>
    </row>
    <row r="1707" spans="1:8" hidden="1" x14ac:dyDescent="0.4">
      <c r="A1707">
        <v>853</v>
      </c>
      <c r="B1707" t="s">
        <v>1</v>
      </c>
      <c r="C1707">
        <v>1</v>
      </c>
      <c r="D1707">
        <v>4</v>
      </c>
      <c r="E1707">
        <v>27</v>
      </c>
      <c r="F1707">
        <v>2</v>
      </c>
      <c r="G1707">
        <v>0</v>
      </c>
      <c r="H1707">
        <f>표5[[#This Row],[공격성공횟수]]/(표5[[#This Row],[공격실패횟수]]+표5[[#This Row],[공격성공횟수]])</f>
        <v>0.12903225806451613</v>
      </c>
    </row>
    <row r="1708" spans="1:8" x14ac:dyDescent="0.4">
      <c r="A1708">
        <v>854</v>
      </c>
      <c r="B1708" t="s">
        <v>0</v>
      </c>
      <c r="C1708">
        <v>1</v>
      </c>
      <c r="D1708">
        <v>4</v>
      </c>
      <c r="E1708">
        <v>18</v>
      </c>
      <c r="F1708">
        <v>0</v>
      </c>
      <c r="G1708">
        <v>0</v>
      </c>
      <c r="H1708">
        <f>표5[[#This Row],[공격성공횟수]]/(표5[[#This Row],[공격실패횟수]]+표5[[#This Row],[공격성공횟수]])</f>
        <v>0.18181818181818182</v>
      </c>
    </row>
    <row r="1709" spans="1:8" hidden="1" x14ac:dyDescent="0.4">
      <c r="A1709">
        <v>854</v>
      </c>
      <c r="B1709" t="s">
        <v>1</v>
      </c>
      <c r="C1709">
        <v>0</v>
      </c>
      <c r="D1709">
        <v>0</v>
      </c>
      <c r="E1709">
        <v>26</v>
      </c>
      <c r="F1709">
        <v>4</v>
      </c>
      <c r="G1709">
        <v>1</v>
      </c>
      <c r="H1709">
        <f>표5[[#This Row],[공격성공횟수]]/(표5[[#This Row],[공격실패횟수]]+표5[[#This Row],[공격성공횟수]])</f>
        <v>0</v>
      </c>
    </row>
    <row r="1710" spans="1:8" x14ac:dyDescent="0.4">
      <c r="A1710">
        <v>855</v>
      </c>
      <c r="B1710" t="s">
        <v>0</v>
      </c>
      <c r="C1710">
        <v>0</v>
      </c>
      <c r="D1710">
        <v>0</v>
      </c>
      <c r="E1710">
        <v>26</v>
      </c>
      <c r="F1710">
        <v>4</v>
      </c>
      <c r="G1710">
        <v>1</v>
      </c>
      <c r="H1710">
        <f>표5[[#This Row],[공격성공횟수]]/(표5[[#This Row],[공격실패횟수]]+표5[[#This Row],[공격성공횟수]])</f>
        <v>0</v>
      </c>
    </row>
    <row r="1711" spans="1:8" hidden="1" x14ac:dyDescent="0.4">
      <c r="A1711">
        <v>855</v>
      </c>
      <c r="B1711" t="s">
        <v>1</v>
      </c>
      <c r="C1711">
        <v>1</v>
      </c>
      <c r="D1711">
        <v>4</v>
      </c>
      <c r="E1711">
        <v>22</v>
      </c>
      <c r="F1711">
        <v>0</v>
      </c>
      <c r="G1711">
        <v>0</v>
      </c>
      <c r="H1711">
        <f>표5[[#This Row],[공격성공횟수]]/(표5[[#This Row],[공격실패횟수]]+표5[[#This Row],[공격성공횟수]])</f>
        <v>0.15384615384615385</v>
      </c>
    </row>
    <row r="1712" spans="1:8" x14ac:dyDescent="0.4">
      <c r="A1712">
        <v>856</v>
      </c>
      <c r="B1712" t="s">
        <v>0</v>
      </c>
      <c r="C1712">
        <v>1</v>
      </c>
      <c r="D1712">
        <v>4</v>
      </c>
      <c r="E1712">
        <v>10</v>
      </c>
      <c r="F1712">
        <v>1</v>
      </c>
      <c r="G1712">
        <v>0</v>
      </c>
      <c r="H1712">
        <f>표5[[#This Row],[공격성공횟수]]/(표5[[#This Row],[공격실패횟수]]+표5[[#This Row],[공격성공횟수]])</f>
        <v>0.2857142857142857</v>
      </c>
    </row>
    <row r="1713" spans="1:8" hidden="1" x14ac:dyDescent="0.4">
      <c r="A1713">
        <v>856</v>
      </c>
      <c r="B1713" t="s">
        <v>1</v>
      </c>
      <c r="C1713">
        <v>0</v>
      </c>
      <c r="D1713">
        <v>1</v>
      </c>
      <c r="E1713">
        <v>11</v>
      </c>
      <c r="F1713">
        <v>4</v>
      </c>
      <c r="G1713">
        <v>1</v>
      </c>
      <c r="H1713">
        <f>표5[[#This Row],[공격성공횟수]]/(표5[[#This Row],[공격실패횟수]]+표5[[#This Row],[공격성공횟수]])</f>
        <v>8.3333333333333329E-2</v>
      </c>
    </row>
    <row r="1714" spans="1:8" x14ac:dyDescent="0.4">
      <c r="A1714">
        <v>857</v>
      </c>
      <c r="B1714" t="s">
        <v>0</v>
      </c>
      <c r="C1714">
        <v>1</v>
      </c>
      <c r="D1714">
        <v>4</v>
      </c>
      <c r="E1714">
        <v>6</v>
      </c>
      <c r="F1714">
        <v>1</v>
      </c>
      <c r="G1714">
        <v>0</v>
      </c>
      <c r="H1714">
        <f>표5[[#This Row],[공격성공횟수]]/(표5[[#This Row],[공격실패횟수]]+표5[[#This Row],[공격성공횟수]])</f>
        <v>0.4</v>
      </c>
    </row>
    <row r="1715" spans="1:8" hidden="1" x14ac:dyDescent="0.4">
      <c r="A1715">
        <v>857</v>
      </c>
      <c r="B1715" t="s">
        <v>1</v>
      </c>
      <c r="C1715">
        <v>0</v>
      </c>
      <c r="D1715">
        <v>1</v>
      </c>
      <c r="E1715">
        <v>9</v>
      </c>
      <c r="F1715">
        <v>4</v>
      </c>
      <c r="G1715">
        <v>1</v>
      </c>
      <c r="H1715">
        <f>표5[[#This Row],[공격성공횟수]]/(표5[[#This Row],[공격실패횟수]]+표5[[#This Row],[공격성공횟수]])</f>
        <v>0.1</v>
      </c>
    </row>
    <row r="1716" spans="1:8" x14ac:dyDescent="0.4">
      <c r="A1716">
        <v>858</v>
      </c>
      <c r="B1716" t="s">
        <v>0</v>
      </c>
      <c r="C1716">
        <v>0</v>
      </c>
      <c r="D1716">
        <v>0</v>
      </c>
      <c r="E1716">
        <v>13</v>
      </c>
      <c r="F1716">
        <v>4</v>
      </c>
      <c r="G1716">
        <v>1</v>
      </c>
      <c r="H1716">
        <f>표5[[#This Row],[공격성공횟수]]/(표5[[#This Row],[공격실패횟수]]+표5[[#This Row],[공격성공횟수]])</f>
        <v>0</v>
      </c>
    </row>
    <row r="1717" spans="1:8" hidden="1" x14ac:dyDescent="0.4">
      <c r="A1717">
        <v>858</v>
      </c>
      <c r="B1717" t="s">
        <v>1</v>
      </c>
      <c r="C1717">
        <v>1</v>
      </c>
      <c r="D1717">
        <v>4</v>
      </c>
      <c r="E1717">
        <v>10</v>
      </c>
      <c r="F1717">
        <v>0</v>
      </c>
      <c r="G1717">
        <v>0</v>
      </c>
      <c r="H1717">
        <f>표5[[#This Row],[공격성공횟수]]/(표5[[#This Row],[공격실패횟수]]+표5[[#This Row],[공격성공횟수]])</f>
        <v>0.2857142857142857</v>
      </c>
    </row>
    <row r="1718" spans="1:8" x14ac:dyDescent="0.4">
      <c r="A1718">
        <v>859</v>
      </c>
      <c r="B1718" t="s">
        <v>0</v>
      </c>
      <c r="C1718">
        <v>1</v>
      </c>
      <c r="D1718">
        <v>4</v>
      </c>
      <c r="E1718">
        <v>11</v>
      </c>
      <c r="F1718">
        <v>0</v>
      </c>
      <c r="G1718">
        <v>0</v>
      </c>
      <c r="H1718">
        <f>표5[[#This Row],[공격성공횟수]]/(표5[[#This Row],[공격실패횟수]]+표5[[#This Row],[공격성공횟수]])</f>
        <v>0.26666666666666666</v>
      </c>
    </row>
    <row r="1719" spans="1:8" hidden="1" x14ac:dyDescent="0.4">
      <c r="A1719">
        <v>859</v>
      </c>
      <c r="B1719" t="s">
        <v>1</v>
      </c>
      <c r="C1719">
        <v>0</v>
      </c>
      <c r="D1719">
        <v>0</v>
      </c>
      <c r="E1719">
        <v>16</v>
      </c>
      <c r="F1719">
        <v>4</v>
      </c>
      <c r="G1719">
        <v>1</v>
      </c>
      <c r="H1719">
        <f>표5[[#This Row],[공격성공횟수]]/(표5[[#This Row],[공격실패횟수]]+표5[[#This Row],[공격성공횟수]])</f>
        <v>0</v>
      </c>
    </row>
    <row r="1720" spans="1:8" x14ac:dyDescent="0.4">
      <c r="A1720">
        <v>860</v>
      </c>
      <c r="B1720" t="s">
        <v>0</v>
      </c>
      <c r="C1720">
        <v>1</v>
      </c>
      <c r="D1720">
        <v>4</v>
      </c>
      <c r="E1720">
        <v>6</v>
      </c>
      <c r="F1720">
        <v>1</v>
      </c>
      <c r="G1720">
        <v>0</v>
      </c>
      <c r="H1720">
        <f>표5[[#This Row],[공격성공횟수]]/(표5[[#This Row],[공격실패횟수]]+표5[[#This Row],[공격성공횟수]])</f>
        <v>0.4</v>
      </c>
    </row>
    <row r="1721" spans="1:8" hidden="1" x14ac:dyDescent="0.4">
      <c r="A1721">
        <v>860</v>
      </c>
      <c r="B1721" t="s">
        <v>1</v>
      </c>
      <c r="C1721">
        <v>0</v>
      </c>
      <c r="D1721">
        <v>1</v>
      </c>
      <c r="E1721">
        <v>9</v>
      </c>
      <c r="F1721">
        <v>4</v>
      </c>
      <c r="G1721">
        <v>1</v>
      </c>
      <c r="H1721">
        <f>표5[[#This Row],[공격성공횟수]]/(표5[[#This Row],[공격실패횟수]]+표5[[#This Row],[공격성공횟수]])</f>
        <v>0.1</v>
      </c>
    </row>
    <row r="1722" spans="1:8" x14ac:dyDescent="0.4">
      <c r="A1722">
        <v>861</v>
      </c>
      <c r="B1722" t="s">
        <v>0</v>
      </c>
      <c r="C1722">
        <v>1</v>
      </c>
      <c r="D1722">
        <v>4</v>
      </c>
      <c r="E1722">
        <v>11</v>
      </c>
      <c r="F1722">
        <v>1</v>
      </c>
      <c r="G1722">
        <v>0</v>
      </c>
      <c r="H1722">
        <f>표5[[#This Row],[공격성공횟수]]/(표5[[#This Row],[공격실패횟수]]+표5[[#This Row],[공격성공횟수]])</f>
        <v>0.26666666666666666</v>
      </c>
    </row>
    <row r="1723" spans="1:8" hidden="1" x14ac:dyDescent="0.4">
      <c r="A1723">
        <v>861</v>
      </c>
      <c r="B1723" t="s">
        <v>1</v>
      </c>
      <c r="C1723">
        <v>0</v>
      </c>
      <c r="D1723">
        <v>1</v>
      </c>
      <c r="E1723">
        <v>14</v>
      </c>
      <c r="F1723">
        <v>4</v>
      </c>
      <c r="G1723">
        <v>1</v>
      </c>
      <c r="H1723">
        <f>표5[[#This Row],[공격성공횟수]]/(표5[[#This Row],[공격실패횟수]]+표5[[#This Row],[공격성공횟수]])</f>
        <v>6.6666666666666666E-2</v>
      </c>
    </row>
    <row r="1724" spans="1:8" x14ac:dyDescent="0.4">
      <c r="A1724">
        <v>862</v>
      </c>
      <c r="B1724" t="s">
        <v>0</v>
      </c>
      <c r="C1724">
        <v>1</v>
      </c>
      <c r="D1724">
        <v>4</v>
      </c>
      <c r="E1724">
        <v>17</v>
      </c>
      <c r="F1724">
        <v>1</v>
      </c>
      <c r="G1724">
        <v>0</v>
      </c>
      <c r="H1724">
        <f>표5[[#This Row],[공격성공횟수]]/(표5[[#This Row],[공격실패횟수]]+표5[[#This Row],[공격성공횟수]])</f>
        <v>0.19047619047619047</v>
      </c>
    </row>
    <row r="1725" spans="1:8" hidden="1" x14ac:dyDescent="0.4">
      <c r="A1725">
        <v>862</v>
      </c>
      <c r="B1725" t="s">
        <v>1</v>
      </c>
      <c r="C1725">
        <v>0</v>
      </c>
      <c r="D1725">
        <v>1</v>
      </c>
      <c r="E1725">
        <v>19</v>
      </c>
      <c r="F1725">
        <v>4</v>
      </c>
      <c r="G1725">
        <v>1</v>
      </c>
      <c r="H1725">
        <f>표5[[#This Row],[공격성공횟수]]/(표5[[#This Row],[공격실패횟수]]+표5[[#This Row],[공격성공횟수]])</f>
        <v>0.05</v>
      </c>
    </row>
    <row r="1726" spans="1:8" x14ac:dyDescent="0.4">
      <c r="A1726">
        <v>863</v>
      </c>
      <c r="B1726" t="s">
        <v>0</v>
      </c>
      <c r="C1726">
        <v>1</v>
      </c>
      <c r="D1726">
        <v>4</v>
      </c>
      <c r="E1726">
        <v>9</v>
      </c>
      <c r="F1726">
        <v>1</v>
      </c>
      <c r="G1726">
        <v>0</v>
      </c>
      <c r="H1726">
        <f>표5[[#This Row],[공격성공횟수]]/(표5[[#This Row],[공격실패횟수]]+표5[[#This Row],[공격성공횟수]])</f>
        <v>0.30769230769230771</v>
      </c>
    </row>
    <row r="1727" spans="1:8" hidden="1" x14ac:dyDescent="0.4">
      <c r="A1727">
        <v>863</v>
      </c>
      <c r="B1727" t="s">
        <v>1</v>
      </c>
      <c r="C1727">
        <v>0</v>
      </c>
      <c r="D1727">
        <v>1</v>
      </c>
      <c r="E1727">
        <v>11</v>
      </c>
      <c r="F1727">
        <v>4</v>
      </c>
      <c r="G1727">
        <v>1</v>
      </c>
      <c r="H1727">
        <f>표5[[#This Row],[공격성공횟수]]/(표5[[#This Row],[공격실패횟수]]+표5[[#This Row],[공격성공횟수]])</f>
        <v>8.3333333333333329E-2</v>
      </c>
    </row>
    <row r="1728" spans="1:8" x14ac:dyDescent="0.4">
      <c r="A1728">
        <v>864</v>
      </c>
      <c r="B1728" t="s">
        <v>0</v>
      </c>
      <c r="C1728">
        <v>1</v>
      </c>
      <c r="D1728">
        <v>4</v>
      </c>
      <c r="E1728">
        <v>10</v>
      </c>
      <c r="F1728">
        <v>0</v>
      </c>
      <c r="G1728">
        <v>0</v>
      </c>
      <c r="H1728">
        <f>표5[[#This Row],[공격성공횟수]]/(표5[[#This Row],[공격실패횟수]]+표5[[#This Row],[공격성공횟수]])</f>
        <v>0.2857142857142857</v>
      </c>
    </row>
    <row r="1729" spans="1:8" hidden="1" x14ac:dyDescent="0.4">
      <c r="A1729">
        <v>864</v>
      </c>
      <c r="B1729" t="s">
        <v>1</v>
      </c>
      <c r="C1729">
        <v>0</v>
      </c>
      <c r="D1729">
        <v>0</v>
      </c>
      <c r="E1729">
        <v>14</v>
      </c>
      <c r="F1729">
        <v>4</v>
      </c>
      <c r="G1729">
        <v>1</v>
      </c>
      <c r="H1729">
        <f>표5[[#This Row],[공격성공횟수]]/(표5[[#This Row],[공격실패횟수]]+표5[[#This Row],[공격성공횟수]])</f>
        <v>0</v>
      </c>
    </row>
    <row r="1730" spans="1:8" x14ac:dyDescent="0.4">
      <c r="A1730">
        <v>865</v>
      </c>
      <c r="B1730" t="s">
        <v>0</v>
      </c>
      <c r="C1730">
        <v>1</v>
      </c>
      <c r="D1730">
        <v>4</v>
      </c>
      <c r="E1730">
        <v>6</v>
      </c>
      <c r="F1730">
        <v>1</v>
      </c>
      <c r="G1730">
        <v>0</v>
      </c>
      <c r="H1730">
        <f>표5[[#This Row],[공격성공횟수]]/(표5[[#This Row],[공격실패횟수]]+표5[[#This Row],[공격성공횟수]])</f>
        <v>0.4</v>
      </c>
    </row>
    <row r="1731" spans="1:8" hidden="1" x14ac:dyDescent="0.4">
      <c r="A1731">
        <v>865</v>
      </c>
      <c r="B1731" t="s">
        <v>1</v>
      </c>
      <c r="C1731">
        <v>0</v>
      </c>
      <c r="D1731">
        <v>1</v>
      </c>
      <c r="E1731">
        <v>9</v>
      </c>
      <c r="F1731">
        <v>4</v>
      </c>
      <c r="G1731">
        <v>1</v>
      </c>
      <c r="H1731">
        <f>표5[[#This Row],[공격성공횟수]]/(표5[[#This Row],[공격실패횟수]]+표5[[#This Row],[공격성공횟수]])</f>
        <v>0.1</v>
      </c>
    </row>
    <row r="1732" spans="1:8" x14ac:dyDescent="0.4">
      <c r="A1732">
        <v>866</v>
      </c>
      <c r="B1732" t="s">
        <v>0</v>
      </c>
      <c r="C1732">
        <v>1</v>
      </c>
      <c r="D1732">
        <v>4</v>
      </c>
      <c r="E1732">
        <v>8</v>
      </c>
      <c r="F1732">
        <v>1</v>
      </c>
      <c r="G1732">
        <v>0</v>
      </c>
      <c r="H1732">
        <f>표5[[#This Row],[공격성공횟수]]/(표5[[#This Row],[공격실패횟수]]+표5[[#This Row],[공격성공횟수]])</f>
        <v>0.33333333333333331</v>
      </c>
    </row>
    <row r="1733" spans="1:8" hidden="1" x14ac:dyDescent="0.4">
      <c r="A1733">
        <v>866</v>
      </c>
      <c r="B1733" t="s">
        <v>1</v>
      </c>
      <c r="C1733">
        <v>0</v>
      </c>
      <c r="D1733">
        <v>1</v>
      </c>
      <c r="E1733">
        <v>10</v>
      </c>
      <c r="F1733">
        <v>4</v>
      </c>
      <c r="G1733">
        <v>1</v>
      </c>
      <c r="H1733">
        <f>표5[[#This Row],[공격성공횟수]]/(표5[[#This Row],[공격실패횟수]]+표5[[#This Row],[공격성공횟수]])</f>
        <v>9.0909090909090912E-2</v>
      </c>
    </row>
    <row r="1734" spans="1:8" x14ac:dyDescent="0.4">
      <c r="A1734">
        <v>867</v>
      </c>
      <c r="B1734" t="s">
        <v>0</v>
      </c>
      <c r="C1734">
        <v>1</v>
      </c>
      <c r="D1734">
        <v>4</v>
      </c>
      <c r="E1734">
        <v>10</v>
      </c>
      <c r="F1734">
        <v>2</v>
      </c>
      <c r="G1734">
        <v>0</v>
      </c>
      <c r="H1734">
        <f>표5[[#This Row],[공격성공횟수]]/(표5[[#This Row],[공격실패횟수]]+표5[[#This Row],[공격성공횟수]])</f>
        <v>0.2857142857142857</v>
      </c>
    </row>
    <row r="1735" spans="1:8" hidden="1" x14ac:dyDescent="0.4">
      <c r="A1735">
        <v>867</v>
      </c>
      <c r="B1735" t="s">
        <v>1</v>
      </c>
      <c r="C1735">
        <v>0</v>
      </c>
      <c r="D1735">
        <v>2</v>
      </c>
      <c r="E1735">
        <v>12</v>
      </c>
      <c r="F1735">
        <v>4</v>
      </c>
      <c r="G1735">
        <v>1</v>
      </c>
      <c r="H1735">
        <f>표5[[#This Row],[공격성공횟수]]/(표5[[#This Row],[공격실패횟수]]+표5[[#This Row],[공격성공횟수]])</f>
        <v>0.14285714285714285</v>
      </c>
    </row>
    <row r="1736" spans="1:8" x14ac:dyDescent="0.4">
      <c r="A1736">
        <v>868</v>
      </c>
      <c r="B1736" t="s">
        <v>0</v>
      </c>
      <c r="C1736">
        <v>1</v>
      </c>
      <c r="D1736">
        <v>4</v>
      </c>
      <c r="E1736">
        <v>26</v>
      </c>
      <c r="F1736">
        <v>1</v>
      </c>
      <c r="G1736">
        <v>0</v>
      </c>
      <c r="H1736">
        <f>표5[[#This Row],[공격성공횟수]]/(표5[[#This Row],[공격실패횟수]]+표5[[#This Row],[공격성공횟수]])</f>
        <v>0.13333333333333333</v>
      </c>
    </row>
    <row r="1737" spans="1:8" hidden="1" x14ac:dyDescent="0.4">
      <c r="A1737">
        <v>868</v>
      </c>
      <c r="B1737" t="s">
        <v>1</v>
      </c>
      <c r="C1737">
        <v>0</v>
      </c>
      <c r="D1737">
        <v>1</v>
      </c>
      <c r="E1737">
        <v>33</v>
      </c>
      <c r="F1737">
        <v>4</v>
      </c>
      <c r="G1737">
        <v>1</v>
      </c>
      <c r="H1737">
        <f>표5[[#This Row],[공격성공횟수]]/(표5[[#This Row],[공격실패횟수]]+표5[[#This Row],[공격성공횟수]])</f>
        <v>2.9411764705882353E-2</v>
      </c>
    </row>
    <row r="1738" spans="1:8" x14ac:dyDescent="0.4">
      <c r="A1738">
        <v>869</v>
      </c>
      <c r="B1738" t="s">
        <v>0</v>
      </c>
      <c r="C1738">
        <v>1</v>
      </c>
      <c r="D1738">
        <v>4</v>
      </c>
      <c r="E1738">
        <v>8</v>
      </c>
      <c r="F1738">
        <v>1</v>
      </c>
      <c r="G1738">
        <v>0</v>
      </c>
      <c r="H1738">
        <f>표5[[#This Row],[공격성공횟수]]/(표5[[#This Row],[공격실패횟수]]+표5[[#This Row],[공격성공횟수]])</f>
        <v>0.33333333333333331</v>
      </c>
    </row>
    <row r="1739" spans="1:8" hidden="1" x14ac:dyDescent="0.4">
      <c r="A1739">
        <v>869</v>
      </c>
      <c r="B1739" t="s">
        <v>1</v>
      </c>
      <c r="C1739">
        <v>0</v>
      </c>
      <c r="D1739">
        <v>1</v>
      </c>
      <c r="E1739">
        <v>11</v>
      </c>
      <c r="F1739">
        <v>4</v>
      </c>
      <c r="G1739">
        <v>1</v>
      </c>
      <c r="H1739">
        <f>표5[[#This Row],[공격성공횟수]]/(표5[[#This Row],[공격실패횟수]]+표5[[#This Row],[공격성공횟수]])</f>
        <v>8.3333333333333329E-2</v>
      </c>
    </row>
    <row r="1740" spans="1:8" x14ac:dyDescent="0.4">
      <c r="A1740">
        <v>870</v>
      </c>
      <c r="B1740" t="s">
        <v>0</v>
      </c>
      <c r="C1740">
        <v>1</v>
      </c>
      <c r="D1740">
        <v>4</v>
      </c>
      <c r="E1740">
        <v>8</v>
      </c>
      <c r="F1740">
        <v>0</v>
      </c>
      <c r="G1740">
        <v>0</v>
      </c>
      <c r="H1740">
        <f>표5[[#This Row],[공격성공횟수]]/(표5[[#This Row],[공격실패횟수]]+표5[[#This Row],[공격성공횟수]])</f>
        <v>0.33333333333333331</v>
      </c>
    </row>
    <row r="1741" spans="1:8" hidden="1" x14ac:dyDescent="0.4">
      <c r="A1741">
        <v>870</v>
      </c>
      <c r="B1741" t="s">
        <v>1</v>
      </c>
      <c r="C1741">
        <v>0</v>
      </c>
      <c r="D1741">
        <v>0</v>
      </c>
      <c r="E1741">
        <v>13</v>
      </c>
      <c r="F1741">
        <v>4</v>
      </c>
      <c r="G1741">
        <v>1</v>
      </c>
      <c r="H1741">
        <f>표5[[#This Row],[공격성공횟수]]/(표5[[#This Row],[공격실패횟수]]+표5[[#This Row],[공격성공횟수]])</f>
        <v>0</v>
      </c>
    </row>
    <row r="1742" spans="1:8" x14ac:dyDescent="0.4">
      <c r="A1742">
        <v>871</v>
      </c>
      <c r="B1742" t="s">
        <v>0</v>
      </c>
      <c r="C1742">
        <v>1</v>
      </c>
      <c r="D1742">
        <v>4</v>
      </c>
      <c r="E1742">
        <v>7</v>
      </c>
      <c r="F1742">
        <v>0</v>
      </c>
      <c r="G1742">
        <v>0</v>
      </c>
      <c r="H1742">
        <f>표5[[#This Row],[공격성공횟수]]/(표5[[#This Row],[공격실패횟수]]+표5[[#This Row],[공격성공횟수]])</f>
        <v>0.36363636363636365</v>
      </c>
    </row>
    <row r="1743" spans="1:8" hidden="1" x14ac:dyDescent="0.4">
      <c r="A1743">
        <v>871</v>
      </c>
      <c r="B1743" t="s">
        <v>1</v>
      </c>
      <c r="C1743">
        <v>0</v>
      </c>
      <c r="D1743">
        <v>0</v>
      </c>
      <c r="E1743">
        <v>15</v>
      </c>
      <c r="F1743">
        <v>4</v>
      </c>
      <c r="G1743">
        <v>1</v>
      </c>
      <c r="H1743">
        <f>표5[[#This Row],[공격성공횟수]]/(표5[[#This Row],[공격실패횟수]]+표5[[#This Row],[공격성공횟수]])</f>
        <v>0</v>
      </c>
    </row>
    <row r="1744" spans="1:8" x14ac:dyDescent="0.4">
      <c r="A1744">
        <v>872</v>
      </c>
      <c r="B1744" t="s">
        <v>0</v>
      </c>
      <c r="C1744">
        <v>1</v>
      </c>
      <c r="D1744">
        <v>4</v>
      </c>
      <c r="E1744">
        <v>20</v>
      </c>
      <c r="F1744">
        <v>1</v>
      </c>
      <c r="G1744">
        <v>0</v>
      </c>
      <c r="H1744">
        <f>표5[[#This Row],[공격성공횟수]]/(표5[[#This Row],[공격실패횟수]]+표5[[#This Row],[공격성공횟수]])</f>
        <v>0.16666666666666666</v>
      </c>
    </row>
    <row r="1745" spans="1:8" hidden="1" x14ac:dyDescent="0.4">
      <c r="A1745">
        <v>872</v>
      </c>
      <c r="B1745" t="s">
        <v>1</v>
      </c>
      <c r="C1745">
        <v>0</v>
      </c>
      <c r="D1745">
        <v>1</v>
      </c>
      <c r="E1745">
        <v>24</v>
      </c>
      <c r="F1745">
        <v>4</v>
      </c>
      <c r="G1745">
        <v>1</v>
      </c>
      <c r="H1745">
        <f>표5[[#This Row],[공격성공횟수]]/(표5[[#This Row],[공격실패횟수]]+표5[[#This Row],[공격성공횟수]])</f>
        <v>0.04</v>
      </c>
    </row>
    <row r="1746" spans="1:8" x14ac:dyDescent="0.4">
      <c r="A1746">
        <v>873</v>
      </c>
      <c r="B1746" t="s">
        <v>0</v>
      </c>
      <c r="C1746">
        <v>1</v>
      </c>
      <c r="D1746">
        <v>4</v>
      </c>
      <c r="E1746">
        <v>6</v>
      </c>
      <c r="F1746">
        <v>1</v>
      </c>
      <c r="G1746">
        <v>0</v>
      </c>
      <c r="H1746">
        <f>표5[[#This Row],[공격성공횟수]]/(표5[[#This Row],[공격실패횟수]]+표5[[#This Row],[공격성공횟수]])</f>
        <v>0.4</v>
      </c>
    </row>
    <row r="1747" spans="1:8" hidden="1" x14ac:dyDescent="0.4">
      <c r="A1747">
        <v>873</v>
      </c>
      <c r="B1747" t="s">
        <v>1</v>
      </c>
      <c r="C1747">
        <v>0</v>
      </c>
      <c r="D1747">
        <v>1</v>
      </c>
      <c r="E1747">
        <v>9</v>
      </c>
      <c r="F1747">
        <v>4</v>
      </c>
      <c r="G1747">
        <v>1</v>
      </c>
      <c r="H1747">
        <f>표5[[#This Row],[공격성공횟수]]/(표5[[#This Row],[공격실패횟수]]+표5[[#This Row],[공격성공횟수]])</f>
        <v>0.1</v>
      </c>
    </row>
    <row r="1748" spans="1:8" x14ac:dyDescent="0.4">
      <c r="A1748">
        <v>874</v>
      </c>
      <c r="B1748" t="s">
        <v>0</v>
      </c>
      <c r="C1748">
        <v>1</v>
      </c>
      <c r="D1748">
        <v>4</v>
      </c>
      <c r="E1748">
        <v>19</v>
      </c>
      <c r="F1748">
        <v>0</v>
      </c>
      <c r="G1748">
        <v>0</v>
      </c>
      <c r="H1748">
        <f>표5[[#This Row],[공격성공횟수]]/(표5[[#This Row],[공격실패횟수]]+표5[[#This Row],[공격성공횟수]])</f>
        <v>0.17391304347826086</v>
      </c>
    </row>
    <row r="1749" spans="1:8" hidden="1" x14ac:dyDescent="0.4">
      <c r="A1749">
        <v>874</v>
      </c>
      <c r="B1749" t="s">
        <v>1</v>
      </c>
      <c r="C1749">
        <v>0</v>
      </c>
      <c r="D1749">
        <v>0</v>
      </c>
      <c r="E1749">
        <v>22</v>
      </c>
      <c r="F1749">
        <v>4</v>
      </c>
      <c r="G1749">
        <v>1</v>
      </c>
      <c r="H1749">
        <f>표5[[#This Row],[공격성공횟수]]/(표5[[#This Row],[공격실패횟수]]+표5[[#This Row],[공격성공횟수]])</f>
        <v>0</v>
      </c>
    </row>
    <row r="1750" spans="1:8" x14ac:dyDescent="0.4">
      <c r="A1750">
        <v>875</v>
      </c>
      <c r="B1750" t="s">
        <v>0</v>
      </c>
      <c r="C1750">
        <v>1</v>
      </c>
      <c r="D1750">
        <v>4</v>
      </c>
      <c r="E1750">
        <v>21</v>
      </c>
      <c r="F1750">
        <v>2</v>
      </c>
      <c r="G1750">
        <v>0</v>
      </c>
      <c r="H1750">
        <f>표5[[#This Row],[공격성공횟수]]/(표5[[#This Row],[공격실패횟수]]+표5[[#This Row],[공격성공횟수]])</f>
        <v>0.16</v>
      </c>
    </row>
    <row r="1751" spans="1:8" hidden="1" x14ac:dyDescent="0.4">
      <c r="A1751">
        <v>875</v>
      </c>
      <c r="B1751" t="s">
        <v>1</v>
      </c>
      <c r="C1751">
        <v>0</v>
      </c>
      <c r="D1751">
        <v>2</v>
      </c>
      <c r="E1751">
        <v>23</v>
      </c>
      <c r="F1751">
        <v>4</v>
      </c>
      <c r="G1751">
        <v>1</v>
      </c>
      <c r="H1751">
        <f>표5[[#This Row],[공격성공횟수]]/(표5[[#This Row],[공격실패횟수]]+표5[[#This Row],[공격성공횟수]])</f>
        <v>0.08</v>
      </c>
    </row>
    <row r="1752" spans="1:8" x14ac:dyDescent="0.4">
      <c r="A1752">
        <v>876</v>
      </c>
      <c r="B1752" t="s">
        <v>0</v>
      </c>
      <c r="C1752">
        <v>1</v>
      </c>
      <c r="D1752">
        <v>4</v>
      </c>
      <c r="E1752">
        <v>9</v>
      </c>
      <c r="F1752">
        <v>0</v>
      </c>
      <c r="G1752">
        <v>0</v>
      </c>
      <c r="H1752">
        <f>표5[[#This Row],[공격성공횟수]]/(표5[[#This Row],[공격실패횟수]]+표5[[#This Row],[공격성공횟수]])</f>
        <v>0.30769230769230771</v>
      </c>
    </row>
    <row r="1753" spans="1:8" hidden="1" x14ac:dyDescent="0.4">
      <c r="A1753">
        <v>876</v>
      </c>
      <c r="B1753" t="s">
        <v>1</v>
      </c>
      <c r="C1753">
        <v>0</v>
      </c>
      <c r="D1753">
        <v>0</v>
      </c>
      <c r="E1753">
        <v>14</v>
      </c>
      <c r="F1753">
        <v>4</v>
      </c>
      <c r="G1753">
        <v>1</v>
      </c>
      <c r="H1753">
        <f>표5[[#This Row],[공격성공횟수]]/(표5[[#This Row],[공격실패횟수]]+표5[[#This Row],[공격성공횟수]])</f>
        <v>0</v>
      </c>
    </row>
    <row r="1754" spans="1:8" x14ac:dyDescent="0.4">
      <c r="A1754">
        <v>877</v>
      </c>
      <c r="B1754" t="s">
        <v>0</v>
      </c>
      <c r="C1754">
        <v>0</v>
      </c>
      <c r="D1754">
        <v>0</v>
      </c>
      <c r="E1754">
        <v>27</v>
      </c>
      <c r="F1754">
        <v>4</v>
      </c>
      <c r="G1754">
        <v>1</v>
      </c>
      <c r="H1754">
        <f>표5[[#This Row],[공격성공횟수]]/(표5[[#This Row],[공격실패횟수]]+표5[[#This Row],[공격성공횟수]])</f>
        <v>0</v>
      </c>
    </row>
    <row r="1755" spans="1:8" hidden="1" x14ac:dyDescent="0.4">
      <c r="A1755">
        <v>877</v>
      </c>
      <c r="B1755" t="s">
        <v>1</v>
      </c>
      <c r="C1755">
        <v>1</v>
      </c>
      <c r="D1755">
        <v>4</v>
      </c>
      <c r="E1755">
        <v>23</v>
      </c>
      <c r="F1755">
        <v>0</v>
      </c>
      <c r="G1755">
        <v>0</v>
      </c>
      <c r="H1755">
        <f>표5[[#This Row],[공격성공횟수]]/(표5[[#This Row],[공격실패횟수]]+표5[[#This Row],[공격성공횟수]])</f>
        <v>0.14814814814814814</v>
      </c>
    </row>
    <row r="1756" spans="1:8" x14ac:dyDescent="0.4">
      <c r="A1756">
        <v>878</v>
      </c>
      <c r="B1756" t="s">
        <v>0</v>
      </c>
      <c r="C1756">
        <v>1</v>
      </c>
      <c r="D1756">
        <v>4</v>
      </c>
      <c r="E1756">
        <v>33</v>
      </c>
      <c r="F1756">
        <v>2</v>
      </c>
      <c r="G1756">
        <v>0</v>
      </c>
      <c r="H1756">
        <f>표5[[#This Row],[공격성공횟수]]/(표5[[#This Row],[공격실패횟수]]+표5[[#This Row],[공격성공횟수]])</f>
        <v>0.10810810810810811</v>
      </c>
    </row>
    <row r="1757" spans="1:8" hidden="1" x14ac:dyDescent="0.4">
      <c r="A1757">
        <v>878</v>
      </c>
      <c r="B1757" t="s">
        <v>1</v>
      </c>
      <c r="C1757">
        <v>0</v>
      </c>
      <c r="D1757">
        <v>2</v>
      </c>
      <c r="E1757">
        <v>33</v>
      </c>
      <c r="F1757">
        <v>4</v>
      </c>
      <c r="G1757">
        <v>1</v>
      </c>
      <c r="H1757">
        <f>표5[[#This Row],[공격성공횟수]]/(표5[[#This Row],[공격실패횟수]]+표5[[#This Row],[공격성공횟수]])</f>
        <v>5.7142857142857141E-2</v>
      </c>
    </row>
    <row r="1758" spans="1:8" x14ac:dyDescent="0.4">
      <c r="A1758">
        <v>879</v>
      </c>
      <c r="B1758" t="s">
        <v>0</v>
      </c>
      <c r="C1758">
        <v>1</v>
      </c>
      <c r="D1758">
        <v>4</v>
      </c>
      <c r="E1758">
        <v>7</v>
      </c>
      <c r="F1758">
        <v>1</v>
      </c>
      <c r="G1758">
        <v>0</v>
      </c>
      <c r="H1758">
        <f>표5[[#This Row],[공격성공횟수]]/(표5[[#This Row],[공격실패횟수]]+표5[[#This Row],[공격성공횟수]])</f>
        <v>0.36363636363636365</v>
      </c>
    </row>
    <row r="1759" spans="1:8" hidden="1" x14ac:dyDescent="0.4">
      <c r="A1759">
        <v>879</v>
      </c>
      <c r="B1759" t="s">
        <v>1</v>
      </c>
      <c r="C1759">
        <v>0</v>
      </c>
      <c r="D1759">
        <v>1</v>
      </c>
      <c r="E1759">
        <v>10</v>
      </c>
      <c r="F1759">
        <v>4</v>
      </c>
      <c r="G1759">
        <v>1</v>
      </c>
      <c r="H1759">
        <f>표5[[#This Row],[공격성공횟수]]/(표5[[#This Row],[공격실패횟수]]+표5[[#This Row],[공격성공횟수]])</f>
        <v>9.0909090909090912E-2</v>
      </c>
    </row>
    <row r="1760" spans="1:8" x14ac:dyDescent="0.4">
      <c r="A1760">
        <v>880</v>
      </c>
      <c r="B1760" t="s">
        <v>0</v>
      </c>
      <c r="C1760">
        <v>1</v>
      </c>
      <c r="D1760">
        <v>4</v>
      </c>
      <c r="E1760">
        <v>7</v>
      </c>
      <c r="F1760">
        <v>0</v>
      </c>
      <c r="G1760">
        <v>0</v>
      </c>
      <c r="H1760">
        <f>표5[[#This Row],[공격성공횟수]]/(표5[[#This Row],[공격실패횟수]]+표5[[#This Row],[공격성공횟수]])</f>
        <v>0.36363636363636365</v>
      </c>
    </row>
    <row r="1761" spans="1:8" hidden="1" x14ac:dyDescent="0.4">
      <c r="A1761">
        <v>880</v>
      </c>
      <c r="B1761" t="s">
        <v>1</v>
      </c>
      <c r="C1761">
        <v>0</v>
      </c>
      <c r="D1761">
        <v>0</v>
      </c>
      <c r="E1761">
        <v>11</v>
      </c>
      <c r="F1761">
        <v>4</v>
      </c>
      <c r="G1761">
        <v>1</v>
      </c>
      <c r="H1761">
        <f>표5[[#This Row],[공격성공횟수]]/(표5[[#This Row],[공격실패횟수]]+표5[[#This Row],[공격성공횟수]])</f>
        <v>0</v>
      </c>
    </row>
    <row r="1762" spans="1:8" x14ac:dyDescent="0.4">
      <c r="A1762">
        <v>881</v>
      </c>
      <c r="B1762" t="s">
        <v>0</v>
      </c>
      <c r="C1762">
        <v>0</v>
      </c>
      <c r="D1762">
        <v>0</v>
      </c>
      <c r="E1762">
        <v>16</v>
      </c>
      <c r="F1762">
        <v>4</v>
      </c>
      <c r="G1762">
        <v>1</v>
      </c>
      <c r="H1762">
        <f>표5[[#This Row],[공격성공횟수]]/(표5[[#This Row],[공격실패횟수]]+표5[[#This Row],[공격성공횟수]])</f>
        <v>0</v>
      </c>
    </row>
    <row r="1763" spans="1:8" hidden="1" x14ac:dyDescent="0.4">
      <c r="A1763">
        <v>881</v>
      </c>
      <c r="B1763" t="s">
        <v>1</v>
      </c>
      <c r="C1763">
        <v>1</v>
      </c>
      <c r="D1763">
        <v>4</v>
      </c>
      <c r="E1763">
        <v>13</v>
      </c>
      <c r="F1763">
        <v>0</v>
      </c>
      <c r="G1763">
        <v>0</v>
      </c>
      <c r="H1763">
        <f>표5[[#This Row],[공격성공횟수]]/(표5[[#This Row],[공격실패횟수]]+표5[[#This Row],[공격성공횟수]])</f>
        <v>0.23529411764705882</v>
      </c>
    </row>
    <row r="1764" spans="1:8" x14ac:dyDescent="0.4">
      <c r="A1764">
        <v>882</v>
      </c>
      <c r="B1764" t="s">
        <v>0</v>
      </c>
      <c r="C1764">
        <v>1</v>
      </c>
      <c r="D1764">
        <v>4</v>
      </c>
      <c r="E1764">
        <v>8</v>
      </c>
      <c r="F1764">
        <v>0</v>
      </c>
      <c r="G1764">
        <v>0</v>
      </c>
      <c r="H1764">
        <f>표5[[#This Row],[공격성공횟수]]/(표5[[#This Row],[공격실패횟수]]+표5[[#This Row],[공격성공횟수]])</f>
        <v>0.33333333333333331</v>
      </c>
    </row>
    <row r="1765" spans="1:8" hidden="1" x14ac:dyDescent="0.4">
      <c r="A1765">
        <v>882</v>
      </c>
      <c r="B1765" t="s">
        <v>1</v>
      </c>
      <c r="C1765">
        <v>0</v>
      </c>
      <c r="D1765">
        <v>0</v>
      </c>
      <c r="E1765">
        <v>12</v>
      </c>
      <c r="F1765">
        <v>4</v>
      </c>
      <c r="G1765">
        <v>1</v>
      </c>
      <c r="H1765">
        <f>표5[[#This Row],[공격성공횟수]]/(표5[[#This Row],[공격실패횟수]]+표5[[#This Row],[공격성공횟수]])</f>
        <v>0</v>
      </c>
    </row>
    <row r="1766" spans="1:8" x14ac:dyDescent="0.4">
      <c r="A1766">
        <v>883</v>
      </c>
      <c r="B1766" t="s">
        <v>0</v>
      </c>
      <c r="C1766">
        <v>1</v>
      </c>
      <c r="D1766">
        <v>4</v>
      </c>
      <c r="E1766">
        <v>6</v>
      </c>
      <c r="F1766">
        <v>0</v>
      </c>
      <c r="G1766">
        <v>0</v>
      </c>
      <c r="H1766">
        <f>표5[[#This Row],[공격성공횟수]]/(표5[[#This Row],[공격실패횟수]]+표5[[#This Row],[공격성공횟수]])</f>
        <v>0.4</v>
      </c>
    </row>
    <row r="1767" spans="1:8" hidden="1" x14ac:dyDescent="0.4">
      <c r="A1767">
        <v>883</v>
      </c>
      <c r="B1767" t="s">
        <v>1</v>
      </c>
      <c r="C1767">
        <v>0</v>
      </c>
      <c r="D1767">
        <v>0</v>
      </c>
      <c r="E1767">
        <v>11</v>
      </c>
      <c r="F1767">
        <v>4</v>
      </c>
      <c r="G1767">
        <v>1</v>
      </c>
      <c r="H1767">
        <f>표5[[#This Row],[공격성공횟수]]/(표5[[#This Row],[공격실패횟수]]+표5[[#This Row],[공격성공횟수]])</f>
        <v>0</v>
      </c>
    </row>
    <row r="1768" spans="1:8" x14ac:dyDescent="0.4">
      <c r="A1768">
        <v>884</v>
      </c>
      <c r="B1768" t="s">
        <v>0</v>
      </c>
      <c r="C1768">
        <v>1</v>
      </c>
      <c r="D1768">
        <v>4</v>
      </c>
      <c r="E1768">
        <v>24</v>
      </c>
      <c r="F1768">
        <v>0</v>
      </c>
      <c r="G1768">
        <v>0</v>
      </c>
      <c r="H1768">
        <f>표5[[#This Row],[공격성공횟수]]/(표5[[#This Row],[공격실패횟수]]+표5[[#This Row],[공격성공횟수]])</f>
        <v>0.14285714285714285</v>
      </c>
    </row>
    <row r="1769" spans="1:8" hidden="1" x14ac:dyDescent="0.4">
      <c r="A1769">
        <v>884</v>
      </c>
      <c r="B1769" t="s">
        <v>1</v>
      </c>
      <c r="C1769">
        <v>0</v>
      </c>
      <c r="D1769">
        <v>0</v>
      </c>
      <c r="E1769">
        <v>31</v>
      </c>
      <c r="F1769">
        <v>4</v>
      </c>
      <c r="G1769">
        <v>1</v>
      </c>
      <c r="H1769">
        <f>표5[[#This Row],[공격성공횟수]]/(표5[[#This Row],[공격실패횟수]]+표5[[#This Row],[공격성공횟수]])</f>
        <v>0</v>
      </c>
    </row>
    <row r="1770" spans="1:8" x14ac:dyDescent="0.4">
      <c r="A1770">
        <v>885</v>
      </c>
      <c r="B1770" t="s">
        <v>0</v>
      </c>
      <c r="C1770">
        <v>1</v>
      </c>
      <c r="D1770">
        <v>4</v>
      </c>
      <c r="E1770">
        <v>13</v>
      </c>
      <c r="F1770">
        <v>3</v>
      </c>
      <c r="G1770">
        <v>0</v>
      </c>
      <c r="H1770">
        <f>표5[[#This Row],[공격성공횟수]]/(표5[[#This Row],[공격실패횟수]]+표5[[#This Row],[공격성공횟수]])</f>
        <v>0.23529411764705882</v>
      </c>
    </row>
    <row r="1771" spans="1:8" hidden="1" x14ac:dyDescent="0.4">
      <c r="A1771">
        <v>885</v>
      </c>
      <c r="B1771" t="s">
        <v>1</v>
      </c>
      <c r="C1771">
        <v>0</v>
      </c>
      <c r="D1771">
        <v>3</v>
      </c>
      <c r="E1771">
        <v>15</v>
      </c>
      <c r="F1771">
        <v>4</v>
      </c>
      <c r="G1771">
        <v>1</v>
      </c>
      <c r="H1771">
        <f>표5[[#This Row],[공격성공횟수]]/(표5[[#This Row],[공격실패횟수]]+표5[[#This Row],[공격성공횟수]])</f>
        <v>0.16666666666666666</v>
      </c>
    </row>
    <row r="1772" spans="1:8" x14ac:dyDescent="0.4">
      <c r="A1772">
        <v>886</v>
      </c>
      <c r="B1772" t="s">
        <v>0</v>
      </c>
      <c r="C1772">
        <v>1</v>
      </c>
      <c r="D1772">
        <v>4</v>
      </c>
      <c r="E1772">
        <v>22</v>
      </c>
      <c r="F1772">
        <v>2</v>
      </c>
      <c r="G1772">
        <v>0</v>
      </c>
      <c r="H1772">
        <f>표5[[#This Row],[공격성공횟수]]/(표5[[#This Row],[공격실패횟수]]+표5[[#This Row],[공격성공횟수]])</f>
        <v>0.15384615384615385</v>
      </c>
    </row>
    <row r="1773" spans="1:8" hidden="1" x14ac:dyDescent="0.4">
      <c r="A1773">
        <v>886</v>
      </c>
      <c r="B1773" t="s">
        <v>1</v>
      </c>
      <c r="C1773">
        <v>0</v>
      </c>
      <c r="D1773">
        <v>2</v>
      </c>
      <c r="E1773">
        <v>24</v>
      </c>
      <c r="F1773">
        <v>4</v>
      </c>
      <c r="G1773">
        <v>1</v>
      </c>
      <c r="H1773">
        <f>표5[[#This Row],[공격성공횟수]]/(표5[[#This Row],[공격실패횟수]]+표5[[#This Row],[공격성공횟수]])</f>
        <v>7.6923076923076927E-2</v>
      </c>
    </row>
    <row r="1774" spans="1:8" x14ac:dyDescent="0.4">
      <c r="A1774">
        <v>887</v>
      </c>
      <c r="B1774" t="s">
        <v>0</v>
      </c>
      <c r="C1774">
        <v>1</v>
      </c>
      <c r="D1774">
        <v>4</v>
      </c>
      <c r="E1774">
        <v>12</v>
      </c>
      <c r="F1774">
        <v>0</v>
      </c>
      <c r="G1774">
        <v>0</v>
      </c>
      <c r="H1774">
        <f>표5[[#This Row],[공격성공횟수]]/(표5[[#This Row],[공격실패횟수]]+표5[[#This Row],[공격성공횟수]])</f>
        <v>0.25</v>
      </c>
    </row>
    <row r="1775" spans="1:8" hidden="1" x14ac:dyDescent="0.4">
      <c r="A1775">
        <v>887</v>
      </c>
      <c r="B1775" t="s">
        <v>1</v>
      </c>
      <c r="C1775">
        <v>0</v>
      </c>
      <c r="D1775">
        <v>0</v>
      </c>
      <c r="E1775">
        <v>15</v>
      </c>
      <c r="F1775">
        <v>4</v>
      </c>
      <c r="G1775">
        <v>1</v>
      </c>
      <c r="H1775">
        <f>표5[[#This Row],[공격성공횟수]]/(표5[[#This Row],[공격실패횟수]]+표5[[#This Row],[공격성공횟수]])</f>
        <v>0</v>
      </c>
    </row>
    <row r="1776" spans="1:8" x14ac:dyDescent="0.4">
      <c r="A1776">
        <v>888</v>
      </c>
      <c r="B1776" t="s">
        <v>0</v>
      </c>
      <c r="C1776">
        <v>1</v>
      </c>
      <c r="D1776">
        <v>4</v>
      </c>
      <c r="E1776">
        <v>12</v>
      </c>
      <c r="F1776">
        <v>0</v>
      </c>
      <c r="G1776">
        <v>0</v>
      </c>
      <c r="H1776">
        <f>표5[[#This Row],[공격성공횟수]]/(표5[[#This Row],[공격실패횟수]]+표5[[#This Row],[공격성공횟수]])</f>
        <v>0.25</v>
      </c>
    </row>
    <row r="1777" spans="1:8" hidden="1" x14ac:dyDescent="0.4">
      <c r="A1777">
        <v>888</v>
      </c>
      <c r="B1777" t="s">
        <v>1</v>
      </c>
      <c r="C1777">
        <v>0</v>
      </c>
      <c r="D1777">
        <v>0</v>
      </c>
      <c r="E1777">
        <v>16</v>
      </c>
      <c r="F1777">
        <v>4</v>
      </c>
      <c r="G1777">
        <v>1</v>
      </c>
      <c r="H1777">
        <f>표5[[#This Row],[공격성공횟수]]/(표5[[#This Row],[공격실패횟수]]+표5[[#This Row],[공격성공횟수]])</f>
        <v>0</v>
      </c>
    </row>
    <row r="1778" spans="1:8" x14ac:dyDescent="0.4">
      <c r="A1778">
        <v>889</v>
      </c>
      <c r="B1778" t="s">
        <v>0</v>
      </c>
      <c r="C1778">
        <v>0</v>
      </c>
      <c r="D1778">
        <v>0</v>
      </c>
      <c r="E1778">
        <v>25</v>
      </c>
      <c r="F1778">
        <v>4</v>
      </c>
      <c r="G1778">
        <v>1</v>
      </c>
      <c r="H1778">
        <f>표5[[#This Row],[공격성공횟수]]/(표5[[#This Row],[공격실패횟수]]+표5[[#This Row],[공격성공횟수]])</f>
        <v>0</v>
      </c>
    </row>
    <row r="1779" spans="1:8" hidden="1" x14ac:dyDescent="0.4">
      <c r="A1779">
        <v>889</v>
      </c>
      <c r="B1779" t="s">
        <v>1</v>
      </c>
      <c r="C1779">
        <v>1</v>
      </c>
      <c r="D1779">
        <v>4</v>
      </c>
      <c r="E1779">
        <v>22</v>
      </c>
      <c r="F1779">
        <v>0</v>
      </c>
      <c r="G1779">
        <v>0</v>
      </c>
      <c r="H1779">
        <f>표5[[#This Row],[공격성공횟수]]/(표5[[#This Row],[공격실패횟수]]+표5[[#This Row],[공격성공횟수]])</f>
        <v>0.15384615384615385</v>
      </c>
    </row>
    <row r="1780" spans="1:8" x14ac:dyDescent="0.4">
      <c r="A1780">
        <v>890</v>
      </c>
      <c r="B1780" t="s">
        <v>0</v>
      </c>
      <c r="C1780">
        <v>1</v>
      </c>
      <c r="D1780">
        <v>4</v>
      </c>
      <c r="E1780">
        <v>21</v>
      </c>
      <c r="F1780">
        <v>2</v>
      </c>
      <c r="G1780">
        <v>0</v>
      </c>
      <c r="H1780">
        <f>표5[[#This Row],[공격성공횟수]]/(표5[[#This Row],[공격실패횟수]]+표5[[#This Row],[공격성공횟수]])</f>
        <v>0.16</v>
      </c>
    </row>
    <row r="1781" spans="1:8" hidden="1" x14ac:dyDescent="0.4">
      <c r="A1781">
        <v>890</v>
      </c>
      <c r="B1781" t="s">
        <v>1</v>
      </c>
      <c r="C1781">
        <v>0</v>
      </c>
      <c r="D1781">
        <v>2</v>
      </c>
      <c r="E1781">
        <v>27</v>
      </c>
      <c r="F1781">
        <v>4</v>
      </c>
      <c r="G1781">
        <v>1</v>
      </c>
      <c r="H1781">
        <f>표5[[#This Row],[공격성공횟수]]/(표5[[#This Row],[공격실패횟수]]+표5[[#This Row],[공격성공횟수]])</f>
        <v>6.8965517241379309E-2</v>
      </c>
    </row>
    <row r="1782" spans="1:8" x14ac:dyDescent="0.4">
      <c r="A1782">
        <v>891</v>
      </c>
      <c r="B1782" t="s">
        <v>0</v>
      </c>
      <c r="C1782">
        <v>1</v>
      </c>
      <c r="D1782">
        <v>4</v>
      </c>
      <c r="E1782">
        <v>10</v>
      </c>
      <c r="F1782">
        <v>2</v>
      </c>
      <c r="G1782">
        <v>0</v>
      </c>
      <c r="H1782">
        <f>표5[[#This Row],[공격성공횟수]]/(표5[[#This Row],[공격실패횟수]]+표5[[#This Row],[공격성공횟수]])</f>
        <v>0.2857142857142857</v>
      </c>
    </row>
    <row r="1783" spans="1:8" hidden="1" x14ac:dyDescent="0.4">
      <c r="A1783">
        <v>891</v>
      </c>
      <c r="B1783" t="s">
        <v>1</v>
      </c>
      <c r="C1783">
        <v>0</v>
      </c>
      <c r="D1783">
        <v>2</v>
      </c>
      <c r="E1783">
        <v>12</v>
      </c>
      <c r="F1783">
        <v>4</v>
      </c>
      <c r="G1783">
        <v>1</v>
      </c>
      <c r="H1783">
        <f>표5[[#This Row],[공격성공횟수]]/(표5[[#This Row],[공격실패횟수]]+표5[[#This Row],[공격성공횟수]])</f>
        <v>0.14285714285714285</v>
      </c>
    </row>
    <row r="1784" spans="1:8" x14ac:dyDescent="0.4">
      <c r="A1784">
        <v>892</v>
      </c>
      <c r="B1784" t="s">
        <v>0</v>
      </c>
      <c r="C1784">
        <v>1</v>
      </c>
      <c r="D1784">
        <v>4</v>
      </c>
      <c r="E1784">
        <v>14</v>
      </c>
      <c r="F1784">
        <v>0</v>
      </c>
      <c r="G1784">
        <v>0</v>
      </c>
      <c r="H1784">
        <f>표5[[#This Row],[공격성공횟수]]/(표5[[#This Row],[공격실패횟수]]+표5[[#This Row],[공격성공횟수]])</f>
        <v>0.22222222222222221</v>
      </c>
    </row>
    <row r="1785" spans="1:8" hidden="1" x14ac:dyDescent="0.4">
      <c r="A1785">
        <v>892</v>
      </c>
      <c r="B1785" t="s">
        <v>1</v>
      </c>
      <c r="C1785">
        <v>0</v>
      </c>
      <c r="D1785">
        <v>0</v>
      </c>
      <c r="E1785">
        <v>20</v>
      </c>
      <c r="F1785">
        <v>4</v>
      </c>
      <c r="G1785">
        <v>1</v>
      </c>
      <c r="H1785">
        <f>표5[[#This Row],[공격성공횟수]]/(표5[[#This Row],[공격실패횟수]]+표5[[#This Row],[공격성공횟수]])</f>
        <v>0</v>
      </c>
    </row>
    <row r="1786" spans="1:8" x14ac:dyDescent="0.4">
      <c r="A1786">
        <v>893</v>
      </c>
      <c r="B1786" t="s">
        <v>0</v>
      </c>
      <c r="C1786">
        <v>1</v>
      </c>
      <c r="D1786">
        <v>4</v>
      </c>
      <c r="E1786">
        <v>6</v>
      </c>
      <c r="F1786">
        <v>0</v>
      </c>
      <c r="G1786">
        <v>0</v>
      </c>
      <c r="H1786">
        <f>표5[[#This Row],[공격성공횟수]]/(표5[[#This Row],[공격실패횟수]]+표5[[#This Row],[공격성공횟수]])</f>
        <v>0.4</v>
      </c>
    </row>
    <row r="1787" spans="1:8" hidden="1" x14ac:dyDescent="0.4">
      <c r="A1787">
        <v>893</v>
      </c>
      <c r="B1787" t="s">
        <v>1</v>
      </c>
      <c r="C1787">
        <v>0</v>
      </c>
      <c r="D1787">
        <v>0</v>
      </c>
      <c r="E1787">
        <v>9</v>
      </c>
      <c r="F1787">
        <v>4</v>
      </c>
      <c r="G1787">
        <v>1</v>
      </c>
      <c r="H1787">
        <f>표5[[#This Row],[공격성공횟수]]/(표5[[#This Row],[공격실패횟수]]+표5[[#This Row],[공격성공횟수]])</f>
        <v>0</v>
      </c>
    </row>
    <row r="1788" spans="1:8" x14ac:dyDescent="0.4">
      <c r="A1788">
        <v>894</v>
      </c>
      <c r="B1788" t="s">
        <v>0</v>
      </c>
      <c r="C1788">
        <v>1</v>
      </c>
      <c r="D1788">
        <v>4</v>
      </c>
      <c r="E1788">
        <v>10</v>
      </c>
      <c r="F1788">
        <v>0</v>
      </c>
      <c r="G1788">
        <v>0</v>
      </c>
      <c r="H1788">
        <f>표5[[#This Row],[공격성공횟수]]/(표5[[#This Row],[공격실패횟수]]+표5[[#This Row],[공격성공횟수]])</f>
        <v>0.2857142857142857</v>
      </c>
    </row>
    <row r="1789" spans="1:8" hidden="1" x14ac:dyDescent="0.4">
      <c r="A1789">
        <v>894</v>
      </c>
      <c r="B1789" t="s">
        <v>1</v>
      </c>
      <c r="C1789">
        <v>0</v>
      </c>
      <c r="D1789">
        <v>0</v>
      </c>
      <c r="E1789">
        <v>16</v>
      </c>
      <c r="F1789">
        <v>4</v>
      </c>
      <c r="G1789">
        <v>1</v>
      </c>
      <c r="H1789">
        <f>표5[[#This Row],[공격성공횟수]]/(표5[[#This Row],[공격실패횟수]]+표5[[#This Row],[공격성공횟수]])</f>
        <v>0</v>
      </c>
    </row>
    <row r="1790" spans="1:8" x14ac:dyDescent="0.4">
      <c r="A1790">
        <v>895</v>
      </c>
      <c r="B1790" t="s">
        <v>0</v>
      </c>
      <c r="C1790">
        <v>1</v>
      </c>
      <c r="D1790">
        <v>4</v>
      </c>
      <c r="E1790">
        <v>13</v>
      </c>
      <c r="F1790">
        <v>0</v>
      </c>
      <c r="G1790">
        <v>0</v>
      </c>
      <c r="H1790">
        <f>표5[[#This Row],[공격성공횟수]]/(표5[[#This Row],[공격실패횟수]]+표5[[#This Row],[공격성공횟수]])</f>
        <v>0.23529411764705882</v>
      </c>
    </row>
    <row r="1791" spans="1:8" hidden="1" x14ac:dyDescent="0.4">
      <c r="A1791">
        <v>895</v>
      </c>
      <c r="B1791" t="s">
        <v>1</v>
      </c>
      <c r="C1791">
        <v>0</v>
      </c>
      <c r="D1791">
        <v>0</v>
      </c>
      <c r="E1791">
        <v>17</v>
      </c>
      <c r="F1791">
        <v>4</v>
      </c>
      <c r="G1791">
        <v>1</v>
      </c>
      <c r="H1791">
        <f>표5[[#This Row],[공격성공횟수]]/(표5[[#This Row],[공격실패횟수]]+표5[[#This Row],[공격성공횟수]])</f>
        <v>0</v>
      </c>
    </row>
    <row r="1792" spans="1:8" x14ac:dyDescent="0.4">
      <c r="A1792">
        <v>896</v>
      </c>
      <c r="B1792" t="s">
        <v>0</v>
      </c>
      <c r="C1792">
        <v>1</v>
      </c>
      <c r="D1792">
        <v>4</v>
      </c>
      <c r="E1792">
        <v>36</v>
      </c>
      <c r="F1792">
        <v>2</v>
      </c>
      <c r="G1792">
        <v>0</v>
      </c>
      <c r="H1792">
        <f>표5[[#This Row],[공격성공횟수]]/(표5[[#This Row],[공격실패횟수]]+표5[[#This Row],[공격성공횟수]])</f>
        <v>0.1</v>
      </c>
    </row>
    <row r="1793" spans="1:8" hidden="1" x14ac:dyDescent="0.4">
      <c r="A1793">
        <v>896</v>
      </c>
      <c r="B1793" t="s">
        <v>1</v>
      </c>
      <c r="C1793">
        <v>0</v>
      </c>
      <c r="D1793">
        <v>2</v>
      </c>
      <c r="E1793">
        <v>45</v>
      </c>
      <c r="F1793">
        <v>4</v>
      </c>
      <c r="G1793">
        <v>1</v>
      </c>
      <c r="H1793">
        <f>표5[[#This Row],[공격성공횟수]]/(표5[[#This Row],[공격실패횟수]]+표5[[#This Row],[공격성공횟수]])</f>
        <v>4.2553191489361701E-2</v>
      </c>
    </row>
    <row r="1794" spans="1:8" x14ac:dyDescent="0.4">
      <c r="A1794">
        <v>897</v>
      </c>
      <c r="B1794" t="s">
        <v>0</v>
      </c>
      <c r="C1794">
        <v>0</v>
      </c>
      <c r="D1794">
        <v>0</v>
      </c>
      <c r="E1794">
        <v>11</v>
      </c>
      <c r="F1794">
        <v>4</v>
      </c>
      <c r="G1794">
        <v>1</v>
      </c>
      <c r="H1794">
        <f>표5[[#This Row],[공격성공횟수]]/(표5[[#This Row],[공격실패횟수]]+표5[[#This Row],[공격성공횟수]])</f>
        <v>0</v>
      </c>
    </row>
    <row r="1795" spans="1:8" hidden="1" x14ac:dyDescent="0.4">
      <c r="A1795">
        <v>897</v>
      </c>
      <c r="B1795" t="s">
        <v>1</v>
      </c>
      <c r="C1795">
        <v>1</v>
      </c>
      <c r="D1795">
        <v>4</v>
      </c>
      <c r="E1795">
        <v>7</v>
      </c>
      <c r="F1795">
        <v>0</v>
      </c>
      <c r="G1795">
        <v>0</v>
      </c>
      <c r="H1795">
        <f>표5[[#This Row],[공격성공횟수]]/(표5[[#This Row],[공격실패횟수]]+표5[[#This Row],[공격성공횟수]])</f>
        <v>0.36363636363636365</v>
      </c>
    </row>
    <row r="1796" spans="1:8" x14ac:dyDescent="0.4">
      <c r="A1796">
        <v>898</v>
      </c>
      <c r="B1796" t="s">
        <v>0</v>
      </c>
      <c r="C1796">
        <v>1</v>
      </c>
      <c r="D1796">
        <v>4</v>
      </c>
      <c r="E1796">
        <v>18</v>
      </c>
      <c r="F1796">
        <v>0</v>
      </c>
      <c r="G1796">
        <v>0</v>
      </c>
      <c r="H1796">
        <f>표5[[#This Row],[공격성공횟수]]/(표5[[#This Row],[공격실패횟수]]+표5[[#This Row],[공격성공횟수]])</f>
        <v>0.18181818181818182</v>
      </c>
    </row>
    <row r="1797" spans="1:8" hidden="1" x14ac:dyDescent="0.4">
      <c r="A1797">
        <v>898</v>
      </c>
      <c r="B1797" t="s">
        <v>1</v>
      </c>
      <c r="C1797">
        <v>0</v>
      </c>
      <c r="D1797">
        <v>0</v>
      </c>
      <c r="E1797">
        <v>25</v>
      </c>
      <c r="F1797">
        <v>4</v>
      </c>
      <c r="G1797">
        <v>1</v>
      </c>
      <c r="H1797">
        <f>표5[[#This Row],[공격성공횟수]]/(표5[[#This Row],[공격실패횟수]]+표5[[#This Row],[공격성공횟수]])</f>
        <v>0</v>
      </c>
    </row>
    <row r="1798" spans="1:8" x14ac:dyDescent="0.4">
      <c r="A1798">
        <v>899</v>
      </c>
      <c r="B1798" t="s">
        <v>0</v>
      </c>
      <c r="C1798">
        <v>1</v>
      </c>
      <c r="D1798">
        <v>4</v>
      </c>
      <c r="E1798">
        <v>9</v>
      </c>
      <c r="F1798">
        <v>0</v>
      </c>
      <c r="G1798">
        <v>0</v>
      </c>
      <c r="H1798">
        <f>표5[[#This Row],[공격성공횟수]]/(표5[[#This Row],[공격실패횟수]]+표5[[#This Row],[공격성공횟수]])</f>
        <v>0.30769230769230771</v>
      </c>
    </row>
    <row r="1799" spans="1:8" hidden="1" x14ac:dyDescent="0.4">
      <c r="A1799">
        <v>899</v>
      </c>
      <c r="B1799" t="s">
        <v>1</v>
      </c>
      <c r="C1799">
        <v>0</v>
      </c>
      <c r="D1799">
        <v>0</v>
      </c>
      <c r="E1799">
        <v>13</v>
      </c>
      <c r="F1799">
        <v>4</v>
      </c>
      <c r="G1799">
        <v>1</v>
      </c>
      <c r="H1799">
        <f>표5[[#This Row],[공격성공횟수]]/(표5[[#This Row],[공격실패횟수]]+표5[[#This Row],[공격성공횟수]])</f>
        <v>0</v>
      </c>
    </row>
    <row r="1800" spans="1:8" x14ac:dyDescent="0.4">
      <c r="A1800">
        <v>900</v>
      </c>
      <c r="B1800" t="s">
        <v>0</v>
      </c>
      <c r="C1800">
        <v>1</v>
      </c>
      <c r="D1800">
        <v>4</v>
      </c>
      <c r="E1800">
        <v>7</v>
      </c>
      <c r="F1800">
        <v>0</v>
      </c>
      <c r="G1800">
        <v>0</v>
      </c>
      <c r="H1800">
        <f>표5[[#This Row],[공격성공횟수]]/(표5[[#This Row],[공격실패횟수]]+표5[[#This Row],[공격성공횟수]])</f>
        <v>0.36363636363636365</v>
      </c>
    </row>
    <row r="1801" spans="1:8" hidden="1" x14ac:dyDescent="0.4">
      <c r="A1801">
        <v>900</v>
      </c>
      <c r="B1801" t="s">
        <v>1</v>
      </c>
      <c r="C1801">
        <v>0</v>
      </c>
      <c r="D1801">
        <v>0</v>
      </c>
      <c r="E1801">
        <v>11</v>
      </c>
      <c r="F1801">
        <v>4</v>
      </c>
      <c r="G1801">
        <v>1</v>
      </c>
      <c r="H1801">
        <f>표5[[#This Row],[공격성공횟수]]/(표5[[#This Row],[공격실패횟수]]+표5[[#This Row],[공격성공횟수]])</f>
        <v>0</v>
      </c>
    </row>
    <row r="1802" spans="1:8" x14ac:dyDescent="0.4">
      <c r="A1802">
        <v>901</v>
      </c>
      <c r="B1802" t="s">
        <v>0</v>
      </c>
      <c r="C1802">
        <v>1</v>
      </c>
      <c r="D1802">
        <v>4</v>
      </c>
      <c r="E1802">
        <v>9</v>
      </c>
      <c r="F1802">
        <v>1</v>
      </c>
      <c r="G1802">
        <v>0</v>
      </c>
      <c r="H1802">
        <f>표5[[#This Row],[공격성공횟수]]/(표5[[#This Row],[공격실패횟수]]+표5[[#This Row],[공격성공횟수]])</f>
        <v>0.30769230769230771</v>
      </c>
    </row>
    <row r="1803" spans="1:8" hidden="1" x14ac:dyDescent="0.4">
      <c r="A1803">
        <v>901</v>
      </c>
      <c r="B1803" t="s">
        <v>1</v>
      </c>
      <c r="C1803">
        <v>0</v>
      </c>
      <c r="D1803">
        <v>1</v>
      </c>
      <c r="E1803">
        <v>12</v>
      </c>
      <c r="F1803">
        <v>4</v>
      </c>
      <c r="G1803">
        <v>1</v>
      </c>
      <c r="H1803">
        <f>표5[[#This Row],[공격성공횟수]]/(표5[[#This Row],[공격실패횟수]]+표5[[#This Row],[공격성공횟수]])</f>
        <v>7.6923076923076927E-2</v>
      </c>
    </row>
    <row r="1804" spans="1:8" x14ac:dyDescent="0.4">
      <c r="A1804">
        <v>902</v>
      </c>
      <c r="B1804" t="s">
        <v>0</v>
      </c>
      <c r="C1804">
        <v>1</v>
      </c>
      <c r="D1804">
        <v>4</v>
      </c>
      <c r="E1804">
        <v>18</v>
      </c>
      <c r="F1804">
        <v>0</v>
      </c>
      <c r="G1804">
        <v>0</v>
      </c>
      <c r="H1804">
        <f>표5[[#This Row],[공격성공횟수]]/(표5[[#This Row],[공격실패횟수]]+표5[[#This Row],[공격성공횟수]])</f>
        <v>0.18181818181818182</v>
      </c>
    </row>
    <row r="1805" spans="1:8" hidden="1" x14ac:dyDescent="0.4">
      <c r="A1805">
        <v>902</v>
      </c>
      <c r="B1805" t="s">
        <v>1</v>
      </c>
      <c r="C1805">
        <v>0</v>
      </c>
      <c r="D1805">
        <v>0</v>
      </c>
      <c r="E1805">
        <v>25</v>
      </c>
      <c r="F1805">
        <v>4</v>
      </c>
      <c r="G1805">
        <v>1</v>
      </c>
      <c r="H1805">
        <f>표5[[#This Row],[공격성공횟수]]/(표5[[#This Row],[공격실패횟수]]+표5[[#This Row],[공격성공횟수]])</f>
        <v>0</v>
      </c>
    </row>
    <row r="1806" spans="1:8" x14ac:dyDescent="0.4">
      <c r="A1806">
        <v>903</v>
      </c>
      <c r="B1806" t="s">
        <v>0</v>
      </c>
      <c r="C1806">
        <v>0</v>
      </c>
      <c r="D1806">
        <v>0</v>
      </c>
      <c r="E1806">
        <v>22</v>
      </c>
      <c r="F1806">
        <v>4</v>
      </c>
      <c r="G1806">
        <v>1</v>
      </c>
      <c r="H1806">
        <f>표5[[#This Row],[공격성공횟수]]/(표5[[#This Row],[공격실패횟수]]+표5[[#This Row],[공격성공횟수]])</f>
        <v>0</v>
      </c>
    </row>
    <row r="1807" spans="1:8" hidden="1" x14ac:dyDescent="0.4">
      <c r="A1807">
        <v>903</v>
      </c>
      <c r="B1807" t="s">
        <v>1</v>
      </c>
      <c r="C1807">
        <v>1</v>
      </c>
      <c r="D1807">
        <v>4</v>
      </c>
      <c r="E1807">
        <v>18</v>
      </c>
      <c r="F1807">
        <v>0</v>
      </c>
      <c r="G1807">
        <v>0</v>
      </c>
      <c r="H1807">
        <f>표5[[#This Row],[공격성공횟수]]/(표5[[#This Row],[공격실패횟수]]+표5[[#This Row],[공격성공횟수]])</f>
        <v>0.18181818181818182</v>
      </c>
    </row>
    <row r="1808" spans="1:8" x14ac:dyDescent="0.4">
      <c r="A1808">
        <v>904</v>
      </c>
      <c r="B1808" t="s">
        <v>0</v>
      </c>
      <c r="C1808">
        <v>1</v>
      </c>
      <c r="D1808">
        <v>4</v>
      </c>
      <c r="E1808">
        <v>24</v>
      </c>
      <c r="F1808">
        <v>0</v>
      </c>
      <c r="G1808">
        <v>0</v>
      </c>
      <c r="H1808">
        <f>표5[[#This Row],[공격성공횟수]]/(표5[[#This Row],[공격실패횟수]]+표5[[#This Row],[공격성공횟수]])</f>
        <v>0.14285714285714285</v>
      </c>
    </row>
    <row r="1809" spans="1:8" hidden="1" x14ac:dyDescent="0.4">
      <c r="A1809">
        <v>904</v>
      </c>
      <c r="B1809" t="s">
        <v>1</v>
      </c>
      <c r="C1809">
        <v>0</v>
      </c>
      <c r="D1809">
        <v>0</v>
      </c>
      <c r="E1809">
        <v>33</v>
      </c>
      <c r="F1809">
        <v>4</v>
      </c>
      <c r="G1809">
        <v>1</v>
      </c>
      <c r="H1809">
        <f>표5[[#This Row],[공격성공횟수]]/(표5[[#This Row],[공격실패횟수]]+표5[[#This Row],[공격성공횟수]])</f>
        <v>0</v>
      </c>
    </row>
    <row r="1810" spans="1:8" x14ac:dyDescent="0.4">
      <c r="A1810">
        <v>905</v>
      </c>
      <c r="B1810" t="s">
        <v>0</v>
      </c>
      <c r="C1810">
        <v>1</v>
      </c>
      <c r="D1810">
        <v>4</v>
      </c>
      <c r="E1810">
        <v>6</v>
      </c>
      <c r="F1810">
        <v>0</v>
      </c>
      <c r="G1810">
        <v>0</v>
      </c>
      <c r="H1810">
        <f>표5[[#This Row],[공격성공횟수]]/(표5[[#This Row],[공격실패횟수]]+표5[[#This Row],[공격성공횟수]])</f>
        <v>0.4</v>
      </c>
    </row>
    <row r="1811" spans="1:8" hidden="1" x14ac:dyDescent="0.4">
      <c r="A1811">
        <v>905</v>
      </c>
      <c r="B1811" t="s">
        <v>1</v>
      </c>
      <c r="C1811">
        <v>0</v>
      </c>
      <c r="D1811">
        <v>0</v>
      </c>
      <c r="E1811">
        <v>10</v>
      </c>
      <c r="F1811">
        <v>4</v>
      </c>
      <c r="G1811">
        <v>1</v>
      </c>
      <c r="H1811">
        <f>표5[[#This Row],[공격성공횟수]]/(표5[[#This Row],[공격실패횟수]]+표5[[#This Row],[공격성공횟수]])</f>
        <v>0</v>
      </c>
    </row>
    <row r="1812" spans="1:8" x14ac:dyDescent="0.4">
      <c r="A1812">
        <v>906</v>
      </c>
      <c r="B1812" t="s">
        <v>0</v>
      </c>
      <c r="C1812">
        <v>1</v>
      </c>
      <c r="D1812">
        <v>4</v>
      </c>
      <c r="E1812">
        <v>7</v>
      </c>
      <c r="F1812">
        <v>0</v>
      </c>
      <c r="G1812">
        <v>0</v>
      </c>
      <c r="H1812">
        <f>표5[[#This Row],[공격성공횟수]]/(표5[[#This Row],[공격실패횟수]]+표5[[#This Row],[공격성공횟수]])</f>
        <v>0.36363636363636365</v>
      </c>
    </row>
    <row r="1813" spans="1:8" hidden="1" x14ac:dyDescent="0.4">
      <c r="A1813">
        <v>906</v>
      </c>
      <c r="B1813" t="s">
        <v>1</v>
      </c>
      <c r="C1813">
        <v>0</v>
      </c>
      <c r="D1813">
        <v>0</v>
      </c>
      <c r="E1813">
        <v>11</v>
      </c>
      <c r="F1813">
        <v>4</v>
      </c>
      <c r="G1813">
        <v>1</v>
      </c>
      <c r="H1813">
        <f>표5[[#This Row],[공격성공횟수]]/(표5[[#This Row],[공격실패횟수]]+표5[[#This Row],[공격성공횟수]])</f>
        <v>0</v>
      </c>
    </row>
    <row r="1814" spans="1:8" x14ac:dyDescent="0.4">
      <c r="A1814">
        <v>907</v>
      </c>
      <c r="B1814" t="s">
        <v>0</v>
      </c>
      <c r="C1814">
        <v>1</v>
      </c>
      <c r="D1814">
        <v>4</v>
      </c>
      <c r="E1814">
        <v>17</v>
      </c>
      <c r="F1814">
        <v>0</v>
      </c>
      <c r="G1814">
        <v>0</v>
      </c>
      <c r="H1814">
        <f>표5[[#This Row],[공격성공횟수]]/(표5[[#This Row],[공격실패횟수]]+표5[[#This Row],[공격성공횟수]])</f>
        <v>0.19047619047619047</v>
      </c>
    </row>
    <row r="1815" spans="1:8" hidden="1" x14ac:dyDescent="0.4">
      <c r="A1815">
        <v>907</v>
      </c>
      <c r="B1815" t="s">
        <v>1</v>
      </c>
      <c r="C1815">
        <v>0</v>
      </c>
      <c r="D1815">
        <v>0</v>
      </c>
      <c r="E1815">
        <v>24</v>
      </c>
      <c r="F1815">
        <v>4</v>
      </c>
      <c r="G1815">
        <v>1</v>
      </c>
      <c r="H1815">
        <f>표5[[#This Row],[공격성공횟수]]/(표5[[#This Row],[공격실패횟수]]+표5[[#This Row],[공격성공횟수]])</f>
        <v>0</v>
      </c>
    </row>
    <row r="1816" spans="1:8" x14ac:dyDescent="0.4">
      <c r="A1816">
        <v>908</v>
      </c>
      <c r="B1816" t="s">
        <v>0</v>
      </c>
      <c r="C1816">
        <v>1</v>
      </c>
      <c r="D1816">
        <v>4</v>
      </c>
      <c r="E1816">
        <v>22</v>
      </c>
      <c r="F1816">
        <v>3</v>
      </c>
      <c r="G1816">
        <v>0</v>
      </c>
      <c r="H1816">
        <f>표5[[#This Row],[공격성공횟수]]/(표5[[#This Row],[공격실패횟수]]+표5[[#This Row],[공격성공횟수]])</f>
        <v>0.15384615384615385</v>
      </c>
    </row>
    <row r="1817" spans="1:8" hidden="1" x14ac:dyDescent="0.4">
      <c r="A1817">
        <v>908</v>
      </c>
      <c r="B1817" t="s">
        <v>1</v>
      </c>
      <c r="C1817">
        <v>0</v>
      </c>
      <c r="D1817">
        <v>3</v>
      </c>
      <c r="E1817">
        <v>22</v>
      </c>
      <c r="F1817">
        <v>4</v>
      </c>
      <c r="G1817">
        <v>1</v>
      </c>
      <c r="H1817">
        <f>표5[[#This Row],[공격성공횟수]]/(표5[[#This Row],[공격실패횟수]]+표5[[#This Row],[공격성공횟수]])</f>
        <v>0.12</v>
      </c>
    </row>
    <row r="1818" spans="1:8" x14ac:dyDescent="0.4">
      <c r="A1818">
        <v>909</v>
      </c>
      <c r="B1818" t="s">
        <v>0</v>
      </c>
      <c r="C1818">
        <v>1</v>
      </c>
      <c r="D1818">
        <v>4</v>
      </c>
      <c r="E1818">
        <v>18</v>
      </c>
      <c r="F1818">
        <v>1</v>
      </c>
      <c r="G1818">
        <v>0</v>
      </c>
      <c r="H1818">
        <f>표5[[#This Row],[공격성공횟수]]/(표5[[#This Row],[공격실패횟수]]+표5[[#This Row],[공격성공횟수]])</f>
        <v>0.18181818181818182</v>
      </c>
    </row>
    <row r="1819" spans="1:8" hidden="1" x14ac:dyDescent="0.4">
      <c r="A1819">
        <v>909</v>
      </c>
      <c r="B1819" t="s">
        <v>1</v>
      </c>
      <c r="C1819">
        <v>0</v>
      </c>
      <c r="D1819">
        <v>1</v>
      </c>
      <c r="E1819">
        <v>20</v>
      </c>
      <c r="F1819">
        <v>4</v>
      </c>
      <c r="G1819">
        <v>1</v>
      </c>
      <c r="H1819">
        <f>표5[[#This Row],[공격성공횟수]]/(표5[[#This Row],[공격실패횟수]]+표5[[#This Row],[공격성공횟수]])</f>
        <v>4.7619047619047616E-2</v>
      </c>
    </row>
    <row r="1820" spans="1:8" x14ac:dyDescent="0.4">
      <c r="A1820">
        <v>910</v>
      </c>
      <c r="B1820" t="s">
        <v>0</v>
      </c>
      <c r="C1820">
        <v>1</v>
      </c>
      <c r="D1820">
        <v>4</v>
      </c>
      <c r="E1820">
        <v>7</v>
      </c>
      <c r="F1820">
        <v>1</v>
      </c>
      <c r="G1820">
        <v>0</v>
      </c>
      <c r="H1820">
        <f>표5[[#This Row],[공격성공횟수]]/(표5[[#This Row],[공격실패횟수]]+표5[[#This Row],[공격성공횟수]])</f>
        <v>0.36363636363636365</v>
      </c>
    </row>
    <row r="1821" spans="1:8" hidden="1" x14ac:dyDescent="0.4">
      <c r="A1821">
        <v>910</v>
      </c>
      <c r="B1821" t="s">
        <v>1</v>
      </c>
      <c r="C1821">
        <v>0</v>
      </c>
      <c r="D1821">
        <v>1</v>
      </c>
      <c r="E1821">
        <v>9</v>
      </c>
      <c r="F1821">
        <v>4</v>
      </c>
      <c r="G1821">
        <v>1</v>
      </c>
      <c r="H1821">
        <f>표5[[#This Row],[공격성공횟수]]/(표5[[#This Row],[공격실패횟수]]+표5[[#This Row],[공격성공횟수]])</f>
        <v>0.1</v>
      </c>
    </row>
    <row r="1822" spans="1:8" x14ac:dyDescent="0.4">
      <c r="A1822">
        <v>911</v>
      </c>
      <c r="B1822" t="s">
        <v>0</v>
      </c>
      <c r="C1822">
        <v>1</v>
      </c>
      <c r="D1822">
        <v>4</v>
      </c>
      <c r="E1822">
        <v>13</v>
      </c>
      <c r="F1822">
        <v>1</v>
      </c>
      <c r="G1822">
        <v>0</v>
      </c>
      <c r="H1822">
        <f>표5[[#This Row],[공격성공횟수]]/(표5[[#This Row],[공격실패횟수]]+표5[[#This Row],[공격성공횟수]])</f>
        <v>0.23529411764705882</v>
      </c>
    </row>
    <row r="1823" spans="1:8" hidden="1" x14ac:dyDescent="0.4">
      <c r="A1823">
        <v>911</v>
      </c>
      <c r="B1823" t="s">
        <v>1</v>
      </c>
      <c r="C1823">
        <v>0</v>
      </c>
      <c r="D1823">
        <v>1</v>
      </c>
      <c r="E1823">
        <v>16</v>
      </c>
      <c r="F1823">
        <v>4</v>
      </c>
      <c r="G1823">
        <v>1</v>
      </c>
      <c r="H1823">
        <f>표5[[#This Row],[공격성공횟수]]/(표5[[#This Row],[공격실패횟수]]+표5[[#This Row],[공격성공횟수]])</f>
        <v>5.8823529411764705E-2</v>
      </c>
    </row>
    <row r="1824" spans="1:8" x14ac:dyDescent="0.4">
      <c r="A1824">
        <v>912</v>
      </c>
      <c r="B1824" t="s">
        <v>0</v>
      </c>
      <c r="C1824">
        <v>1</v>
      </c>
      <c r="D1824">
        <v>4</v>
      </c>
      <c r="E1824">
        <v>5</v>
      </c>
      <c r="F1824">
        <v>0</v>
      </c>
      <c r="G1824">
        <v>0</v>
      </c>
      <c r="H1824">
        <f>표5[[#This Row],[공격성공횟수]]/(표5[[#This Row],[공격실패횟수]]+표5[[#This Row],[공격성공횟수]])</f>
        <v>0.44444444444444442</v>
      </c>
    </row>
    <row r="1825" spans="1:8" hidden="1" x14ac:dyDescent="0.4">
      <c r="A1825">
        <v>912</v>
      </c>
      <c r="B1825" t="s">
        <v>1</v>
      </c>
      <c r="C1825">
        <v>0</v>
      </c>
      <c r="D1825">
        <v>0</v>
      </c>
      <c r="E1825">
        <v>11</v>
      </c>
      <c r="F1825">
        <v>4</v>
      </c>
      <c r="G1825">
        <v>1</v>
      </c>
      <c r="H1825">
        <f>표5[[#This Row],[공격성공횟수]]/(표5[[#This Row],[공격실패횟수]]+표5[[#This Row],[공격성공횟수]])</f>
        <v>0</v>
      </c>
    </row>
    <row r="1826" spans="1:8" x14ac:dyDescent="0.4">
      <c r="A1826">
        <v>913</v>
      </c>
      <c r="B1826" t="s">
        <v>0</v>
      </c>
      <c r="C1826">
        <v>0</v>
      </c>
      <c r="D1826">
        <v>0</v>
      </c>
      <c r="E1826">
        <v>15</v>
      </c>
      <c r="F1826">
        <v>4</v>
      </c>
      <c r="G1826">
        <v>1</v>
      </c>
      <c r="H1826">
        <f>표5[[#This Row],[공격성공횟수]]/(표5[[#This Row],[공격실패횟수]]+표5[[#This Row],[공격성공횟수]])</f>
        <v>0</v>
      </c>
    </row>
    <row r="1827" spans="1:8" hidden="1" x14ac:dyDescent="0.4">
      <c r="A1827">
        <v>913</v>
      </c>
      <c r="B1827" t="s">
        <v>1</v>
      </c>
      <c r="C1827">
        <v>1</v>
      </c>
      <c r="D1827">
        <v>4</v>
      </c>
      <c r="E1827">
        <v>12</v>
      </c>
      <c r="F1827">
        <v>0</v>
      </c>
      <c r="G1827">
        <v>0</v>
      </c>
      <c r="H1827">
        <f>표5[[#This Row],[공격성공횟수]]/(표5[[#This Row],[공격실패횟수]]+표5[[#This Row],[공격성공횟수]])</f>
        <v>0.25</v>
      </c>
    </row>
    <row r="1828" spans="1:8" x14ac:dyDescent="0.4">
      <c r="A1828">
        <v>914</v>
      </c>
      <c r="B1828" t="s">
        <v>0</v>
      </c>
      <c r="C1828">
        <v>1</v>
      </c>
      <c r="D1828">
        <v>4</v>
      </c>
      <c r="E1828">
        <v>11</v>
      </c>
      <c r="F1828">
        <v>0</v>
      </c>
      <c r="G1828">
        <v>0</v>
      </c>
      <c r="H1828">
        <f>표5[[#This Row],[공격성공횟수]]/(표5[[#This Row],[공격실패횟수]]+표5[[#This Row],[공격성공횟수]])</f>
        <v>0.26666666666666666</v>
      </c>
    </row>
    <row r="1829" spans="1:8" hidden="1" x14ac:dyDescent="0.4">
      <c r="A1829">
        <v>914</v>
      </c>
      <c r="B1829" t="s">
        <v>1</v>
      </c>
      <c r="C1829">
        <v>0</v>
      </c>
      <c r="D1829">
        <v>0</v>
      </c>
      <c r="E1829">
        <v>14</v>
      </c>
      <c r="F1829">
        <v>4</v>
      </c>
      <c r="G1829">
        <v>1</v>
      </c>
      <c r="H1829">
        <f>표5[[#This Row],[공격성공횟수]]/(표5[[#This Row],[공격실패횟수]]+표5[[#This Row],[공격성공횟수]])</f>
        <v>0</v>
      </c>
    </row>
    <row r="1830" spans="1:8" x14ac:dyDescent="0.4">
      <c r="A1830">
        <v>915</v>
      </c>
      <c r="B1830" t="s">
        <v>0</v>
      </c>
      <c r="C1830">
        <v>1</v>
      </c>
      <c r="D1830">
        <v>4</v>
      </c>
      <c r="E1830">
        <v>14</v>
      </c>
      <c r="F1830">
        <v>2</v>
      </c>
      <c r="G1830">
        <v>0</v>
      </c>
      <c r="H1830">
        <f>표5[[#This Row],[공격성공횟수]]/(표5[[#This Row],[공격실패횟수]]+표5[[#This Row],[공격성공횟수]])</f>
        <v>0.22222222222222221</v>
      </c>
    </row>
    <row r="1831" spans="1:8" hidden="1" x14ac:dyDescent="0.4">
      <c r="A1831">
        <v>915</v>
      </c>
      <c r="B1831" t="s">
        <v>1</v>
      </c>
      <c r="C1831">
        <v>0</v>
      </c>
      <c r="D1831">
        <v>2</v>
      </c>
      <c r="E1831">
        <v>15</v>
      </c>
      <c r="F1831">
        <v>4</v>
      </c>
      <c r="G1831">
        <v>1</v>
      </c>
      <c r="H1831">
        <f>표5[[#This Row],[공격성공횟수]]/(표5[[#This Row],[공격실패횟수]]+표5[[#This Row],[공격성공횟수]])</f>
        <v>0.11764705882352941</v>
      </c>
    </row>
    <row r="1832" spans="1:8" x14ac:dyDescent="0.4">
      <c r="A1832">
        <v>916</v>
      </c>
      <c r="B1832" t="s">
        <v>0</v>
      </c>
      <c r="C1832">
        <v>0</v>
      </c>
      <c r="D1832">
        <v>3</v>
      </c>
      <c r="E1832">
        <v>7</v>
      </c>
      <c r="F1832">
        <v>4</v>
      </c>
      <c r="G1832">
        <v>1</v>
      </c>
      <c r="H1832">
        <f>표5[[#This Row],[공격성공횟수]]/(표5[[#This Row],[공격실패횟수]]+표5[[#This Row],[공격성공횟수]])</f>
        <v>0.3</v>
      </c>
    </row>
    <row r="1833" spans="1:8" hidden="1" x14ac:dyDescent="0.4">
      <c r="A1833">
        <v>916</v>
      </c>
      <c r="B1833" t="s">
        <v>1</v>
      </c>
      <c r="C1833">
        <v>1</v>
      </c>
      <c r="D1833">
        <v>4</v>
      </c>
      <c r="E1833">
        <v>7</v>
      </c>
      <c r="F1833">
        <v>3</v>
      </c>
      <c r="G1833">
        <v>0</v>
      </c>
      <c r="H1833">
        <f>표5[[#This Row],[공격성공횟수]]/(표5[[#This Row],[공격실패횟수]]+표5[[#This Row],[공격성공횟수]])</f>
        <v>0.36363636363636365</v>
      </c>
    </row>
    <row r="1834" spans="1:8" x14ac:dyDescent="0.4">
      <c r="A1834">
        <v>917</v>
      </c>
      <c r="B1834" t="s">
        <v>0</v>
      </c>
      <c r="C1834">
        <v>1</v>
      </c>
      <c r="D1834">
        <v>4</v>
      </c>
      <c r="E1834">
        <v>9</v>
      </c>
      <c r="F1834">
        <v>0</v>
      </c>
      <c r="G1834">
        <v>0</v>
      </c>
      <c r="H1834">
        <f>표5[[#This Row],[공격성공횟수]]/(표5[[#This Row],[공격실패횟수]]+표5[[#This Row],[공격성공횟수]])</f>
        <v>0.30769230769230771</v>
      </c>
    </row>
    <row r="1835" spans="1:8" hidden="1" x14ac:dyDescent="0.4">
      <c r="A1835">
        <v>917</v>
      </c>
      <c r="B1835" t="s">
        <v>1</v>
      </c>
      <c r="C1835">
        <v>0</v>
      </c>
      <c r="D1835">
        <v>0</v>
      </c>
      <c r="E1835">
        <v>12</v>
      </c>
      <c r="F1835">
        <v>4</v>
      </c>
      <c r="G1835">
        <v>1</v>
      </c>
      <c r="H1835">
        <f>표5[[#This Row],[공격성공횟수]]/(표5[[#This Row],[공격실패횟수]]+표5[[#This Row],[공격성공횟수]])</f>
        <v>0</v>
      </c>
    </row>
    <row r="1836" spans="1:8" x14ac:dyDescent="0.4">
      <c r="A1836">
        <v>918</v>
      </c>
      <c r="B1836" t="s">
        <v>0</v>
      </c>
      <c r="C1836">
        <v>1</v>
      </c>
      <c r="D1836">
        <v>4</v>
      </c>
      <c r="E1836">
        <v>7</v>
      </c>
      <c r="F1836">
        <v>2</v>
      </c>
      <c r="G1836">
        <v>0</v>
      </c>
      <c r="H1836">
        <f>표5[[#This Row],[공격성공횟수]]/(표5[[#This Row],[공격실패횟수]]+표5[[#This Row],[공격성공횟수]])</f>
        <v>0.36363636363636365</v>
      </c>
    </row>
    <row r="1837" spans="1:8" hidden="1" x14ac:dyDescent="0.4">
      <c r="A1837">
        <v>918</v>
      </c>
      <c r="B1837" t="s">
        <v>1</v>
      </c>
      <c r="C1837">
        <v>0</v>
      </c>
      <c r="D1837">
        <v>2</v>
      </c>
      <c r="E1837">
        <v>9</v>
      </c>
      <c r="F1837">
        <v>4</v>
      </c>
      <c r="G1837">
        <v>1</v>
      </c>
      <c r="H1837">
        <f>표5[[#This Row],[공격성공횟수]]/(표5[[#This Row],[공격실패횟수]]+표5[[#This Row],[공격성공횟수]])</f>
        <v>0.18181818181818182</v>
      </c>
    </row>
    <row r="1838" spans="1:8" x14ac:dyDescent="0.4">
      <c r="A1838">
        <v>919</v>
      </c>
      <c r="B1838" t="s">
        <v>0</v>
      </c>
      <c r="C1838">
        <v>1</v>
      </c>
      <c r="D1838">
        <v>4</v>
      </c>
      <c r="E1838">
        <v>9</v>
      </c>
      <c r="F1838">
        <v>0</v>
      </c>
      <c r="G1838">
        <v>0</v>
      </c>
      <c r="H1838">
        <f>표5[[#This Row],[공격성공횟수]]/(표5[[#This Row],[공격실패횟수]]+표5[[#This Row],[공격성공횟수]])</f>
        <v>0.30769230769230771</v>
      </c>
    </row>
    <row r="1839" spans="1:8" hidden="1" x14ac:dyDescent="0.4">
      <c r="A1839">
        <v>919</v>
      </c>
      <c r="B1839" t="s">
        <v>1</v>
      </c>
      <c r="C1839">
        <v>0</v>
      </c>
      <c r="D1839">
        <v>0</v>
      </c>
      <c r="E1839">
        <v>14</v>
      </c>
      <c r="F1839">
        <v>4</v>
      </c>
      <c r="G1839">
        <v>1</v>
      </c>
      <c r="H1839">
        <f>표5[[#This Row],[공격성공횟수]]/(표5[[#This Row],[공격실패횟수]]+표5[[#This Row],[공격성공횟수]])</f>
        <v>0</v>
      </c>
    </row>
    <row r="1840" spans="1:8" x14ac:dyDescent="0.4">
      <c r="A1840">
        <v>920</v>
      </c>
      <c r="B1840" t="s">
        <v>0</v>
      </c>
      <c r="C1840">
        <v>1</v>
      </c>
      <c r="D1840">
        <v>4</v>
      </c>
      <c r="E1840">
        <v>13</v>
      </c>
      <c r="F1840">
        <v>2</v>
      </c>
      <c r="G1840">
        <v>0</v>
      </c>
      <c r="H1840">
        <f>표5[[#This Row],[공격성공횟수]]/(표5[[#This Row],[공격실패횟수]]+표5[[#This Row],[공격성공횟수]])</f>
        <v>0.23529411764705882</v>
      </c>
    </row>
    <row r="1841" spans="1:8" hidden="1" x14ac:dyDescent="0.4">
      <c r="A1841">
        <v>920</v>
      </c>
      <c r="B1841" t="s">
        <v>1</v>
      </c>
      <c r="C1841">
        <v>0</v>
      </c>
      <c r="D1841">
        <v>2</v>
      </c>
      <c r="E1841">
        <v>14</v>
      </c>
      <c r="F1841">
        <v>4</v>
      </c>
      <c r="G1841">
        <v>1</v>
      </c>
      <c r="H1841">
        <f>표5[[#This Row],[공격성공횟수]]/(표5[[#This Row],[공격실패횟수]]+표5[[#This Row],[공격성공횟수]])</f>
        <v>0.125</v>
      </c>
    </row>
    <row r="1842" spans="1:8" x14ac:dyDescent="0.4">
      <c r="A1842">
        <v>921</v>
      </c>
      <c r="B1842" t="s">
        <v>0</v>
      </c>
      <c r="C1842">
        <v>1</v>
      </c>
      <c r="D1842">
        <v>4</v>
      </c>
      <c r="E1842">
        <v>6</v>
      </c>
      <c r="F1842">
        <v>0</v>
      </c>
      <c r="G1842">
        <v>0</v>
      </c>
      <c r="H1842">
        <f>표5[[#This Row],[공격성공횟수]]/(표5[[#This Row],[공격실패횟수]]+표5[[#This Row],[공격성공횟수]])</f>
        <v>0.4</v>
      </c>
    </row>
    <row r="1843" spans="1:8" hidden="1" x14ac:dyDescent="0.4">
      <c r="A1843">
        <v>921</v>
      </c>
      <c r="B1843" t="s">
        <v>1</v>
      </c>
      <c r="C1843">
        <v>0</v>
      </c>
      <c r="D1843">
        <v>0</v>
      </c>
      <c r="E1843">
        <v>11</v>
      </c>
      <c r="F1843">
        <v>4</v>
      </c>
      <c r="G1843">
        <v>1</v>
      </c>
      <c r="H1843">
        <f>표5[[#This Row],[공격성공횟수]]/(표5[[#This Row],[공격실패횟수]]+표5[[#This Row],[공격성공횟수]])</f>
        <v>0</v>
      </c>
    </row>
    <row r="1844" spans="1:8" x14ac:dyDescent="0.4">
      <c r="A1844">
        <v>922</v>
      </c>
      <c r="B1844" t="s">
        <v>0</v>
      </c>
      <c r="C1844">
        <v>1</v>
      </c>
      <c r="D1844">
        <v>4</v>
      </c>
      <c r="E1844">
        <v>12</v>
      </c>
      <c r="F1844">
        <v>0</v>
      </c>
      <c r="G1844">
        <v>0</v>
      </c>
      <c r="H1844">
        <f>표5[[#This Row],[공격성공횟수]]/(표5[[#This Row],[공격실패횟수]]+표5[[#This Row],[공격성공횟수]])</f>
        <v>0.25</v>
      </c>
    </row>
    <row r="1845" spans="1:8" hidden="1" x14ac:dyDescent="0.4">
      <c r="A1845">
        <v>922</v>
      </c>
      <c r="B1845" t="s">
        <v>1</v>
      </c>
      <c r="C1845">
        <v>0</v>
      </c>
      <c r="D1845">
        <v>0</v>
      </c>
      <c r="E1845">
        <v>17</v>
      </c>
      <c r="F1845">
        <v>4</v>
      </c>
      <c r="G1845">
        <v>1</v>
      </c>
      <c r="H1845">
        <f>표5[[#This Row],[공격성공횟수]]/(표5[[#This Row],[공격실패횟수]]+표5[[#This Row],[공격성공횟수]])</f>
        <v>0</v>
      </c>
    </row>
    <row r="1846" spans="1:8" x14ac:dyDescent="0.4">
      <c r="A1846">
        <v>923</v>
      </c>
      <c r="B1846" t="s">
        <v>0</v>
      </c>
      <c r="C1846">
        <v>1</v>
      </c>
      <c r="D1846">
        <v>4</v>
      </c>
      <c r="E1846">
        <v>15</v>
      </c>
      <c r="F1846">
        <v>0</v>
      </c>
      <c r="G1846">
        <v>0</v>
      </c>
      <c r="H1846">
        <f>표5[[#This Row],[공격성공횟수]]/(표5[[#This Row],[공격실패횟수]]+표5[[#This Row],[공격성공횟수]])</f>
        <v>0.21052631578947367</v>
      </c>
    </row>
    <row r="1847" spans="1:8" hidden="1" x14ac:dyDescent="0.4">
      <c r="A1847">
        <v>923</v>
      </c>
      <c r="B1847" t="s">
        <v>1</v>
      </c>
      <c r="C1847">
        <v>0</v>
      </c>
      <c r="D1847">
        <v>0</v>
      </c>
      <c r="E1847">
        <v>22</v>
      </c>
      <c r="F1847">
        <v>4</v>
      </c>
      <c r="G1847">
        <v>1</v>
      </c>
      <c r="H1847">
        <f>표5[[#This Row],[공격성공횟수]]/(표5[[#This Row],[공격실패횟수]]+표5[[#This Row],[공격성공횟수]])</f>
        <v>0</v>
      </c>
    </row>
    <row r="1848" spans="1:8" x14ac:dyDescent="0.4">
      <c r="A1848">
        <v>924</v>
      </c>
      <c r="B1848" t="s">
        <v>0</v>
      </c>
      <c r="C1848">
        <v>1</v>
      </c>
      <c r="D1848">
        <v>4</v>
      </c>
      <c r="E1848">
        <v>7</v>
      </c>
      <c r="F1848">
        <v>1</v>
      </c>
      <c r="G1848">
        <v>0</v>
      </c>
      <c r="H1848">
        <f>표5[[#This Row],[공격성공횟수]]/(표5[[#This Row],[공격실패횟수]]+표5[[#This Row],[공격성공횟수]])</f>
        <v>0.36363636363636365</v>
      </c>
    </row>
    <row r="1849" spans="1:8" hidden="1" x14ac:dyDescent="0.4">
      <c r="A1849">
        <v>924</v>
      </c>
      <c r="B1849" t="s">
        <v>1</v>
      </c>
      <c r="C1849">
        <v>0</v>
      </c>
      <c r="D1849">
        <v>1</v>
      </c>
      <c r="E1849">
        <v>9</v>
      </c>
      <c r="F1849">
        <v>4</v>
      </c>
      <c r="G1849">
        <v>1</v>
      </c>
      <c r="H1849">
        <f>표5[[#This Row],[공격성공횟수]]/(표5[[#This Row],[공격실패횟수]]+표5[[#This Row],[공격성공횟수]])</f>
        <v>0.1</v>
      </c>
    </row>
    <row r="1850" spans="1:8" x14ac:dyDescent="0.4">
      <c r="A1850">
        <v>925</v>
      </c>
      <c r="B1850" t="s">
        <v>0</v>
      </c>
      <c r="C1850">
        <v>0</v>
      </c>
      <c r="D1850">
        <v>2</v>
      </c>
      <c r="E1850">
        <v>11</v>
      </c>
      <c r="F1850">
        <v>4</v>
      </c>
      <c r="G1850">
        <v>1</v>
      </c>
      <c r="H1850">
        <f>표5[[#This Row],[공격성공횟수]]/(표5[[#This Row],[공격실패횟수]]+표5[[#This Row],[공격성공횟수]])</f>
        <v>0.15384615384615385</v>
      </c>
    </row>
    <row r="1851" spans="1:8" hidden="1" x14ac:dyDescent="0.4">
      <c r="A1851">
        <v>925</v>
      </c>
      <c r="B1851" t="s">
        <v>1</v>
      </c>
      <c r="C1851">
        <v>1</v>
      </c>
      <c r="D1851">
        <v>4</v>
      </c>
      <c r="E1851">
        <v>10</v>
      </c>
      <c r="F1851">
        <v>2</v>
      </c>
      <c r="G1851">
        <v>0</v>
      </c>
      <c r="H1851">
        <f>표5[[#This Row],[공격성공횟수]]/(표5[[#This Row],[공격실패횟수]]+표5[[#This Row],[공격성공횟수]])</f>
        <v>0.2857142857142857</v>
      </c>
    </row>
    <row r="1852" spans="1:8" x14ac:dyDescent="0.4">
      <c r="A1852">
        <v>926</v>
      </c>
      <c r="B1852" t="s">
        <v>0</v>
      </c>
      <c r="C1852">
        <v>1</v>
      </c>
      <c r="D1852">
        <v>4</v>
      </c>
      <c r="E1852">
        <v>7</v>
      </c>
      <c r="F1852">
        <v>1</v>
      </c>
      <c r="G1852">
        <v>0</v>
      </c>
      <c r="H1852">
        <f>표5[[#This Row],[공격성공횟수]]/(표5[[#This Row],[공격실패횟수]]+표5[[#This Row],[공격성공횟수]])</f>
        <v>0.36363636363636365</v>
      </c>
    </row>
    <row r="1853" spans="1:8" hidden="1" x14ac:dyDescent="0.4">
      <c r="A1853">
        <v>926</v>
      </c>
      <c r="B1853" t="s">
        <v>1</v>
      </c>
      <c r="C1853">
        <v>0</v>
      </c>
      <c r="D1853">
        <v>1</v>
      </c>
      <c r="E1853">
        <v>8</v>
      </c>
      <c r="F1853">
        <v>4</v>
      </c>
      <c r="G1853">
        <v>1</v>
      </c>
      <c r="H1853">
        <f>표5[[#This Row],[공격성공횟수]]/(표5[[#This Row],[공격실패횟수]]+표5[[#This Row],[공격성공횟수]])</f>
        <v>0.1111111111111111</v>
      </c>
    </row>
    <row r="1854" spans="1:8" x14ac:dyDescent="0.4">
      <c r="A1854">
        <v>927</v>
      </c>
      <c r="B1854" t="s">
        <v>0</v>
      </c>
      <c r="C1854">
        <v>0</v>
      </c>
      <c r="D1854">
        <v>3</v>
      </c>
      <c r="E1854">
        <v>27</v>
      </c>
      <c r="F1854">
        <v>4</v>
      </c>
      <c r="G1854">
        <v>1</v>
      </c>
      <c r="H1854">
        <f>표5[[#This Row],[공격성공횟수]]/(표5[[#This Row],[공격실패횟수]]+표5[[#This Row],[공격성공횟수]])</f>
        <v>0.1</v>
      </c>
    </row>
    <row r="1855" spans="1:8" hidden="1" x14ac:dyDescent="0.4">
      <c r="A1855">
        <v>927</v>
      </c>
      <c r="B1855" t="s">
        <v>1</v>
      </c>
      <c r="C1855">
        <v>1</v>
      </c>
      <c r="D1855">
        <v>4</v>
      </c>
      <c r="E1855">
        <v>27</v>
      </c>
      <c r="F1855">
        <v>3</v>
      </c>
      <c r="G1855">
        <v>0</v>
      </c>
      <c r="H1855">
        <f>표5[[#This Row],[공격성공횟수]]/(표5[[#This Row],[공격실패횟수]]+표5[[#This Row],[공격성공횟수]])</f>
        <v>0.12903225806451613</v>
      </c>
    </row>
    <row r="1856" spans="1:8" x14ac:dyDescent="0.4">
      <c r="A1856">
        <v>928</v>
      </c>
      <c r="B1856" t="s">
        <v>0</v>
      </c>
      <c r="C1856">
        <v>1</v>
      </c>
      <c r="D1856">
        <v>4</v>
      </c>
      <c r="E1856">
        <v>18</v>
      </c>
      <c r="F1856">
        <v>0</v>
      </c>
      <c r="G1856">
        <v>0</v>
      </c>
      <c r="H1856">
        <f>표5[[#This Row],[공격성공횟수]]/(표5[[#This Row],[공격실패횟수]]+표5[[#This Row],[공격성공횟수]])</f>
        <v>0.18181818181818182</v>
      </c>
    </row>
    <row r="1857" spans="1:8" hidden="1" x14ac:dyDescent="0.4">
      <c r="A1857">
        <v>928</v>
      </c>
      <c r="B1857" t="s">
        <v>1</v>
      </c>
      <c r="C1857">
        <v>0</v>
      </c>
      <c r="D1857">
        <v>0</v>
      </c>
      <c r="E1857">
        <v>20</v>
      </c>
      <c r="F1857">
        <v>4</v>
      </c>
      <c r="G1857">
        <v>1</v>
      </c>
      <c r="H1857">
        <f>표5[[#This Row],[공격성공횟수]]/(표5[[#This Row],[공격실패횟수]]+표5[[#This Row],[공격성공횟수]])</f>
        <v>0</v>
      </c>
    </row>
    <row r="1858" spans="1:8" x14ac:dyDescent="0.4">
      <c r="A1858">
        <v>929</v>
      </c>
      <c r="B1858" t="s">
        <v>0</v>
      </c>
      <c r="C1858">
        <v>1</v>
      </c>
      <c r="D1858">
        <v>4</v>
      </c>
      <c r="E1858">
        <v>6</v>
      </c>
      <c r="F1858">
        <v>0</v>
      </c>
      <c r="G1858">
        <v>0</v>
      </c>
      <c r="H1858">
        <f>표5[[#This Row],[공격성공횟수]]/(표5[[#This Row],[공격실패횟수]]+표5[[#This Row],[공격성공횟수]])</f>
        <v>0.4</v>
      </c>
    </row>
    <row r="1859" spans="1:8" hidden="1" x14ac:dyDescent="0.4">
      <c r="A1859">
        <v>929</v>
      </c>
      <c r="B1859" t="s">
        <v>1</v>
      </c>
      <c r="C1859">
        <v>0</v>
      </c>
      <c r="D1859">
        <v>0</v>
      </c>
      <c r="E1859">
        <v>10</v>
      </c>
      <c r="F1859">
        <v>4</v>
      </c>
      <c r="G1859">
        <v>1</v>
      </c>
      <c r="H1859">
        <f>표5[[#This Row],[공격성공횟수]]/(표5[[#This Row],[공격실패횟수]]+표5[[#This Row],[공격성공횟수]])</f>
        <v>0</v>
      </c>
    </row>
    <row r="1860" spans="1:8" x14ac:dyDescent="0.4">
      <c r="A1860">
        <v>930</v>
      </c>
      <c r="B1860" t="s">
        <v>0</v>
      </c>
      <c r="C1860">
        <v>1</v>
      </c>
      <c r="D1860">
        <v>4</v>
      </c>
      <c r="E1860">
        <v>12</v>
      </c>
      <c r="F1860">
        <v>2</v>
      </c>
      <c r="G1860">
        <v>0</v>
      </c>
      <c r="H1860">
        <f>표5[[#This Row],[공격성공횟수]]/(표5[[#This Row],[공격실패횟수]]+표5[[#This Row],[공격성공횟수]])</f>
        <v>0.25</v>
      </c>
    </row>
    <row r="1861" spans="1:8" hidden="1" x14ac:dyDescent="0.4">
      <c r="A1861">
        <v>930</v>
      </c>
      <c r="B1861" t="s">
        <v>1</v>
      </c>
      <c r="C1861">
        <v>0</v>
      </c>
      <c r="D1861">
        <v>2</v>
      </c>
      <c r="E1861">
        <v>13</v>
      </c>
      <c r="F1861">
        <v>4</v>
      </c>
      <c r="G1861">
        <v>1</v>
      </c>
      <c r="H1861">
        <f>표5[[#This Row],[공격성공횟수]]/(표5[[#This Row],[공격실패횟수]]+표5[[#This Row],[공격성공횟수]])</f>
        <v>0.13333333333333333</v>
      </c>
    </row>
    <row r="1862" spans="1:8" x14ac:dyDescent="0.4">
      <c r="A1862">
        <v>931</v>
      </c>
      <c r="B1862" t="s">
        <v>0</v>
      </c>
      <c r="C1862">
        <v>1</v>
      </c>
      <c r="D1862">
        <v>4</v>
      </c>
      <c r="E1862">
        <v>6</v>
      </c>
      <c r="F1862">
        <v>2</v>
      </c>
      <c r="G1862">
        <v>0</v>
      </c>
      <c r="H1862">
        <f>표5[[#This Row],[공격성공횟수]]/(표5[[#This Row],[공격실패횟수]]+표5[[#This Row],[공격성공횟수]])</f>
        <v>0.4</v>
      </c>
    </row>
    <row r="1863" spans="1:8" hidden="1" x14ac:dyDescent="0.4">
      <c r="A1863">
        <v>931</v>
      </c>
      <c r="B1863" t="s">
        <v>1</v>
      </c>
      <c r="C1863">
        <v>0</v>
      </c>
      <c r="D1863">
        <v>2</v>
      </c>
      <c r="E1863">
        <v>8</v>
      </c>
      <c r="F1863">
        <v>4</v>
      </c>
      <c r="G1863">
        <v>1</v>
      </c>
      <c r="H1863">
        <f>표5[[#This Row],[공격성공횟수]]/(표5[[#This Row],[공격실패횟수]]+표5[[#This Row],[공격성공횟수]])</f>
        <v>0.2</v>
      </c>
    </row>
    <row r="1864" spans="1:8" x14ac:dyDescent="0.4">
      <c r="A1864">
        <v>932</v>
      </c>
      <c r="B1864" t="s">
        <v>0</v>
      </c>
      <c r="C1864">
        <v>1</v>
      </c>
      <c r="D1864">
        <v>4</v>
      </c>
      <c r="E1864">
        <v>9</v>
      </c>
      <c r="F1864">
        <v>2</v>
      </c>
      <c r="G1864">
        <v>0</v>
      </c>
      <c r="H1864">
        <f>표5[[#This Row],[공격성공횟수]]/(표5[[#This Row],[공격실패횟수]]+표5[[#This Row],[공격성공횟수]])</f>
        <v>0.30769230769230771</v>
      </c>
    </row>
    <row r="1865" spans="1:8" hidden="1" x14ac:dyDescent="0.4">
      <c r="A1865">
        <v>932</v>
      </c>
      <c r="B1865" t="s">
        <v>1</v>
      </c>
      <c r="C1865">
        <v>0</v>
      </c>
      <c r="D1865">
        <v>2</v>
      </c>
      <c r="E1865">
        <v>11</v>
      </c>
      <c r="F1865">
        <v>4</v>
      </c>
      <c r="G1865">
        <v>1</v>
      </c>
      <c r="H1865">
        <f>표5[[#This Row],[공격성공횟수]]/(표5[[#This Row],[공격실패횟수]]+표5[[#This Row],[공격성공횟수]])</f>
        <v>0.15384615384615385</v>
      </c>
    </row>
    <row r="1866" spans="1:8" x14ac:dyDescent="0.4">
      <c r="A1866">
        <v>933</v>
      </c>
      <c r="B1866" t="s">
        <v>0</v>
      </c>
      <c r="C1866">
        <v>1</v>
      </c>
      <c r="D1866">
        <v>4</v>
      </c>
      <c r="E1866">
        <v>28</v>
      </c>
      <c r="F1866">
        <v>3</v>
      </c>
      <c r="G1866">
        <v>0</v>
      </c>
      <c r="H1866">
        <f>표5[[#This Row],[공격성공횟수]]/(표5[[#This Row],[공격실패횟수]]+표5[[#This Row],[공격성공횟수]])</f>
        <v>0.125</v>
      </c>
    </row>
    <row r="1867" spans="1:8" hidden="1" x14ac:dyDescent="0.4">
      <c r="A1867">
        <v>933</v>
      </c>
      <c r="B1867" t="s">
        <v>1</v>
      </c>
      <c r="C1867">
        <v>0</v>
      </c>
      <c r="D1867">
        <v>3</v>
      </c>
      <c r="E1867">
        <v>28</v>
      </c>
      <c r="F1867">
        <v>4</v>
      </c>
      <c r="G1867">
        <v>1</v>
      </c>
      <c r="H1867">
        <f>표5[[#This Row],[공격성공횟수]]/(표5[[#This Row],[공격실패횟수]]+표5[[#This Row],[공격성공횟수]])</f>
        <v>9.6774193548387094E-2</v>
      </c>
    </row>
    <row r="1868" spans="1:8" x14ac:dyDescent="0.4">
      <c r="A1868">
        <v>934</v>
      </c>
      <c r="B1868" t="s">
        <v>0</v>
      </c>
      <c r="C1868">
        <v>1</v>
      </c>
      <c r="D1868">
        <v>4</v>
      </c>
      <c r="E1868">
        <v>12</v>
      </c>
      <c r="F1868">
        <v>0</v>
      </c>
      <c r="G1868">
        <v>0</v>
      </c>
      <c r="H1868">
        <f>표5[[#This Row],[공격성공횟수]]/(표5[[#This Row],[공격실패횟수]]+표5[[#This Row],[공격성공횟수]])</f>
        <v>0.25</v>
      </c>
    </row>
    <row r="1869" spans="1:8" hidden="1" x14ac:dyDescent="0.4">
      <c r="A1869">
        <v>934</v>
      </c>
      <c r="B1869" t="s">
        <v>1</v>
      </c>
      <c r="C1869">
        <v>0</v>
      </c>
      <c r="D1869">
        <v>0</v>
      </c>
      <c r="E1869">
        <v>18</v>
      </c>
      <c r="F1869">
        <v>4</v>
      </c>
      <c r="G1869">
        <v>1</v>
      </c>
      <c r="H1869">
        <f>표5[[#This Row],[공격성공횟수]]/(표5[[#This Row],[공격실패횟수]]+표5[[#This Row],[공격성공횟수]])</f>
        <v>0</v>
      </c>
    </row>
    <row r="1870" spans="1:8" x14ac:dyDescent="0.4">
      <c r="A1870">
        <v>935</v>
      </c>
      <c r="B1870" t="s">
        <v>0</v>
      </c>
      <c r="C1870">
        <v>1</v>
      </c>
      <c r="D1870">
        <v>4</v>
      </c>
      <c r="E1870">
        <v>6</v>
      </c>
      <c r="F1870">
        <v>0</v>
      </c>
      <c r="G1870">
        <v>0</v>
      </c>
      <c r="H1870">
        <f>표5[[#This Row],[공격성공횟수]]/(표5[[#This Row],[공격실패횟수]]+표5[[#This Row],[공격성공횟수]])</f>
        <v>0.4</v>
      </c>
    </row>
    <row r="1871" spans="1:8" hidden="1" x14ac:dyDescent="0.4">
      <c r="A1871">
        <v>935</v>
      </c>
      <c r="B1871" t="s">
        <v>1</v>
      </c>
      <c r="C1871">
        <v>0</v>
      </c>
      <c r="D1871">
        <v>0</v>
      </c>
      <c r="E1871">
        <v>10</v>
      </c>
      <c r="F1871">
        <v>4</v>
      </c>
      <c r="G1871">
        <v>1</v>
      </c>
      <c r="H1871">
        <f>표5[[#This Row],[공격성공횟수]]/(표5[[#This Row],[공격실패횟수]]+표5[[#This Row],[공격성공횟수]])</f>
        <v>0</v>
      </c>
    </row>
    <row r="1872" spans="1:8" x14ac:dyDescent="0.4">
      <c r="A1872">
        <v>936</v>
      </c>
      <c r="B1872" t="s">
        <v>0</v>
      </c>
      <c r="C1872">
        <v>0</v>
      </c>
      <c r="D1872">
        <v>0</v>
      </c>
      <c r="E1872">
        <v>20</v>
      </c>
      <c r="F1872">
        <v>4</v>
      </c>
      <c r="G1872">
        <v>1</v>
      </c>
      <c r="H1872">
        <f>표5[[#This Row],[공격성공횟수]]/(표5[[#This Row],[공격실패횟수]]+표5[[#This Row],[공격성공횟수]])</f>
        <v>0</v>
      </c>
    </row>
    <row r="1873" spans="1:8" hidden="1" x14ac:dyDescent="0.4">
      <c r="A1873">
        <v>936</v>
      </c>
      <c r="B1873" t="s">
        <v>1</v>
      </c>
      <c r="C1873">
        <v>1</v>
      </c>
      <c r="D1873">
        <v>4</v>
      </c>
      <c r="E1873">
        <v>17</v>
      </c>
      <c r="F1873">
        <v>0</v>
      </c>
      <c r="G1873">
        <v>0</v>
      </c>
      <c r="H1873">
        <f>표5[[#This Row],[공격성공횟수]]/(표5[[#This Row],[공격실패횟수]]+표5[[#This Row],[공격성공횟수]])</f>
        <v>0.19047619047619047</v>
      </c>
    </row>
    <row r="1874" spans="1:8" x14ac:dyDescent="0.4">
      <c r="A1874">
        <v>937</v>
      </c>
      <c r="B1874" t="s">
        <v>0</v>
      </c>
      <c r="C1874">
        <v>1</v>
      </c>
      <c r="D1874">
        <v>4</v>
      </c>
      <c r="E1874">
        <v>13</v>
      </c>
      <c r="F1874">
        <v>0</v>
      </c>
      <c r="G1874">
        <v>0</v>
      </c>
      <c r="H1874">
        <f>표5[[#This Row],[공격성공횟수]]/(표5[[#This Row],[공격실패횟수]]+표5[[#This Row],[공격성공횟수]])</f>
        <v>0.23529411764705882</v>
      </c>
    </row>
    <row r="1875" spans="1:8" hidden="1" x14ac:dyDescent="0.4">
      <c r="A1875">
        <v>937</v>
      </c>
      <c r="B1875" t="s">
        <v>1</v>
      </c>
      <c r="C1875">
        <v>0</v>
      </c>
      <c r="D1875">
        <v>0</v>
      </c>
      <c r="E1875">
        <v>18</v>
      </c>
      <c r="F1875">
        <v>4</v>
      </c>
      <c r="G1875">
        <v>1</v>
      </c>
      <c r="H1875">
        <f>표5[[#This Row],[공격성공횟수]]/(표5[[#This Row],[공격실패횟수]]+표5[[#This Row],[공격성공횟수]])</f>
        <v>0</v>
      </c>
    </row>
    <row r="1876" spans="1:8" x14ac:dyDescent="0.4">
      <c r="A1876">
        <v>938</v>
      </c>
      <c r="B1876" t="s">
        <v>0</v>
      </c>
      <c r="C1876">
        <v>1</v>
      </c>
      <c r="D1876">
        <v>4</v>
      </c>
      <c r="E1876">
        <v>21</v>
      </c>
      <c r="F1876">
        <v>1</v>
      </c>
      <c r="G1876">
        <v>0</v>
      </c>
      <c r="H1876">
        <f>표5[[#This Row],[공격성공횟수]]/(표5[[#This Row],[공격실패횟수]]+표5[[#This Row],[공격성공횟수]])</f>
        <v>0.16</v>
      </c>
    </row>
    <row r="1877" spans="1:8" hidden="1" x14ac:dyDescent="0.4">
      <c r="A1877">
        <v>938</v>
      </c>
      <c r="B1877" t="s">
        <v>1</v>
      </c>
      <c r="C1877">
        <v>0</v>
      </c>
      <c r="D1877">
        <v>1</v>
      </c>
      <c r="E1877">
        <v>24</v>
      </c>
      <c r="F1877">
        <v>4</v>
      </c>
      <c r="G1877">
        <v>1</v>
      </c>
      <c r="H1877">
        <f>표5[[#This Row],[공격성공횟수]]/(표5[[#This Row],[공격실패횟수]]+표5[[#This Row],[공격성공횟수]])</f>
        <v>0.04</v>
      </c>
    </row>
    <row r="1878" spans="1:8" x14ac:dyDescent="0.4">
      <c r="A1878">
        <v>939</v>
      </c>
      <c r="B1878" t="s">
        <v>0</v>
      </c>
      <c r="C1878">
        <v>0</v>
      </c>
      <c r="D1878">
        <v>2</v>
      </c>
      <c r="E1878">
        <v>21</v>
      </c>
      <c r="F1878">
        <v>4</v>
      </c>
      <c r="G1878">
        <v>1</v>
      </c>
      <c r="H1878">
        <f>표5[[#This Row],[공격성공횟수]]/(표5[[#This Row],[공격실패횟수]]+표5[[#This Row],[공격성공횟수]])</f>
        <v>8.6956521739130432E-2</v>
      </c>
    </row>
    <row r="1879" spans="1:8" hidden="1" x14ac:dyDescent="0.4">
      <c r="A1879">
        <v>939</v>
      </c>
      <c r="B1879" t="s">
        <v>1</v>
      </c>
      <c r="C1879">
        <v>1</v>
      </c>
      <c r="D1879">
        <v>4</v>
      </c>
      <c r="E1879">
        <v>22</v>
      </c>
      <c r="F1879">
        <v>2</v>
      </c>
      <c r="G1879">
        <v>0</v>
      </c>
      <c r="H1879">
        <f>표5[[#This Row],[공격성공횟수]]/(표5[[#This Row],[공격실패횟수]]+표5[[#This Row],[공격성공횟수]])</f>
        <v>0.15384615384615385</v>
      </c>
    </row>
    <row r="1880" spans="1:8" x14ac:dyDescent="0.4">
      <c r="A1880">
        <v>940</v>
      </c>
      <c r="B1880" t="s">
        <v>0</v>
      </c>
      <c r="C1880">
        <v>1</v>
      </c>
      <c r="D1880">
        <v>4</v>
      </c>
      <c r="E1880">
        <v>7</v>
      </c>
      <c r="F1880">
        <v>0</v>
      </c>
      <c r="G1880">
        <v>0</v>
      </c>
      <c r="H1880">
        <f>표5[[#This Row],[공격성공횟수]]/(표5[[#This Row],[공격실패횟수]]+표5[[#This Row],[공격성공횟수]])</f>
        <v>0.36363636363636365</v>
      </c>
    </row>
    <row r="1881" spans="1:8" hidden="1" x14ac:dyDescent="0.4">
      <c r="A1881">
        <v>940</v>
      </c>
      <c r="B1881" t="s">
        <v>1</v>
      </c>
      <c r="C1881">
        <v>0</v>
      </c>
      <c r="D1881">
        <v>0</v>
      </c>
      <c r="E1881">
        <v>10</v>
      </c>
      <c r="F1881">
        <v>4</v>
      </c>
      <c r="G1881">
        <v>1</v>
      </c>
      <c r="H1881">
        <f>표5[[#This Row],[공격성공횟수]]/(표5[[#This Row],[공격실패횟수]]+표5[[#This Row],[공격성공횟수]])</f>
        <v>0</v>
      </c>
    </row>
    <row r="1882" spans="1:8" x14ac:dyDescent="0.4">
      <c r="A1882">
        <v>941</v>
      </c>
      <c r="B1882" t="s">
        <v>0</v>
      </c>
      <c r="C1882">
        <v>1</v>
      </c>
      <c r="D1882">
        <v>4</v>
      </c>
      <c r="E1882">
        <v>6</v>
      </c>
      <c r="F1882">
        <v>3</v>
      </c>
      <c r="G1882">
        <v>0</v>
      </c>
      <c r="H1882">
        <f>표5[[#This Row],[공격성공횟수]]/(표5[[#This Row],[공격실패횟수]]+표5[[#This Row],[공격성공횟수]])</f>
        <v>0.4</v>
      </c>
    </row>
    <row r="1883" spans="1:8" hidden="1" x14ac:dyDescent="0.4">
      <c r="A1883">
        <v>941</v>
      </c>
      <c r="B1883" t="s">
        <v>1</v>
      </c>
      <c r="C1883">
        <v>0</v>
      </c>
      <c r="D1883">
        <v>3</v>
      </c>
      <c r="E1883">
        <v>6</v>
      </c>
      <c r="F1883">
        <v>4</v>
      </c>
      <c r="G1883">
        <v>1</v>
      </c>
      <c r="H1883">
        <f>표5[[#This Row],[공격성공횟수]]/(표5[[#This Row],[공격실패횟수]]+표5[[#This Row],[공격성공횟수]])</f>
        <v>0.33333333333333331</v>
      </c>
    </row>
    <row r="1884" spans="1:8" x14ac:dyDescent="0.4">
      <c r="A1884">
        <v>942</v>
      </c>
      <c r="B1884" t="s">
        <v>0</v>
      </c>
      <c r="C1884">
        <v>1</v>
      </c>
      <c r="D1884">
        <v>4</v>
      </c>
      <c r="E1884">
        <v>8</v>
      </c>
      <c r="F1884">
        <v>1</v>
      </c>
      <c r="G1884">
        <v>0</v>
      </c>
      <c r="H1884">
        <f>표5[[#This Row],[공격성공횟수]]/(표5[[#This Row],[공격실패횟수]]+표5[[#This Row],[공격성공횟수]])</f>
        <v>0.33333333333333331</v>
      </c>
    </row>
    <row r="1885" spans="1:8" hidden="1" x14ac:dyDescent="0.4">
      <c r="A1885">
        <v>942</v>
      </c>
      <c r="B1885" t="s">
        <v>1</v>
      </c>
      <c r="C1885">
        <v>0</v>
      </c>
      <c r="D1885">
        <v>1</v>
      </c>
      <c r="E1885">
        <v>11</v>
      </c>
      <c r="F1885">
        <v>4</v>
      </c>
      <c r="G1885">
        <v>1</v>
      </c>
      <c r="H1885">
        <f>표5[[#This Row],[공격성공횟수]]/(표5[[#This Row],[공격실패횟수]]+표5[[#This Row],[공격성공횟수]])</f>
        <v>8.3333333333333329E-2</v>
      </c>
    </row>
    <row r="1886" spans="1:8" x14ac:dyDescent="0.4">
      <c r="A1886">
        <v>943</v>
      </c>
      <c r="B1886" t="s">
        <v>0</v>
      </c>
      <c r="C1886">
        <v>0</v>
      </c>
      <c r="D1886">
        <v>1</v>
      </c>
      <c r="E1886">
        <v>25</v>
      </c>
      <c r="F1886">
        <v>4</v>
      </c>
      <c r="G1886">
        <v>1</v>
      </c>
      <c r="H1886">
        <f>표5[[#This Row],[공격성공횟수]]/(표5[[#This Row],[공격실패횟수]]+표5[[#This Row],[공격성공횟수]])</f>
        <v>3.8461538461538464E-2</v>
      </c>
    </row>
    <row r="1887" spans="1:8" hidden="1" x14ac:dyDescent="0.4">
      <c r="A1887">
        <v>943</v>
      </c>
      <c r="B1887" t="s">
        <v>1</v>
      </c>
      <c r="C1887">
        <v>1</v>
      </c>
      <c r="D1887">
        <v>4</v>
      </c>
      <c r="E1887">
        <v>22</v>
      </c>
      <c r="F1887">
        <v>1</v>
      </c>
      <c r="G1887">
        <v>0</v>
      </c>
      <c r="H1887">
        <f>표5[[#This Row],[공격성공횟수]]/(표5[[#This Row],[공격실패횟수]]+표5[[#This Row],[공격성공횟수]])</f>
        <v>0.15384615384615385</v>
      </c>
    </row>
    <row r="1888" spans="1:8" x14ac:dyDescent="0.4">
      <c r="A1888">
        <v>944</v>
      </c>
      <c r="B1888" t="s">
        <v>0</v>
      </c>
      <c r="C1888">
        <v>1</v>
      </c>
      <c r="D1888">
        <v>4</v>
      </c>
      <c r="E1888">
        <v>6</v>
      </c>
      <c r="F1888">
        <v>1</v>
      </c>
      <c r="G1888">
        <v>0</v>
      </c>
      <c r="H1888">
        <f>표5[[#This Row],[공격성공횟수]]/(표5[[#This Row],[공격실패횟수]]+표5[[#This Row],[공격성공횟수]])</f>
        <v>0.4</v>
      </c>
    </row>
    <row r="1889" spans="1:8" hidden="1" x14ac:dyDescent="0.4">
      <c r="A1889">
        <v>944</v>
      </c>
      <c r="B1889" t="s">
        <v>1</v>
      </c>
      <c r="C1889">
        <v>0</v>
      </c>
      <c r="D1889">
        <v>1</v>
      </c>
      <c r="E1889">
        <v>8</v>
      </c>
      <c r="F1889">
        <v>4</v>
      </c>
      <c r="G1889">
        <v>1</v>
      </c>
      <c r="H1889">
        <f>표5[[#This Row],[공격성공횟수]]/(표5[[#This Row],[공격실패횟수]]+표5[[#This Row],[공격성공횟수]])</f>
        <v>0.1111111111111111</v>
      </c>
    </row>
    <row r="1890" spans="1:8" x14ac:dyDescent="0.4">
      <c r="A1890">
        <v>945</v>
      </c>
      <c r="B1890" t="s">
        <v>0</v>
      </c>
      <c r="C1890">
        <v>1</v>
      </c>
      <c r="D1890">
        <v>4</v>
      </c>
      <c r="E1890">
        <v>20</v>
      </c>
      <c r="F1890">
        <v>0</v>
      </c>
      <c r="G1890">
        <v>0</v>
      </c>
      <c r="H1890">
        <f>표5[[#This Row],[공격성공횟수]]/(표5[[#This Row],[공격실패횟수]]+표5[[#This Row],[공격성공횟수]])</f>
        <v>0.16666666666666666</v>
      </c>
    </row>
    <row r="1891" spans="1:8" hidden="1" x14ac:dyDescent="0.4">
      <c r="A1891">
        <v>945</v>
      </c>
      <c r="B1891" t="s">
        <v>1</v>
      </c>
      <c r="C1891">
        <v>0</v>
      </c>
      <c r="D1891">
        <v>0</v>
      </c>
      <c r="E1891">
        <v>27</v>
      </c>
      <c r="F1891">
        <v>4</v>
      </c>
      <c r="G1891">
        <v>1</v>
      </c>
      <c r="H1891">
        <f>표5[[#This Row],[공격성공횟수]]/(표5[[#This Row],[공격실패횟수]]+표5[[#This Row],[공격성공횟수]])</f>
        <v>0</v>
      </c>
    </row>
    <row r="1892" spans="1:8" x14ac:dyDescent="0.4">
      <c r="A1892">
        <v>946</v>
      </c>
      <c r="B1892" t="s">
        <v>0</v>
      </c>
      <c r="C1892">
        <v>1</v>
      </c>
      <c r="D1892">
        <v>4</v>
      </c>
      <c r="E1892">
        <v>7</v>
      </c>
      <c r="F1892">
        <v>1</v>
      </c>
      <c r="G1892">
        <v>0</v>
      </c>
      <c r="H1892">
        <f>표5[[#This Row],[공격성공횟수]]/(표5[[#This Row],[공격실패횟수]]+표5[[#This Row],[공격성공횟수]])</f>
        <v>0.36363636363636365</v>
      </c>
    </row>
    <row r="1893" spans="1:8" hidden="1" x14ac:dyDescent="0.4">
      <c r="A1893">
        <v>946</v>
      </c>
      <c r="B1893" t="s">
        <v>1</v>
      </c>
      <c r="C1893">
        <v>0</v>
      </c>
      <c r="D1893">
        <v>1</v>
      </c>
      <c r="E1893">
        <v>10</v>
      </c>
      <c r="F1893">
        <v>4</v>
      </c>
      <c r="G1893">
        <v>1</v>
      </c>
      <c r="H1893">
        <f>표5[[#This Row],[공격성공횟수]]/(표5[[#This Row],[공격실패횟수]]+표5[[#This Row],[공격성공횟수]])</f>
        <v>9.0909090909090912E-2</v>
      </c>
    </row>
    <row r="1894" spans="1:8" x14ac:dyDescent="0.4">
      <c r="A1894">
        <v>947</v>
      </c>
      <c r="B1894" t="s">
        <v>0</v>
      </c>
      <c r="C1894">
        <v>1</v>
      </c>
      <c r="D1894">
        <v>4</v>
      </c>
      <c r="E1894">
        <v>9</v>
      </c>
      <c r="F1894">
        <v>1</v>
      </c>
      <c r="G1894">
        <v>0</v>
      </c>
      <c r="H1894">
        <f>표5[[#This Row],[공격성공횟수]]/(표5[[#This Row],[공격실패횟수]]+표5[[#This Row],[공격성공횟수]])</f>
        <v>0.30769230769230771</v>
      </c>
    </row>
    <row r="1895" spans="1:8" hidden="1" x14ac:dyDescent="0.4">
      <c r="A1895">
        <v>947</v>
      </c>
      <c r="B1895" t="s">
        <v>1</v>
      </c>
      <c r="C1895">
        <v>0</v>
      </c>
      <c r="D1895">
        <v>1</v>
      </c>
      <c r="E1895">
        <v>12</v>
      </c>
      <c r="F1895">
        <v>4</v>
      </c>
      <c r="G1895">
        <v>1</v>
      </c>
      <c r="H1895">
        <f>표5[[#This Row],[공격성공횟수]]/(표5[[#This Row],[공격실패횟수]]+표5[[#This Row],[공격성공횟수]])</f>
        <v>7.6923076923076927E-2</v>
      </c>
    </row>
    <row r="1896" spans="1:8" x14ac:dyDescent="0.4">
      <c r="A1896">
        <v>948</v>
      </c>
      <c r="B1896" t="s">
        <v>0</v>
      </c>
      <c r="C1896">
        <v>1</v>
      </c>
      <c r="D1896">
        <v>4</v>
      </c>
      <c r="E1896">
        <v>15</v>
      </c>
      <c r="F1896">
        <v>3</v>
      </c>
      <c r="G1896">
        <v>0</v>
      </c>
      <c r="H1896">
        <f>표5[[#This Row],[공격성공횟수]]/(표5[[#This Row],[공격실패횟수]]+표5[[#This Row],[공격성공횟수]])</f>
        <v>0.21052631578947367</v>
      </c>
    </row>
    <row r="1897" spans="1:8" hidden="1" x14ac:dyDescent="0.4">
      <c r="A1897">
        <v>948</v>
      </c>
      <c r="B1897" t="s">
        <v>1</v>
      </c>
      <c r="C1897">
        <v>0</v>
      </c>
      <c r="D1897">
        <v>3</v>
      </c>
      <c r="E1897">
        <v>15</v>
      </c>
      <c r="F1897">
        <v>4</v>
      </c>
      <c r="G1897">
        <v>1</v>
      </c>
      <c r="H1897">
        <f>표5[[#This Row],[공격성공횟수]]/(표5[[#This Row],[공격실패횟수]]+표5[[#This Row],[공격성공횟수]])</f>
        <v>0.16666666666666666</v>
      </c>
    </row>
    <row r="1898" spans="1:8" x14ac:dyDescent="0.4">
      <c r="A1898">
        <v>949</v>
      </c>
      <c r="B1898" t="s">
        <v>0</v>
      </c>
      <c r="C1898">
        <v>0</v>
      </c>
      <c r="D1898">
        <v>1</v>
      </c>
      <c r="E1898">
        <v>22</v>
      </c>
      <c r="F1898">
        <v>4</v>
      </c>
      <c r="G1898">
        <v>1</v>
      </c>
      <c r="H1898">
        <f>표5[[#This Row],[공격성공횟수]]/(표5[[#This Row],[공격실패횟수]]+표5[[#This Row],[공격성공횟수]])</f>
        <v>4.3478260869565216E-2</v>
      </c>
    </row>
    <row r="1899" spans="1:8" hidden="1" x14ac:dyDescent="0.4">
      <c r="A1899">
        <v>949</v>
      </c>
      <c r="B1899" t="s">
        <v>1</v>
      </c>
      <c r="C1899">
        <v>1</v>
      </c>
      <c r="D1899">
        <v>4</v>
      </c>
      <c r="E1899">
        <v>20</v>
      </c>
      <c r="F1899">
        <v>1</v>
      </c>
      <c r="G1899">
        <v>0</v>
      </c>
      <c r="H1899">
        <f>표5[[#This Row],[공격성공횟수]]/(표5[[#This Row],[공격실패횟수]]+표5[[#This Row],[공격성공횟수]])</f>
        <v>0.16666666666666666</v>
      </c>
    </row>
    <row r="1900" spans="1:8" x14ac:dyDescent="0.4">
      <c r="A1900">
        <v>950</v>
      </c>
      <c r="B1900" t="s">
        <v>0</v>
      </c>
      <c r="C1900">
        <v>0</v>
      </c>
      <c r="D1900">
        <v>2</v>
      </c>
      <c r="E1900">
        <v>10</v>
      </c>
      <c r="F1900">
        <v>4</v>
      </c>
      <c r="G1900">
        <v>1</v>
      </c>
      <c r="H1900">
        <f>표5[[#This Row],[공격성공횟수]]/(표5[[#This Row],[공격실패횟수]]+표5[[#This Row],[공격성공횟수]])</f>
        <v>0.16666666666666666</v>
      </c>
    </row>
    <row r="1901" spans="1:8" hidden="1" x14ac:dyDescent="0.4">
      <c r="A1901">
        <v>950</v>
      </c>
      <c r="B1901" t="s">
        <v>1</v>
      </c>
      <c r="C1901">
        <v>1</v>
      </c>
      <c r="D1901">
        <v>4</v>
      </c>
      <c r="E1901">
        <v>7</v>
      </c>
      <c r="F1901">
        <v>2</v>
      </c>
      <c r="G1901">
        <v>0</v>
      </c>
      <c r="H1901">
        <f>표5[[#This Row],[공격성공횟수]]/(표5[[#This Row],[공격실패횟수]]+표5[[#This Row],[공격성공횟수]])</f>
        <v>0.36363636363636365</v>
      </c>
    </row>
    <row r="1902" spans="1:8" x14ac:dyDescent="0.4">
      <c r="A1902">
        <v>951</v>
      </c>
      <c r="B1902" t="s">
        <v>0</v>
      </c>
      <c r="C1902">
        <v>1</v>
      </c>
      <c r="D1902">
        <v>4</v>
      </c>
      <c r="E1902">
        <v>8</v>
      </c>
      <c r="F1902">
        <v>0</v>
      </c>
      <c r="G1902">
        <v>0</v>
      </c>
      <c r="H1902">
        <f>표5[[#This Row],[공격성공횟수]]/(표5[[#This Row],[공격실패횟수]]+표5[[#This Row],[공격성공횟수]])</f>
        <v>0.33333333333333331</v>
      </c>
    </row>
    <row r="1903" spans="1:8" hidden="1" x14ac:dyDescent="0.4">
      <c r="A1903">
        <v>951</v>
      </c>
      <c r="B1903" t="s">
        <v>1</v>
      </c>
      <c r="C1903">
        <v>0</v>
      </c>
      <c r="D1903">
        <v>0</v>
      </c>
      <c r="E1903">
        <v>12</v>
      </c>
      <c r="F1903">
        <v>4</v>
      </c>
      <c r="G1903">
        <v>1</v>
      </c>
      <c r="H1903">
        <f>표5[[#This Row],[공격성공횟수]]/(표5[[#This Row],[공격실패횟수]]+표5[[#This Row],[공격성공횟수]])</f>
        <v>0</v>
      </c>
    </row>
    <row r="1904" spans="1:8" x14ac:dyDescent="0.4">
      <c r="A1904">
        <v>952</v>
      </c>
      <c r="B1904" t="s">
        <v>0</v>
      </c>
      <c r="C1904">
        <v>1</v>
      </c>
      <c r="D1904">
        <v>4</v>
      </c>
      <c r="E1904">
        <v>11</v>
      </c>
      <c r="F1904">
        <v>0</v>
      </c>
      <c r="G1904">
        <v>0</v>
      </c>
      <c r="H1904">
        <f>표5[[#This Row],[공격성공횟수]]/(표5[[#This Row],[공격실패횟수]]+표5[[#This Row],[공격성공횟수]])</f>
        <v>0.26666666666666666</v>
      </c>
    </row>
    <row r="1905" spans="1:8" hidden="1" x14ac:dyDescent="0.4">
      <c r="A1905">
        <v>952</v>
      </c>
      <c r="B1905" t="s">
        <v>1</v>
      </c>
      <c r="C1905">
        <v>0</v>
      </c>
      <c r="D1905">
        <v>0</v>
      </c>
      <c r="E1905">
        <v>14</v>
      </c>
      <c r="F1905">
        <v>4</v>
      </c>
      <c r="G1905">
        <v>1</v>
      </c>
      <c r="H1905">
        <f>표5[[#This Row],[공격성공횟수]]/(표5[[#This Row],[공격실패횟수]]+표5[[#This Row],[공격성공횟수]])</f>
        <v>0</v>
      </c>
    </row>
    <row r="1906" spans="1:8" x14ac:dyDescent="0.4">
      <c r="A1906">
        <v>953</v>
      </c>
      <c r="B1906" t="s">
        <v>0</v>
      </c>
      <c r="C1906">
        <v>1</v>
      </c>
      <c r="D1906">
        <v>4</v>
      </c>
      <c r="E1906">
        <v>34</v>
      </c>
      <c r="F1906">
        <v>2</v>
      </c>
      <c r="G1906">
        <v>0</v>
      </c>
      <c r="H1906">
        <f>표5[[#This Row],[공격성공횟수]]/(표5[[#This Row],[공격실패횟수]]+표5[[#This Row],[공격성공횟수]])</f>
        <v>0.10526315789473684</v>
      </c>
    </row>
    <row r="1907" spans="1:8" hidden="1" x14ac:dyDescent="0.4">
      <c r="A1907">
        <v>953</v>
      </c>
      <c r="B1907" t="s">
        <v>1</v>
      </c>
      <c r="C1907">
        <v>0</v>
      </c>
      <c r="D1907">
        <v>2</v>
      </c>
      <c r="E1907">
        <v>35</v>
      </c>
      <c r="F1907">
        <v>4</v>
      </c>
      <c r="G1907">
        <v>1</v>
      </c>
      <c r="H1907">
        <f>표5[[#This Row],[공격성공횟수]]/(표5[[#This Row],[공격실패횟수]]+표5[[#This Row],[공격성공횟수]])</f>
        <v>5.4054054054054057E-2</v>
      </c>
    </row>
    <row r="1908" spans="1:8" x14ac:dyDescent="0.4">
      <c r="A1908">
        <v>954</v>
      </c>
      <c r="B1908" t="s">
        <v>0</v>
      </c>
      <c r="C1908">
        <v>1</v>
      </c>
      <c r="D1908">
        <v>4</v>
      </c>
      <c r="E1908">
        <v>5</v>
      </c>
      <c r="F1908">
        <v>0</v>
      </c>
      <c r="G1908">
        <v>0</v>
      </c>
      <c r="H1908">
        <f>표5[[#This Row],[공격성공횟수]]/(표5[[#This Row],[공격실패횟수]]+표5[[#This Row],[공격성공횟수]])</f>
        <v>0.44444444444444442</v>
      </c>
    </row>
    <row r="1909" spans="1:8" hidden="1" x14ac:dyDescent="0.4">
      <c r="A1909">
        <v>954</v>
      </c>
      <c r="B1909" t="s">
        <v>1</v>
      </c>
      <c r="C1909">
        <v>0</v>
      </c>
      <c r="D1909">
        <v>0</v>
      </c>
      <c r="E1909">
        <v>8</v>
      </c>
      <c r="F1909">
        <v>4</v>
      </c>
      <c r="G1909">
        <v>1</v>
      </c>
      <c r="H1909">
        <f>표5[[#This Row],[공격성공횟수]]/(표5[[#This Row],[공격실패횟수]]+표5[[#This Row],[공격성공횟수]])</f>
        <v>0</v>
      </c>
    </row>
    <row r="1910" spans="1:8" x14ac:dyDescent="0.4">
      <c r="A1910">
        <v>955</v>
      </c>
      <c r="B1910" t="s">
        <v>0</v>
      </c>
      <c r="C1910">
        <v>1</v>
      </c>
      <c r="D1910">
        <v>4</v>
      </c>
      <c r="E1910">
        <v>4</v>
      </c>
      <c r="F1910">
        <v>1</v>
      </c>
      <c r="G1910">
        <v>0</v>
      </c>
      <c r="H1910">
        <f>표5[[#This Row],[공격성공횟수]]/(표5[[#This Row],[공격실패횟수]]+표5[[#This Row],[공격성공횟수]])</f>
        <v>0.5</v>
      </c>
    </row>
    <row r="1911" spans="1:8" hidden="1" x14ac:dyDescent="0.4">
      <c r="A1911">
        <v>955</v>
      </c>
      <c r="B1911" t="s">
        <v>1</v>
      </c>
      <c r="C1911">
        <v>0</v>
      </c>
      <c r="D1911">
        <v>1</v>
      </c>
      <c r="E1911">
        <v>7</v>
      </c>
      <c r="F1911">
        <v>4</v>
      </c>
      <c r="G1911">
        <v>1</v>
      </c>
      <c r="H1911">
        <f>표5[[#This Row],[공격성공횟수]]/(표5[[#This Row],[공격실패횟수]]+표5[[#This Row],[공격성공횟수]])</f>
        <v>0.125</v>
      </c>
    </row>
    <row r="1912" spans="1:8" x14ac:dyDescent="0.4">
      <c r="A1912">
        <v>956</v>
      </c>
      <c r="B1912" t="s">
        <v>0</v>
      </c>
      <c r="C1912">
        <v>1</v>
      </c>
      <c r="D1912">
        <v>4</v>
      </c>
      <c r="E1912">
        <v>16</v>
      </c>
      <c r="F1912">
        <v>0</v>
      </c>
      <c r="G1912">
        <v>0</v>
      </c>
      <c r="H1912">
        <f>표5[[#This Row],[공격성공횟수]]/(표5[[#This Row],[공격실패횟수]]+표5[[#This Row],[공격성공횟수]])</f>
        <v>0.2</v>
      </c>
    </row>
    <row r="1913" spans="1:8" hidden="1" x14ac:dyDescent="0.4">
      <c r="A1913">
        <v>956</v>
      </c>
      <c r="B1913" t="s">
        <v>1</v>
      </c>
      <c r="C1913">
        <v>0</v>
      </c>
      <c r="D1913">
        <v>0</v>
      </c>
      <c r="E1913">
        <v>25</v>
      </c>
      <c r="F1913">
        <v>4</v>
      </c>
      <c r="G1913">
        <v>1</v>
      </c>
      <c r="H1913">
        <f>표5[[#This Row],[공격성공횟수]]/(표5[[#This Row],[공격실패횟수]]+표5[[#This Row],[공격성공횟수]])</f>
        <v>0</v>
      </c>
    </row>
    <row r="1914" spans="1:8" x14ac:dyDescent="0.4">
      <c r="A1914">
        <v>957</v>
      </c>
      <c r="B1914" t="s">
        <v>0</v>
      </c>
      <c r="C1914">
        <v>0</v>
      </c>
      <c r="D1914">
        <v>2</v>
      </c>
      <c r="E1914">
        <v>18</v>
      </c>
      <c r="F1914">
        <v>4</v>
      </c>
      <c r="G1914">
        <v>1</v>
      </c>
      <c r="H1914">
        <f>표5[[#This Row],[공격성공횟수]]/(표5[[#This Row],[공격실패횟수]]+표5[[#This Row],[공격성공횟수]])</f>
        <v>0.1</v>
      </c>
    </row>
    <row r="1915" spans="1:8" hidden="1" x14ac:dyDescent="0.4">
      <c r="A1915">
        <v>957</v>
      </c>
      <c r="B1915" t="s">
        <v>1</v>
      </c>
      <c r="C1915">
        <v>1</v>
      </c>
      <c r="D1915">
        <v>4</v>
      </c>
      <c r="E1915">
        <v>17</v>
      </c>
      <c r="F1915">
        <v>2</v>
      </c>
      <c r="G1915">
        <v>0</v>
      </c>
      <c r="H1915">
        <f>표5[[#This Row],[공격성공횟수]]/(표5[[#This Row],[공격실패횟수]]+표5[[#This Row],[공격성공횟수]])</f>
        <v>0.19047619047619047</v>
      </c>
    </row>
    <row r="1916" spans="1:8" x14ac:dyDescent="0.4">
      <c r="A1916">
        <v>958</v>
      </c>
      <c r="B1916" t="s">
        <v>0</v>
      </c>
      <c r="C1916">
        <v>1</v>
      </c>
      <c r="D1916">
        <v>4</v>
      </c>
      <c r="E1916">
        <v>6</v>
      </c>
      <c r="F1916">
        <v>0</v>
      </c>
      <c r="G1916">
        <v>0</v>
      </c>
      <c r="H1916">
        <f>표5[[#This Row],[공격성공횟수]]/(표5[[#This Row],[공격실패횟수]]+표5[[#This Row],[공격성공횟수]])</f>
        <v>0.4</v>
      </c>
    </row>
    <row r="1917" spans="1:8" hidden="1" x14ac:dyDescent="0.4">
      <c r="A1917">
        <v>958</v>
      </c>
      <c r="B1917" t="s">
        <v>1</v>
      </c>
      <c r="C1917">
        <v>0</v>
      </c>
      <c r="D1917">
        <v>0</v>
      </c>
      <c r="E1917">
        <v>12</v>
      </c>
      <c r="F1917">
        <v>4</v>
      </c>
      <c r="G1917">
        <v>1</v>
      </c>
      <c r="H1917">
        <f>표5[[#This Row],[공격성공횟수]]/(표5[[#This Row],[공격실패횟수]]+표5[[#This Row],[공격성공횟수]])</f>
        <v>0</v>
      </c>
    </row>
    <row r="1918" spans="1:8" x14ac:dyDescent="0.4">
      <c r="A1918">
        <v>959</v>
      </c>
      <c r="B1918" t="s">
        <v>0</v>
      </c>
      <c r="C1918">
        <v>1</v>
      </c>
      <c r="D1918">
        <v>4</v>
      </c>
      <c r="E1918">
        <v>28</v>
      </c>
      <c r="F1918">
        <v>1</v>
      </c>
      <c r="G1918">
        <v>0</v>
      </c>
      <c r="H1918">
        <f>표5[[#This Row],[공격성공횟수]]/(표5[[#This Row],[공격실패횟수]]+표5[[#This Row],[공격성공횟수]])</f>
        <v>0.125</v>
      </c>
    </row>
    <row r="1919" spans="1:8" hidden="1" x14ac:dyDescent="0.4">
      <c r="A1919">
        <v>959</v>
      </c>
      <c r="B1919" t="s">
        <v>1</v>
      </c>
      <c r="C1919">
        <v>0</v>
      </c>
      <c r="D1919">
        <v>1</v>
      </c>
      <c r="E1919">
        <v>31</v>
      </c>
      <c r="F1919">
        <v>4</v>
      </c>
      <c r="G1919">
        <v>1</v>
      </c>
      <c r="H1919">
        <f>표5[[#This Row],[공격성공횟수]]/(표5[[#This Row],[공격실패횟수]]+표5[[#This Row],[공격성공횟수]])</f>
        <v>3.125E-2</v>
      </c>
    </row>
    <row r="1920" spans="1:8" x14ac:dyDescent="0.4">
      <c r="A1920">
        <v>960</v>
      </c>
      <c r="B1920" t="s">
        <v>0</v>
      </c>
      <c r="C1920">
        <v>1</v>
      </c>
      <c r="D1920">
        <v>4</v>
      </c>
      <c r="E1920">
        <v>13</v>
      </c>
      <c r="F1920">
        <v>3</v>
      </c>
      <c r="G1920">
        <v>0</v>
      </c>
      <c r="H1920">
        <f>표5[[#This Row],[공격성공횟수]]/(표5[[#This Row],[공격실패횟수]]+표5[[#This Row],[공격성공횟수]])</f>
        <v>0.23529411764705882</v>
      </c>
    </row>
    <row r="1921" spans="1:8" hidden="1" x14ac:dyDescent="0.4">
      <c r="A1921">
        <v>960</v>
      </c>
      <c r="B1921" t="s">
        <v>1</v>
      </c>
      <c r="C1921">
        <v>0</v>
      </c>
      <c r="D1921">
        <v>3</v>
      </c>
      <c r="E1921">
        <v>14</v>
      </c>
      <c r="F1921">
        <v>4</v>
      </c>
      <c r="G1921">
        <v>1</v>
      </c>
      <c r="H1921">
        <f>표5[[#This Row],[공격성공횟수]]/(표5[[#This Row],[공격실패횟수]]+표5[[#This Row],[공격성공횟수]])</f>
        <v>0.17647058823529413</v>
      </c>
    </row>
    <row r="1922" spans="1:8" x14ac:dyDescent="0.4">
      <c r="A1922">
        <v>961</v>
      </c>
      <c r="B1922" t="s">
        <v>0</v>
      </c>
      <c r="C1922">
        <v>1</v>
      </c>
      <c r="D1922">
        <v>4</v>
      </c>
      <c r="E1922">
        <v>11</v>
      </c>
      <c r="F1922">
        <v>1</v>
      </c>
      <c r="G1922">
        <v>0</v>
      </c>
      <c r="H1922">
        <f>표5[[#This Row],[공격성공횟수]]/(표5[[#This Row],[공격실패횟수]]+표5[[#This Row],[공격성공횟수]])</f>
        <v>0.26666666666666666</v>
      </c>
    </row>
    <row r="1923" spans="1:8" hidden="1" x14ac:dyDescent="0.4">
      <c r="A1923">
        <v>961</v>
      </c>
      <c r="B1923" t="s">
        <v>1</v>
      </c>
      <c r="C1923">
        <v>0</v>
      </c>
      <c r="D1923">
        <v>1</v>
      </c>
      <c r="E1923">
        <v>13</v>
      </c>
      <c r="F1923">
        <v>4</v>
      </c>
      <c r="G1923">
        <v>1</v>
      </c>
      <c r="H1923">
        <f>표5[[#This Row],[공격성공횟수]]/(표5[[#This Row],[공격실패횟수]]+표5[[#This Row],[공격성공횟수]])</f>
        <v>7.1428571428571425E-2</v>
      </c>
    </row>
    <row r="1924" spans="1:8" x14ac:dyDescent="0.4">
      <c r="A1924">
        <v>962</v>
      </c>
      <c r="B1924" t="s">
        <v>0</v>
      </c>
      <c r="C1924">
        <v>1</v>
      </c>
      <c r="D1924">
        <v>4</v>
      </c>
      <c r="E1924">
        <v>7</v>
      </c>
      <c r="F1924">
        <v>1</v>
      </c>
      <c r="G1924">
        <v>0</v>
      </c>
      <c r="H1924">
        <f>표5[[#This Row],[공격성공횟수]]/(표5[[#This Row],[공격실패횟수]]+표5[[#This Row],[공격성공횟수]])</f>
        <v>0.36363636363636365</v>
      </c>
    </row>
    <row r="1925" spans="1:8" hidden="1" x14ac:dyDescent="0.4">
      <c r="A1925">
        <v>962</v>
      </c>
      <c r="B1925" t="s">
        <v>1</v>
      </c>
      <c r="C1925">
        <v>0</v>
      </c>
      <c r="D1925">
        <v>1</v>
      </c>
      <c r="E1925">
        <v>11</v>
      </c>
      <c r="F1925">
        <v>4</v>
      </c>
      <c r="G1925">
        <v>1</v>
      </c>
      <c r="H1925">
        <f>표5[[#This Row],[공격성공횟수]]/(표5[[#This Row],[공격실패횟수]]+표5[[#This Row],[공격성공횟수]])</f>
        <v>8.3333333333333329E-2</v>
      </c>
    </row>
    <row r="1926" spans="1:8" x14ac:dyDescent="0.4">
      <c r="A1926">
        <v>963</v>
      </c>
      <c r="B1926" t="s">
        <v>0</v>
      </c>
      <c r="C1926">
        <v>1</v>
      </c>
      <c r="D1926">
        <v>4</v>
      </c>
      <c r="E1926">
        <v>7</v>
      </c>
      <c r="F1926">
        <v>2</v>
      </c>
      <c r="G1926">
        <v>0</v>
      </c>
      <c r="H1926">
        <f>표5[[#This Row],[공격성공횟수]]/(표5[[#This Row],[공격실패횟수]]+표5[[#This Row],[공격성공횟수]])</f>
        <v>0.36363636363636365</v>
      </c>
    </row>
    <row r="1927" spans="1:8" hidden="1" x14ac:dyDescent="0.4">
      <c r="A1927">
        <v>963</v>
      </c>
      <c r="B1927" t="s">
        <v>1</v>
      </c>
      <c r="C1927">
        <v>0</v>
      </c>
      <c r="D1927">
        <v>2</v>
      </c>
      <c r="E1927">
        <v>9</v>
      </c>
      <c r="F1927">
        <v>4</v>
      </c>
      <c r="G1927">
        <v>1</v>
      </c>
      <c r="H1927">
        <f>표5[[#This Row],[공격성공횟수]]/(표5[[#This Row],[공격실패횟수]]+표5[[#This Row],[공격성공횟수]])</f>
        <v>0.18181818181818182</v>
      </c>
    </row>
    <row r="1928" spans="1:8" x14ac:dyDescent="0.4">
      <c r="A1928">
        <v>964</v>
      </c>
      <c r="B1928" t="s">
        <v>0</v>
      </c>
      <c r="C1928">
        <v>1</v>
      </c>
      <c r="D1928">
        <v>4</v>
      </c>
      <c r="E1928">
        <v>7</v>
      </c>
      <c r="F1928">
        <v>1</v>
      </c>
      <c r="G1928">
        <v>0</v>
      </c>
      <c r="H1928">
        <f>표5[[#This Row],[공격성공횟수]]/(표5[[#This Row],[공격실패횟수]]+표5[[#This Row],[공격성공횟수]])</f>
        <v>0.36363636363636365</v>
      </c>
    </row>
    <row r="1929" spans="1:8" hidden="1" x14ac:dyDescent="0.4">
      <c r="A1929">
        <v>964</v>
      </c>
      <c r="B1929" t="s">
        <v>1</v>
      </c>
      <c r="C1929">
        <v>0</v>
      </c>
      <c r="D1929">
        <v>1</v>
      </c>
      <c r="E1929">
        <v>10</v>
      </c>
      <c r="F1929">
        <v>4</v>
      </c>
      <c r="G1929">
        <v>1</v>
      </c>
      <c r="H1929">
        <f>표5[[#This Row],[공격성공횟수]]/(표5[[#This Row],[공격실패횟수]]+표5[[#This Row],[공격성공횟수]])</f>
        <v>9.0909090909090912E-2</v>
      </c>
    </row>
    <row r="1930" spans="1:8" x14ac:dyDescent="0.4">
      <c r="A1930">
        <v>965</v>
      </c>
      <c r="B1930" t="s">
        <v>0</v>
      </c>
      <c r="C1930">
        <v>1</v>
      </c>
      <c r="D1930">
        <v>4</v>
      </c>
      <c r="E1930">
        <v>10</v>
      </c>
      <c r="F1930">
        <v>0</v>
      </c>
      <c r="G1930">
        <v>0</v>
      </c>
      <c r="H1930">
        <f>표5[[#This Row],[공격성공횟수]]/(표5[[#This Row],[공격실패횟수]]+표5[[#This Row],[공격성공횟수]])</f>
        <v>0.2857142857142857</v>
      </c>
    </row>
    <row r="1931" spans="1:8" hidden="1" x14ac:dyDescent="0.4">
      <c r="A1931">
        <v>965</v>
      </c>
      <c r="B1931" t="s">
        <v>1</v>
      </c>
      <c r="C1931">
        <v>0</v>
      </c>
      <c r="D1931">
        <v>0</v>
      </c>
      <c r="E1931">
        <v>15</v>
      </c>
      <c r="F1931">
        <v>4</v>
      </c>
      <c r="G1931">
        <v>1</v>
      </c>
      <c r="H1931">
        <f>표5[[#This Row],[공격성공횟수]]/(표5[[#This Row],[공격실패횟수]]+표5[[#This Row],[공격성공횟수]])</f>
        <v>0</v>
      </c>
    </row>
    <row r="1932" spans="1:8" x14ac:dyDescent="0.4">
      <c r="A1932">
        <v>966</v>
      </c>
      <c r="B1932" t="s">
        <v>0</v>
      </c>
      <c r="C1932">
        <v>1</v>
      </c>
      <c r="D1932">
        <v>4</v>
      </c>
      <c r="E1932">
        <v>11</v>
      </c>
      <c r="F1932">
        <v>0</v>
      </c>
      <c r="G1932">
        <v>0</v>
      </c>
      <c r="H1932">
        <f>표5[[#This Row],[공격성공횟수]]/(표5[[#This Row],[공격실패횟수]]+표5[[#This Row],[공격성공횟수]])</f>
        <v>0.26666666666666666</v>
      </c>
    </row>
    <row r="1933" spans="1:8" hidden="1" x14ac:dyDescent="0.4">
      <c r="A1933">
        <v>966</v>
      </c>
      <c r="B1933" t="s">
        <v>1</v>
      </c>
      <c r="C1933">
        <v>0</v>
      </c>
      <c r="D1933">
        <v>0</v>
      </c>
      <c r="E1933">
        <v>15</v>
      </c>
      <c r="F1933">
        <v>4</v>
      </c>
      <c r="G1933">
        <v>1</v>
      </c>
      <c r="H1933">
        <f>표5[[#This Row],[공격성공횟수]]/(표5[[#This Row],[공격실패횟수]]+표5[[#This Row],[공격성공횟수]])</f>
        <v>0</v>
      </c>
    </row>
    <row r="1934" spans="1:8" x14ac:dyDescent="0.4">
      <c r="A1934">
        <v>967</v>
      </c>
      <c r="B1934" t="s">
        <v>0</v>
      </c>
      <c r="C1934">
        <v>1</v>
      </c>
      <c r="D1934">
        <v>4</v>
      </c>
      <c r="E1934">
        <v>8</v>
      </c>
      <c r="F1934">
        <v>0</v>
      </c>
      <c r="G1934">
        <v>0</v>
      </c>
      <c r="H1934">
        <f>표5[[#This Row],[공격성공횟수]]/(표5[[#This Row],[공격실패횟수]]+표5[[#This Row],[공격성공횟수]])</f>
        <v>0.33333333333333331</v>
      </c>
    </row>
    <row r="1935" spans="1:8" hidden="1" x14ac:dyDescent="0.4">
      <c r="A1935">
        <v>967</v>
      </c>
      <c r="B1935" t="s">
        <v>1</v>
      </c>
      <c r="C1935">
        <v>0</v>
      </c>
      <c r="D1935">
        <v>0</v>
      </c>
      <c r="E1935">
        <v>11</v>
      </c>
      <c r="F1935">
        <v>4</v>
      </c>
      <c r="G1935">
        <v>1</v>
      </c>
      <c r="H1935">
        <f>표5[[#This Row],[공격성공횟수]]/(표5[[#This Row],[공격실패횟수]]+표5[[#This Row],[공격성공횟수]])</f>
        <v>0</v>
      </c>
    </row>
    <row r="1936" spans="1:8" x14ac:dyDescent="0.4">
      <c r="A1936">
        <v>968</v>
      </c>
      <c r="B1936" t="s">
        <v>0</v>
      </c>
      <c r="C1936">
        <v>1</v>
      </c>
      <c r="D1936">
        <v>4</v>
      </c>
      <c r="E1936">
        <v>5</v>
      </c>
      <c r="F1936">
        <v>0</v>
      </c>
      <c r="G1936">
        <v>0</v>
      </c>
      <c r="H1936">
        <f>표5[[#This Row],[공격성공횟수]]/(표5[[#This Row],[공격실패횟수]]+표5[[#This Row],[공격성공횟수]])</f>
        <v>0.44444444444444442</v>
      </c>
    </row>
    <row r="1937" spans="1:8" hidden="1" x14ac:dyDescent="0.4">
      <c r="A1937">
        <v>968</v>
      </c>
      <c r="B1937" t="s">
        <v>1</v>
      </c>
      <c r="C1937">
        <v>0</v>
      </c>
      <c r="D1937">
        <v>0</v>
      </c>
      <c r="E1937">
        <v>9</v>
      </c>
      <c r="F1937">
        <v>4</v>
      </c>
      <c r="G1937">
        <v>1</v>
      </c>
      <c r="H1937">
        <f>표5[[#This Row],[공격성공횟수]]/(표5[[#This Row],[공격실패횟수]]+표5[[#This Row],[공격성공횟수]])</f>
        <v>0</v>
      </c>
    </row>
    <row r="1938" spans="1:8" x14ac:dyDescent="0.4">
      <c r="A1938">
        <v>969</v>
      </c>
      <c r="B1938" t="s">
        <v>0</v>
      </c>
      <c r="C1938">
        <v>1</v>
      </c>
      <c r="D1938">
        <v>4</v>
      </c>
      <c r="E1938">
        <v>17</v>
      </c>
      <c r="F1938">
        <v>3</v>
      </c>
      <c r="G1938">
        <v>0</v>
      </c>
      <c r="H1938">
        <f>표5[[#This Row],[공격성공횟수]]/(표5[[#This Row],[공격실패횟수]]+표5[[#This Row],[공격성공횟수]])</f>
        <v>0.19047619047619047</v>
      </c>
    </row>
    <row r="1939" spans="1:8" hidden="1" x14ac:dyDescent="0.4">
      <c r="A1939">
        <v>969</v>
      </c>
      <c r="B1939" t="s">
        <v>1</v>
      </c>
      <c r="C1939">
        <v>0</v>
      </c>
      <c r="D1939">
        <v>3</v>
      </c>
      <c r="E1939">
        <v>18</v>
      </c>
      <c r="F1939">
        <v>4</v>
      </c>
      <c r="G1939">
        <v>1</v>
      </c>
      <c r="H1939">
        <f>표5[[#This Row],[공격성공횟수]]/(표5[[#This Row],[공격실패횟수]]+표5[[#This Row],[공격성공횟수]])</f>
        <v>0.14285714285714285</v>
      </c>
    </row>
    <row r="1940" spans="1:8" x14ac:dyDescent="0.4">
      <c r="A1940">
        <v>970</v>
      </c>
      <c r="B1940" t="s">
        <v>0</v>
      </c>
      <c r="C1940">
        <v>1</v>
      </c>
      <c r="D1940">
        <v>4</v>
      </c>
      <c r="E1940">
        <v>9</v>
      </c>
      <c r="F1940">
        <v>2</v>
      </c>
      <c r="G1940">
        <v>0</v>
      </c>
      <c r="H1940">
        <f>표5[[#This Row],[공격성공횟수]]/(표5[[#This Row],[공격실패횟수]]+표5[[#This Row],[공격성공횟수]])</f>
        <v>0.30769230769230771</v>
      </c>
    </row>
    <row r="1941" spans="1:8" hidden="1" x14ac:dyDescent="0.4">
      <c r="A1941">
        <v>970</v>
      </c>
      <c r="B1941" t="s">
        <v>1</v>
      </c>
      <c r="C1941">
        <v>0</v>
      </c>
      <c r="D1941">
        <v>2</v>
      </c>
      <c r="E1941">
        <v>14</v>
      </c>
      <c r="F1941">
        <v>4</v>
      </c>
      <c r="G1941">
        <v>1</v>
      </c>
      <c r="H1941">
        <f>표5[[#This Row],[공격성공횟수]]/(표5[[#This Row],[공격실패횟수]]+표5[[#This Row],[공격성공횟수]])</f>
        <v>0.125</v>
      </c>
    </row>
    <row r="1942" spans="1:8" x14ac:dyDescent="0.4">
      <c r="A1942">
        <v>971</v>
      </c>
      <c r="B1942" t="s">
        <v>0</v>
      </c>
      <c r="C1942">
        <v>1</v>
      </c>
      <c r="D1942">
        <v>4</v>
      </c>
      <c r="E1942">
        <v>38</v>
      </c>
      <c r="F1942">
        <v>2</v>
      </c>
      <c r="G1942">
        <v>0</v>
      </c>
      <c r="H1942">
        <f>표5[[#This Row],[공격성공횟수]]/(표5[[#This Row],[공격실패횟수]]+표5[[#This Row],[공격성공횟수]])</f>
        <v>9.5238095238095233E-2</v>
      </c>
    </row>
    <row r="1943" spans="1:8" hidden="1" x14ac:dyDescent="0.4">
      <c r="A1943">
        <v>971</v>
      </c>
      <c r="B1943" t="s">
        <v>1</v>
      </c>
      <c r="C1943">
        <v>0</v>
      </c>
      <c r="D1943">
        <v>2</v>
      </c>
      <c r="E1943">
        <v>40</v>
      </c>
      <c r="F1943">
        <v>4</v>
      </c>
      <c r="G1943">
        <v>1</v>
      </c>
      <c r="H1943">
        <f>표5[[#This Row],[공격성공횟수]]/(표5[[#This Row],[공격실패횟수]]+표5[[#This Row],[공격성공횟수]])</f>
        <v>4.7619047619047616E-2</v>
      </c>
    </row>
    <row r="1944" spans="1:8" x14ac:dyDescent="0.4">
      <c r="A1944">
        <v>972</v>
      </c>
      <c r="B1944" t="s">
        <v>0</v>
      </c>
      <c r="C1944">
        <v>1</v>
      </c>
      <c r="D1944">
        <v>4</v>
      </c>
      <c r="E1944">
        <v>19</v>
      </c>
      <c r="F1944">
        <v>0</v>
      </c>
      <c r="G1944">
        <v>0</v>
      </c>
      <c r="H1944">
        <f>표5[[#This Row],[공격성공횟수]]/(표5[[#This Row],[공격실패횟수]]+표5[[#This Row],[공격성공횟수]])</f>
        <v>0.17391304347826086</v>
      </c>
    </row>
    <row r="1945" spans="1:8" hidden="1" x14ac:dyDescent="0.4">
      <c r="A1945">
        <v>972</v>
      </c>
      <c r="B1945" t="s">
        <v>1</v>
      </c>
      <c r="C1945">
        <v>0</v>
      </c>
      <c r="D1945">
        <v>0</v>
      </c>
      <c r="E1945">
        <v>22</v>
      </c>
      <c r="F1945">
        <v>4</v>
      </c>
      <c r="G1945">
        <v>1</v>
      </c>
      <c r="H1945">
        <f>표5[[#This Row],[공격성공횟수]]/(표5[[#This Row],[공격실패횟수]]+표5[[#This Row],[공격성공횟수]])</f>
        <v>0</v>
      </c>
    </row>
    <row r="1946" spans="1:8" x14ac:dyDescent="0.4">
      <c r="A1946">
        <v>973</v>
      </c>
      <c r="B1946" t="s">
        <v>0</v>
      </c>
      <c r="C1946">
        <v>1</v>
      </c>
      <c r="D1946">
        <v>4</v>
      </c>
      <c r="E1946">
        <v>14</v>
      </c>
      <c r="F1946">
        <v>0</v>
      </c>
      <c r="G1946">
        <v>0</v>
      </c>
      <c r="H1946">
        <f>표5[[#This Row],[공격성공횟수]]/(표5[[#This Row],[공격실패횟수]]+표5[[#This Row],[공격성공횟수]])</f>
        <v>0.22222222222222221</v>
      </c>
    </row>
    <row r="1947" spans="1:8" hidden="1" x14ac:dyDescent="0.4">
      <c r="A1947">
        <v>973</v>
      </c>
      <c r="B1947" t="s">
        <v>1</v>
      </c>
      <c r="C1947">
        <v>0</v>
      </c>
      <c r="D1947">
        <v>0</v>
      </c>
      <c r="E1947">
        <v>18</v>
      </c>
      <c r="F1947">
        <v>4</v>
      </c>
      <c r="G1947">
        <v>1</v>
      </c>
      <c r="H1947">
        <f>표5[[#This Row],[공격성공횟수]]/(표5[[#This Row],[공격실패횟수]]+표5[[#This Row],[공격성공횟수]])</f>
        <v>0</v>
      </c>
    </row>
    <row r="1948" spans="1:8" x14ac:dyDescent="0.4">
      <c r="A1948">
        <v>974</v>
      </c>
      <c r="B1948" t="s">
        <v>0</v>
      </c>
      <c r="C1948">
        <v>1</v>
      </c>
      <c r="D1948">
        <v>4</v>
      </c>
      <c r="E1948">
        <v>4</v>
      </c>
      <c r="F1948">
        <v>0</v>
      </c>
      <c r="G1948">
        <v>0</v>
      </c>
      <c r="H1948">
        <f>표5[[#This Row],[공격성공횟수]]/(표5[[#This Row],[공격실패횟수]]+표5[[#This Row],[공격성공횟수]])</f>
        <v>0.5</v>
      </c>
    </row>
    <row r="1949" spans="1:8" hidden="1" x14ac:dyDescent="0.4">
      <c r="A1949">
        <v>974</v>
      </c>
      <c r="B1949" t="s">
        <v>1</v>
      </c>
      <c r="C1949">
        <v>0</v>
      </c>
      <c r="D1949">
        <v>0</v>
      </c>
      <c r="E1949">
        <v>9</v>
      </c>
      <c r="F1949">
        <v>4</v>
      </c>
      <c r="G1949">
        <v>1</v>
      </c>
      <c r="H1949">
        <f>표5[[#This Row],[공격성공횟수]]/(표5[[#This Row],[공격실패횟수]]+표5[[#This Row],[공격성공횟수]])</f>
        <v>0</v>
      </c>
    </row>
    <row r="1950" spans="1:8" x14ac:dyDescent="0.4">
      <c r="A1950">
        <v>975</v>
      </c>
      <c r="B1950" t="s">
        <v>0</v>
      </c>
      <c r="C1950">
        <v>0</v>
      </c>
      <c r="D1950">
        <v>0</v>
      </c>
      <c r="E1950">
        <v>31</v>
      </c>
      <c r="F1950">
        <v>4</v>
      </c>
      <c r="G1950">
        <v>1</v>
      </c>
      <c r="H1950">
        <f>표5[[#This Row],[공격성공횟수]]/(표5[[#This Row],[공격실패횟수]]+표5[[#This Row],[공격성공횟수]])</f>
        <v>0</v>
      </c>
    </row>
    <row r="1951" spans="1:8" hidden="1" x14ac:dyDescent="0.4">
      <c r="A1951">
        <v>975</v>
      </c>
      <c r="B1951" t="s">
        <v>1</v>
      </c>
      <c r="C1951">
        <v>1</v>
      </c>
      <c r="D1951">
        <v>4</v>
      </c>
      <c r="E1951">
        <v>27</v>
      </c>
      <c r="F1951">
        <v>0</v>
      </c>
      <c r="G1951">
        <v>0</v>
      </c>
      <c r="H1951">
        <f>표5[[#This Row],[공격성공횟수]]/(표5[[#This Row],[공격실패횟수]]+표5[[#This Row],[공격성공횟수]])</f>
        <v>0.12903225806451613</v>
      </c>
    </row>
    <row r="1952" spans="1:8" x14ac:dyDescent="0.4">
      <c r="A1952">
        <v>976</v>
      </c>
      <c r="B1952" t="s">
        <v>0</v>
      </c>
      <c r="C1952">
        <v>1</v>
      </c>
      <c r="D1952">
        <v>4</v>
      </c>
      <c r="E1952">
        <v>36</v>
      </c>
      <c r="F1952">
        <v>3</v>
      </c>
      <c r="G1952">
        <v>0</v>
      </c>
      <c r="H1952">
        <f>표5[[#This Row],[공격성공횟수]]/(표5[[#This Row],[공격실패횟수]]+표5[[#This Row],[공격성공횟수]])</f>
        <v>0.1</v>
      </c>
    </row>
    <row r="1953" spans="1:8" hidden="1" x14ac:dyDescent="0.4">
      <c r="A1953">
        <v>976</v>
      </c>
      <c r="B1953" t="s">
        <v>1</v>
      </c>
      <c r="C1953">
        <v>0</v>
      </c>
      <c r="D1953">
        <v>3</v>
      </c>
      <c r="E1953">
        <v>39</v>
      </c>
      <c r="F1953">
        <v>4</v>
      </c>
      <c r="G1953">
        <v>1</v>
      </c>
      <c r="H1953">
        <f>표5[[#This Row],[공격성공횟수]]/(표5[[#This Row],[공격실패횟수]]+표5[[#This Row],[공격성공횟수]])</f>
        <v>7.1428571428571425E-2</v>
      </c>
    </row>
    <row r="1954" spans="1:8" x14ac:dyDescent="0.4">
      <c r="A1954">
        <v>977</v>
      </c>
      <c r="B1954" t="s">
        <v>0</v>
      </c>
      <c r="C1954">
        <v>1</v>
      </c>
      <c r="D1954">
        <v>4</v>
      </c>
      <c r="E1954">
        <v>14</v>
      </c>
      <c r="F1954">
        <v>0</v>
      </c>
      <c r="G1954">
        <v>0</v>
      </c>
      <c r="H1954">
        <f>표5[[#This Row],[공격성공횟수]]/(표5[[#This Row],[공격실패횟수]]+표5[[#This Row],[공격성공횟수]])</f>
        <v>0.22222222222222221</v>
      </c>
    </row>
    <row r="1955" spans="1:8" hidden="1" x14ac:dyDescent="0.4">
      <c r="A1955">
        <v>977</v>
      </c>
      <c r="B1955" t="s">
        <v>1</v>
      </c>
      <c r="C1955">
        <v>0</v>
      </c>
      <c r="D1955">
        <v>0</v>
      </c>
      <c r="E1955">
        <v>23</v>
      </c>
      <c r="F1955">
        <v>4</v>
      </c>
      <c r="G1955">
        <v>1</v>
      </c>
      <c r="H1955">
        <f>표5[[#This Row],[공격성공횟수]]/(표5[[#This Row],[공격실패횟수]]+표5[[#This Row],[공격성공횟수]])</f>
        <v>0</v>
      </c>
    </row>
    <row r="1956" spans="1:8" x14ac:dyDescent="0.4">
      <c r="A1956">
        <v>978</v>
      </c>
      <c r="B1956" t="s">
        <v>0</v>
      </c>
      <c r="C1956">
        <v>1</v>
      </c>
      <c r="D1956">
        <v>4</v>
      </c>
      <c r="E1956">
        <v>26</v>
      </c>
      <c r="F1956">
        <v>1</v>
      </c>
      <c r="G1956">
        <v>0</v>
      </c>
      <c r="H1956">
        <f>표5[[#This Row],[공격성공횟수]]/(표5[[#This Row],[공격실패횟수]]+표5[[#This Row],[공격성공횟수]])</f>
        <v>0.13333333333333333</v>
      </c>
    </row>
    <row r="1957" spans="1:8" hidden="1" x14ac:dyDescent="0.4">
      <c r="A1957">
        <v>978</v>
      </c>
      <c r="B1957" t="s">
        <v>1</v>
      </c>
      <c r="C1957">
        <v>0</v>
      </c>
      <c r="D1957">
        <v>1</v>
      </c>
      <c r="E1957">
        <v>36</v>
      </c>
      <c r="F1957">
        <v>4</v>
      </c>
      <c r="G1957">
        <v>1</v>
      </c>
      <c r="H1957">
        <f>표5[[#This Row],[공격성공횟수]]/(표5[[#This Row],[공격실패횟수]]+표5[[#This Row],[공격성공횟수]])</f>
        <v>2.7027027027027029E-2</v>
      </c>
    </row>
    <row r="1958" spans="1:8" x14ac:dyDescent="0.4">
      <c r="A1958">
        <v>979</v>
      </c>
      <c r="B1958" t="s">
        <v>0</v>
      </c>
      <c r="C1958">
        <v>1</v>
      </c>
      <c r="D1958">
        <v>4</v>
      </c>
      <c r="E1958">
        <v>15</v>
      </c>
      <c r="F1958">
        <v>2</v>
      </c>
      <c r="G1958">
        <v>0</v>
      </c>
      <c r="H1958">
        <f>표5[[#This Row],[공격성공횟수]]/(표5[[#This Row],[공격실패횟수]]+표5[[#This Row],[공격성공횟수]])</f>
        <v>0.21052631578947367</v>
      </c>
    </row>
    <row r="1959" spans="1:8" hidden="1" x14ac:dyDescent="0.4">
      <c r="A1959">
        <v>979</v>
      </c>
      <c r="B1959" t="s">
        <v>1</v>
      </c>
      <c r="C1959">
        <v>0</v>
      </c>
      <c r="D1959">
        <v>2</v>
      </c>
      <c r="E1959">
        <v>19</v>
      </c>
      <c r="F1959">
        <v>4</v>
      </c>
      <c r="G1959">
        <v>1</v>
      </c>
      <c r="H1959">
        <f>표5[[#This Row],[공격성공횟수]]/(표5[[#This Row],[공격실패횟수]]+표5[[#This Row],[공격성공횟수]])</f>
        <v>9.5238095238095233E-2</v>
      </c>
    </row>
    <row r="1960" spans="1:8" x14ac:dyDescent="0.4">
      <c r="A1960">
        <v>980</v>
      </c>
      <c r="B1960" t="s">
        <v>0</v>
      </c>
      <c r="C1960">
        <v>1</v>
      </c>
      <c r="D1960">
        <v>4</v>
      </c>
      <c r="E1960">
        <v>8</v>
      </c>
      <c r="F1960">
        <v>0</v>
      </c>
      <c r="G1960">
        <v>0</v>
      </c>
      <c r="H1960">
        <f>표5[[#This Row],[공격성공횟수]]/(표5[[#This Row],[공격실패횟수]]+표5[[#This Row],[공격성공횟수]])</f>
        <v>0.33333333333333331</v>
      </c>
    </row>
    <row r="1961" spans="1:8" hidden="1" x14ac:dyDescent="0.4">
      <c r="A1961">
        <v>980</v>
      </c>
      <c r="B1961" t="s">
        <v>1</v>
      </c>
      <c r="C1961">
        <v>0</v>
      </c>
      <c r="D1961">
        <v>0</v>
      </c>
      <c r="E1961">
        <v>12</v>
      </c>
      <c r="F1961">
        <v>4</v>
      </c>
      <c r="G1961">
        <v>1</v>
      </c>
      <c r="H1961">
        <f>표5[[#This Row],[공격성공횟수]]/(표5[[#This Row],[공격실패횟수]]+표5[[#This Row],[공격성공횟수]])</f>
        <v>0</v>
      </c>
    </row>
    <row r="1962" spans="1:8" x14ac:dyDescent="0.4">
      <c r="A1962">
        <v>981</v>
      </c>
      <c r="B1962" t="s">
        <v>0</v>
      </c>
      <c r="C1962">
        <v>1</v>
      </c>
      <c r="D1962">
        <v>4</v>
      </c>
      <c r="E1962">
        <v>4</v>
      </c>
      <c r="F1962">
        <v>1</v>
      </c>
      <c r="G1962">
        <v>0</v>
      </c>
      <c r="H1962">
        <f>표5[[#This Row],[공격성공횟수]]/(표5[[#This Row],[공격실패횟수]]+표5[[#This Row],[공격성공횟수]])</f>
        <v>0.5</v>
      </c>
    </row>
    <row r="1963" spans="1:8" hidden="1" x14ac:dyDescent="0.4">
      <c r="A1963">
        <v>981</v>
      </c>
      <c r="B1963" t="s">
        <v>1</v>
      </c>
      <c r="C1963">
        <v>0</v>
      </c>
      <c r="D1963">
        <v>1</v>
      </c>
      <c r="E1963">
        <v>7</v>
      </c>
      <c r="F1963">
        <v>4</v>
      </c>
      <c r="G1963">
        <v>1</v>
      </c>
      <c r="H1963">
        <f>표5[[#This Row],[공격성공횟수]]/(표5[[#This Row],[공격실패횟수]]+표5[[#This Row],[공격성공횟수]])</f>
        <v>0.125</v>
      </c>
    </row>
    <row r="1964" spans="1:8" x14ac:dyDescent="0.4">
      <c r="A1964">
        <v>982</v>
      </c>
      <c r="B1964" t="s">
        <v>0</v>
      </c>
      <c r="C1964">
        <v>1</v>
      </c>
      <c r="D1964">
        <v>4</v>
      </c>
      <c r="E1964">
        <v>6</v>
      </c>
      <c r="F1964">
        <v>0</v>
      </c>
      <c r="G1964">
        <v>0</v>
      </c>
      <c r="H1964">
        <f>표5[[#This Row],[공격성공횟수]]/(표5[[#This Row],[공격실패횟수]]+표5[[#This Row],[공격성공횟수]])</f>
        <v>0.4</v>
      </c>
    </row>
    <row r="1965" spans="1:8" hidden="1" x14ac:dyDescent="0.4">
      <c r="A1965">
        <v>982</v>
      </c>
      <c r="B1965" t="s">
        <v>1</v>
      </c>
      <c r="C1965">
        <v>0</v>
      </c>
      <c r="D1965">
        <v>0</v>
      </c>
      <c r="E1965">
        <v>10</v>
      </c>
      <c r="F1965">
        <v>4</v>
      </c>
      <c r="G1965">
        <v>1</v>
      </c>
      <c r="H1965">
        <f>표5[[#This Row],[공격성공횟수]]/(표5[[#This Row],[공격실패횟수]]+표5[[#This Row],[공격성공횟수]])</f>
        <v>0</v>
      </c>
    </row>
    <row r="1966" spans="1:8" x14ac:dyDescent="0.4">
      <c r="A1966">
        <v>983</v>
      </c>
      <c r="B1966" t="s">
        <v>0</v>
      </c>
      <c r="C1966">
        <v>1</v>
      </c>
      <c r="D1966">
        <v>4</v>
      </c>
      <c r="E1966">
        <v>12</v>
      </c>
      <c r="F1966">
        <v>2</v>
      </c>
      <c r="G1966">
        <v>0</v>
      </c>
      <c r="H1966">
        <f>표5[[#This Row],[공격성공횟수]]/(표5[[#This Row],[공격실패횟수]]+표5[[#This Row],[공격성공횟수]])</f>
        <v>0.25</v>
      </c>
    </row>
    <row r="1967" spans="1:8" hidden="1" x14ac:dyDescent="0.4">
      <c r="A1967">
        <v>983</v>
      </c>
      <c r="B1967" t="s">
        <v>1</v>
      </c>
      <c r="C1967">
        <v>0</v>
      </c>
      <c r="D1967">
        <v>2</v>
      </c>
      <c r="E1967">
        <v>14</v>
      </c>
      <c r="F1967">
        <v>4</v>
      </c>
      <c r="G1967">
        <v>1</v>
      </c>
      <c r="H1967">
        <f>표5[[#This Row],[공격성공횟수]]/(표5[[#This Row],[공격실패횟수]]+표5[[#This Row],[공격성공횟수]])</f>
        <v>0.125</v>
      </c>
    </row>
    <row r="1968" spans="1:8" x14ac:dyDescent="0.4">
      <c r="A1968">
        <v>984</v>
      </c>
      <c r="B1968" t="s">
        <v>0</v>
      </c>
      <c r="C1968">
        <v>1</v>
      </c>
      <c r="D1968">
        <v>4</v>
      </c>
      <c r="E1968">
        <v>20</v>
      </c>
      <c r="F1968">
        <v>1</v>
      </c>
      <c r="G1968">
        <v>0</v>
      </c>
      <c r="H1968">
        <f>표5[[#This Row],[공격성공횟수]]/(표5[[#This Row],[공격실패횟수]]+표5[[#This Row],[공격성공횟수]])</f>
        <v>0.16666666666666666</v>
      </c>
    </row>
    <row r="1969" spans="1:8" hidden="1" x14ac:dyDescent="0.4">
      <c r="A1969">
        <v>984</v>
      </c>
      <c r="B1969" t="s">
        <v>1</v>
      </c>
      <c r="C1969">
        <v>0</v>
      </c>
      <c r="D1969">
        <v>1</v>
      </c>
      <c r="E1969">
        <v>22</v>
      </c>
      <c r="F1969">
        <v>4</v>
      </c>
      <c r="G1969">
        <v>1</v>
      </c>
      <c r="H1969">
        <f>표5[[#This Row],[공격성공횟수]]/(표5[[#This Row],[공격실패횟수]]+표5[[#This Row],[공격성공횟수]])</f>
        <v>4.3478260869565216E-2</v>
      </c>
    </row>
    <row r="1970" spans="1:8" x14ac:dyDescent="0.4">
      <c r="A1970">
        <v>985</v>
      </c>
      <c r="B1970" t="s">
        <v>0</v>
      </c>
      <c r="C1970">
        <v>1</v>
      </c>
      <c r="D1970">
        <v>4</v>
      </c>
      <c r="E1970">
        <v>9</v>
      </c>
      <c r="F1970">
        <v>2</v>
      </c>
      <c r="G1970">
        <v>0</v>
      </c>
      <c r="H1970">
        <f>표5[[#This Row],[공격성공횟수]]/(표5[[#This Row],[공격실패횟수]]+표5[[#This Row],[공격성공횟수]])</f>
        <v>0.30769230769230771</v>
      </c>
    </row>
    <row r="1971" spans="1:8" hidden="1" x14ac:dyDescent="0.4">
      <c r="A1971">
        <v>985</v>
      </c>
      <c r="B1971" t="s">
        <v>1</v>
      </c>
      <c r="C1971">
        <v>0</v>
      </c>
      <c r="D1971">
        <v>2</v>
      </c>
      <c r="E1971">
        <v>11</v>
      </c>
      <c r="F1971">
        <v>4</v>
      </c>
      <c r="G1971">
        <v>1</v>
      </c>
      <c r="H1971">
        <f>표5[[#This Row],[공격성공횟수]]/(표5[[#This Row],[공격실패횟수]]+표5[[#This Row],[공격성공횟수]])</f>
        <v>0.15384615384615385</v>
      </c>
    </row>
    <row r="1972" spans="1:8" x14ac:dyDescent="0.4">
      <c r="A1972">
        <v>986</v>
      </c>
      <c r="B1972" t="s">
        <v>0</v>
      </c>
      <c r="C1972">
        <v>1</v>
      </c>
      <c r="D1972">
        <v>4</v>
      </c>
      <c r="E1972">
        <v>2</v>
      </c>
      <c r="F1972">
        <v>0</v>
      </c>
      <c r="G1972">
        <v>0</v>
      </c>
      <c r="H1972">
        <f>표5[[#This Row],[공격성공횟수]]/(표5[[#This Row],[공격실패횟수]]+표5[[#This Row],[공격성공횟수]])</f>
        <v>0.66666666666666663</v>
      </c>
    </row>
    <row r="1973" spans="1:8" hidden="1" x14ac:dyDescent="0.4">
      <c r="A1973">
        <v>986</v>
      </c>
      <c r="B1973" t="s">
        <v>1</v>
      </c>
      <c r="C1973">
        <v>0</v>
      </c>
      <c r="D1973">
        <v>0</v>
      </c>
      <c r="E1973">
        <v>6</v>
      </c>
      <c r="F1973">
        <v>4</v>
      </c>
      <c r="G1973">
        <v>1</v>
      </c>
      <c r="H1973">
        <f>표5[[#This Row],[공격성공횟수]]/(표5[[#This Row],[공격실패횟수]]+표5[[#This Row],[공격성공횟수]])</f>
        <v>0</v>
      </c>
    </row>
    <row r="1974" spans="1:8" x14ac:dyDescent="0.4">
      <c r="A1974">
        <v>987</v>
      </c>
      <c r="B1974" t="s">
        <v>0</v>
      </c>
      <c r="C1974">
        <v>0</v>
      </c>
      <c r="D1974">
        <v>0</v>
      </c>
      <c r="E1974">
        <v>25</v>
      </c>
      <c r="F1974">
        <v>4</v>
      </c>
      <c r="G1974">
        <v>1</v>
      </c>
      <c r="H1974">
        <f>표5[[#This Row],[공격성공횟수]]/(표5[[#This Row],[공격실패횟수]]+표5[[#This Row],[공격성공횟수]])</f>
        <v>0</v>
      </c>
    </row>
    <row r="1975" spans="1:8" hidden="1" x14ac:dyDescent="0.4">
      <c r="A1975">
        <v>987</v>
      </c>
      <c r="B1975" t="s">
        <v>1</v>
      </c>
      <c r="C1975">
        <v>1</v>
      </c>
      <c r="D1975">
        <v>4</v>
      </c>
      <c r="E1975">
        <v>22</v>
      </c>
      <c r="F1975">
        <v>0</v>
      </c>
      <c r="G1975">
        <v>0</v>
      </c>
      <c r="H1975">
        <f>표5[[#This Row],[공격성공횟수]]/(표5[[#This Row],[공격실패횟수]]+표5[[#This Row],[공격성공횟수]])</f>
        <v>0.15384615384615385</v>
      </c>
    </row>
    <row r="1976" spans="1:8" x14ac:dyDescent="0.4">
      <c r="A1976">
        <v>988</v>
      </c>
      <c r="B1976" t="s">
        <v>0</v>
      </c>
      <c r="C1976">
        <v>1</v>
      </c>
      <c r="D1976">
        <v>4</v>
      </c>
      <c r="E1976">
        <v>16</v>
      </c>
      <c r="F1976">
        <v>0</v>
      </c>
      <c r="G1976">
        <v>0</v>
      </c>
      <c r="H1976">
        <f>표5[[#This Row],[공격성공횟수]]/(표5[[#This Row],[공격실패횟수]]+표5[[#This Row],[공격성공횟수]])</f>
        <v>0.2</v>
      </c>
    </row>
    <row r="1977" spans="1:8" hidden="1" x14ac:dyDescent="0.4">
      <c r="A1977">
        <v>988</v>
      </c>
      <c r="B1977" t="s">
        <v>1</v>
      </c>
      <c r="C1977">
        <v>0</v>
      </c>
      <c r="D1977">
        <v>0</v>
      </c>
      <c r="E1977">
        <v>18</v>
      </c>
      <c r="F1977">
        <v>4</v>
      </c>
      <c r="G1977">
        <v>1</v>
      </c>
      <c r="H1977">
        <f>표5[[#This Row],[공격성공횟수]]/(표5[[#This Row],[공격실패횟수]]+표5[[#This Row],[공격성공횟수]])</f>
        <v>0</v>
      </c>
    </row>
    <row r="1978" spans="1:8" x14ac:dyDescent="0.4">
      <c r="A1978">
        <v>989</v>
      </c>
      <c r="B1978" t="s">
        <v>0</v>
      </c>
      <c r="C1978">
        <v>1</v>
      </c>
      <c r="D1978">
        <v>4</v>
      </c>
      <c r="E1978">
        <v>34</v>
      </c>
      <c r="F1978">
        <v>2</v>
      </c>
      <c r="G1978">
        <v>0</v>
      </c>
      <c r="H1978">
        <f>표5[[#This Row],[공격성공횟수]]/(표5[[#This Row],[공격실패횟수]]+표5[[#This Row],[공격성공횟수]])</f>
        <v>0.10526315789473684</v>
      </c>
    </row>
    <row r="1979" spans="1:8" hidden="1" x14ac:dyDescent="0.4">
      <c r="A1979">
        <v>989</v>
      </c>
      <c r="B1979" t="s">
        <v>1</v>
      </c>
      <c r="C1979">
        <v>0</v>
      </c>
      <c r="D1979">
        <v>2</v>
      </c>
      <c r="E1979">
        <v>36</v>
      </c>
      <c r="F1979">
        <v>4</v>
      </c>
      <c r="G1979">
        <v>1</v>
      </c>
      <c r="H1979">
        <f>표5[[#This Row],[공격성공횟수]]/(표5[[#This Row],[공격실패횟수]]+표5[[#This Row],[공격성공횟수]])</f>
        <v>5.2631578947368418E-2</v>
      </c>
    </row>
    <row r="1980" spans="1:8" x14ac:dyDescent="0.4">
      <c r="A1980">
        <v>990</v>
      </c>
      <c r="B1980" t="s">
        <v>0</v>
      </c>
      <c r="C1980">
        <v>1</v>
      </c>
      <c r="D1980">
        <v>4</v>
      </c>
      <c r="E1980">
        <v>16</v>
      </c>
      <c r="F1980">
        <v>2</v>
      </c>
      <c r="G1980">
        <v>0</v>
      </c>
      <c r="H1980">
        <f>표5[[#This Row],[공격성공횟수]]/(표5[[#This Row],[공격실패횟수]]+표5[[#This Row],[공격성공횟수]])</f>
        <v>0.2</v>
      </c>
    </row>
    <row r="1981" spans="1:8" hidden="1" x14ac:dyDescent="0.4">
      <c r="A1981">
        <v>990</v>
      </c>
      <c r="B1981" t="s">
        <v>1</v>
      </c>
      <c r="C1981">
        <v>0</v>
      </c>
      <c r="D1981">
        <v>2</v>
      </c>
      <c r="E1981">
        <v>17</v>
      </c>
      <c r="F1981">
        <v>4</v>
      </c>
      <c r="G1981">
        <v>1</v>
      </c>
      <c r="H1981">
        <f>표5[[#This Row],[공격성공횟수]]/(표5[[#This Row],[공격실패횟수]]+표5[[#This Row],[공격성공횟수]])</f>
        <v>0.10526315789473684</v>
      </c>
    </row>
    <row r="1982" spans="1:8" x14ac:dyDescent="0.4">
      <c r="A1982">
        <v>991</v>
      </c>
      <c r="B1982" t="s">
        <v>0</v>
      </c>
      <c r="C1982">
        <v>0</v>
      </c>
      <c r="D1982">
        <v>2</v>
      </c>
      <c r="E1982">
        <v>17</v>
      </c>
      <c r="F1982">
        <v>4</v>
      </c>
      <c r="G1982">
        <v>1</v>
      </c>
      <c r="H1982">
        <f>표5[[#This Row],[공격성공횟수]]/(표5[[#This Row],[공격실패횟수]]+표5[[#This Row],[공격성공횟수]])</f>
        <v>0.10526315789473684</v>
      </c>
    </row>
    <row r="1983" spans="1:8" hidden="1" x14ac:dyDescent="0.4">
      <c r="A1983">
        <v>991</v>
      </c>
      <c r="B1983" t="s">
        <v>1</v>
      </c>
      <c r="C1983">
        <v>1</v>
      </c>
      <c r="D1983">
        <v>4</v>
      </c>
      <c r="E1983">
        <v>16</v>
      </c>
      <c r="F1983">
        <v>2</v>
      </c>
      <c r="G1983">
        <v>0</v>
      </c>
      <c r="H1983">
        <f>표5[[#This Row],[공격성공횟수]]/(표5[[#This Row],[공격실패횟수]]+표5[[#This Row],[공격성공횟수]])</f>
        <v>0.2</v>
      </c>
    </row>
    <row r="1984" spans="1:8" x14ac:dyDescent="0.4">
      <c r="A1984">
        <v>992</v>
      </c>
      <c r="B1984" t="s">
        <v>0</v>
      </c>
      <c r="C1984">
        <v>1</v>
      </c>
      <c r="D1984">
        <v>4</v>
      </c>
      <c r="E1984">
        <v>14</v>
      </c>
      <c r="F1984">
        <v>2</v>
      </c>
      <c r="G1984">
        <v>0</v>
      </c>
      <c r="H1984">
        <f>표5[[#This Row],[공격성공횟수]]/(표5[[#This Row],[공격실패횟수]]+표5[[#This Row],[공격성공횟수]])</f>
        <v>0.22222222222222221</v>
      </c>
    </row>
    <row r="1985" spans="1:11" hidden="1" x14ac:dyDescent="0.4">
      <c r="A1985">
        <v>992</v>
      </c>
      <c r="B1985" t="s">
        <v>1</v>
      </c>
      <c r="C1985">
        <v>0</v>
      </c>
      <c r="D1985">
        <v>2</v>
      </c>
      <c r="E1985">
        <v>15</v>
      </c>
      <c r="F1985">
        <v>4</v>
      </c>
      <c r="G1985">
        <v>1</v>
      </c>
      <c r="H1985">
        <f>표5[[#This Row],[공격성공횟수]]/(표5[[#This Row],[공격실패횟수]]+표5[[#This Row],[공격성공횟수]])</f>
        <v>0.11764705882352941</v>
      </c>
    </row>
    <row r="1986" spans="1:11" x14ac:dyDescent="0.4">
      <c r="A1986">
        <v>993</v>
      </c>
      <c r="B1986" t="s">
        <v>0</v>
      </c>
      <c r="C1986">
        <v>1</v>
      </c>
      <c r="D1986">
        <v>4</v>
      </c>
      <c r="E1986">
        <v>16</v>
      </c>
      <c r="F1986">
        <v>0</v>
      </c>
      <c r="G1986">
        <v>0</v>
      </c>
      <c r="H1986">
        <f>표5[[#This Row],[공격성공횟수]]/(표5[[#This Row],[공격실패횟수]]+표5[[#This Row],[공격성공횟수]])</f>
        <v>0.2</v>
      </c>
    </row>
    <row r="1987" spans="1:11" hidden="1" x14ac:dyDescent="0.4">
      <c r="A1987">
        <v>993</v>
      </c>
      <c r="B1987" t="s">
        <v>1</v>
      </c>
      <c r="C1987">
        <v>0</v>
      </c>
      <c r="D1987">
        <v>0</v>
      </c>
      <c r="E1987">
        <v>24</v>
      </c>
      <c r="F1987">
        <v>4</v>
      </c>
      <c r="G1987">
        <v>1</v>
      </c>
      <c r="H1987">
        <f>표5[[#This Row],[공격성공횟수]]/(표5[[#This Row],[공격실패횟수]]+표5[[#This Row],[공격성공횟수]])</f>
        <v>0</v>
      </c>
    </row>
    <row r="1988" spans="1:11" x14ac:dyDescent="0.4">
      <c r="A1988">
        <v>994</v>
      </c>
      <c r="B1988" t="s">
        <v>0</v>
      </c>
      <c r="C1988">
        <v>1</v>
      </c>
      <c r="D1988">
        <v>4</v>
      </c>
      <c r="E1988">
        <v>22</v>
      </c>
      <c r="F1988">
        <v>0</v>
      </c>
      <c r="G1988">
        <v>0</v>
      </c>
      <c r="H1988">
        <f>표5[[#This Row],[공격성공횟수]]/(표5[[#This Row],[공격실패횟수]]+표5[[#This Row],[공격성공횟수]])</f>
        <v>0.15384615384615385</v>
      </c>
    </row>
    <row r="1989" spans="1:11" hidden="1" x14ac:dyDescent="0.4">
      <c r="A1989">
        <v>994</v>
      </c>
      <c r="B1989" t="s">
        <v>1</v>
      </c>
      <c r="C1989">
        <v>0</v>
      </c>
      <c r="D1989">
        <v>0</v>
      </c>
      <c r="E1989">
        <v>31</v>
      </c>
      <c r="F1989">
        <v>4</v>
      </c>
      <c r="G1989">
        <v>1</v>
      </c>
      <c r="H1989">
        <f>표5[[#This Row],[공격성공횟수]]/(표5[[#This Row],[공격실패횟수]]+표5[[#This Row],[공격성공횟수]])</f>
        <v>0</v>
      </c>
    </row>
    <row r="1990" spans="1:11" x14ac:dyDescent="0.4">
      <c r="A1990">
        <v>995</v>
      </c>
      <c r="B1990" t="s">
        <v>0</v>
      </c>
      <c r="C1990">
        <v>1</v>
      </c>
      <c r="D1990">
        <v>4</v>
      </c>
      <c r="E1990">
        <v>6</v>
      </c>
      <c r="F1990">
        <v>2</v>
      </c>
      <c r="G1990">
        <v>0</v>
      </c>
      <c r="H1990">
        <f>표5[[#This Row],[공격성공횟수]]/(표5[[#This Row],[공격실패횟수]]+표5[[#This Row],[공격성공횟수]])</f>
        <v>0.4</v>
      </c>
    </row>
    <row r="1991" spans="1:11" hidden="1" x14ac:dyDescent="0.4">
      <c r="A1991">
        <v>995</v>
      </c>
      <c r="B1991" t="s">
        <v>1</v>
      </c>
      <c r="C1991">
        <v>0</v>
      </c>
      <c r="D1991">
        <v>2</v>
      </c>
      <c r="E1991">
        <v>8</v>
      </c>
      <c r="F1991">
        <v>4</v>
      </c>
      <c r="G1991">
        <v>1</v>
      </c>
      <c r="H1991">
        <f>표5[[#This Row],[공격성공횟수]]/(표5[[#This Row],[공격실패횟수]]+표5[[#This Row],[공격성공횟수]])</f>
        <v>0.2</v>
      </c>
    </row>
    <row r="1992" spans="1:11" x14ac:dyDescent="0.4">
      <c r="A1992">
        <v>996</v>
      </c>
      <c r="B1992" t="s">
        <v>0</v>
      </c>
      <c r="C1992">
        <v>1</v>
      </c>
      <c r="D1992">
        <v>4</v>
      </c>
      <c r="E1992">
        <v>6</v>
      </c>
      <c r="F1992">
        <v>0</v>
      </c>
      <c r="G1992">
        <v>0</v>
      </c>
      <c r="H1992">
        <f>표5[[#This Row],[공격성공횟수]]/(표5[[#This Row],[공격실패횟수]]+표5[[#This Row],[공격성공횟수]])</f>
        <v>0.4</v>
      </c>
    </row>
    <row r="1993" spans="1:11" hidden="1" x14ac:dyDescent="0.4">
      <c r="A1993">
        <v>996</v>
      </c>
      <c r="B1993" t="s">
        <v>1</v>
      </c>
      <c r="C1993">
        <v>0</v>
      </c>
      <c r="D1993">
        <v>0</v>
      </c>
      <c r="E1993">
        <v>10</v>
      </c>
      <c r="F1993">
        <v>4</v>
      </c>
      <c r="G1993">
        <v>1</v>
      </c>
      <c r="H1993">
        <f>표5[[#This Row],[공격성공횟수]]/(표5[[#This Row],[공격실패횟수]]+표5[[#This Row],[공격성공횟수]])</f>
        <v>0</v>
      </c>
    </row>
    <row r="1994" spans="1:11" x14ac:dyDescent="0.4">
      <c r="A1994">
        <v>997</v>
      </c>
      <c r="B1994" t="s">
        <v>0</v>
      </c>
      <c r="C1994">
        <v>0</v>
      </c>
      <c r="D1994">
        <v>3</v>
      </c>
      <c r="E1994">
        <v>27</v>
      </c>
      <c r="F1994">
        <v>4</v>
      </c>
      <c r="G1994">
        <v>1</v>
      </c>
      <c r="H1994">
        <f>표5[[#This Row],[공격성공횟수]]/(표5[[#This Row],[공격실패횟수]]+표5[[#This Row],[공격성공횟수]])</f>
        <v>0.1</v>
      </c>
    </row>
    <row r="1995" spans="1:11" hidden="1" x14ac:dyDescent="0.4">
      <c r="A1995">
        <v>997</v>
      </c>
      <c r="B1995" t="s">
        <v>1</v>
      </c>
      <c r="C1995">
        <v>1</v>
      </c>
      <c r="D1995">
        <v>4</v>
      </c>
      <c r="E1995">
        <v>27</v>
      </c>
      <c r="F1995">
        <v>3</v>
      </c>
      <c r="G1995">
        <v>0</v>
      </c>
      <c r="H1995">
        <f>표5[[#This Row],[공격성공횟수]]/(표5[[#This Row],[공격실패횟수]]+표5[[#This Row],[공격성공횟수]])</f>
        <v>0.12903225806451613</v>
      </c>
    </row>
    <row r="1996" spans="1:11" x14ac:dyDescent="0.4">
      <c r="A1996">
        <v>998</v>
      </c>
      <c r="B1996" t="s">
        <v>0</v>
      </c>
      <c r="C1996">
        <v>1</v>
      </c>
      <c r="D1996">
        <v>4</v>
      </c>
      <c r="E1996">
        <v>36</v>
      </c>
      <c r="F1996">
        <v>3</v>
      </c>
      <c r="G1996">
        <v>0</v>
      </c>
      <c r="H1996">
        <f>표5[[#This Row],[공격성공횟수]]/(표5[[#This Row],[공격실패횟수]]+표5[[#This Row],[공격성공횟수]])</f>
        <v>0.1</v>
      </c>
    </row>
    <row r="1997" spans="1:11" hidden="1" x14ac:dyDescent="0.4">
      <c r="A1997">
        <v>998</v>
      </c>
      <c r="B1997" t="s">
        <v>1</v>
      </c>
      <c r="C1997">
        <v>0</v>
      </c>
      <c r="D1997">
        <v>3</v>
      </c>
      <c r="E1997">
        <v>35</v>
      </c>
      <c r="F1997">
        <v>4</v>
      </c>
      <c r="G1997">
        <v>1</v>
      </c>
      <c r="H1997">
        <f>표5[[#This Row],[공격성공횟수]]/(표5[[#This Row],[공격실패횟수]]+표5[[#This Row],[공격성공횟수]])</f>
        <v>7.8947368421052627E-2</v>
      </c>
    </row>
    <row r="1998" spans="1:11" x14ac:dyDescent="0.4">
      <c r="A1998">
        <v>999</v>
      </c>
      <c r="B1998" t="s">
        <v>0</v>
      </c>
      <c r="C1998">
        <v>1</v>
      </c>
      <c r="D1998">
        <v>4</v>
      </c>
      <c r="E1998">
        <v>11</v>
      </c>
      <c r="F1998">
        <v>1</v>
      </c>
      <c r="G1998">
        <v>0</v>
      </c>
      <c r="H1998">
        <f>표5[[#This Row],[공격성공횟수]]/(표5[[#This Row],[공격실패횟수]]+표5[[#This Row],[공격성공횟수]])</f>
        <v>0.26666666666666666</v>
      </c>
    </row>
    <row r="1999" spans="1:11" hidden="1" x14ac:dyDescent="0.4">
      <c r="A1999">
        <v>999</v>
      </c>
      <c r="B1999" t="s">
        <v>1</v>
      </c>
      <c r="C1999">
        <v>0</v>
      </c>
      <c r="D1999">
        <v>1</v>
      </c>
      <c r="E1999">
        <v>14</v>
      </c>
      <c r="F1999">
        <v>4</v>
      </c>
      <c r="G1999">
        <v>1</v>
      </c>
      <c r="H1999">
        <f>표5[[#This Row],[공격성공횟수]]/(표5[[#This Row],[공격실패횟수]]+표5[[#This Row],[공격성공횟수]])</f>
        <v>6.6666666666666666E-2</v>
      </c>
    </row>
    <row r="2000" spans="1:11" ht="18" thickBot="1" x14ac:dyDescent="0.45">
      <c r="A2000">
        <v>1000</v>
      </c>
      <c r="B2000" t="s">
        <v>0</v>
      </c>
      <c r="C2000">
        <v>1</v>
      </c>
      <c r="D2000">
        <v>4</v>
      </c>
      <c r="E2000">
        <v>4</v>
      </c>
      <c r="F2000">
        <v>0</v>
      </c>
      <c r="G2000">
        <v>0</v>
      </c>
      <c r="H2000">
        <f>표5[[#This Row],[공격성공횟수]]/(표5[[#This Row],[공격실패횟수]]+표5[[#This Row],[공격성공횟수]])</f>
        <v>0.5</v>
      </c>
      <c r="J2000">
        <v>0</v>
      </c>
      <c r="K2000">
        <v>0</v>
      </c>
    </row>
    <row r="2001" spans="1:12" ht="18" hidden="1" thickBot="1" x14ac:dyDescent="0.45">
      <c r="A2001">
        <v>1000</v>
      </c>
      <c r="B2001" t="s">
        <v>1</v>
      </c>
      <c r="C2001">
        <v>0</v>
      </c>
      <c r="D2001">
        <v>0</v>
      </c>
      <c r="E2001">
        <v>8</v>
      </c>
      <c r="F2001">
        <v>4</v>
      </c>
      <c r="G2001">
        <v>1</v>
      </c>
      <c r="H2001">
        <f>표5[[#This Row],[공격성공횟수]]/(표5[[#This Row],[공격실패횟수]]+표5[[#This Row],[공격성공횟수]])</f>
        <v>0</v>
      </c>
      <c r="I2001">
        <f>표5[[#This Row],[피격횟수]]/표5[[#This Row],[공격실패횟수]]</f>
        <v>0.5</v>
      </c>
      <c r="L2001">
        <v>0.5</v>
      </c>
    </row>
    <row r="2002" spans="1:12" ht="18" thickTop="1" x14ac:dyDescent="0.4">
      <c r="C2002">
        <f xml:space="preserve"> SUBTOTAL(9, C1:C2001)</f>
        <v>820</v>
      </c>
      <c r="D2002">
        <f xml:space="preserve"> SUBTOTAL(9, D1:D2001)</f>
        <v>3419</v>
      </c>
      <c r="E2002">
        <f xml:space="preserve"> SUBTOTAL(9, E1:E2001)</f>
        <v>14347</v>
      </c>
      <c r="F2002">
        <f xml:space="preserve"> SUBTOTAL(9, F1:F2001)</f>
        <v>1567</v>
      </c>
      <c r="G2002">
        <f xml:space="preserve"> SUBTOTAL(9, G1:G2001)</f>
        <v>180</v>
      </c>
      <c r="I2002" s="8" t="s">
        <v>5</v>
      </c>
      <c r="J2002">
        <f>표5[[#Totals],[공격성공횟수]]+표5[[#Totals],[공격실패횟수]]</f>
        <v>17766</v>
      </c>
    </row>
    <row r="2003" spans="1:12" x14ac:dyDescent="0.4">
      <c r="H2003" t="s">
        <v>6</v>
      </c>
      <c r="I2003">
        <f>표5[[#Totals],[공격성공횟수]]/J2002</f>
        <v>0.19244624563773499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01FB8-1A8E-471E-9072-0CBB2E182712}">
  <dimension ref="A1:J2003"/>
  <sheetViews>
    <sheetView topLeftCell="A1954" workbookViewId="0">
      <selection activeCell="E2002" sqref="E2002"/>
    </sheetView>
  </sheetViews>
  <sheetFormatPr defaultRowHeight="17.399999999999999" x14ac:dyDescent="0.4"/>
  <sheetData>
    <row r="1" spans="1:8" x14ac:dyDescent="0.4">
      <c r="A1" t="s">
        <v>4</v>
      </c>
      <c r="B1" t="s">
        <v>31</v>
      </c>
      <c r="C1" t="s">
        <v>27</v>
      </c>
      <c r="D1" t="s">
        <v>23</v>
      </c>
      <c r="E1" t="s">
        <v>47</v>
      </c>
      <c r="F1" t="s">
        <v>25</v>
      </c>
      <c r="G1" t="s">
        <v>29</v>
      </c>
      <c r="H1" t="s">
        <v>21</v>
      </c>
    </row>
    <row r="2" spans="1:8" x14ac:dyDescent="0.4">
      <c r="A2">
        <v>1</v>
      </c>
      <c r="B2" t="s">
        <v>0</v>
      </c>
      <c r="C2">
        <v>1</v>
      </c>
      <c r="D2">
        <v>4</v>
      </c>
      <c r="E2">
        <v>13</v>
      </c>
      <c r="F2">
        <v>1</v>
      </c>
      <c r="G2">
        <v>0</v>
      </c>
      <c r="H2">
        <f>표2[[#This Row],[공격성공횟수]]/(표2[[#This Row],[공격실패횟수]]+표2[[#This Row],[공격성공횟수]])</f>
        <v>0.23529411764705882</v>
      </c>
    </row>
    <row r="3" spans="1:8" hidden="1" x14ac:dyDescent="0.4">
      <c r="A3">
        <v>1</v>
      </c>
      <c r="B3" t="s">
        <v>2</v>
      </c>
      <c r="C3">
        <v>0</v>
      </c>
      <c r="D3">
        <v>1</v>
      </c>
      <c r="E3">
        <v>17</v>
      </c>
      <c r="F3">
        <v>4</v>
      </c>
      <c r="G3">
        <v>1</v>
      </c>
      <c r="H3">
        <f>표2[[#This Row],[공격성공횟수]]/(표2[[#This Row],[공격실패횟수]]+표2[[#This Row],[공격성공횟수]])</f>
        <v>5.5555555555555552E-2</v>
      </c>
    </row>
    <row r="4" spans="1:8" x14ac:dyDescent="0.4">
      <c r="A4">
        <v>2</v>
      </c>
      <c r="B4" t="s">
        <v>0</v>
      </c>
      <c r="C4">
        <v>1</v>
      </c>
      <c r="D4">
        <v>4</v>
      </c>
      <c r="E4">
        <v>14</v>
      </c>
      <c r="F4">
        <v>0</v>
      </c>
      <c r="G4">
        <v>0</v>
      </c>
      <c r="H4">
        <f>표2[[#This Row],[공격성공횟수]]/(표2[[#This Row],[공격실패횟수]]+표2[[#This Row],[공격성공횟수]])</f>
        <v>0.22222222222222221</v>
      </c>
    </row>
    <row r="5" spans="1:8" hidden="1" x14ac:dyDescent="0.4">
      <c r="A5">
        <v>2</v>
      </c>
      <c r="B5" t="s">
        <v>2</v>
      </c>
      <c r="C5">
        <v>0</v>
      </c>
      <c r="D5">
        <v>0</v>
      </c>
      <c r="E5">
        <v>18</v>
      </c>
      <c r="F5">
        <v>4</v>
      </c>
      <c r="G5">
        <v>1</v>
      </c>
      <c r="H5">
        <f>표2[[#This Row],[공격성공횟수]]/(표2[[#This Row],[공격실패횟수]]+표2[[#This Row],[공격성공횟수]])</f>
        <v>0</v>
      </c>
    </row>
    <row r="6" spans="1:8" x14ac:dyDescent="0.4">
      <c r="A6">
        <v>3</v>
      </c>
      <c r="B6" t="s">
        <v>0</v>
      </c>
      <c r="C6">
        <v>1</v>
      </c>
      <c r="D6">
        <v>4</v>
      </c>
      <c r="E6">
        <v>38</v>
      </c>
      <c r="F6">
        <v>1</v>
      </c>
      <c r="G6">
        <v>0</v>
      </c>
      <c r="H6">
        <f>표2[[#This Row],[공격성공횟수]]/(표2[[#This Row],[공격실패횟수]]+표2[[#This Row],[공격성공횟수]])</f>
        <v>9.5238095238095233E-2</v>
      </c>
    </row>
    <row r="7" spans="1:8" hidden="1" x14ac:dyDescent="0.4">
      <c r="A7">
        <v>3</v>
      </c>
      <c r="B7" t="s">
        <v>2</v>
      </c>
      <c r="C7">
        <v>0</v>
      </c>
      <c r="D7">
        <v>1</v>
      </c>
      <c r="E7">
        <v>40</v>
      </c>
      <c r="F7">
        <v>4</v>
      </c>
      <c r="G7">
        <v>1</v>
      </c>
      <c r="H7">
        <f>표2[[#This Row],[공격성공횟수]]/(표2[[#This Row],[공격실패횟수]]+표2[[#This Row],[공격성공횟수]])</f>
        <v>2.4390243902439025E-2</v>
      </c>
    </row>
    <row r="8" spans="1:8" x14ac:dyDescent="0.4">
      <c r="A8">
        <v>4</v>
      </c>
      <c r="B8" t="s">
        <v>0</v>
      </c>
      <c r="C8">
        <v>1</v>
      </c>
      <c r="D8">
        <v>4</v>
      </c>
      <c r="E8">
        <v>26</v>
      </c>
      <c r="F8">
        <v>2</v>
      </c>
      <c r="G8">
        <v>0</v>
      </c>
      <c r="H8">
        <f>표2[[#This Row],[공격성공횟수]]/(표2[[#This Row],[공격실패횟수]]+표2[[#This Row],[공격성공횟수]])</f>
        <v>0.13333333333333333</v>
      </c>
    </row>
    <row r="9" spans="1:8" hidden="1" x14ac:dyDescent="0.4">
      <c r="A9">
        <v>4</v>
      </c>
      <c r="B9" t="s">
        <v>2</v>
      </c>
      <c r="C9">
        <v>0</v>
      </c>
      <c r="D9">
        <v>2</v>
      </c>
      <c r="E9">
        <v>28</v>
      </c>
      <c r="F9">
        <v>4</v>
      </c>
      <c r="G9">
        <v>1</v>
      </c>
      <c r="H9">
        <f>표2[[#This Row],[공격성공횟수]]/(표2[[#This Row],[공격실패횟수]]+표2[[#This Row],[공격성공횟수]])</f>
        <v>6.6666666666666666E-2</v>
      </c>
    </row>
    <row r="10" spans="1:8" x14ac:dyDescent="0.4">
      <c r="A10">
        <v>5</v>
      </c>
      <c r="B10" t="s">
        <v>0</v>
      </c>
      <c r="C10">
        <v>0</v>
      </c>
      <c r="D10">
        <v>2</v>
      </c>
      <c r="E10">
        <v>29</v>
      </c>
      <c r="F10">
        <v>4</v>
      </c>
      <c r="G10">
        <v>1</v>
      </c>
      <c r="H10">
        <f>표2[[#This Row],[공격성공횟수]]/(표2[[#This Row],[공격실패횟수]]+표2[[#This Row],[공격성공횟수]])</f>
        <v>6.4516129032258063E-2</v>
      </c>
    </row>
    <row r="11" spans="1:8" hidden="1" x14ac:dyDescent="0.4">
      <c r="A11">
        <v>5</v>
      </c>
      <c r="B11" t="s">
        <v>2</v>
      </c>
      <c r="C11">
        <v>1</v>
      </c>
      <c r="D11">
        <v>4</v>
      </c>
      <c r="E11">
        <v>29</v>
      </c>
      <c r="F11">
        <v>2</v>
      </c>
      <c r="G11">
        <v>0</v>
      </c>
      <c r="H11">
        <f>표2[[#This Row],[공격성공횟수]]/(표2[[#This Row],[공격실패횟수]]+표2[[#This Row],[공격성공횟수]])</f>
        <v>0.12121212121212122</v>
      </c>
    </row>
    <row r="12" spans="1:8" x14ac:dyDescent="0.4">
      <c r="A12">
        <v>6</v>
      </c>
      <c r="B12" t="s">
        <v>0</v>
      </c>
      <c r="C12">
        <v>0</v>
      </c>
      <c r="D12">
        <v>1</v>
      </c>
      <c r="E12">
        <v>7</v>
      </c>
      <c r="F12">
        <v>4</v>
      </c>
      <c r="G12">
        <v>1</v>
      </c>
      <c r="H12">
        <f>표2[[#This Row],[공격성공횟수]]/(표2[[#This Row],[공격실패횟수]]+표2[[#This Row],[공격성공횟수]])</f>
        <v>0.125</v>
      </c>
    </row>
    <row r="13" spans="1:8" hidden="1" x14ac:dyDescent="0.4">
      <c r="A13">
        <v>6</v>
      </c>
      <c r="B13" t="s">
        <v>2</v>
      </c>
      <c r="C13">
        <v>1</v>
      </c>
      <c r="D13">
        <v>4</v>
      </c>
      <c r="E13">
        <v>5</v>
      </c>
      <c r="F13">
        <v>1</v>
      </c>
      <c r="G13">
        <v>0</v>
      </c>
      <c r="H13">
        <f>표2[[#This Row],[공격성공횟수]]/(표2[[#This Row],[공격실패횟수]]+표2[[#This Row],[공격성공횟수]])</f>
        <v>0.44444444444444442</v>
      </c>
    </row>
    <row r="14" spans="1:8" x14ac:dyDescent="0.4">
      <c r="A14">
        <v>7</v>
      </c>
      <c r="B14" t="s">
        <v>0</v>
      </c>
      <c r="C14">
        <v>1</v>
      </c>
      <c r="D14">
        <v>4</v>
      </c>
      <c r="E14">
        <v>8</v>
      </c>
      <c r="F14">
        <v>0</v>
      </c>
      <c r="G14">
        <v>0</v>
      </c>
      <c r="H14">
        <f>표2[[#This Row],[공격성공횟수]]/(표2[[#This Row],[공격실패횟수]]+표2[[#This Row],[공격성공횟수]])</f>
        <v>0.33333333333333331</v>
      </c>
    </row>
    <row r="15" spans="1:8" hidden="1" x14ac:dyDescent="0.4">
      <c r="A15">
        <v>7</v>
      </c>
      <c r="B15" t="s">
        <v>2</v>
      </c>
      <c r="C15">
        <v>0</v>
      </c>
      <c r="D15">
        <v>0</v>
      </c>
      <c r="E15">
        <v>10</v>
      </c>
      <c r="F15">
        <v>4</v>
      </c>
      <c r="G15">
        <v>1</v>
      </c>
      <c r="H15">
        <f>표2[[#This Row],[공격성공횟수]]/(표2[[#This Row],[공격실패횟수]]+표2[[#This Row],[공격성공횟수]])</f>
        <v>0</v>
      </c>
    </row>
    <row r="16" spans="1:8" x14ac:dyDescent="0.4">
      <c r="A16">
        <v>8</v>
      </c>
      <c r="B16" t="s">
        <v>0</v>
      </c>
      <c r="C16">
        <v>1</v>
      </c>
      <c r="D16">
        <v>4</v>
      </c>
      <c r="E16">
        <v>5</v>
      </c>
      <c r="F16">
        <v>1</v>
      </c>
      <c r="G16">
        <v>0</v>
      </c>
      <c r="H16">
        <f>표2[[#This Row],[공격성공횟수]]/(표2[[#This Row],[공격실패횟수]]+표2[[#This Row],[공격성공횟수]])</f>
        <v>0.44444444444444442</v>
      </c>
    </row>
    <row r="17" spans="1:8" hidden="1" x14ac:dyDescent="0.4">
      <c r="A17">
        <v>8</v>
      </c>
      <c r="B17" t="s">
        <v>2</v>
      </c>
      <c r="C17">
        <v>0</v>
      </c>
      <c r="D17">
        <v>1</v>
      </c>
      <c r="E17">
        <v>9</v>
      </c>
      <c r="F17">
        <v>4</v>
      </c>
      <c r="G17">
        <v>1</v>
      </c>
      <c r="H17">
        <f>표2[[#This Row],[공격성공횟수]]/(표2[[#This Row],[공격실패횟수]]+표2[[#This Row],[공격성공횟수]])</f>
        <v>0.1</v>
      </c>
    </row>
    <row r="18" spans="1:8" x14ac:dyDescent="0.4">
      <c r="A18">
        <v>9</v>
      </c>
      <c r="B18" t="s">
        <v>0</v>
      </c>
      <c r="C18">
        <v>1</v>
      </c>
      <c r="D18">
        <v>4</v>
      </c>
      <c r="E18">
        <v>4</v>
      </c>
      <c r="F18">
        <v>0</v>
      </c>
      <c r="G18">
        <v>0</v>
      </c>
      <c r="H18">
        <f>표2[[#This Row],[공격성공횟수]]/(표2[[#This Row],[공격실패횟수]]+표2[[#This Row],[공격성공횟수]])</f>
        <v>0.5</v>
      </c>
    </row>
    <row r="19" spans="1:8" hidden="1" x14ac:dyDescent="0.4">
      <c r="A19">
        <v>9</v>
      </c>
      <c r="B19" t="s">
        <v>2</v>
      </c>
      <c r="C19">
        <v>0</v>
      </c>
      <c r="D19">
        <v>0</v>
      </c>
      <c r="E19">
        <v>8</v>
      </c>
      <c r="F19">
        <v>4</v>
      </c>
      <c r="G19">
        <v>1</v>
      </c>
      <c r="H19">
        <f>표2[[#This Row],[공격성공횟수]]/(표2[[#This Row],[공격실패횟수]]+표2[[#This Row],[공격성공횟수]])</f>
        <v>0</v>
      </c>
    </row>
    <row r="20" spans="1:8" x14ac:dyDescent="0.4">
      <c r="A20">
        <v>10</v>
      </c>
      <c r="B20" t="s">
        <v>0</v>
      </c>
      <c r="C20">
        <v>1</v>
      </c>
      <c r="D20">
        <v>4</v>
      </c>
      <c r="E20">
        <v>7</v>
      </c>
      <c r="F20">
        <v>3</v>
      </c>
      <c r="G20">
        <v>0</v>
      </c>
      <c r="H20">
        <f>표2[[#This Row],[공격성공횟수]]/(표2[[#This Row],[공격실패횟수]]+표2[[#This Row],[공격성공횟수]])</f>
        <v>0.36363636363636365</v>
      </c>
    </row>
    <row r="21" spans="1:8" hidden="1" x14ac:dyDescent="0.4">
      <c r="A21">
        <v>10</v>
      </c>
      <c r="B21" t="s">
        <v>2</v>
      </c>
      <c r="C21">
        <v>0</v>
      </c>
      <c r="D21">
        <v>3</v>
      </c>
      <c r="E21">
        <v>8</v>
      </c>
      <c r="F21">
        <v>4</v>
      </c>
      <c r="G21">
        <v>1</v>
      </c>
      <c r="H21">
        <f>표2[[#This Row],[공격성공횟수]]/(표2[[#This Row],[공격실패횟수]]+표2[[#This Row],[공격성공횟수]])</f>
        <v>0.27272727272727271</v>
      </c>
    </row>
    <row r="22" spans="1:8" x14ac:dyDescent="0.4">
      <c r="A22">
        <v>11</v>
      </c>
      <c r="B22" t="s">
        <v>0</v>
      </c>
      <c r="C22">
        <v>1</v>
      </c>
      <c r="D22">
        <v>4</v>
      </c>
      <c r="E22">
        <v>9</v>
      </c>
      <c r="F22">
        <v>3</v>
      </c>
      <c r="G22">
        <v>0</v>
      </c>
      <c r="H22">
        <f>표2[[#This Row],[공격성공횟수]]/(표2[[#This Row],[공격실패횟수]]+표2[[#This Row],[공격성공횟수]])</f>
        <v>0.30769230769230771</v>
      </c>
    </row>
    <row r="23" spans="1:8" hidden="1" x14ac:dyDescent="0.4">
      <c r="A23">
        <v>11</v>
      </c>
      <c r="B23" t="s">
        <v>2</v>
      </c>
      <c r="C23">
        <v>0</v>
      </c>
      <c r="D23">
        <v>3</v>
      </c>
      <c r="E23">
        <v>12</v>
      </c>
      <c r="F23">
        <v>4</v>
      </c>
      <c r="G23">
        <v>1</v>
      </c>
      <c r="H23">
        <f>표2[[#This Row],[공격성공횟수]]/(표2[[#This Row],[공격실패횟수]]+표2[[#This Row],[공격성공횟수]])</f>
        <v>0.2</v>
      </c>
    </row>
    <row r="24" spans="1:8" x14ac:dyDescent="0.4">
      <c r="A24">
        <v>12</v>
      </c>
      <c r="B24" t="s">
        <v>0</v>
      </c>
      <c r="C24">
        <v>1</v>
      </c>
      <c r="D24">
        <v>4</v>
      </c>
      <c r="E24">
        <v>10</v>
      </c>
      <c r="F24">
        <v>0</v>
      </c>
      <c r="G24">
        <v>0</v>
      </c>
      <c r="H24">
        <f>표2[[#This Row],[공격성공횟수]]/(표2[[#This Row],[공격실패횟수]]+표2[[#This Row],[공격성공횟수]])</f>
        <v>0.2857142857142857</v>
      </c>
    </row>
    <row r="25" spans="1:8" hidden="1" x14ac:dyDescent="0.4">
      <c r="A25">
        <v>12</v>
      </c>
      <c r="B25" t="s">
        <v>2</v>
      </c>
      <c r="C25">
        <v>0</v>
      </c>
      <c r="D25">
        <v>0</v>
      </c>
      <c r="E25">
        <v>15</v>
      </c>
      <c r="F25">
        <v>4</v>
      </c>
      <c r="G25">
        <v>1</v>
      </c>
      <c r="H25">
        <f>표2[[#This Row],[공격성공횟수]]/(표2[[#This Row],[공격실패횟수]]+표2[[#This Row],[공격성공횟수]])</f>
        <v>0</v>
      </c>
    </row>
    <row r="26" spans="1:8" x14ac:dyDescent="0.4">
      <c r="A26">
        <v>13</v>
      </c>
      <c r="B26" t="s">
        <v>0</v>
      </c>
      <c r="C26">
        <v>1</v>
      </c>
      <c r="D26">
        <v>4</v>
      </c>
      <c r="E26">
        <v>20</v>
      </c>
      <c r="F26">
        <v>1</v>
      </c>
      <c r="G26">
        <v>0</v>
      </c>
      <c r="H26">
        <f>표2[[#This Row],[공격성공횟수]]/(표2[[#This Row],[공격실패횟수]]+표2[[#This Row],[공격성공횟수]])</f>
        <v>0.16666666666666666</v>
      </c>
    </row>
    <row r="27" spans="1:8" hidden="1" x14ac:dyDescent="0.4">
      <c r="A27">
        <v>13</v>
      </c>
      <c r="B27" t="s">
        <v>2</v>
      </c>
      <c r="C27">
        <v>0</v>
      </c>
      <c r="D27">
        <v>1</v>
      </c>
      <c r="E27">
        <v>23</v>
      </c>
      <c r="F27">
        <v>4</v>
      </c>
      <c r="G27">
        <v>1</v>
      </c>
      <c r="H27">
        <f>표2[[#This Row],[공격성공횟수]]/(표2[[#This Row],[공격실패횟수]]+표2[[#This Row],[공격성공횟수]])</f>
        <v>4.1666666666666664E-2</v>
      </c>
    </row>
    <row r="28" spans="1:8" x14ac:dyDescent="0.4">
      <c r="A28">
        <v>14</v>
      </c>
      <c r="B28" t="s">
        <v>0</v>
      </c>
      <c r="C28">
        <v>1</v>
      </c>
      <c r="D28">
        <v>4</v>
      </c>
      <c r="E28">
        <v>6</v>
      </c>
      <c r="F28">
        <v>0</v>
      </c>
      <c r="G28">
        <v>0</v>
      </c>
      <c r="H28">
        <f>표2[[#This Row],[공격성공횟수]]/(표2[[#This Row],[공격실패횟수]]+표2[[#This Row],[공격성공횟수]])</f>
        <v>0.4</v>
      </c>
    </row>
    <row r="29" spans="1:8" hidden="1" x14ac:dyDescent="0.4">
      <c r="A29">
        <v>14</v>
      </c>
      <c r="B29" t="s">
        <v>2</v>
      </c>
      <c r="C29">
        <v>0</v>
      </c>
      <c r="D29">
        <v>0</v>
      </c>
      <c r="E29">
        <v>10</v>
      </c>
      <c r="F29">
        <v>4</v>
      </c>
      <c r="G29">
        <v>1</v>
      </c>
      <c r="H29">
        <f>표2[[#This Row],[공격성공횟수]]/(표2[[#This Row],[공격실패횟수]]+표2[[#This Row],[공격성공횟수]])</f>
        <v>0</v>
      </c>
    </row>
    <row r="30" spans="1:8" x14ac:dyDescent="0.4">
      <c r="A30">
        <v>15</v>
      </c>
      <c r="B30" t="s">
        <v>0</v>
      </c>
      <c r="C30">
        <v>0</v>
      </c>
      <c r="D30">
        <v>2</v>
      </c>
      <c r="E30">
        <v>21</v>
      </c>
      <c r="F30">
        <v>4</v>
      </c>
      <c r="G30">
        <v>1</v>
      </c>
      <c r="H30">
        <f>표2[[#This Row],[공격성공횟수]]/(표2[[#This Row],[공격실패횟수]]+표2[[#This Row],[공격성공횟수]])</f>
        <v>8.6956521739130432E-2</v>
      </c>
    </row>
    <row r="31" spans="1:8" hidden="1" x14ac:dyDescent="0.4">
      <c r="A31">
        <v>15</v>
      </c>
      <c r="B31" t="s">
        <v>2</v>
      </c>
      <c r="C31">
        <v>1</v>
      </c>
      <c r="D31">
        <v>4</v>
      </c>
      <c r="E31">
        <v>21</v>
      </c>
      <c r="F31">
        <v>2</v>
      </c>
      <c r="G31">
        <v>0</v>
      </c>
      <c r="H31">
        <f>표2[[#This Row],[공격성공횟수]]/(표2[[#This Row],[공격실패횟수]]+표2[[#This Row],[공격성공횟수]])</f>
        <v>0.16</v>
      </c>
    </row>
    <row r="32" spans="1:8" x14ac:dyDescent="0.4">
      <c r="A32">
        <v>16</v>
      </c>
      <c r="B32" t="s">
        <v>0</v>
      </c>
      <c r="C32">
        <v>1</v>
      </c>
      <c r="D32">
        <v>4</v>
      </c>
      <c r="E32">
        <v>11</v>
      </c>
      <c r="F32">
        <v>2</v>
      </c>
      <c r="G32">
        <v>0</v>
      </c>
      <c r="H32">
        <f>표2[[#This Row],[공격성공횟수]]/(표2[[#This Row],[공격실패횟수]]+표2[[#This Row],[공격성공횟수]])</f>
        <v>0.26666666666666666</v>
      </c>
    </row>
    <row r="33" spans="1:8" hidden="1" x14ac:dyDescent="0.4">
      <c r="A33">
        <v>16</v>
      </c>
      <c r="B33" t="s">
        <v>2</v>
      </c>
      <c r="C33">
        <v>0</v>
      </c>
      <c r="D33">
        <v>2</v>
      </c>
      <c r="E33">
        <v>13</v>
      </c>
      <c r="F33">
        <v>4</v>
      </c>
      <c r="G33">
        <v>1</v>
      </c>
      <c r="H33">
        <f>표2[[#This Row],[공격성공횟수]]/(표2[[#This Row],[공격실패횟수]]+표2[[#This Row],[공격성공횟수]])</f>
        <v>0.13333333333333333</v>
      </c>
    </row>
    <row r="34" spans="1:8" x14ac:dyDescent="0.4">
      <c r="A34">
        <v>17</v>
      </c>
      <c r="B34" t="s">
        <v>0</v>
      </c>
      <c r="C34">
        <v>1</v>
      </c>
      <c r="D34">
        <v>4</v>
      </c>
      <c r="E34">
        <v>15</v>
      </c>
      <c r="F34">
        <v>1</v>
      </c>
      <c r="G34">
        <v>0</v>
      </c>
      <c r="H34">
        <f>표2[[#This Row],[공격성공횟수]]/(표2[[#This Row],[공격실패횟수]]+표2[[#This Row],[공격성공횟수]])</f>
        <v>0.21052631578947367</v>
      </c>
    </row>
    <row r="35" spans="1:8" hidden="1" x14ac:dyDescent="0.4">
      <c r="A35">
        <v>17</v>
      </c>
      <c r="B35" t="s">
        <v>2</v>
      </c>
      <c r="C35">
        <v>0</v>
      </c>
      <c r="D35">
        <v>1</v>
      </c>
      <c r="E35">
        <v>19</v>
      </c>
      <c r="F35">
        <v>4</v>
      </c>
      <c r="G35">
        <v>1</v>
      </c>
      <c r="H35">
        <f>표2[[#This Row],[공격성공횟수]]/(표2[[#This Row],[공격실패횟수]]+표2[[#This Row],[공격성공횟수]])</f>
        <v>0.05</v>
      </c>
    </row>
    <row r="36" spans="1:8" x14ac:dyDescent="0.4">
      <c r="A36">
        <v>18</v>
      </c>
      <c r="B36" t="s">
        <v>0</v>
      </c>
      <c r="C36">
        <v>1</v>
      </c>
      <c r="D36">
        <v>4</v>
      </c>
      <c r="E36">
        <v>13</v>
      </c>
      <c r="F36">
        <v>1</v>
      </c>
      <c r="G36">
        <v>0</v>
      </c>
      <c r="H36">
        <f>표2[[#This Row],[공격성공횟수]]/(표2[[#This Row],[공격실패횟수]]+표2[[#This Row],[공격성공횟수]])</f>
        <v>0.23529411764705882</v>
      </c>
    </row>
    <row r="37" spans="1:8" hidden="1" x14ac:dyDescent="0.4">
      <c r="A37">
        <v>18</v>
      </c>
      <c r="B37" t="s">
        <v>2</v>
      </c>
      <c r="C37">
        <v>0</v>
      </c>
      <c r="D37">
        <v>1</v>
      </c>
      <c r="E37">
        <v>16</v>
      </c>
      <c r="F37">
        <v>4</v>
      </c>
      <c r="G37">
        <v>1</v>
      </c>
      <c r="H37">
        <f>표2[[#This Row],[공격성공횟수]]/(표2[[#This Row],[공격실패횟수]]+표2[[#This Row],[공격성공횟수]])</f>
        <v>5.8823529411764705E-2</v>
      </c>
    </row>
    <row r="38" spans="1:8" x14ac:dyDescent="0.4">
      <c r="A38">
        <v>19</v>
      </c>
      <c r="B38" t="s">
        <v>0</v>
      </c>
      <c r="C38">
        <v>1</v>
      </c>
      <c r="D38">
        <v>4</v>
      </c>
      <c r="E38">
        <v>5</v>
      </c>
      <c r="F38">
        <v>2</v>
      </c>
      <c r="G38">
        <v>0</v>
      </c>
      <c r="H38">
        <f>표2[[#This Row],[공격성공횟수]]/(표2[[#This Row],[공격실패횟수]]+표2[[#This Row],[공격성공횟수]])</f>
        <v>0.44444444444444442</v>
      </c>
    </row>
    <row r="39" spans="1:8" hidden="1" x14ac:dyDescent="0.4">
      <c r="A39">
        <v>19</v>
      </c>
      <c r="B39" t="s">
        <v>2</v>
      </c>
      <c r="C39">
        <v>0</v>
      </c>
      <c r="D39">
        <v>2</v>
      </c>
      <c r="E39">
        <v>8</v>
      </c>
      <c r="F39">
        <v>4</v>
      </c>
      <c r="G39">
        <v>1</v>
      </c>
      <c r="H39">
        <f>표2[[#This Row],[공격성공횟수]]/(표2[[#This Row],[공격실패횟수]]+표2[[#This Row],[공격성공횟수]])</f>
        <v>0.2</v>
      </c>
    </row>
    <row r="40" spans="1:8" x14ac:dyDescent="0.4">
      <c r="A40">
        <v>20</v>
      </c>
      <c r="B40" t="s">
        <v>0</v>
      </c>
      <c r="C40">
        <v>1</v>
      </c>
      <c r="D40">
        <v>4</v>
      </c>
      <c r="E40">
        <v>10</v>
      </c>
      <c r="F40">
        <v>0</v>
      </c>
      <c r="G40">
        <v>0</v>
      </c>
      <c r="H40">
        <f>표2[[#This Row],[공격성공횟수]]/(표2[[#This Row],[공격실패횟수]]+표2[[#This Row],[공격성공횟수]])</f>
        <v>0.2857142857142857</v>
      </c>
    </row>
    <row r="41" spans="1:8" hidden="1" x14ac:dyDescent="0.4">
      <c r="A41">
        <v>20</v>
      </c>
      <c r="B41" t="s">
        <v>2</v>
      </c>
      <c r="C41">
        <v>0</v>
      </c>
      <c r="D41">
        <v>0</v>
      </c>
      <c r="E41">
        <v>13</v>
      </c>
      <c r="F41">
        <v>4</v>
      </c>
      <c r="G41">
        <v>1</v>
      </c>
      <c r="H41">
        <f>표2[[#This Row],[공격성공횟수]]/(표2[[#This Row],[공격실패횟수]]+표2[[#This Row],[공격성공횟수]])</f>
        <v>0</v>
      </c>
    </row>
    <row r="42" spans="1:8" x14ac:dyDescent="0.4">
      <c r="A42">
        <v>21</v>
      </c>
      <c r="B42" t="s">
        <v>0</v>
      </c>
      <c r="C42">
        <v>1</v>
      </c>
      <c r="D42">
        <v>4</v>
      </c>
      <c r="E42">
        <v>31</v>
      </c>
      <c r="F42">
        <v>1</v>
      </c>
      <c r="G42">
        <v>0</v>
      </c>
      <c r="H42">
        <f>표2[[#This Row],[공격성공횟수]]/(표2[[#This Row],[공격실패횟수]]+표2[[#This Row],[공격성공횟수]])</f>
        <v>0.11428571428571428</v>
      </c>
    </row>
    <row r="43" spans="1:8" hidden="1" x14ac:dyDescent="0.4">
      <c r="A43">
        <v>21</v>
      </c>
      <c r="B43" t="s">
        <v>2</v>
      </c>
      <c r="C43">
        <v>0</v>
      </c>
      <c r="D43">
        <v>1</v>
      </c>
      <c r="E43">
        <v>34</v>
      </c>
      <c r="F43">
        <v>4</v>
      </c>
      <c r="G43">
        <v>1</v>
      </c>
      <c r="H43">
        <f>표2[[#This Row],[공격성공횟수]]/(표2[[#This Row],[공격실패횟수]]+표2[[#This Row],[공격성공횟수]])</f>
        <v>2.8571428571428571E-2</v>
      </c>
    </row>
    <row r="44" spans="1:8" x14ac:dyDescent="0.4">
      <c r="A44">
        <v>22</v>
      </c>
      <c r="B44" t="s">
        <v>0</v>
      </c>
      <c r="C44">
        <v>1</v>
      </c>
      <c r="D44">
        <v>4</v>
      </c>
      <c r="E44">
        <v>9</v>
      </c>
      <c r="F44">
        <v>2</v>
      </c>
      <c r="G44">
        <v>0</v>
      </c>
      <c r="H44">
        <f>표2[[#This Row],[공격성공횟수]]/(표2[[#This Row],[공격실패횟수]]+표2[[#This Row],[공격성공횟수]])</f>
        <v>0.30769230769230771</v>
      </c>
    </row>
    <row r="45" spans="1:8" hidden="1" x14ac:dyDescent="0.4">
      <c r="A45">
        <v>22</v>
      </c>
      <c r="B45" t="s">
        <v>2</v>
      </c>
      <c r="C45">
        <v>0</v>
      </c>
      <c r="D45">
        <v>2</v>
      </c>
      <c r="E45">
        <v>11</v>
      </c>
      <c r="F45">
        <v>4</v>
      </c>
      <c r="G45">
        <v>1</v>
      </c>
      <c r="H45">
        <f>표2[[#This Row],[공격성공횟수]]/(표2[[#This Row],[공격실패횟수]]+표2[[#This Row],[공격성공횟수]])</f>
        <v>0.15384615384615385</v>
      </c>
    </row>
    <row r="46" spans="1:8" x14ac:dyDescent="0.4">
      <c r="A46">
        <v>23</v>
      </c>
      <c r="B46" t="s">
        <v>0</v>
      </c>
      <c r="C46">
        <v>1</v>
      </c>
      <c r="D46">
        <v>4</v>
      </c>
      <c r="E46">
        <v>12</v>
      </c>
      <c r="F46">
        <v>2</v>
      </c>
      <c r="G46">
        <v>0</v>
      </c>
      <c r="H46">
        <f>표2[[#This Row],[공격성공횟수]]/(표2[[#This Row],[공격실패횟수]]+표2[[#This Row],[공격성공횟수]])</f>
        <v>0.25</v>
      </c>
    </row>
    <row r="47" spans="1:8" hidden="1" x14ac:dyDescent="0.4">
      <c r="A47">
        <v>23</v>
      </c>
      <c r="B47" t="s">
        <v>2</v>
      </c>
      <c r="C47">
        <v>0</v>
      </c>
      <c r="D47">
        <v>2</v>
      </c>
      <c r="E47">
        <v>14</v>
      </c>
      <c r="F47">
        <v>4</v>
      </c>
      <c r="G47">
        <v>1</v>
      </c>
      <c r="H47">
        <f>표2[[#This Row],[공격성공횟수]]/(표2[[#This Row],[공격실패횟수]]+표2[[#This Row],[공격성공횟수]])</f>
        <v>0.125</v>
      </c>
    </row>
    <row r="48" spans="1:8" x14ac:dyDescent="0.4">
      <c r="A48">
        <v>24</v>
      </c>
      <c r="B48" t="s">
        <v>0</v>
      </c>
      <c r="C48">
        <v>0</v>
      </c>
      <c r="D48">
        <v>2</v>
      </c>
      <c r="E48">
        <v>14</v>
      </c>
      <c r="F48">
        <v>4</v>
      </c>
      <c r="G48">
        <v>1</v>
      </c>
      <c r="H48">
        <f>표2[[#This Row],[공격성공횟수]]/(표2[[#This Row],[공격실패횟수]]+표2[[#This Row],[공격성공횟수]])</f>
        <v>0.125</v>
      </c>
    </row>
    <row r="49" spans="1:8" hidden="1" x14ac:dyDescent="0.4">
      <c r="A49">
        <v>24</v>
      </c>
      <c r="B49" t="s">
        <v>2</v>
      </c>
      <c r="C49">
        <v>1</v>
      </c>
      <c r="D49">
        <v>4</v>
      </c>
      <c r="E49">
        <v>14</v>
      </c>
      <c r="F49">
        <v>2</v>
      </c>
      <c r="G49">
        <v>0</v>
      </c>
      <c r="H49">
        <f>표2[[#This Row],[공격성공횟수]]/(표2[[#This Row],[공격실패횟수]]+표2[[#This Row],[공격성공횟수]])</f>
        <v>0.22222222222222221</v>
      </c>
    </row>
    <row r="50" spans="1:8" x14ac:dyDescent="0.4">
      <c r="A50">
        <v>25</v>
      </c>
      <c r="B50" t="s">
        <v>0</v>
      </c>
      <c r="C50">
        <v>1</v>
      </c>
      <c r="D50">
        <v>4</v>
      </c>
      <c r="E50">
        <v>34</v>
      </c>
      <c r="F50">
        <v>3</v>
      </c>
      <c r="G50">
        <v>0</v>
      </c>
      <c r="H50">
        <f>표2[[#This Row],[공격성공횟수]]/(표2[[#This Row],[공격실패횟수]]+표2[[#This Row],[공격성공횟수]])</f>
        <v>0.10526315789473684</v>
      </c>
    </row>
    <row r="51" spans="1:8" hidden="1" x14ac:dyDescent="0.4">
      <c r="A51">
        <v>25</v>
      </c>
      <c r="B51" t="s">
        <v>2</v>
      </c>
      <c r="C51">
        <v>0</v>
      </c>
      <c r="D51">
        <v>3</v>
      </c>
      <c r="E51">
        <v>32</v>
      </c>
      <c r="F51">
        <v>4</v>
      </c>
      <c r="G51">
        <v>1</v>
      </c>
      <c r="H51">
        <f>표2[[#This Row],[공격성공횟수]]/(표2[[#This Row],[공격실패횟수]]+표2[[#This Row],[공격성공횟수]])</f>
        <v>8.5714285714285715E-2</v>
      </c>
    </row>
    <row r="52" spans="1:8" x14ac:dyDescent="0.4">
      <c r="A52">
        <v>26</v>
      </c>
      <c r="B52" t="s">
        <v>0</v>
      </c>
      <c r="C52">
        <v>1</v>
      </c>
      <c r="D52">
        <v>4</v>
      </c>
      <c r="E52">
        <v>94</v>
      </c>
      <c r="F52">
        <v>1</v>
      </c>
      <c r="G52">
        <v>0</v>
      </c>
      <c r="H52">
        <f>표2[[#This Row],[공격성공횟수]]/(표2[[#This Row],[공격실패횟수]]+표2[[#This Row],[공격성공횟수]])</f>
        <v>4.0816326530612242E-2</v>
      </c>
    </row>
    <row r="53" spans="1:8" hidden="1" x14ac:dyDescent="0.4">
      <c r="A53">
        <v>26</v>
      </c>
      <c r="B53" t="s">
        <v>2</v>
      </c>
      <c r="C53">
        <v>0</v>
      </c>
      <c r="D53">
        <v>1</v>
      </c>
      <c r="E53">
        <v>97</v>
      </c>
      <c r="F53">
        <v>4</v>
      </c>
      <c r="G53">
        <v>1</v>
      </c>
      <c r="H53">
        <f>표2[[#This Row],[공격성공횟수]]/(표2[[#This Row],[공격실패횟수]]+표2[[#This Row],[공격성공횟수]])</f>
        <v>1.020408163265306E-2</v>
      </c>
    </row>
    <row r="54" spans="1:8" x14ac:dyDescent="0.4">
      <c r="A54">
        <v>27</v>
      </c>
      <c r="B54" t="s">
        <v>0</v>
      </c>
      <c r="C54">
        <v>1</v>
      </c>
      <c r="D54">
        <v>4</v>
      </c>
      <c r="E54">
        <v>12</v>
      </c>
      <c r="F54">
        <v>2</v>
      </c>
      <c r="G54">
        <v>0</v>
      </c>
      <c r="H54">
        <f>표2[[#This Row],[공격성공횟수]]/(표2[[#This Row],[공격실패횟수]]+표2[[#This Row],[공격성공횟수]])</f>
        <v>0.25</v>
      </c>
    </row>
    <row r="55" spans="1:8" hidden="1" x14ac:dyDescent="0.4">
      <c r="A55">
        <v>27</v>
      </c>
      <c r="B55" t="s">
        <v>2</v>
      </c>
      <c r="C55">
        <v>0</v>
      </c>
      <c r="D55">
        <v>2</v>
      </c>
      <c r="E55">
        <v>15</v>
      </c>
      <c r="F55">
        <v>4</v>
      </c>
      <c r="G55">
        <v>1</v>
      </c>
      <c r="H55">
        <f>표2[[#This Row],[공격성공횟수]]/(표2[[#This Row],[공격실패횟수]]+표2[[#This Row],[공격성공횟수]])</f>
        <v>0.11764705882352941</v>
      </c>
    </row>
    <row r="56" spans="1:8" x14ac:dyDescent="0.4">
      <c r="A56">
        <v>28</v>
      </c>
      <c r="B56" t="s">
        <v>0</v>
      </c>
      <c r="C56">
        <v>1</v>
      </c>
      <c r="D56">
        <v>4</v>
      </c>
      <c r="E56">
        <v>3</v>
      </c>
      <c r="F56">
        <v>3</v>
      </c>
      <c r="G56">
        <v>0</v>
      </c>
      <c r="H56">
        <f>표2[[#This Row],[공격성공횟수]]/(표2[[#This Row],[공격실패횟수]]+표2[[#This Row],[공격성공횟수]])</f>
        <v>0.5714285714285714</v>
      </c>
    </row>
    <row r="57" spans="1:8" hidden="1" x14ac:dyDescent="0.4">
      <c r="A57">
        <v>28</v>
      </c>
      <c r="B57" t="s">
        <v>2</v>
      </c>
      <c r="C57">
        <v>0</v>
      </c>
      <c r="D57">
        <v>3</v>
      </c>
      <c r="E57">
        <v>4</v>
      </c>
      <c r="F57">
        <v>4</v>
      </c>
      <c r="G57">
        <v>1</v>
      </c>
      <c r="H57">
        <f>표2[[#This Row],[공격성공횟수]]/(표2[[#This Row],[공격실패횟수]]+표2[[#This Row],[공격성공횟수]])</f>
        <v>0.42857142857142855</v>
      </c>
    </row>
    <row r="58" spans="1:8" x14ac:dyDescent="0.4">
      <c r="A58">
        <v>29</v>
      </c>
      <c r="B58" t="s">
        <v>0</v>
      </c>
      <c r="C58">
        <v>1</v>
      </c>
      <c r="D58">
        <v>4</v>
      </c>
      <c r="E58">
        <v>3</v>
      </c>
      <c r="F58">
        <v>1</v>
      </c>
      <c r="G58">
        <v>0</v>
      </c>
      <c r="H58">
        <f>표2[[#This Row],[공격성공횟수]]/(표2[[#This Row],[공격실패횟수]]+표2[[#This Row],[공격성공횟수]])</f>
        <v>0.5714285714285714</v>
      </c>
    </row>
    <row r="59" spans="1:8" hidden="1" x14ac:dyDescent="0.4">
      <c r="A59">
        <v>29</v>
      </c>
      <c r="B59" t="s">
        <v>2</v>
      </c>
      <c r="C59">
        <v>0</v>
      </c>
      <c r="D59">
        <v>1</v>
      </c>
      <c r="E59">
        <v>6</v>
      </c>
      <c r="F59">
        <v>4</v>
      </c>
      <c r="G59">
        <v>1</v>
      </c>
      <c r="H59">
        <f>표2[[#This Row],[공격성공횟수]]/(표2[[#This Row],[공격실패횟수]]+표2[[#This Row],[공격성공횟수]])</f>
        <v>0.14285714285714285</v>
      </c>
    </row>
    <row r="60" spans="1:8" x14ac:dyDescent="0.4">
      <c r="A60">
        <v>30</v>
      </c>
      <c r="B60" t="s">
        <v>0</v>
      </c>
      <c r="C60">
        <v>1</v>
      </c>
      <c r="D60">
        <v>4</v>
      </c>
      <c r="E60">
        <v>6</v>
      </c>
      <c r="F60">
        <v>2</v>
      </c>
      <c r="G60">
        <v>0</v>
      </c>
      <c r="H60">
        <f>표2[[#This Row],[공격성공횟수]]/(표2[[#This Row],[공격실패횟수]]+표2[[#This Row],[공격성공횟수]])</f>
        <v>0.4</v>
      </c>
    </row>
    <row r="61" spans="1:8" hidden="1" x14ac:dyDescent="0.4">
      <c r="A61">
        <v>30</v>
      </c>
      <c r="B61" t="s">
        <v>2</v>
      </c>
      <c r="C61">
        <v>0</v>
      </c>
      <c r="D61">
        <v>2</v>
      </c>
      <c r="E61">
        <v>8</v>
      </c>
      <c r="F61">
        <v>4</v>
      </c>
      <c r="G61">
        <v>1</v>
      </c>
      <c r="H61">
        <f>표2[[#This Row],[공격성공횟수]]/(표2[[#This Row],[공격실패횟수]]+표2[[#This Row],[공격성공횟수]])</f>
        <v>0.2</v>
      </c>
    </row>
    <row r="62" spans="1:8" x14ac:dyDescent="0.4">
      <c r="A62">
        <v>31</v>
      </c>
      <c r="B62" t="s">
        <v>0</v>
      </c>
      <c r="C62">
        <v>1</v>
      </c>
      <c r="D62">
        <v>4</v>
      </c>
      <c r="E62">
        <v>6</v>
      </c>
      <c r="F62">
        <v>3</v>
      </c>
      <c r="G62">
        <v>0</v>
      </c>
      <c r="H62">
        <f>표2[[#This Row],[공격성공횟수]]/(표2[[#This Row],[공격실패횟수]]+표2[[#This Row],[공격성공횟수]])</f>
        <v>0.4</v>
      </c>
    </row>
    <row r="63" spans="1:8" hidden="1" x14ac:dyDescent="0.4">
      <c r="A63">
        <v>31</v>
      </c>
      <c r="B63" t="s">
        <v>2</v>
      </c>
      <c r="C63">
        <v>0</v>
      </c>
      <c r="D63">
        <v>3</v>
      </c>
      <c r="E63">
        <v>9</v>
      </c>
      <c r="F63">
        <v>4</v>
      </c>
      <c r="G63">
        <v>1</v>
      </c>
      <c r="H63">
        <f>표2[[#This Row],[공격성공횟수]]/(표2[[#This Row],[공격실패횟수]]+표2[[#This Row],[공격성공횟수]])</f>
        <v>0.25</v>
      </c>
    </row>
    <row r="64" spans="1:8" x14ac:dyDescent="0.4">
      <c r="A64">
        <v>32</v>
      </c>
      <c r="B64" t="s">
        <v>0</v>
      </c>
      <c r="C64">
        <v>1</v>
      </c>
      <c r="D64">
        <v>4</v>
      </c>
      <c r="E64">
        <v>15</v>
      </c>
      <c r="F64">
        <v>0</v>
      </c>
      <c r="G64">
        <v>0</v>
      </c>
      <c r="H64">
        <f>표2[[#This Row],[공격성공횟수]]/(표2[[#This Row],[공격실패횟수]]+표2[[#This Row],[공격성공횟수]])</f>
        <v>0.21052631578947367</v>
      </c>
    </row>
    <row r="65" spans="1:8" hidden="1" x14ac:dyDescent="0.4">
      <c r="A65">
        <v>32</v>
      </c>
      <c r="B65" t="s">
        <v>2</v>
      </c>
      <c r="C65">
        <v>0</v>
      </c>
      <c r="D65">
        <v>0</v>
      </c>
      <c r="E65">
        <v>20</v>
      </c>
      <c r="F65">
        <v>4</v>
      </c>
      <c r="G65">
        <v>1</v>
      </c>
      <c r="H65">
        <f>표2[[#This Row],[공격성공횟수]]/(표2[[#This Row],[공격실패횟수]]+표2[[#This Row],[공격성공횟수]])</f>
        <v>0</v>
      </c>
    </row>
    <row r="66" spans="1:8" x14ac:dyDescent="0.4">
      <c r="A66">
        <v>33</v>
      </c>
      <c r="B66" t="s">
        <v>0</v>
      </c>
      <c r="C66">
        <v>0</v>
      </c>
      <c r="D66">
        <v>3</v>
      </c>
      <c r="E66">
        <v>7</v>
      </c>
      <c r="F66">
        <v>4</v>
      </c>
      <c r="G66">
        <v>1</v>
      </c>
      <c r="H66">
        <f>표2[[#This Row],[공격성공횟수]]/(표2[[#This Row],[공격실패횟수]]+표2[[#This Row],[공격성공횟수]])</f>
        <v>0.3</v>
      </c>
    </row>
    <row r="67" spans="1:8" hidden="1" x14ac:dyDescent="0.4">
      <c r="A67">
        <v>33</v>
      </c>
      <c r="B67" t="s">
        <v>2</v>
      </c>
      <c r="C67">
        <v>1</v>
      </c>
      <c r="D67">
        <v>4</v>
      </c>
      <c r="E67">
        <v>7</v>
      </c>
      <c r="F67">
        <v>3</v>
      </c>
      <c r="G67">
        <v>0</v>
      </c>
      <c r="H67">
        <f>표2[[#This Row],[공격성공횟수]]/(표2[[#This Row],[공격실패횟수]]+표2[[#This Row],[공격성공횟수]])</f>
        <v>0.36363636363636365</v>
      </c>
    </row>
    <row r="68" spans="1:8" x14ac:dyDescent="0.4">
      <c r="A68">
        <v>34</v>
      </c>
      <c r="B68" t="s">
        <v>0</v>
      </c>
      <c r="C68">
        <v>1</v>
      </c>
      <c r="D68">
        <v>4</v>
      </c>
      <c r="E68">
        <v>25</v>
      </c>
      <c r="F68">
        <v>3</v>
      </c>
      <c r="G68">
        <v>0</v>
      </c>
      <c r="H68">
        <f>표2[[#This Row],[공격성공횟수]]/(표2[[#This Row],[공격실패횟수]]+표2[[#This Row],[공격성공횟수]])</f>
        <v>0.13793103448275862</v>
      </c>
    </row>
    <row r="69" spans="1:8" hidden="1" x14ac:dyDescent="0.4">
      <c r="A69">
        <v>34</v>
      </c>
      <c r="B69" t="s">
        <v>2</v>
      </c>
      <c r="C69">
        <v>0</v>
      </c>
      <c r="D69">
        <v>3</v>
      </c>
      <c r="E69">
        <v>26</v>
      </c>
      <c r="F69">
        <v>4</v>
      </c>
      <c r="G69">
        <v>1</v>
      </c>
      <c r="H69">
        <f>표2[[#This Row],[공격성공횟수]]/(표2[[#This Row],[공격실패횟수]]+표2[[#This Row],[공격성공횟수]])</f>
        <v>0.10344827586206896</v>
      </c>
    </row>
    <row r="70" spans="1:8" x14ac:dyDescent="0.4">
      <c r="A70">
        <v>35</v>
      </c>
      <c r="B70" t="s">
        <v>0</v>
      </c>
      <c r="C70">
        <v>1</v>
      </c>
      <c r="D70">
        <v>4</v>
      </c>
      <c r="E70">
        <v>4</v>
      </c>
      <c r="F70">
        <v>1</v>
      </c>
      <c r="G70">
        <v>0</v>
      </c>
      <c r="H70">
        <f>표2[[#This Row],[공격성공횟수]]/(표2[[#This Row],[공격실패횟수]]+표2[[#This Row],[공격성공횟수]])</f>
        <v>0.5</v>
      </c>
    </row>
    <row r="71" spans="1:8" hidden="1" x14ac:dyDescent="0.4">
      <c r="A71">
        <v>35</v>
      </c>
      <c r="B71" t="s">
        <v>2</v>
      </c>
      <c r="C71">
        <v>0</v>
      </c>
      <c r="D71">
        <v>1</v>
      </c>
      <c r="E71">
        <v>8</v>
      </c>
      <c r="F71">
        <v>4</v>
      </c>
      <c r="G71">
        <v>1</v>
      </c>
      <c r="H71">
        <f>표2[[#This Row],[공격성공횟수]]/(표2[[#This Row],[공격실패횟수]]+표2[[#This Row],[공격성공횟수]])</f>
        <v>0.1111111111111111</v>
      </c>
    </row>
    <row r="72" spans="1:8" x14ac:dyDescent="0.4">
      <c r="A72">
        <v>36</v>
      </c>
      <c r="B72" t="s">
        <v>0</v>
      </c>
      <c r="C72">
        <v>1</v>
      </c>
      <c r="D72">
        <v>4</v>
      </c>
      <c r="E72">
        <v>22</v>
      </c>
      <c r="F72">
        <v>1</v>
      </c>
      <c r="G72">
        <v>0</v>
      </c>
      <c r="H72">
        <f>표2[[#This Row],[공격성공횟수]]/(표2[[#This Row],[공격실패횟수]]+표2[[#This Row],[공격성공횟수]])</f>
        <v>0.15384615384615385</v>
      </c>
    </row>
    <row r="73" spans="1:8" hidden="1" x14ac:dyDescent="0.4">
      <c r="A73">
        <v>36</v>
      </c>
      <c r="B73" t="s">
        <v>2</v>
      </c>
      <c r="C73">
        <v>0</v>
      </c>
      <c r="D73">
        <v>1</v>
      </c>
      <c r="E73">
        <v>24</v>
      </c>
      <c r="F73">
        <v>4</v>
      </c>
      <c r="G73">
        <v>1</v>
      </c>
      <c r="H73">
        <f>표2[[#This Row],[공격성공횟수]]/(표2[[#This Row],[공격실패횟수]]+표2[[#This Row],[공격성공횟수]])</f>
        <v>0.04</v>
      </c>
    </row>
    <row r="74" spans="1:8" x14ac:dyDescent="0.4">
      <c r="A74">
        <v>37</v>
      </c>
      <c r="B74" t="s">
        <v>0</v>
      </c>
      <c r="C74">
        <v>1</v>
      </c>
      <c r="D74">
        <v>4</v>
      </c>
      <c r="E74">
        <v>4</v>
      </c>
      <c r="F74">
        <v>3</v>
      </c>
      <c r="G74">
        <v>0</v>
      </c>
      <c r="H74">
        <f>표2[[#This Row],[공격성공횟수]]/(표2[[#This Row],[공격실패횟수]]+표2[[#This Row],[공격성공횟수]])</f>
        <v>0.5</v>
      </c>
    </row>
    <row r="75" spans="1:8" hidden="1" x14ac:dyDescent="0.4">
      <c r="A75">
        <v>37</v>
      </c>
      <c r="B75" t="s">
        <v>2</v>
      </c>
      <c r="C75">
        <v>0</v>
      </c>
      <c r="D75">
        <v>3</v>
      </c>
      <c r="E75">
        <v>5</v>
      </c>
      <c r="F75">
        <v>4</v>
      </c>
      <c r="G75">
        <v>1</v>
      </c>
      <c r="H75">
        <f>표2[[#This Row],[공격성공횟수]]/(표2[[#This Row],[공격실패횟수]]+표2[[#This Row],[공격성공횟수]])</f>
        <v>0.375</v>
      </c>
    </row>
    <row r="76" spans="1:8" x14ac:dyDescent="0.4">
      <c r="A76">
        <v>38</v>
      </c>
      <c r="B76" t="s">
        <v>0</v>
      </c>
      <c r="C76">
        <v>1</v>
      </c>
      <c r="D76">
        <v>4</v>
      </c>
      <c r="E76">
        <v>14</v>
      </c>
      <c r="F76">
        <v>1</v>
      </c>
      <c r="G76">
        <v>0</v>
      </c>
      <c r="H76">
        <f>표2[[#This Row],[공격성공횟수]]/(표2[[#This Row],[공격실패횟수]]+표2[[#This Row],[공격성공횟수]])</f>
        <v>0.22222222222222221</v>
      </c>
    </row>
    <row r="77" spans="1:8" hidden="1" x14ac:dyDescent="0.4">
      <c r="A77">
        <v>38</v>
      </c>
      <c r="B77" t="s">
        <v>2</v>
      </c>
      <c r="C77">
        <v>0</v>
      </c>
      <c r="D77">
        <v>1</v>
      </c>
      <c r="E77">
        <v>17</v>
      </c>
      <c r="F77">
        <v>4</v>
      </c>
      <c r="G77">
        <v>1</v>
      </c>
      <c r="H77">
        <f>표2[[#This Row],[공격성공횟수]]/(표2[[#This Row],[공격실패횟수]]+표2[[#This Row],[공격성공횟수]])</f>
        <v>5.5555555555555552E-2</v>
      </c>
    </row>
    <row r="78" spans="1:8" x14ac:dyDescent="0.4">
      <c r="A78">
        <v>39</v>
      </c>
      <c r="B78" t="s">
        <v>0</v>
      </c>
      <c r="C78">
        <v>1</v>
      </c>
      <c r="D78">
        <v>4</v>
      </c>
      <c r="E78">
        <v>26</v>
      </c>
      <c r="F78">
        <v>0</v>
      </c>
      <c r="G78">
        <v>0</v>
      </c>
      <c r="H78">
        <f>표2[[#This Row],[공격성공횟수]]/(표2[[#This Row],[공격실패횟수]]+표2[[#This Row],[공격성공횟수]])</f>
        <v>0.13333333333333333</v>
      </c>
    </row>
    <row r="79" spans="1:8" hidden="1" x14ac:dyDescent="0.4">
      <c r="A79">
        <v>39</v>
      </c>
      <c r="B79" t="s">
        <v>2</v>
      </c>
      <c r="C79">
        <v>0</v>
      </c>
      <c r="D79">
        <v>0</v>
      </c>
      <c r="E79">
        <v>30</v>
      </c>
      <c r="F79">
        <v>4</v>
      </c>
      <c r="G79">
        <v>1</v>
      </c>
      <c r="H79">
        <f>표2[[#This Row],[공격성공횟수]]/(표2[[#This Row],[공격실패횟수]]+표2[[#This Row],[공격성공횟수]])</f>
        <v>0</v>
      </c>
    </row>
    <row r="80" spans="1:8" x14ac:dyDescent="0.4">
      <c r="A80">
        <v>40</v>
      </c>
      <c r="B80" t="s">
        <v>0</v>
      </c>
      <c r="C80">
        <v>1</v>
      </c>
      <c r="D80">
        <v>4</v>
      </c>
      <c r="E80">
        <v>9</v>
      </c>
      <c r="F80">
        <v>2</v>
      </c>
      <c r="G80">
        <v>0</v>
      </c>
      <c r="H80">
        <f>표2[[#This Row],[공격성공횟수]]/(표2[[#This Row],[공격실패횟수]]+표2[[#This Row],[공격성공횟수]])</f>
        <v>0.30769230769230771</v>
      </c>
    </row>
    <row r="81" spans="1:8" hidden="1" x14ac:dyDescent="0.4">
      <c r="A81">
        <v>40</v>
      </c>
      <c r="B81" t="s">
        <v>2</v>
      </c>
      <c r="C81">
        <v>0</v>
      </c>
      <c r="D81">
        <v>2</v>
      </c>
      <c r="E81">
        <v>11</v>
      </c>
      <c r="F81">
        <v>4</v>
      </c>
      <c r="G81">
        <v>1</v>
      </c>
      <c r="H81">
        <f>표2[[#This Row],[공격성공횟수]]/(표2[[#This Row],[공격실패횟수]]+표2[[#This Row],[공격성공횟수]])</f>
        <v>0.15384615384615385</v>
      </c>
    </row>
    <row r="82" spans="1:8" x14ac:dyDescent="0.4">
      <c r="A82">
        <v>41</v>
      </c>
      <c r="B82" t="s">
        <v>0</v>
      </c>
      <c r="C82">
        <v>1</v>
      </c>
      <c r="D82">
        <v>4</v>
      </c>
      <c r="E82">
        <v>7</v>
      </c>
      <c r="F82">
        <v>2</v>
      </c>
      <c r="G82">
        <v>0</v>
      </c>
      <c r="H82">
        <f>표2[[#This Row],[공격성공횟수]]/(표2[[#This Row],[공격실패횟수]]+표2[[#This Row],[공격성공횟수]])</f>
        <v>0.36363636363636365</v>
      </c>
    </row>
    <row r="83" spans="1:8" hidden="1" x14ac:dyDescent="0.4">
      <c r="A83">
        <v>41</v>
      </c>
      <c r="B83" t="s">
        <v>2</v>
      </c>
      <c r="C83">
        <v>0</v>
      </c>
      <c r="D83">
        <v>2</v>
      </c>
      <c r="E83">
        <v>9</v>
      </c>
      <c r="F83">
        <v>4</v>
      </c>
      <c r="G83">
        <v>1</v>
      </c>
      <c r="H83">
        <f>표2[[#This Row],[공격성공횟수]]/(표2[[#This Row],[공격실패횟수]]+표2[[#This Row],[공격성공횟수]])</f>
        <v>0.18181818181818182</v>
      </c>
    </row>
    <row r="84" spans="1:8" x14ac:dyDescent="0.4">
      <c r="A84">
        <v>42</v>
      </c>
      <c r="B84" t="s">
        <v>0</v>
      </c>
      <c r="C84">
        <v>0</v>
      </c>
      <c r="D84">
        <v>3</v>
      </c>
      <c r="E84">
        <v>18</v>
      </c>
      <c r="F84">
        <v>4</v>
      </c>
      <c r="G84">
        <v>1</v>
      </c>
      <c r="H84">
        <f>표2[[#This Row],[공격성공횟수]]/(표2[[#This Row],[공격실패횟수]]+표2[[#This Row],[공격성공횟수]])</f>
        <v>0.14285714285714285</v>
      </c>
    </row>
    <row r="85" spans="1:8" hidden="1" x14ac:dyDescent="0.4">
      <c r="A85">
        <v>42</v>
      </c>
      <c r="B85" t="s">
        <v>2</v>
      </c>
      <c r="C85">
        <v>1</v>
      </c>
      <c r="D85">
        <v>4</v>
      </c>
      <c r="E85">
        <v>17</v>
      </c>
      <c r="F85">
        <v>3</v>
      </c>
      <c r="G85">
        <v>0</v>
      </c>
      <c r="H85">
        <f>표2[[#This Row],[공격성공횟수]]/(표2[[#This Row],[공격실패횟수]]+표2[[#This Row],[공격성공횟수]])</f>
        <v>0.19047619047619047</v>
      </c>
    </row>
    <row r="86" spans="1:8" x14ac:dyDescent="0.4">
      <c r="A86">
        <v>43</v>
      </c>
      <c r="B86" t="s">
        <v>0</v>
      </c>
      <c r="C86">
        <v>1</v>
      </c>
      <c r="D86">
        <v>4</v>
      </c>
      <c r="E86">
        <v>4</v>
      </c>
      <c r="F86">
        <v>0</v>
      </c>
      <c r="G86">
        <v>0</v>
      </c>
      <c r="H86">
        <f>표2[[#This Row],[공격성공횟수]]/(표2[[#This Row],[공격실패횟수]]+표2[[#This Row],[공격성공횟수]])</f>
        <v>0.5</v>
      </c>
    </row>
    <row r="87" spans="1:8" hidden="1" x14ac:dyDescent="0.4">
      <c r="A87">
        <v>43</v>
      </c>
      <c r="B87" t="s">
        <v>2</v>
      </c>
      <c r="C87">
        <v>0</v>
      </c>
      <c r="D87">
        <v>0</v>
      </c>
      <c r="E87">
        <v>7</v>
      </c>
      <c r="F87">
        <v>4</v>
      </c>
      <c r="G87">
        <v>1</v>
      </c>
      <c r="H87">
        <f>표2[[#This Row],[공격성공횟수]]/(표2[[#This Row],[공격실패횟수]]+표2[[#This Row],[공격성공횟수]])</f>
        <v>0</v>
      </c>
    </row>
    <row r="88" spans="1:8" x14ac:dyDescent="0.4">
      <c r="A88">
        <v>44</v>
      </c>
      <c r="B88" t="s">
        <v>0</v>
      </c>
      <c r="C88">
        <v>1</v>
      </c>
      <c r="D88">
        <v>4</v>
      </c>
      <c r="E88">
        <v>10</v>
      </c>
      <c r="F88">
        <v>0</v>
      </c>
      <c r="G88">
        <v>0</v>
      </c>
      <c r="H88">
        <f>표2[[#This Row],[공격성공횟수]]/(표2[[#This Row],[공격실패횟수]]+표2[[#This Row],[공격성공횟수]])</f>
        <v>0.2857142857142857</v>
      </c>
    </row>
    <row r="89" spans="1:8" hidden="1" x14ac:dyDescent="0.4">
      <c r="A89">
        <v>44</v>
      </c>
      <c r="B89" t="s">
        <v>2</v>
      </c>
      <c r="C89">
        <v>0</v>
      </c>
      <c r="D89">
        <v>0</v>
      </c>
      <c r="E89">
        <v>14</v>
      </c>
      <c r="F89">
        <v>4</v>
      </c>
      <c r="G89">
        <v>1</v>
      </c>
      <c r="H89">
        <f>표2[[#This Row],[공격성공횟수]]/(표2[[#This Row],[공격실패횟수]]+표2[[#This Row],[공격성공횟수]])</f>
        <v>0</v>
      </c>
    </row>
    <row r="90" spans="1:8" x14ac:dyDescent="0.4">
      <c r="A90">
        <v>45</v>
      </c>
      <c r="B90" t="s">
        <v>0</v>
      </c>
      <c r="C90">
        <v>1</v>
      </c>
      <c r="D90">
        <v>4</v>
      </c>
      <c r="E90">
        <v>50</v>
      </c>
      <c r="F90">
        <v>3</v>
      </c>
      <c r="G90">
        <v>0</v>
      </c>
      <c r="H90">
        <f>표2[[#This Row],[공격성공횟수]]/(표2[[#This Row],[공격실패횟수]]+표2[[#This Row],[공격성공횟수]])</f>
        <v>7.407407407407407E-2</v>
      </c>
    </row>
    <row r="91" spans="1:8" hidden="1" x14ac:dyDescent="0.4">
      <c r="A91">
        <v>45</v>
      </c>
      <c r="B91" t="s">
        <v>2</v>
      </c>
      <c r="C91">
        <v>0</v>
      </c>
      <c r="D91">
        <v>3</v>
      </c>
      <c r="E91">
        <v>51</v>
      </c>
      <c r="F91">
        <v>4</v>
      </c>
      <c r="G91">
        <v>1</v>
      </c>
      <c r="H91">
        <f>표2[[#This Row],[공격성공횟수]]/(표2[[#This Row],[공격실패횟수]]+표2[[#This Row],[공격성공횟수]])</f>
        <v>5.5555555555555552E-2</v>
      </c>
    </row>
    <row r="92" spans="1:8" x14ac:dyDescent="0.4">
      <c r="A92">
        <v>46</v>
      </c>
      <c r="B92" t="s">
        <v>0</v>
      </c>
      <c r="C92">
        <v>1</v>
      </c>
      <c r="D92">
        <v>4</v>
      </c>
      <c r="E92">
        <v>24</v>
      </c>
      <c r="F92">
        <v>1</v>
      </c>
      <c r="G92">
        <v>0</v>
      </c>
      <c r="H92">
        <f>표2[[#This Row],[공격성공횟수]]/(표2[[#This Row],[공격실패횟수]]+표2[[#This Row],[공격성공횟수]])</f>
        <v>0.14285714285714285</v>
      </c>
    </row>
    <row r="93" spans="1:8" hidden="1" x14ac:dyDescent="0.4">
      <c r="A93">
        <v>46</v>
      </c>
      <c r="B93" t="s">
        <v>2</v>
      </c>
      <c r="C93">
        <v>0</v>
      </c>
      <c r="D93">
        <v>1</v>
      </c>
      <c r="E93">
        <v>27</v>
      </c>
      <c r="F93">
        <v>4</v>
      </c>
      <c r="G93">
        <v>1</v>
      </c>
      <c r="H93">
        <f>표2[[#This Row],[공격성공횟수]]/(표2[[#This Row],[공격실패횟수]]+표2[[#This Row],[공격성공횟수]])</f>
        <v>3.5714285714285712E-2</v>
      </c>
    </row>
    <row r="94" spans="1:8" x14ac:dyDescent="0.4">
      <c r="A94">
        <v>47</v>
      </c>
      <c r="B94" t="s">
        <v>0</v>
      </c>
      <c r="C94">
        <v>1</v>
      </c>
      <c r="D94">
        <v>4</v>
      </c>
      <c r="E94">
        <v>14</v>
      </c>
      <c r="F94">
        <v>1</v>
      </c>
      <c r="G94">
        <v>0</v>
      </c>
      <c r="H94">
        <f>표2[[#This Row],[공격성공횟수]]/(표2[[#This Row],[공격실패횟수]]+표2[[#This Row],[공격성공횟수]])</f>
        <v>0.22222222222222221</v>
      </c>
    </row>
    <row r="95" spans="1:8" hidden="1" x14ac:dyDescent="0.4">
      <c r="A95">
        <v>47</v>
      </c>
      <c r="B95" t="s">
        <v>2</v>
      </c>
      <c r="C95">
        <v>0</v>
      </c>
      <c r="D95">
        <v>1</v>
      </c>
      <c r="E95">
        <v>17</v>
      </c>
      <c r="F95">
        <v>4</v>
      </c>
      <c r="G95">
        <v>1</v>
      </c>
      <c r="H95">
        <f>표2[[#This Row],[공격성공횟수]]/(표2[[#This Row],[공격실패횟수]]+표2[[#This Row],[공격성공횟수]])</f>
        <v>5.5555555555555552E-2</v>
      </c>
    </row>
    <row r="96" spans="1:8" x14ac:dyDescent="0.4">
      <c r="A96">
        <v>48</v>
      </c>
      <c r="B96" t="s">
        <v>0</v>
      </c>
      <c r="C96">
        <v>1</v>
      </c>
      <c r="D96">
        <v>4</v>
      </c>
      <c r="E96">
        <v>11</v>
      </c>
      <c r="F96">
        <v>1</v>
      </c>
      <c r="G96">
        <v>0</v>
      </c>
      <c r="H96">
        <f>표2[[#This Row],[공격성공횟수]]/(표2[[#This Row],[공격실패횟수]]+표2[[#This Row],[공격성공횟수]])</f>
        <v>0.26666666666666666</v>
      </c>
    </row>
    <row r="97" spans="1:8" hidden="1" x14ac:dyDescent="0.4">
      <c r="A97">
        <v>48</v>
      </c>
      <c r="B97" t="s">
        <v>2</v>
      </c>
      <c r="C97">
        <v>0</v>
      </c>
      <c r="D97">
        <v>1</v>
      </c>
      <c r="E97">
        <v>15</v>
      </c>
      <c r="F97">
        <v>4</v>
      </c>
      <c r="G97">
        <v>1</v>
      </c>
      <c r="H97">
        <f>표2[[#This Row],[공격성공횟수]]/(표2[[#This Row],[공격실패횟수]]+표2[[#This Row],[공격성공횟수]])</f>
        <v>6.25E-2</v>
      </c>
    </row>
    <row r="98" spans="1:8" x14ac:dyDescent="0.4">
      <c r="A98">
        <v>49</v>
      </c>
      <c r="B98" t="s">
        <v>0</v>
      </c>
      <c r="C98">
        <v>1</v>
      </c>
      <c r="D98">
        <v>4</v>
      </c>
      <c r="E98">
        <v>17</v>
      </c>
      <c r="F98">
        <v>1</v>
      </c>
      <c r="G98">
        <v>0</v>
      </c>
      <c r="H98">
        <f>표2[[#This Row],[공격성공횟수]]/(표2[[#This Row],[공격실패횟수]]+표2[[#This Row],[공격성공횟수]])</f>
        <v>0.19047619047619047</v>
      </c>
    </row>
    <row r="99" spans="1:8" hidden="1" x14ac:dyDescent="0.4">
      <c r="A99">
        <v>49</v>
      </c>
      <c r="B99" t="s">
        <v>2</v>
      </c>
      <c r="C99">
        <v>0</v>
      </c>
      <c r="D99">
        <v>1</v>
      </c>
      <c r="E99">
        <v>21</v>
      </c>
      <c r="F99">
        <v>4</v>
      </c>
      <c r="G99">
        <v>1</v>
      </c>
      <c r="H99">
        <f>표2[[#This Row],[공격성공횟수]]/(표2[[#This Row],[공격실패횟수]]+표2[[#This Row],[공격성공횟수]])</f>
        <v>4.5454545454545456E-2</v>
      </c>
    </row>
    <row r="100" spans="1:8" x14ac:dyDescent="0.4">
      <c r="A100">
        <v>50</v>
      </c>
      <c r="B100" t="s">
        <v>0</v>
      </c>
      <c r="C100">
        <v>1</v>
      </c>
      <c r="D100">
        <v>4</v>
      </c>
      <c r="E100">
        <v>23</v>
      </c>
      <c r="F100">
        <v>1</v>
      </c>
      <c r="G100">
        <v>0</v>
      </c>
      <c r="H100">
        <f>표2[[#This Row],[공격성공횟수]]/(표2[[#This Row],[공격실패횟수]]+표2[[#This Row],[공격성공횟수]])</f>
        <v>0.14814814814814814</v>
      </c>
    </row>
    <row r="101" spans="1:8" hidden="1" x14ac:dyDescent="0.4">
      <c r="A101">
        <v>50</v>
      </c>
      <c r="B101" t="s">
        <v>2</v>
      </c>
      <c r="C101">
        <v>0</v>
      </c>
      <c r="D101">
        <v>1</v>
      </c>
      <c r="E101">
        <v>26</v>
      </c>
      <c r="F101">
        <v>4</v>
      </c>
      <c r="G101">
        <v>1</v>
      </c>
      <c r="H101">
        <f>표2[[#This Row],[공격성공횟수]]/(표2[[#This Row],[공격실패횟수]]+표2[[#This Row],[공격성공횟수]])</f>
        <v>3.7037037037037035E-2</v>
      </c>
    </row>
    <row r="102" spans="1:8" x14ac:dyDescent="0.4">
      <c r="A102">
        <v>51</v>
      </c>
      <c r="B102" t="s">
        <v>0</v>
      </c>
      <c r="C102">
        <v>1</v>
      </c>
      <c r="D102">
        <v>4</v>
      </c>
      <c r="E102">
        <v>3</v>
      </c>
      <c r="F102">
        <v>0</v>
      </c>
      <c r="G102">
        <v>0</v>
      </c>
      <c r="H102">
        <f>표2[[#This Row],[공격성공횟수]]/(표2[[#This Row],[공격실패횟수]]+표2[[#This Row],[공격성공횟수]])</f>
        <v>0.5714285714285714</v>
      </c>
    </row>
    <row r="103" spans="1:8" hidden="1" x14ac:dyDescent="0.4">
      <c r="A103">
        <v>51</v>
      </c>
      <c r="B103" t="s">
        <v>2</v>
      </c>
      <c r="C103">
        <v>0</v>
      </c>
      <c r="D103">
        <v>0</v>
      </c>
      <c r="E103">
        <v>7</v>
      </c>
      <c r="F103">
        <v>4</v>
      </c>
      <c r="G103">
        <v>1</v>
      </c>
      <c r="H103">
        <f>표2[[#This Row],[공격성공횟수]]/(표2[[#This Row],[공격실패횟수]]+표2[[#This Row],[공격성공횟수]])</f>
        <v>0</v>
      </c>
    </row>
    <row r="104" spans="1:8" x14ac:dyDescent="0.4">
      <c r="A104">
        <v>52</v>
      </c>
      <c r="B104" t="s">
        <v>0</v>
      </c>
      <c r="C104">
        <v>1</v>
      </c>
      <c r="D104">
        <v>4</v>
      </c>
      <c r="E104">
        <v>20</v>
      </c>
      <c r="F104">
        <v>2</v>
      </c>
      <c r="G104">
        <v>0</v>
      </c>
      <c r="H104">
        <f>표2[[#This Row],[공격성공횟수]]/(표2[[#This Row],[공격실패횟수]]+표2[[#This Row],[공격성공횟수]])</f>
        <v>0.16666666666666666</v>
      </c>
    </row>
    <row r="105" spans="1:8" hidden="1" x14ac:dyDescent="0.4">
      <c r="A105">
        <v>52</v>
      </c>
      <c r="B105" t="s">
        <v>2</v>
      </c>
      <c r="C105">
        <v>0</v>
      </c>
      <c r="D105">
        <v>2</v>
      </c>
      <c r="E105">
        <v>23</v>
      </c>
      <c r="F105">
        <v>4</v>
      </c>
      <c r="G105">
        <v>1</v>
      </c>
      <c r="H105">
        <f>표2[[#This Row],[공격성공횟수]]/(표2[[#This Row],[공격실패횟수]]+표2[[#This Row],[공격성공횟수]])</f>
        <v>0.08</v>
      </c>
    </row>
    <row r="106" spans="1:8" x14ac:dyDescent="0.4">
      <c r="A106">
        <v>53</v>
      </c>
      <c r="B106" t="s">
        <v>0</v>
      </c>
      <c r="C106">
        <v>1</v>
      </c>
      <c r="D106">
        <v>4</v>
      </c>
      <c r="E106">
        <v>10</v>
      </c>
      <c r="F106">
        <v>1</v>
      </c>
      <c r="G106">
        <v>0</v>
      </c>
      <c r="H106">
        <f>표2[[#This Row],[공격성공횟수]]/(표2[[#This Row],[공격실패횟수]]+표2[[#This Row],[공격성공횟수]])</f>
        <v>0.2857142857142857</v>
      </c>
    </row>
    <row r="107" spans="1:8" hidden="1" x14ac:dyDescent="0.4">
      <c r="A107">
        <v>53</v>
      </c>
      <c r="B107" t="s">
        <v>2</v>
      </c>
      <c r="C107">
        <v>0</v>
      </c>
      <c r="D107">
        <v>1</v>
      </c>
      <c r="E107">
        <v>14</v>
      </c>
      <c r="F107">
        <v>4</v>
      </c>
      <c r="G107">
        <v>1</v>
      </c>
      <c r="H107">
        <f>표2[[#This Row],[공격성공횟수]]/(표2[[#This Row],[공격실패횟수]]+표2[[#This Row],[공격성공횟수]])</f>
        <v>6.6666666666666666E-2</v>
      </c>
    </row>
    <row r="108" spans="1:8" x14ac:dyDescent="0.4">
      <c r="A108">
        <v>54</v>
      </c>
      <c r="B108" t="s">
        <v>0</v>
      </c>
      <c r="C108">
        <v>0</v>
      </c>
      <c r="D108">
        <v>1</v>
      </c>
      <c r="E108">
        <v>5</v>
      </c>
      <c r="F108">
        <v>4</v>
      </c>
      <c r="G108">
        <v>1</v>
      </c>
      <c r="H108">
        <f>표2[[#This Row],[공격성공횟수]]/(표2[[#This Row],[공격실패횟수]]+표2[[#This Row],[공격성공횟수]])</f>
        <v>0.16666666666666666</v>
      </c>
    </row>
    <row r="109" spans="1:8" hidden="1" x14ac:dyDescent="0.4">
      <c r="A109">
        <v>54</v>
      </c>
      <c r="B109" t="s">
        <v>2</v>
      </c>
      <c r="C109">
        <v>1</v>
      </c>
      <c r="D109">
        <v>4</v>
      </c>
      <c r="E109">
        <v>4</v>
      </c>
      <c r="F109">
        <v>1</v>
      </c>
      <c r="G109">
        <v>0</v>
      </c>
      <c r="H109">
        <f>표2[[#This Row],[공격성공횟수]]/(표2[[#This Row],[공격실패횟수]]+표2[[#This Row],[공격성공횟수]])</f>
        <v>0.5</v>
      </c>
    </row>
    <row r="110" spans="1:8" x14ac:dyDescent="0.4">
      <c r="A110">
        <v>55</v>
      </c>
      <c r="B110" t="s">
        <v>0</v>
      </c>
      <c r="C110">
        <v>1</v>
      </c>
      <c r="D110">
        <v>4</v>
      </c>
      <c r="E110">
        <v>7</v>
      </c>
      <c r="F110">
        <v>2</v>
      </c>
      <c r="G110">
        <v>0</v>
      </c>
      <c r="H110">
        <f>표2[[#This Row],[공격성공횟수]]/(표2[[#This Row],[공격실패횟수]]+표2[[#This Row],[공격성공횟수]])</f>
        <v>0.36363636363636365</v>
      </c>
    </row>
    <row r="111" spans="1:8" hidden="1" x14ac:dyDescent="0.4">
      <c r="A111">
        <v>55</v>
      </c>
      <c r="B111" t="s">
        <v>2</v>
      </c>
      <c r="C111">
        <v>0</v>
      </c>
      <c r="D111">
        <v>2</v>
      </c>
      <c r="E111">
        <v>8</v>
      </c>
      <c r="F111">
        <v>4</v>
      </c>
      <c r="G111">
        <v>1</v>
      </c>
      <c r="H111">
        <f>표2[[#This Row],[공격성공횟수]]/(표2[[#This Row],[공격실패횟수]]+표2[[#This Row],[공격성공횟수]])</f>
        <v>0.2</v>
      </c>
    </row>
    <row r="112" spans="1:8" x14ac:dyDescent="0.4">
      <c r="A112">
        <v>56</v>
      </c>
      <c r="B112" t="s">
        <v>0</v>
      </c>
      <c r="C112">
        <v>0</v>
      </c>
      <c r="D112">
        <v>1</v>
      </c>
      <c r="E112">
        <v>26</v>
      </c>
      <c r="F112">
        <v>4</v>
      </c>
      <c r="G112">
        <v>1</v>
      </c>
      <c r="H112">
        <f>표2[[#This Row],[공격성공횟수]]/(표2[[#This Row],[공격실패횟수]]+표2[[#This Row],[공격성공횟수]])</f>
        <v>3.7037037037037035E-2</v>
      </c>
    </row>
    <row r="113" spans="1:8" hidden="1" x14ac:dyDescent="0.4">
      <c r="A113">
        <v>56</v>
      </c>
      <c r="B113" t="s">
        <v>2</v>
      </c>
      <c r="C113">
        <v>1</v>
      </c>
      <c r="D113">
        <v>4</v>
      </c>
      <c r="E113">
        <v>25</v>
      </c>
      <c r="F113">
        <v>1</v>
      </c>
      <c r="G113">
        <v>0</v>
      </c>
      <c r="H113">
        <f>표2[[#This Row],[공격성공횟수]]/(표2[[#This Row],[공격실패횟수]]+표2[[#This Row],[공격성공횟수]])</f>
        <v>0.13793103448275862</v>
      </c>
    </row>
    <row r="114" spans="1:8" x14ac:dyDescent="0.4">
      <c r="A114">
        <v>57</v>
      </c>
      <c r="B114" t="s">
        <v>0</v>
      </c>
      <c r="C114">
        <v>1</v>
      </c>
      <c r="D114">
        <v>4</v>
      </c>
      <c r="E114">
        <v>36</v>
      </c>
      <c r="F114">
        <v>1</v>
      </c>
      <c r="G114">
        <v>0</v>
      </c>
      <c r="H114">
        <f>표2[[#This Row],[공격성공횟수]]/(표2[[#This Row],[공격실패횟수]]+표2[[#This Row],[공격성공횟수]])</f>
        <v>0.1</v>
      </c>
    </row>
    <row r="115" spans="1:8" hidden="1" x14ac:dyDescent="0.4">
      <c r="A115">
        <v>57</v>
      </c>
      <c r="B115" t="s">
        <v>2</v>
      </c>
      <c r="C115">
        <v>0</v>
      </c>
      <c r="D115">
        <v>1</v>
      </c>
      <c r="E115">
        <v>38</v>
      </c>
      <c r="F115">
        <v>4</v>
      </c>
      <c r="G115">
        <v>1</v>
      </c>
      <c r="H115">
        <f>표2[[#This Row],[공격성공횟수]]/(표2[[#This Row],[공격실패횟수]]+표2[[#This Row],[공격성공횟수]])</f>
        <v>2.564102564102564E-2</v>
      </c>
    </row>
    <row r="116" spans="1:8" x14ac:dyDescent="0.4">
      <c r="A116">
        <v>58</v>
      </c>
      <c r="B116" t="s">
        <v>0</v>
      </c>
      <c r="C116">
        <v>1</v>
      </c>
      <c r="D116">
        <v>4</v>
      </c>
      <c r="E116">
        <v>23</v>
      </c>
      <c r="F116">
        <v>1</v>
      </c>
      <c r="G116">
        <v>0</v>
      </c>
      <c r="H116">
        <f>표2[[#This Row],[공격성공횟수]]/(표2[[#This Row],[공격실패횟수]]+표2[[#This Row],[공격성공횟수]])</f>
        <v>0.14814814814814814</v>
      </c>
    </row>
    <row r="117" spans="1:8" hidden="1" x14ac:dyDescent="0.4">
      <c r="A117">
        <v>58</v>
      </c>
      <c r="B117" t="s">
        <v>2</v>
      </c>
      <c r="C117">
        <v>0</v>
      </c>
      <c r="D117">
        <v>1</v>
      </c>
      <c r="E117">
        <v>28</v>
      </c>
      <c r="F117">
        <v>4</v>
      </c>
      <c r="G117">
        <v>1</v>
      </c>
      <c r="H117">
        <f>표2[[#This Row],[공격성공횟수]]/(표2[[#This Row],[공격실패횟수]]+표2[[#This Row],[공격성공횟수]])</f>
        <v>3.4482758620689655E-2</v>
      </c>
    </row>
    <row r="118" spans="1:8" x14ac:dyDescent="0.4">
      <c r="A118">
        <v>59</v>
      </c>
      <c r="B118" t="s">
        <v>0</v>
      </c>
      <c r="C118">
        <v>1</v>
      </c>
      <c r="D118">
        <v>4</v>
      </c>
      <c r="E118">
        <v>66</v>
      </c>
      <c r="F118">
        <v>2</v>
      </c>
      <c r="G118">
        <v>0</v>
      </c>
      <c r="H118">
        <f>표2[[#This Row],[공격성공횟수]]/(표2[[#This Row],[공격실패횟수]]+표2[[#This Row],[공격성공횟수]])</f>
        <v>5.7142857142857141E-2</v>
      </c>
    </row>
    <row r="119" spans="1:8" hidden="1" x14ac:dyDescent="0.4">
      <c r="A119">
        <v>59</v>
      </c>
      <c r="B119" t="s">
        <v>2</v>
      </c>
      <c r="C119">
        <v>0</v>
      </c>
      <c r="D119">
        <v>2</v>
      </c>
      <c r="E119">
        <v>67</v>
      </c>
      <c r="F119">
        <v>4</v>
      </c>
      <c r="G119">
        <v>1</v>
      </c>
      <c r="H119">
        <f>표2[[#This Row],[공격성공횟수]]/(표2[[#This Row],[공격실패횟수]]+표2[[#This Row],[공격성공횟수]])</f>
        <v>2.8985507246376812E-2</v>
      </c>
    </row>
    <row r="120" spans="1:8" x14ac:dyDescent="0.4">
      <c r="A120">
        <v>60</v>
      </c>
      <c r="B120" t="s">
        <v>0</v>
      </c>
      <c r="C120">
        <v>1</v>
      </c>
      <c r="D120">
        <v>4</v>
      </c>
      <c r="E120">
        <v>8</v>
      </c>
      <c r="F120">
        <v>2</v>
      </c>
      <c r="G120">
        <v>0</v>
      </c>
      <c r="H120">
        <f>표2[[#This Row],[공격성공횟수]]/(표2[[#This Row],[공격실패횟수]]+표2[[#This Row],[공격성공횟수]])</f>
        <v>0.33333333333333331</v>
      </c>
    </row>
    <row r="121" spans="1:8" hidden="1" x14ac:dyDescent="0.4">
      <c r="A121">
        <v>60</v>
      </c>
      <c r="B121" t="s">
        <v>2</v>
      </c>
      <c r="C121">
        <v>0</v>
      </c>
      <c r="D121">
        <v>2</v>
      </c>
      <c r="E121">
        <v>11</v>
      </c>
      <c r="F121">
        <v>4</v>
      </c>
      <c r="G121">
        <v>1</v>
      </c>
      <c r="H121">
        <f>표2[[#This Row],[공격성공횟수]]/(표2[[#This Row],[공격실패횟수]]+표2[[#This Row],[공격성공횟수]])</f>
        <v>0.15384615384615385</v>
      </c>
    </row>
    <row r="122" spans="1:8" x14ac:dyDescent="0.4">
      <c r="A122">
        <v>61</v>
      </c>
      <c r="B122" t="s">
        <v>0</v>
      </c>
      <c r="C122">
        <v>1</v>
      </c>
      <c r="D122">
        <v>4</v>
      </c>
      <c r="E122">
        <v>46</v>
      </c>
      <c r="F122">
        <v>1</v>
      </c>
      <c r="G122">
        <v>0</v>
      </c>
      <c r="H122">
        <f>표2[[#This Row],[공격성공횟수]]/(표2[[#This Row],[공격실패횟수]]+표2[[#This Row],[공격성공횟수]])</f>
        <v>0.08</v>
      </c>
    </row>
    <row r="123" spans="1:8" hidden="1" x14ac:dyDescent="0.4">
      <c r="A123">
        <v>61</v>
      </c>
      <c r="B123" t="s">
        <v>2</v>
      </c>
      <c r="C123">
        <v>0</v>
      </c>
      <c r="D123">
        <v>1</v>
      </c>
      <c r="E123">
        <v>51</v>
      </c>
      <c r="F123">
        <v>4</v>
      </c>
      <c r="G123">
        <v>1</v>
      </c>
      <c r="H123">
        <f>표2[[#This Row],[공격성공횟수]]/(표2[[#This Row],[공격실패횟수]]+표2[[#This Row],[공격성공횟수]])</f>
        <v>1.9230769230769232E-2</v>
      </c>
    </row>
    <row r="124" spans="1:8" x14ac:dyDescent="0.4">
      <c r="A124">
        <v>62</v>
      </c>
      <c r="B124" t="s">
        <v>0</v>
      </c>
      <c r="C124">
        <v>1</v>
      </c>
      <c r="D124">
        <v>4</v>
      </c>
      <c r="E124">
        <v>25</v>
      </c>
      <c r="F124">
        <v>3</v>
      </c>
      <c r="G124">
        <v>0</v>
      </c>
      <c r="H124">
        <f>표2[[#This Row],[공격성공횟수]]/(표2[[#This Row],[공격실패횟수]]+표2[[#This Row],[공격성공횟수]])</f>
        <v>0.13793103448275862</v>
      </c>
    </row>
    <row r="125" spans="1:8" hidden="1" x14ac:dyDescent="0.4">
      <c r="A125">
        <v>62</v>
      </c>
      <c r="B125" t="s">
        <v>2</v>
      </c>
      <c r="C125">
        <v>0</v>
      </c>
      <c r="D125">
        <v>3</v>
      </c>
      <c r="E125">
        <v>27</v>
      </c>
      <c r="F125">
        <v>4</v>
      </c>
      <c r="G125">
        <v>1</v>
      </c>
      <c r="H125">
        <f>표2[[#This Row],[공격성공횟수]]/(표2[[#This Row],[공격실패횟수]]+표2[[#This Row],[공격성공횟수]])</f>
        <v>0.1</v>
      </c>
    </row>
    <row r="126" spans="1:8" x14ac:dyDescent="0.4">
      <c r="A126">
        <v>63</v>
      </c>
      <c r="B126" t="s">
        <v>0</v>
      </c>
      <c r="C126">
        <v>1</v>
      </c>
      <c r="D126">
        <v>4</v>
      </c>
      <c r="E126">
        <v>17</v>
      </c>
      <c r="F126">
        <v>2</v>
      </c>
      <c r="G126">
        <v>0</v>
      </c>
      <c r="H126">
        <f>표2[[#This Row],[공격성공횟수]]/(표2[[#This Row],[공격실패횟수]]+표2[[#This Row],[공격성공횟수]])</f>
        <v>0.19047619047619047</v>
      </c>
    </row>
    <row r="127" spans="1:8" hidden="1" x14ac:dyDescent="0.4">
      <c r="A127">
        <v>63</v>
      </c>
      <c r="B127" t="s">
        <v>2</v>
      </c>
      <c r="C127">
        <v>0</v>
      </c>
      <c r="D127">
        <v>2</v>
      </c>
      <c r="E127">
        <v>20</v>
      </c>
      <c r="F127">
        <v>4</v>
      </c>
      <c r="G127">
        <v>1</v>
      </c>
      <c r="H127">
        <f>표2[[#This Row],[공격성공횟수]]/(표2[[#This Row],[공격실패횟수]]+표2[[#This Row],[공격성공횟수]])</f>
        <v>9.0909090909090912E-2</v>
      </c>
    </row>
    <row r="128" spans="1:8" x14ac:dyDescent="0.4">
      <c r="A128">
        <v>64</v>
      </c>
      <c r="B128" t="s">
        <v>0</v>
      </c>
      <c r="C128">
        <v>1</v>
      </c>
      <c r="D128">
        <v>4</v>
      </c>
      <c r="E128">
        <v>4</v>
      </c>
      <c r="F128">
        <v>1</v>
      </c>
      <c r="G128">
        <v>0</v>
      </c>
      <c r="H128">
        <f>표2[[#This Row],[공격성공횟수]]/(표2[[#This Row],[공격실패횟수]]+표2[[#This Row],[공격성공횟수]])</f>
        <v>0.5</v>
      </c>
    </row>
    <row r="129" spans="1:8" hidden="1" x14ac:dyDescent="0.4">
      <c r="A129">
        <v>64</v>
      </c>
      <c r="B129" t="s">
        <v>2</v>
      </c>
      <c r="C129">
        <v>0</v>
      </c>
      <c r="D129">
        <v>1</v>
      </c>
      <c r="E129">
        <v>6</v>
      </c>
      <c r="F129">
        <v>4</v>
      </c>
      <c r="G129">
        <v>1</v>
      </c>
      <c r="H129">
        <f>표2[[#This Row],[공격성공횟수]]/(표2[[#This Row],[공격실패횟수]]+표2[[#This Row],[공격성공횟수]])</f>
        <v>0.14285714285714285</v>
      </c>
    </row>
    <row r="130" spans="1:8" x14ac:dyDescent="0.4">
      <c r="A130">
        <v>65</v>
      </c>
      <c r="B130" t="s">
        <v>0</v>
      </c>
      <c r="C130">
        <v>1</v>
      </c>
      <c r="D130">
        <v>4</v>
      </c>
      <c r="E130">
        <v>18</v>
      </c>
      <c r="F130">
        <v>3</v>
      </c>
      <c r="G130">
        <v>0</v>
      </c>
      <c r="H130">
        <f>표2[[#This Row],[공격성공횟수]]/(표2[[#This Row],[공격실패횟수]]+표2[[#This Row],[공격성공횟수]])</f>
        <v>0.18181818181818182</v>
      </c>
    </row>
    <row r="131" spans="1:8" hidden="1" x14ac:dyDescent="0.4">
      <c r="A131">
        <v>65</v>
      </c>
      <c r="B131" t="s">
        <v>2</v>
      </c>
      <c r="C131">
        <v>0</v>
      </c>
      <c r="D131">
        <v>3</v>
      </c>
      <c r="E131">
        <v>20</v>
      </c>
      <c r="F131">
        <v>4</v>
      </c>
      <c r="G131">
        <v>1</v>
      </c>
      <c r="H131">
        <f>표2[[#This Row],[공격성공횟수]]/(표2[[#This Row],[공격실패횟수]]+표2[[#This Row],[공격성공횟수]])</f>
        <v>0.13043478260869565</v>
      </c>
    </row>
    <row r="132" spans="1:8" x14ac:dyDescent="0.4">
      <c r="A132">
        <v>66</v>
      </c>
      <c r="B132" t="s">
        <v>0</v>
      </c>
      <c r="C132">
        <v>0</v>
      </c>
      <c r="D132">
        <v>1</v>
      </c>
      <c r="E132">
        <v>13</v>
      </c>
      <c r="F132">
        <v>4</v>
      </c>
      <c r="G132">
        <v>1</v>
      </c>
      <c r="H132">
        <f>표2[[#This Row],[공격성공횟수]]/(표2[[#This Row],[공격실패횟수]]+표2[[#This Row],[공격성공횟수]])</f>
        <v>7.1428571428571425E-2</v>
      </c>
    </row>
    <row r="133" spans="1:8" hidden="1" x14ac:dyDescent="0.4">
      <c r="A133">
        <v>66</v>
      </c>
      <c r="B133" t="s">
        <v>2</v>
      </c>
      <c r="C133">
        <v>1</v>
      </c>
      <c r="D133">
        <v>4</v>
      </c>
      <c r="E133">
        <v>11</v>
      </c>
      <c r="F133">
        <v>1</v>
      </c>
      <c r="G133">
        <v>0</v>
      </c>
      <c r="H133">
        <f>표2[[#This Row],[공격성공횟수]]/(표2[[#This Row],[공격실패횟수]]+표2[[#This Row],[공격성공횟수]])</f>
        <v>0.26666666666666666</v>
      </c>
    </row>
    <row r="134" spans="1:8" x14ac:dyDescent="0.4">
      <c r="A134">
        <v>67</v>
      </c>
      <c r="B134" t="s">
        <v>0</v>
      </c>
      <c r="C134">
        <v>1</v>
      </c>
      <c r="D134">
        <v>4</v>
      </c>
      <c r="E134">
        <v>45</v>
      </c>
      <c r="F134">
        <v>3</v>
      </c>
      <c r="G134">
        <v>0</v>
      </c>
      <c r="H134">
        <f>표2[[#This Row],[공격성공횟수]]/(표2[[#This Row],[공격실패횟수]]+표2[[#This Row],[공격성공횟수]])</f>
        <v>8.1632653061224483E-2</v>
      </c>
    </row>
    <row r="135" spans="1:8" hidden="1" x14ac:dyDescent="0.4">
      <c r="A135">
        <v>67</v>
      </c>
      <c r="B135" t="s">
        <v>2</v>
      </c>
      <c r="C135">
        <v>0</v>
      </c>
      <c r="D135">
        <v>3</v>
      </c>
      <c r="E135">
        <v>45</v>
      </c>
      <c r="F135">
        <v>4</v>
      </c>
      <c r="G135">
        <v>1</v>
      </c>
      <c r="H135">
        <f>표2[[#This Row],[공격성공횟수]]/(표2[[#This Row],[공격실패횟수]]+표2[[#This Row],[공격성공횟수]])</f>
        <v>6.25E-2</v>
      </c>
    </row>
    <row r="136" spans="1:8" x14ac:dyDescent="0.4">
      <c r="A136">
        <v>68</v>
      </c>
      <c r="B136" t="s">
        <v>0</v>
      </c>
      <c r="C136">
        <v>1</v>
      </c>
      <c r="D136">
        <v>4</v>
      </c>
      <c r="E136">
        <v>21</v>
      </c>
      <c r="F136">
        <v>0</v>
      </c>
      <c r="G136">
        <v>0</v>
      </c>
      <c r="H136">
        <f>표2[[#This Row],[공격성공횟수]]/(표2[[#This Row],[공격실패횟수]]+표2[[#This Row],[공격성공횟수]])</f>
        <v>0.16</v>
      </c>
    </row>
    <row r="137" spans="1:8" hidden="1" x14ac:dyDescent="0.4">
      <c r="A137">
        <v>68</v>
      </c>
      <c r="B137" t="s">
        <v>2</v>
      </c>
      <c r="C137">
        <v>0</v>
      </c>
      <c r="D137">
        <v>0</v>
      </c>
      <c r="E137">
        <v>26</v>
      </c>
      <c r="F137">
        <v>4</v>
      </c>
      <c r="G137">
        <v>1</v>
      </c>
      <c r="H137">
        <f>표2[[#This Row],[공격성공횟수]]/(표2[[#This Row],[공격실패횟수]]+표2[[#This Row],[공격성공횟수]])</f>
        <v>0</v>
      </c>
    </row>
    <row r="138" spans="1:8" x14ac:dyDescent="0.4">
      <c r="A138">
        <v>69</v>
      </c>
      <c r="B138" t="s">
        <v>0</v>
      </c>
      <c r="C138">
        <v>1</v>
      </c>
      <c r="D138">
        <v>4</v>
      </c>
      <c r="E138">
        <v>10</v>
      </c>
      <c r="F138">
        <v>1</v>
      </c>
      <c r="G138">
        <v>0</v>
      </c>
      <c r="H138">
        <f>표2[[#This Row],[공격성공횟수]]/(표2[[#This Row],[공격실패횟수]]+표2[[#This Row],[공격성공횟수]])</f>
        <v>0.2857142857142857</v>
      </c>
    </row>
    <row r="139" spans="1:8" hidden="1" x14ac:dyDescent="0.4">
      <c r="A139">
        <v>69</v>
      </c>
      <c r="B139" t="s">
        <v>2</v>
      </c>
      <c r="C139">
        <v>0</v>
      </c>
      <c r="D139">
        <v>1</v>
      </c>
      <c r="E139">
        <v>13</v>
      </c>
      <c r="F139">
        <v>4</v>
      </c>
      <c r="G139">
        <v>1</v>
      </c>
      <c r="H139">
        <f>표2[[#This Row],[공격성공횟수]]/(표2[[#This Row],[공격실패횟수]]+표2[[#This Row],[공격성공횟수]])</f>
        <v>7.1428571428571425E-2</v>
      </c>
    </row>
    <row r="140" spans="1:8" x14ac:dyDescent="0.4">
      <c r="A140">
        <v>70</v>
      </c>
      <c r="B140" t="s">
        <v>0</v>
      </c>
      <c r="C140">
        <v>1</v>
      </c>
      <c r="D140">
        <v>4</v>
      </c>
      <c r="E140">
        <v>12</v>
      </c>
      <c r="F140">
        <v>3</v>
      </c>
      <c r="G140">
        <v>0</v>
      </c>
      <c r="H140">
        <f>표2[[#This Row],[공격성공횟수]]/(표2[[#This Row],[공격실패횟수]]+표2[[#This Row],[공격성공횟수]])</f>
        <v>0.25</v>
      </c>
    </row>
    <row r="141" spans="1:8" hidden="1" x14ac:dyDescent="0.4">
      <c r="A141">
        <v>70</v>
      </c>
      <c r="B141" t="s">
        <v>2</v>
      </c>
      <c r="C141">
        <v>0</v>
      </c>
      <c r="D141">
        <v>3</v>
      </c>
      <c r="E141">
        <v>13</v>
      </c>
      <c r="F141">
        <v>4</v>
      </c>
      <c r="G141">
        <v>1</v>
      </c>
      <c r="H141">
        <f>표2[[#This Row],[공격성공횟수]]/(표2[[#This Row],[공격실패횟수]]+표2[[#This Row],[공격성공횟수]])</f>
        <v>0.1875</v>
      </c>
    </row>
    <row r="142" spans="1:8" x14ac:dyDescent="0.4">
      <c r="A142">
        <v>71</v>
      </c>
      <c r="B142" t="s">
        <v>0</v>
      </c>
      <c r="C142">
        <v>1</v>
      </c>
      <c r="D142">
        <v>4</v>
      </c>
      <c r="E142">
        <v>6</v>
      </c>
      <c r="F142">
        <v>0</v>
      </c>
      <c r="G142">
        <v>0</v>
      </c>
      <c r="H142">
        <f>표2[[#This Row],[공격성공횟수]]/(표2[[#This Row],[공격실패횟수]]+표2[[#This Row],[공격성공횟수]])</f>
        <v>0.4</v>
      </c>
    </row>
    <row r="143" spans="1:8" hidden="1" x14ac:dyDescent="0.4">
      <c r="A143">
        <v>71</v>
      </c>
      <c r="B143" t="s">
        <v>2</v>
      </c>
      <c r="C143">
        <v>0</v>
      </c>
      <c r="D143">
        <v>0</v>
      </c>
      <c r="E143">
        <v>10</v>
      </c>
      <c r="F143">
        <v>4</v>
      </c>
      <c r="G143">
        <v>1</v>
      </c>
      <c r="H143">
        <f>표2[[#This Row],[공격성공횟수]]/(표2[[#This Row],[공격실패횟수]]+표2[[#This Row],[공격성공횟수]])</f>
        <v>0</v>
      </c>
    </row>
    <row r="144" spans="1:8" x14ac:dyDescent="0.4">
      <c r="A144">
        <v>72</v>
      </c>
      <c r="B144" t="s">
        <v>0</v>
      </c>
      <c r="C144">
        <v>1</v>
      </c>
      <c r="D144">
        <v>4</v>
      </c>
      <c r="E144">
        <v>9</v>
      </c>
      <c r="F144">
        <v>3</v>
      </c>
      <c r="G144">
        <v>0</v>
      </c>
      <c r="H144">
        <f>표2[[#This Row],[공격성공횟수]]/(표2[[#This Row],[공격실패횟수]]+표2[[#This Row],[공격성공횟수]])</f>
        <v>0.30769230769230771</v>
      </c>
    </row>
    <row r="145" spans="1:8" hidden="1" x14ac:dyDescent="0.4">
      <c r="A145">
        <v>72</v>
      </c>
      <c r="B145" t="s">
        <v>2</v>
      </c>
      <c r="C145">
        <v>0</v>
      </c>
      <c r="D145">
        <v>3</v>
      </c>
      <c r="E145">
        <v>11</v>
      </c>
      <c r="F145">
        <v>4</v>
      </c>
      <c r="G145">
        <v>1</v>
      </c>
      <c r="H145">
        <f>표2[[#This Row],[공격성공횟수]]/(표2[[#This Row],[공격실패횟수]]+표2[[#This Row],[공격성공횟수]])</f>
        <v>0.21428571428571427</v>
      </c>
    </row>
    <row r="146" spans="1:8" x14ac:dyDescent="0.4">
      <c r="A146">
        <v>73</v>
      </c>
      <c r="B146" t="s">
        <v>0</v>
      </c>
      <c r="C146">
        <v>1</v>
      </c>
      <c r="D146">
        <v>4</v>
      </c>
      <c r="E146">
        <v>15</v>
      </c>
      <c r="F146">
        <v>0</v>
      </c>
      <c r="G146">
        <v>0</v>
      </c>
      <c r="H146">
        <f>표2[[#This Row],[공격성공횟수]]/(표2[[#This Row],[공격실패횟수]]+표2[[#This Row],[공격성공횟수]])</f>
        <v>0.21052631578947367</v>
      </c>
    </row>
    <row r="147" spans="1:8" hidden="1" x14ac:dyDescent="0.4">
      <c r="A147">
        <v>73</v>
      </c>
      <c r="B147" t="s">
        <v>2</v>
      </c>
      <c r="C147">
        <v>0</v>
      </c>
      <c r="D147">
        <v>0</v>
      </c>
      <c r="E147">
        <v>19</v>
      </c>
      <c r="F147">
        <v>4</v>
      </c>
      <c r="G147">
        <v>1</v>
      </c>
      <c r="H147">
        <f>표2[[#This Row],[공격성공횟수]]/(표2[[#This Row],[공격실패횟수]]+표2[[#This Row],[공격성공횟수]])</f>
        <v>0</v>
      </c>
    </row>
    <row r="148" spans="1:8" x14ac:dyDescent="0.4">
      <c r="A148">
        <v>74</v>
      </c>
      <c r="B148" t="s">
        <v>0</v>
      </c>
      <c r="C148">
        <v>1</v>
      </c>
      <c r="D148">
        <v>4</v>
      </c>
      <c r="E148">
        <v>15</v>
      </c>
      <c r="F148">
        <v>0</v>
      </c>
      <c r="G148">
        <v>0</v>
      </c>
      <c r="H148">
        <f>표2[[#This Row],[공격성공횟수]]/(표2[[#This Row],[공격실패횟수]]+표2[[#This Row],[공격성공횟수]])</f>
        <v>0.21052631578947367</v>
      </c>
    </row>
    <row r="149" spans="1:8" hidden="1" x14ac:dyDescent="0.4">
      <c r="A149">
        <v>74</v>
      </c>
      <c r="B149" t="s">
        <v>2</v>
      </c>
      <c r="C149">
        <v>0</v>
      </c>
      <c r="D149">
        <v>0</v>
      </c>
      <c r="E149">
        <v>20</v>
      </c>
      <c r="F149">
        <v>4</v>
      </c>
      <c r="G149">
        <v>1</v>
      </c>
      <c r="H149">
        <f>표2[[#This Row],[공격성공횟수]]/(표2[[#This Row],[공격실패횟수]]+표2[[#This Row],[공격성공횟수]])</f>
        <v>0</v>
      </c>
    </row>
    <row r="150" spans="1:8" x14ac:dyDescent="0.4">
      <c r="A150">
        <v>75</v>
      </c>
      <c r="B150" t="s">
        <v>0</v>
      </c>
      <c r="C150">
        <v>1</v>
      </c>
      <c r="D150">
        <v>4</v>
      </c>
      <c r="E150">
        <v>3</v>
      </c>
      <c r="F150">
        <v>0</v>
      </c>
      <c r="G150">
        <v>0</v>
      </c>
      <c r="H150">
        <f>표2[[#This Row],[공격성공횟수]]/(표2[[#This Row],[공격실패횟수]]+표2[[#This Row],[공격성공횟수]])</f>
        <v>0.5714285714285714</v>
      </c>
    </row>
    <row r="151" spans="1:8" hidden="1" x14ac:dyDescent="0.4">
      <c r="A151">
        <v>75</v>
      </c>
      <c r="B151" t="s">
        <v>2</v>
      </c>
      <c r="C151">
        <v>0</v>
      </c>
      <c r="D151">
        <v>0</v>
      </c>
      <c r="E151">
        <v>7</v>
      </c>
      <c r="F151">
        <v>4</v>
      </c>
      <c r="G151">
        <v>1</v>
      </c>
      <c r="H151">
        <f>표2[[#This Row],[공격성공횟수]]/(표2[[#This Row],[공격실패횟수]]+표2[[#This Row],[공격성공횟수]])</f>
        <v>0</v>
      </c>
    </row>
    <row r="152" spans="1:8" x14ac:dyDescent="0.4">
      <c r="A152">
        <v>76</v>
      </c>
      <c r="B152" t="s">
        <v>0</v>
      </c>
      <c r="C152">
        <v>1</v>
      </c>
      <c r="D152">
        <v>4</v>
      </c>
      <c r="E152">
        <v>80</v>
      </c>
      <c r="F152">
        <v>2</v>
      </c>
      <c r="G152">
        <v>0</v>
      </c>
      <c r="H152">
        <f>표2[[#This Row],[공격성공횟수]]/(표2[[#This Row],[공격실패횟수]]+표2[[#This Row],[공격성공횟수]])</f>
        <v>4.7619047619047616E-2</v>
      </c>
    </row>
    <row r="153" spans="1:8" hidden="1" x14ac:dyDescent="0.4">
      <c r="A153">
        <v>76</v>
      </c>
      <c r="B153" t="s">
        <v>2</v>
      </c>
      <c r="C153">
        <v>0</v>
      </c>
      <c r="D153">
        <v>2</v>
      </c>
      <c r="E153">
        <v>82</v>
      </c>
      <c r="F153">
        <v>4</v>
      </c>
      <c r="G153">
        <v>1</v>
      </c>
      <c r="H153">
        <f>표2[[#This Row],[공격성공횟수]]/(표2[[#This Row],[공격실패횟수]]+표2[[#This Row],[공격성공횟수]])</f>
        <v>2.3809523809523808E-2</v>
      </c>
    </row>
    <row r="154" spans="1:8" x14ac:dyDescent="0.4">
      <c r="A154">
        <v>77</v>
      </c>
      <c r="B154" t="s">
        <v>0</v>
      </c>
      <c r="C154">
        <v>1</v>
      </c>
      <c r="D154">
        <v>4</v>
      </c>
      <c r="E154">
        <v>17</v>
      </c>
      <c r="F154">
        <v>1</v>
      </c>
      <c r="G154">
        <v>0</v>
      </c>
      <c r="H154">
        <f>표2[[#This Row],[공격성공횟수]]/(표2[[#This Row],[공격실패횟수]]+표2[[#This Row],[공격성공횟수]])</f>
        <v>0.19047619047619047</v>
      </c>
    </row>
    <row r="155" spans="1:8" hidden="1" x14ac:dyDescent="0.4">
      <c r="A155">
        <v>77</v>
      </c>
      <c r="B155" t="s">
        <v>2</v>
      </c>
      <c r="C155">
        <v>0</v>
      </c>
      <c r="D155">
        <v>1</v>
      </c>
      <c r="E155">
        <v>19</v>
      </c>
      <c r="F155">
        <v>4</v>
      </c>
      <c r="G155">
        <v>1</v>
      </c>
      <c r="H155">
        <f>표2[[#This Row],[공격성공횟수]]/(표2[[#This Row],[공격실패횟수]]+표2[[#This Row],[공격성공횟수]])</f>
        <v>0.05</v>
      </c>
    </row>
    <row r="156" spans="1:8" x14ac:dyDescent="0.4">
      <c r="A156">
        <v>78</v>
      </c>
      <c r="B156" t="s">
        <v>0</v>
      </c>
      <c r="C156">
        <v>1</v>
      </c>
      <c r="D156">
        <v>4</v>
      </c>
      <c r="E156">
        <v>40</v>
      </c>
      <c r="F156">
        <v>1</v>
      </c>
      <c r="G156">
        <v>0</v>
      </c>
      <c r="H156">
        <f>표2[[#This Row],[공격성공횟수]]/(표2[[#This Row],[공격실패횟수]]+표2[[#This Row],[공격성공횟수]])</f>
        <v>9.0909090909090912E-2</v>
      </c>
    </row>
    <row r="157" spans="1:8" hidden="1" x14ac:dyDescent="0.4">
      <c r="A157">
        <v>78</v>
      </c>
      <c r="B157" t="s">
        <v>2</v>
      </c>
      <c r="C157">
        <v>0</v>
      </c>
      <c r="D157">
        <v>1</v>
      </c>
      <c r="E157">
        <v>43</v>
      </c>
      <c r="F157">
        <v>4</v>
      </c>
      <c r="G157">
        <v>1</v>
      </c>
      <c r="H157">
        <f>표2[[#This Row],[공격성공횟수]]/(표2[[#This Row],[공격실패횟수]]+표2[[#This Row],[공격성공횟수]])</f>
        <v>2.2727272727272728E-2</v>
      </c>
    </row>
    <row r="158" spans="1:8" x14ac:dyDescent="0.4">
      <c r="A158">
        <v>79</v>
      </c>
      <c r="B158" t="s">
        <v>0</v>
      </c>
      <c r="C158">
        <v>1</v>
      </c>
      <c r="D158">
        <v>4</v>
      </c>
      <c r="E158">
        <v>16</v>
      </c>
      <c r="F158">
        <v>1</v>
      </c>
      <c r="G158">
        <v>0</v>
      </c>
      <c r="H158">
        <f>표2[[#This Row],[공격성공횟수]]/(표2[[#This Row],[공격실패횟수]]+표2[[#This Row],[공격성공횟수]])</f>
        <v>0.2</v>
      </c>
    </row>
    <row r="159" spans="1:8" hidden="1" x14ac:dyDescent="0.4">
      <c r="A159">
        <v>79</v>
      </c>
      <c r="B159" t="s">
        <v>2</v>
      </c>
      <c r="C159">
        <v>0</v>
      </c>
      <c r="D159">
        <v>1</v>
      </c>
      <c r="E159">
        <v>18</v>
      </c>
      <c r="F159">
        <v>4</v>
      </c>
      <c r="G159">
        <v>1</v>
      </c>
      <c r="H159">
        <f>표2[[#This Row],[공격성공횟수]]/(표2[[#This Row],[공격실패횟수]]+표2[[#This Row],[공격성공횟수]])</f>
        <v>5.2631578947368418E-2</v>
      </c>
    </row>
    <row r="160" spans="1:8" x14ac:dyDescent="0.4">
      <c r="A160">
        <v>80</v>
      </c>
      <c r="B160" t="s">
        <v>0</v>
      </c>
      <c r="C160">
        <v>1</v>
      </c>
      <c r="D160">
        <v>4</v>
      </c>
      <c r="E160">
        <v>6</v>
      </c>
      <c r="F160">
        <v>3</v>
      </c>
      <c r="G160">
        <v>0</v>
      </c>
      <c r="H160">
        <f>표2[[#This Row],[공격성공횟수]]/(표2[[#This Row],[공격실패횟수]]+표2[[#This Row],[공격성공횟수]])</f>
        <v>0.4</v>
      </c>
    </row>
    <row r="161" spans="1:8" hidden="1" x14ac:dyDescent="0.4">
      <c r="A161">
        <v>80</v>
      </c>
      <c r="B161" t="s">
        <v>2</v>
      </c>
      <c r="C161">
        <v>0</v>
      </c>
      <c r="D161">
        <v>3</v>
      </c>
      <c r="E161">
        <v>7</v>
      </c>
      <c r="F161">
        <v>4</v>
      </c>
      <c r="G161">
        <v>1</v>
      </c>
      <c r="H161">
        <f>표2[[#This Row],[공격성공횟수]]/(표2[[#This Row],[공격실패횟수]]+표2[[#This Row],[공격성공횟수]])</f>
        <v>0.3</v>
      </c>
    </row>
    <row r="162" spans="1:8" x14ac:dyDescent="0.4">
      <c r="A162">
        <v>81</v>
      </c>
      <c r="B162" t="s">
        <v>0</v>
      </c>
      <c r="C162">
        <v>1</v>
      </c>
      <c r="D162">
        <v>4</v>
      </c>
      <c r="E162">
        <v>4</v>
      </c>
      <c r="F162">
        <v>3</v>
      </c>
      <c r="G162">
        <v>0</v>
      </c>
      <c r="H162">
        <f>표2[[#This Row],[공격성공횟수]]/(표2[[#This Row],[공격실패횟수]]+표2[[#This Row],[공격성공횟수]])</f>
        <v>0.5</v>
      </c>
    </row>
    <row r="163" spans="1:8" hidden="1" x14ac:dyDescent="0.4">
      <c r="A163">
        <v>81</v>
      </c>
      <c r="B163" t="s">
        <v>2</v>
      </c>
      <c r="C163">
        <v>0</v>
      </c>
      <c r="D163">
        <v>3</v>
      </c>
      <c r="E163">
        <v>5</v>
      </c>
      <c r="F163">
        <v>4</v>
      </c>
      <c r="G163">
        <v>1</v>
      </c>
      <c r="H163">
        <f>표2[[#This Row],[공격성공횟수]]/(표2[[#This Row],[공격실패횟수]]+표2[[#This Row],[공격성공횟수]])</f>
        <v>0.375</v>
      </c>
    </row>
    <row r="164" spans="1:8" x14ac:dyDescent="0.4">
      <c r="A164">
        <v>82</v>
      </c>
      <c r="B164" t="s">
        <v>0</v>
      </c>
      <c r="C164">
        <v>1</v>
      </c>
      <c r="D164">
        <v>4</v>
      </c>
      <c r="E164">
        <v>45</v>
      </c>
      <c r="F164">
        <v>1</v>
      </c>
      <c r="G164">
        <v>0</v>
      </c>
      <c r="H164">
        <f>표2[[#This Row],[공격성공횟수]]/(표2[[#This Row],[공격실패횟수]]+표2[[#This Row],[공격성공횟수]])</f>
        <v>8.1632653061224483E-2</v>
      </c>
    </row>
    <row r="165" spans="1:8" hidden="1" x14ac:dyDescent="0.4">
      <c r="A165">
        <v>82</v>
      </c>
      <c r="B165" t="s">
        <v>2</v>
      </c>
      <c r="C165">
        <v>0</v>
      </c>
      <c r="D165">
        <v>1</v>
      </c>
      <c r="E165">
        <v>47</v>
      </c>
      <c r="F165">
        <v>4</v>
      </c>
      <c r="G165">
        <v>1</v>
      </c>
      <c r="H165">
        <f>표2[[#This Row],[공격성공횟수]]/(표2[[#This Row],[공격실패횟수]]+표2[[#This Row],[공격성공횟수]])</f>
        <v>2.0833333333333332E-2</v>
      </c>
    </row>
    <row r="166" spans="1:8" x14ac:dyDescent="0.4">
      <c r="A166">
        <v>83</v>
      </c>
      <c r="B166" t="s">
        <v>0</v>
      </c>
      <c r="C166">
        <v>1</v>
      </c>
      <c r="D166">
        <v>4</v>
      </c>
      <c r="E166">
        <v>5</v>
      </c>
      <c r="F166">
        <v>0</v>
      </c>
      <c r="G166">
        <v>0</v>
      </c>
      <c r="H166">
        <f>표2[[#This Row],[공격성공횟수]]/(표2[[#This Row],[공격실패횟수]]+표2[[#This Row],[공격성공횟수]])</f>
        <v>0.44444444444444442</v>
      </c>
    </row>
    <row r="167" spans="1:8" hidden="1" x14ac:dyDescent="0.4">
      <c r="A167">
        <v>83</v>
      </c>
      <c r="B167" t="s">
        <v>2</v>
      </c>
      <c r="C167">
        <v>0</v>
      </c>
      <c r="D167">
        <v>0</v>
      </c>
      <c r="E167">
        <v>10</v>
      </c>
      <c r="F167">
        <v>4</v>
      </c>
      <c r="G167">
        <v>1</v>
      </c>
      <c r="H167">
        <f>표2[[#This Row],[공격성공횟수]]/(표2[[#This Row],[공격실패횟수]]+표2[[#This Row],[공격성공횟수]])</f>
        <v>0</v>
      </c>
    </row>
    <row r="168" spans="1:8" x14ac:dyDescent="0.4">
      <c r="A168">
        <v>84</v>
      </c>
      <c r="B168" t="s">
        <v>0</v>
      </c>
      <c r="C168">
        <v>1</v>
      </c>
      <c r="D168">
        <v>4</v>
      </c>
      <c r="E168">
        <v>5</v>
      </c>
      <c r="F168">
        <v>1</v>
      </c>
      <c r="G168">
        <v>0</v>
      </c>
      <c r="H168">
        <f>표2[[#This Row],[공격성공횟수]]/(표2[[#This Row],[공격실패횟수]]+표2[[#This Row],[공격성공횟수]])</f>
        <v>0.44444444444444442</v>
      </c>
    </row>
    <row r="169" spans="1:8" hidden="1" x14ac:dyDescent="0.4">
      <c r="A169">
        <v>84</v>
      </c>
      <c r="B169" t="s">
        <v>2</v>
      </c>
      <c r="C169">
        <v>0</v>
      </c>
      <c r="D169">
        <v>1</v>
      </c>
      <c r="E169">
        <v>8</v>
      </c>
      <c r="F169">
        <v>4</v>
      </c>
      <c r="G169">
        <v>1</v>
      </c>
      <c r="H169">
        <f>표2[[#This Row],[공격성공횟수]]/(표2[[#This Row],[공격실패횟수]]+표2[[#This Row],[공격성공횟수]])</f>
        <v>0.1111111111111111</v>
      </c>
    </row>
    <row r="170" spans="1:8" x14ac:dyDescent="0.4">
      <c r="A170">
        <v>85</v>
      </c>
      <c r="B170" t="s">
        <v>0</v>
      </c>
      <c r="C170">
        <v>1</v>
      </c>
      <c r="D170">
        <v>4</v>
      </c>
      <c r="E170">
        <v>18</v>
      </c>
      <c r="F170">
        <v>3</v>
      </c>
      <c r="G170">
        <v>0</v>
      </c>
      <c r="H170">
        <f>표2[[#This Row],[공격성공횟수]]/(표2[[#This Row],[공격실패횟수]]+표2[[#This Row],[공격성공횟수]])</f>
        <v>0.18181818181818182</v>
      </c>
    </row>
    <row r="171" spans="1:8" hidden="1" x14ac:dyDescent="0.4">
      <c r="A171">
        <v>85</v>
      </c>
      <c r="B171" t="s">
        <v>2</v>
      </c>
      <c r="C171">
        <v>0</v>
      </c>
      <c r="D171">
        <v>3</v>
      </c>
      <c r="E171">
        <v>18</v>
      </c>
      <c r="F171">
        <v>4</v>
      </c>
      <c r="G171">
        <v>1</v>
      </c>
      <c r="H171">
        <f>표2[[#This Row],[공격성공횟수]]/(표2[[#This Row],[공격실패횟수]]+표2[[#This Row],[공격성공횟수]])</f>
        <v>0.14285714285714285</v>
      </c>
    </row>
    <row r="172" spans="1:8" x14ac:dyDescent="0.4">
      <c r="A172">
        <v>86</v>
      </c>
      <c r="B172" t="s">
        <v>0</v>
      </c>
      <c r="C172">
        <v>1</v>
      </c>
      <c r="D172">
        <v>4</v>
      </c>
      <c r="E172">
        <v>9</v>
      </c>
      <c r="F172">
        <v>3</v>
      </c>
      <c r="G172">
        <v>0</v>
      </c>
      <c r="H172">
        <f>표2[[#This Row],[공격성공횟수]]/(표2[[#This Row],[공격실패횟수]]+표2[[#This Row],[공격성공횟수]])</f>
        <v>0.30769230769230771</v>
      </c>
    </row>
    <row r="173" spans="1:8" hidden="1" x14ac:dyDescent="0.4">
      <c r="A173">
        <v>86</v>
      </c>
      <c r="B173" t="s">
        <v>2</v>
      </c>
      <c r="C173">
        <v>0</v>
      </c>
      <c r="D173">
        <v>3</v>
      </c>
      <c r="E173">
        <v>11</v>
      </c>
      <c r="F173">
        <v>4</v>
      </c>
      <c r="G173">
        <v>1</v>
      </c>
      <c r="H173">
        <f>표2[[#This Row],[공격성공횟수]]/(표2[[#This Row],[공격실패횟수]]+표2[[#This Row],[공격성공횟수]])</f>
        <v>0.21428571428571427</v>
      </c>
    </row>
    <row r="174" spans="1:8" x14ac:dyDescent="0.4">
      <c r="A174">
        <v>87</v>
      </c>
      <c r="B174" t="s">
        <v>0</v>
      </c>
      <c r="C174">
        <v>1</v>
      </c>
      <c r="D174">
        <v>4</v>
      </c>
      <c r="E174">
        <v>6</v>
      </c>
      <c r="F174">
        <v>3</v>
      </c>
      <c r="G174">
        <v>0</v>
      </c>
      <c r="H174">
        <f>표2[[#This Row],[공격성공횟수]]/(표2[[#This Row],[공격실패횟수]]+표2[[#This Row],[공격성공횟수]])</f>
        <v>0.4</v>
      </c>
    </row>
    <row r="175" spans="1:8" hidden="1" x14ac:dyDescent="0.4">
      <c r="A175">
        <v>87</v>
      </c>
      <c r="B175" t="s">
        <v>2</v>
      </c>
      <c r="C175">
        <v>0</v>
      </c>
      <c r="D175">
        <v>3</v>
      </c>
      <c r="E175">
        <v>7</v>
      </c>
      <c r="F175">
        <v>4</v>
      </c>
      <c r="G175">
        <v>1</v>
      </c>
      <c r="H175">
        <f>표2[[#This Row],[공격성공횟수]]/(표2[[#This Row],[공격실패횟수]]+표2[[#This Row],[공격성공횟수]])</f>
        <v>0.3</v>
      </c>
    </row>
    <row r="176" spans="1:8" x14ac:dyDescent="0.4">
      <c r="A176">
        <v>88</v>
      </c>
      <c r="B176" t="s">
        <v>0</v>
      </c>
      <c r="C176">
        <v>0</v>
      </c>
      <c r="D176">
        <v>3</v>
      </c>
      <c r="E176">
        <v>30</v>
      </c>
      <c r="F176">
        <v>4</v>
      </c>
      <c r="G176">
        <v>1</v>
      </c>
      <c r="H176">
        <f>표2[[#This Row],[공격성공횟수]]/(표2[[#This Row],[공격실패횟수]]+표2[[#This Row],[공격성공횟수]])</f>
        <v>9.0909090909090912E-2</v>
      </c>
    </row>
    <row r="177" spans="1:8" hidden="1" x14ac:dyDescent="0.4">
      <c r="A177">
        <v>88</v>
      </c>
      <c r="B177" t="s">
        <v>2</v>
      </c>
      <c r="C177">
        <v>1</v>
      </c>
      <c r="D177">
        <v>4</v>
      </c>
      <c r="E177">
        <v>31</v>
      </c>
      <c r="F177">
        <v>3</v>
      </c>
      <c r="G177">
        <v>0</v>
      </c>
      <c r="H177">
        <f>표2[[#This Row],[공격성공횟수]]/(표2[[#This Row],[공격실패횟수]]+표2[[#This Row],[공격성공횟수]])</f>
        <v>0.11428571428571428</v>
      </c>
    </row>
    <row r="178" spans="1:8" x14ac:dyDescent="0.4">
      <c r="A178">
        <v>89</v>
      </c>
      <c r="B178" t="s">
        <v>0</v>
      </c>
      <c r="C178">
        <v>0</v>
      </c>
      <c r="D178">
        <v>3</v>
      </c>
      <c r="E178">
        <v>7</v>
      </c>
      <c r="F178">
        <v>4</v>
      </c>
      <c r="G178">
        <v>1</v>
      </c>
      <c r="H178">
        <f>표2[[#This Row],[공격성공횟수]]/(표2[[#This Row],[공격실패횟수]]+표2[[#This Row],[공격성공횟수]])</f>
        <v>0.3</v>
      </c>
    </row>
    <row r="179" spans="1:8" hidden="1" x14ac:dyDescent="0.4">
      <c r="A179">
        <v>89</v>
      </c>
      <c r="B179" t="s">
        <v>2</v>
      </c>
      <c r="C179">
        <v>1</v>
      </c>
      <c r="D179">
        <v>4</v>
      </c>
      <c r="E179">
        <v>7</v>
      </c>
      <c r="F179">
        <v>3</v>
      </c>
      <c r="G179">
        <v>0</v>
      </c>
      <c r="H179">
        <f>표2[[#This Row],[공격성공횟수]]/(표2[[#This Row],[공격실패횟수]]+표2[[#This Row],[공격성공횟수]])</f>
        <v>0.36363636363636365</v>
      </c>
    </row>
    <row r="180" spans="1:8" x14ac:dyDescent="0.4">
      <c r="A180">
        <v>90</v>
      </c>
      <c r="B180" t="s">
        <v>0</v>
      </c>
      <c r="C180">
        <v>1</v>
      </c>
      <c r="D180">
        <v>4</v>
      </c>
      <c r="E180">
        <v>13</v>
      </c>
      <c r="F180">
        <v>2</v>
      </c>
      <c r="G180">
        <v>0</v>
      </c>
      <c r="H180">
        <f>표2[[#This Row],[공격성공횟수]]/(표2[[#This Row],[공격실패횟수]]+표2[[#This Row],[공격성공횟수]])</f>
        <v>0.23529411764705882</v>
      </c>
    </row>
    <row r="181" spans="1:8" hidden="1" x14ac:dyDescent="0.4">
      <c r="A181">
        <v>90</v>
      </c>
      <c r="B181" t="s">
        <v>2</v>
      </c>
      <c r="C181">
        <v>0</v>
      </c>
      <c r="D181">
        <v>2</v>
      </c>
      <c r="E181">
        <v>14</v>
      </c>
      <c r="F181">
        <v>4</v>
      </c>
      <c r="G181">
        <v>1</v>
      </c>
      <c r="H181">
        <f>표2[[#This Row],[공격성공횟수]]/(표2[[#This Row],[공격실패횟수]]+표2[[#This Row],[공격성공횟수]])</f>
        <v>0.125</v>
      </c>
    </row>
    <row r="182" spans="1:8" x14ac:dyDescent="0.4">
      <c r="A182">
        <v>91</v>
      </c>
      <c r="B182" t="s">
        <v>0</v>
      </c>
      <c r="C182">
        <v>1</v>
      </c>
      <c r="D182">
        <v>4</v>
      </c>
      <c r="E182">
        <v>7</v>
      </c>
      <c r="F182">
        <v>3</v>
      </c>
      <c r="G182">
        <v>0</v>
      </c>
      <c r="H182">
        <f>표2[[#This Row],[공격성공횟수]]/(표2[[#This Row],[공격실패횟수]]+표2[[#This Row],[공격성공횟수]])</f>
        <v>0.36363636363636365</v>
      </c>
    </row>
    <row r="183" spans="1:8" hidden="1" x14ac:dyDescent="0.4">
      <c r="A183">
        <v>91</v>
      </c>
      <c r="B183" t="s">
        <v>2</v>
      </c>
      <c r="C183">
        <v>0</v>
      </c>
      <c r="D183">
        <v>3</v>
      </c>
      <c r="E183">
        <v>8</v>
      </c>
      <c r="F183">
        <v>4</v>
      </c>
      <c r="G183">
        <v>1</v>
      </c>
      <c r="H183">
        <f>표2[[#This Row],[공격성공횟수]]/(표2[[#This Row],[공격실패횟수]]+표2[[#This Row],[공격성공횟수]])</f>
        <v>0.27272727272727271</v>
      </c>
    </row>
    <row r="184" spans="1:8" x14ac:dyDescent="0.4">
      <c r="A184">
        <v>92</v>
      </c>
      <c r="B184" t="s">
        <v>0</v>
      </c>
      <c r="C184">
        <v>0</v>
      </c>
      <c r="D184">
        <v>3</v>
      </c>
      <c r="E184">
        <v>6</v>
      </c>
      <c r="F184">
        <v>4</v>
      </c>
      <c r="G184">
        <v>1</v>
      </c>
      <c r="H184">
        <f>표2[[#This Row],[공격성공횟수]]/(표2[[#This Row],[공격실패횟수]]+표2[[#This Row],[공격성공횟수]])</f>
        <v>0.33333333333333331</v>
      </c>
    </row>
    <row r="185" spans="1:8" hidden="1" x14ac:dyDescent="0.4">
      <c r="A185">
        <v>92</v>
      </c>
      <c r="B185" t="s">
        <v>2</v>
      </c>
      <c r="C185">
        <v>1</v>
      </c>
      <c r="D185">
        <v>4</v>
      </c>
      <c r="E185">
        <v>5</v>
      </c>
      <c r="F185">
        <v>3</v>
      </c>
      <c r="G185">
        <v>0</v>
      </c>
      <c r="H185">
        <f>표2[[#This Row],[공격성공횟수]]/(표2[[#This Row],[공격실패횟수]]+표2[[#This Row],[공격성공횟수]])</f>
        <v>0.44444444444444442</v>
      </c>
    </row>
    <row r="186" spans="1:8" x14ac:dyDescent="0.4">
      <c r="A186">
        <v>93</v>
      </c>
      <c r="B186" t="s">
        <v>0</v>
      </c>
      <c r="C186">
        <v>1</v>
      </c>
      <c r="D186">
        <v>4</v>
      </c>
      <c r="E186">
        <v>5</v>
      </c>
      <c r="F186">
        <v>0</v>
      </c>
      <c r="G186">
        <v>0</v>
      </c>
      <c r="H186">
        <f>표2[[#This Row],[공격성공횟수]]/(표2[[#This Row],[공격실패횟수]]+표2[[#This Row],[공격성공횟수]])</f>
        <v>0.44444444444444442</v>
      </c>
    </row>
    <row r="187" spans="1:8" hidden="1" x14ac:dyDescent="0.4">
      <c r="A187">
        <v>93</v>
      </c>
      <c r="B187" t="s">
        <v>2</v>
      </c>
      <c r="C187">
        <v>0</v>
      </c>
      <c r="D187">
        <v>0</v>
      </c>
      <c r="E187">
        <v>9</v>
      </c>
      <c r="F187">
        <v>4</v>
      </c>
      <c r="G187">
        <v>1</v>
      </c>
      <c r="H187">
        <f>표2[[#This Row],[공격성공횟수]]/(표2[[#This Row],[공격실패횟수]]+표2[[#This Row],[공격성공횟수]])</f>
        <v>0</v>
      </c>
    </row>
    <row r="188" spans="1:8" x14ac:dyDescent="0.4">
      <c r="A188">
        <v>94</v>
      </c>
      <c r="B188" t="s">
        <v>0</v>
      </c>
      <c r="C188">
        <v>1</v>
      </c>
      <c r="D188">
        <v>4</v>
      </c>
      <c r="E188">
        <v>2</v>
      </c>
      <c r="F188">
        <v>0</v>
      </c>
      <c r="G188">
        <v>0</v>
      </c>
      <c r="H188">
        <f>표2[[#This Row],[공격성공횟수]]/(표2[[#This Row],[공격실패횟수]]+표2[[#This Row],[공격성공횟수]])</f>
        <v>0.66666666666666663</v>
      </c>
    </row>
    <row r="189" spans="1:8" hidden="1" x14ac:dyDescent="0.4">
      <c r="A189">
        <v>94</v>
      </c>
      <c r="B189" t="s">
        <v>2</v>
      </c>
      <c r="C189">
        <v>0</v>
      </c>
      <c r="D189">
        <v>0</v>
      </c>
      <c r="E189">
        <v>6</v>
      </c>
      <c r="F189">
        <v>4</v>
      </c>
      <c r="G189">
        <v>1</v>
      </c>
      <c r="H189">
        <f>표2[[#This Row],[공격성공횟수]]/(표2[[#This Row],[공격실패횟수]]+표2[[#This Row],[공격성공횟수]])</f>
        <v>0</v>
      </c>
    </row>
    <row r="190" spans="1:8" x14ac:dyDescent="0.4">
      <c r="A190">
        <v>95</v>
      </c>
      <c r="B190" t="s">
        <v>0</v>
      </c>
      <c r="C190">
        <v>1</v>
      </c>
      <c r="D190">
        <v>4</v>
      </c>
      <c r="E190">
        <v>37</v>
      </c>
      <c r="F190">
        <v>1</v>
      </c>
      <c r="G190">
        <v>0</v>
      </c>
      <c r="H190">
        <f>표2[[#This Row],[공격성공횟수]]/(표2[[#This Row],[공격실패횟수]]+표2[[#This Row],[공격성공횟수]])</f>
        <v>9.7560975609756101E-2</v>
      </c>
    </row>
    <row r="191" spans="1:8" hidden="1" x14ac:dyDescent="0.4">
      <c r="A191">
        <v>95</v>
      </c>
      <c r="B191" t="s">
        <v>2</v>
      </c>
      <c r="C191">
        <v>0</v>
      </c>
      <c r="D191">
        <v>1</v>
      </c>
      <c r="E191">
        <v>40</v>
      </c>
      <c r="F191">
        <v>4</v>
      </c>
      <c r="G191">
        <v>1</v>
      </c>
      <c r="H191">
        <f>표2[[#This Row],[공격성공횟수]]/(표2[[#This Row],[공격실패횟수]]+표2[[#This Row],[공격성공횟수]])</f>
        <v>2.4390243902439025E-2</v>
      </c>
    </row>
    <row r="192" spans="1:8" x14ac:dyDescent="0.4">
      <c r="A192">
        <v>96</v>
      </c>
      <c r="B192" t="s">
        <v>0</v>
      </c>
      <c r="C192">
        <v>1</v>
      </c>
      <c r="D192">
        <v>4</v>
      </c>
      <c r="E192">
        <v>18</v>
      </c>
      <c r="F192">
        <v>3</v>
      </c>
      <c r="G192">
        <v>0</v>
      </c>
      <c r="H192">
        <f>표2[[#This Row],[공격성공횟수]]/(표2[[#This Row],[공격실패횟수]]+표2[[#This Row],[공격성공횟수]])</f>
        <v>0.18181818181818182</v>
      </c>
    </row>
    <row r="193" spans="1:8" hidden="1" x14ac:dyDescent="0.4">
      <c r="A193">
        <v>96</v>
      </c>
      <c r="B193" t="s">
        <v>2</v>
      </c>
      <c r="C193">
        <v>0</v>
      </c>
      <c r="D193">
        <v>3</v>
      </c>
      <c r="E193">
        <v>19</v>
      </c>
      <c r="F193">
        <v>4</v>
      </c>
      <c r="G193">
        <v>1</v>
      </c>
      <c r="H193">
        <f>표2[[#This Row],[공격성공횟수]]/(표2[[#This Row],[공격실패횟수]]+표2[[#This Row],[공격성공횟수]])</f>
        <v>0.13636363636363635</v>
      </c>
    </row>
    <row r="194" spans="1:8" x14ac:dyDescent="0.4">
      <c r="A194">
        <v>97</v>
      </c>
      <c r="B194" t="s">
        <v>0</v>
      </c>
      <c r="C194">
        <v>1</v>
      </c>
      <c r="D194">
        <v>4</v>
      </c>
      <c r="E194">
        <v>6</v>
      </c>
      <c r="F194">
        <v>0</v>
      </c>
      <c r="G194">
        <v>0</v>
      </c>
      <c r="H194">
        <f>표2[[#This Row],[공격성공횟수]]/(표2[[#This Row],[공격실패횟수]]+표2[[#This Row],[공격성공횟수]])</f>
        <v>0.4</v>
      </c>
    </row>
    <row r="195" spans="1:8" hidden="1" x14ac:dyDescent="0.4">
      <c r="A195">
        <v>97</v>
      </c>
      <c r="B195" t="s">
        <v>2</v>
      </c>
      <c r="C195">
        <v>0</v>
      </c>
      <c r="D195">
        <v>0</v>
      </c>
      <c r="E195">
        <v>11</v>
      </c>
      <c r="F195">
        <v>4</v>
      </c>
      <c r="G195">
        <v>1</v>
      </c>
      <c r="H195">
        <f>표2[[#This Row],[공격성공횟수]]/(표2[[#This Row],[공격실패횟수]]+표2[[#This Row],[공격성공횟수]])</f>
        <v>0</v>
      </c>
    </row>
    <row r="196" spans="1:8" x14ac:dyDescent="0.4">
      <c r="A196">
        <v>98</v>
      </c>
      <c r="B196" t="s">
        <v>0</v>
      </c>
      <c r="C196">
        <v>1</v>
      </c>
      <c r="D196">
        <v>4</v>
      </c>
      <c r="E196">
        <v>100</v>
      </c>
      <c r="F196">
        <v>2</v>
      </c>
      <c r="G196">
        <v>0</v>
      </c>
      <c r="H196">
        <f>표2[[#This Row],[공격성공횟수]]/(표2[[#This Row],[공격실패횟수]]+표2[[#This Row],[공격성공횟수]])</f>
        <v>3.8461538461538464E-2</v>
      </c>
    </row>
    <row r="197" spans="1:8" hidden="1" x14ac:dyDescent="0.4">
      <c r="A197">
        <v>98</v>
      </c>
      <c r="B197" t="s">
        <v>2</v>
      </c>
      <c r="C197">
        <v>0</v>
      </c>
      <c r="D197">
        <v>2</v>
      </c>
      <c r="E197">
        <v>100</v>
      </c>
      <c r="F197">
        <v>4</v>
      </c>
      <c r="G197">
        <v>1</v>
      </c>
      <c r="H197">
        <f>표2[[#This Row],[공격성공횟수]]/(표2[[#This Row],[공격실패횟수]]+표2[[#This Row],[공격성공횟수]])</f>
        <v>1.9607843137254902E-2</v>
      </c>
    </row>
    <row r="198" spans="1:8" x14ac:dyDescent="0.4">
      <c r="A198">
        <v>99</v>
      </c>
      <c r="B198" t="s">
        <v>0</v>
      </c>
      <c r="C198">
        <v>0</v>
      </c>
      <c r="D198">
        <v>2</v>
      </c>
      <c r="E198">
        <v>5</v>
      </c>
      <c r="F198">
        <v>4</v>
      </c>
      <c r="G198">
        <v>1</v>
      </c>
      <c r="H198">
        <f>표2[[#This Row],[공격성공횟수]]/(표2[[#This Row],[공격실패횟수]]+표2[[#This Row],[공격성공횟수]])</f>
        <v>0.2857142857142857</v>
      </c>
    </row>
    <row r="199" spans="1:8" hidden="1" x14ac:dyDescent="0.4">
      <c r="A199">
        <v>99</v>
      </c>
      <c r="B199" t="s">
        <v>2</v>
      </c>
      <c r="C199">
        <v>1</v>
      </c>
      <c r="D199">
        <v>4</v>
      </c>
      <c r="E199">
        <v>4</v>
      </c>
      <c r="F199">
        <v>2</v>
      </c>
      <c r="G199">
        <v>0</v>
      </c>
      <c r="H199">
        <f>표2[[#This Row],[공격성공횟수]]/(표2[[#This Row],[공격실패횟수]]+표2[[#This Row],[공격성공횟수]])</f>
        <v>0.5</v>
      </c>
    </row>
    <row r="200" spans="1:8" x14ac:dyDescent="0.4">
      <c r="A200">
        <v>100</v>
      </c>
      <c r="B200" t="s">
        <v>0</v>
      </c>
      <c r="C200">
        <v>1</v>
      </c>
      <c r="D200">
        <v>4</v>
      </c>
      <c r="E200">
        <v>12</v>
      </c>
      <c r="F200">
        <v>0</v>
      </c>
      <c r="G200">
        <v>0</v>
      </c>
      <c r="H200">
        <f>표2[[#This Row],[공격성공횟수]]/(표2[[#This Row],[공격실패횟수]]+표2[[#This Row],[공격성공횟수]])</f>
        <v>0.25</v>
      </c>
    </row>
    <row r="201" spans="1:8" hidden="1" x14ac:dyDescent="0.4">
      <c r="A201">
        <v>100</v>
      </c>
      <c r="B201" t="s">
        <v>2</v>
      </c>
      <c r="C201">
        <v>0</v>
      </c>
      <c r="D201">
        <v>0</v>
      </c>
      <c r="E201">
        <v>15</v>
      </c>
      <c r="F201">
        <v>4</v>
      </c>
      <c r="G201">
        <v>1</v>
      </c>
      <c r="H201">
        <f>표2[[#This Row],[공격성공횟수]]/(표2[[#This Row],[공격실패횟수]]+표2[[#This Row],[공격성공횟수]])</f>
        <v>0</v>
      </c>
    </row>
    <row r="202" spans="1:8" x14ac:dyDescent="0.4">
      <c r="A202">
        <v>101</v>
      </c>
      <c r="B202" t="s">
        <v>0</v>
      </c>
      <c r="C202">
        <v>0</v>
      </c>
      <c r="D202">
        <v>1</v>
      </c>
      <c r="E202">
        <v>5</v>
      </c>
      <c r="F202">
        <v>4</v>
      </c>
      <c r="G202">
        <v>1</v>
      </c>
      <c r="H202">
        <f>표2[[#This Row],[공격성공횟수]]/(표2[[#This Row],[공격실패횟수]]+표2[[#This Row],[공격성공횟수]])</f>
        <v>0.16666666666666666</v>
      </c>
    </row>
    <row r="203" spans="1:8" hidden="1" x14ac:dyDescent="0.4">
      <c r="A203">
        <v>101</v>
      </c>
      <c r="B203" t="s">
        <v>2</v>
      </c>
      <c r="C203">
        <v>1</v>
      </c>
      <c r="D203">
        <v>4</v>
      </c>
      <c r="E203">
        <v>3</v>
      </c>
      <c r="F203">
        <v>1</v>
      </c>
      <c r="G203">
        <v>0</v>
      </c>
      <c r="H203">
        <f>표2[[#This Row],[공격성공횟수]]/(표2[[#This Row],[공격실패횟수]]+표2[[#This Row],[공격성공횟수]])</f>
        <v>0.5714285714285714</v>
      </c>
    </row>
    <row r="204" spans="1:8" x14ac:dyDescent="0.4">
      <c r="A204">
        <v>102</v>
      </c>
      <c r="B204" t="s">
        <v>0</v>
      </c>
      <c r="C204">
        <v>0</v>
      </c>
      <c r="D204">
        <v>1</v>
      </c>
      <c r="E204">
        <v>16</v>
      </c>
      <c r="F204">
        <v>4</v>
      </c>
      <c r="G204">
        <v>1</v>
      </c>
      <c r="H204">
        <f>표2[[#This Row],[공격성공횟수]]/(표2[[#This Row],[공격실패횟수]]+표2[[#This Row],[공격성공횟수]])</f>
        <v>5.8823529411764705E-2</v>
      </c>
    </row>
    <row r="205" spans="1:8" hidden="1" x14ac:dyDescent="0.4">
      <c r="A205">
        <v>102</v>
      </c>
      <c r="B205" t="s">
        <v>2</v>
      </c>
      <c r="C205">
        <v>1</v>
      </c>
      <c r="D205">
        <v>4</v>
      </c>
      <c r="E205">
        <v>13</v>
      </c>
      <c r="F205">
        <v>1</v>
      </c>
      <c r="G205">
        <v>0</v>
      </c>
      <c r="H205">
        <f>표2[[#This Row],[공격성공횟수]]/(표2[[#This Row],[공격실패횟수]]+표2[[#This Row],[공격성공횟수]])</f>
        <v>0.23529411764705882</v>
      </c>
    </row>
    <row r="206" spans="1:8" x14ac:dyDescent="0.4">
      <c r="A206">
        <v>103</v>
      </c>
      <c r="B206" t="s">
        <v>0</v>
      </c>
      <c r="C206">
        <v>0</v>
      </c>
      <c r="D206">
        <v>3</v>
      </c>
      <c r="E206">
        <v>22</v>
      </c>
      <c r="F206">
        <v>4</v>
      </c>
      <c r="G206">
        <v>1</v>
      </c>
      <c r="H206">
        <f>표2[[#This Row],[공격성공횟수]]/(표2[[#This Row],[공격실패횟수]]+표2[[#This Row],[공격성공횟수]])</f>
        <v>0.12</v>
      </c>
    </row>
    <row r="207" spans="1:8" hidden="1" x14ac:dyDescent="0.4">
      <c r="A207">
        <v>103</v>
      </c>
      <c r="B207" t="s">
        <v>2</v>
      </c>
      <c r="C207">
        <v>1</v>
      </c>
      <c r="D207">
        <v>4</v>
      </c>
      <c r="E207">
        <v>21</v>
      </c>
      <c r="F207">
        <v>3</v>
      </c>
      <c r="G207">
        <v>0</v>
      </c>
      <c r="H207">
        <f>표2[[#This Row],[공격성공횟수]]/(표2[[#This Row],[공격실패횟수]]+표2[[#This Row],[공격성공횟수]])</f>
        <v>0.16</v>
      </c>
    </row>
    <row r="208" spans="1:8" x14ac:dyDescent="0.4">
      <c r="A208">
        <v>104</v>
      </c>
      <c r="B208" t="s">
        <v>0</v>
      </c>
      <c r="C208">
        <v>1</v>
      </c>
      <c r="D208">
        <v>4</v>
      </c>
      <c r="E208">
        <v>22</v>
      </c>
      <c r="F208">
        <v>0</v>
      </c>
      <c r="G208">
        <v>0</v>
      </c>
      <c r="H208">
        <f>표2[[#This Row],[공격성공횟수]]/(표2[[#This Row],[공격실패횟수]]+표2[[#This Row],[공격성공횟수]])</f>
        <v>0.15384615384615385</v>
      </c>
    </row>
    <row r="209" spans="1:8" hidden="1" x14ac:dyDescent="0.4">
      <c r="A209">
        <v>104</v>
      </c>
      <c r="B209" t="s">
        <v>2</v>
      </c>
      <c r="C209">
        <v>0</v>
      </c>
      <c r="D209">
        <v>0</v>
      </c>
      <c r="E209">
        <v>26</v>
      </c>
      <c r="F209">
        <v>4</v>
      </c>
      <c r="G209">
        <v>1</v>
      </c>
      <c r="H209">
        <f>표2[[#This Row],[공격성공횟수]]/(표2[[#This Row],[공격실패횟수]]+표2[[#This Row],[공격성공횟수]])</f>
        <v>0</v>
      </c>
    </row>
    <row r="210" spans="1:8" x14ac:dyDescent="0.4">
      <c r="A210">
        <v>105</v>
      </c>
      <c r="B210" t="s">
        <v>0</v>
      </c>
      <c r="C210">
        <v>1</v>
      </c>
      <c r="D210">
        <v>4</v>
      </c>
      <c r="E210">
        <v>37</v>
      </c>
      <c r="F210">
        <v>3</v>
      </c>
      <c r="G210">
        <v>0</v>
      </c>
      <c r="H210">
        <f>표2[[#This Row],[공격성공횟수]]/(표2[[#This Row],[공격실패횟수]]+표2[[#This Row],[공격성공횟수]])</f>
        <v>9.7560975609756101E-2</v>
      </c>
    </row>
    <row r="211" spans="1:8" hidden="1" x14ac:dyDescent="0.4">
      <c r="A211">
        <v>105</v>
      </c>
      <c r="B211" t="s">
        <v>2</v>
      </c>
      <c r="C211">
        <v>0</v>
      </c>
      <c r="D211">
        <v>3</v>
      </c>
      <c r="E211">
        <v>38</v>
      </c>
      <c r="F211">
        <v>4</v>
      </c>
      <c r="G211">
        <v>1</v>
      </c>
      <c r="H211">
        <f>표2[[#This Row],[공격성공횟수]]/(표2[[#This Row],[공격실패횟수]]+표2[[#This Row],[공격성공횟수]])</f>
        <v>7.3170731707317069E-2</v>
      </c>
    </row>
    <row r="212" spans="1:8" x14ac:dyDescent="0.4">
      <c r="A212">
        <v>106</v>
      </c>
      <c r="B212" t="s">
        <v>0</v>
      </c>
      <c r="C212">
        <v>1</v>
      </c>
      <c r="D212">
        <v>4</v>
      </c>
      <c r="E212">
        <v>3</v>
      </c>
      <c r="F212">
        <v>1</v>
      </c>
      <c r="G212">
        <v>0</v>
      </c>
      <c r="H212">
        <f>표2[[#This Row],[공격성공횟수]]/(표2[[#This Row],[공격실패횟수]]+표2[[#This Row],[공격성공횟수]])</f>
        <v>0.5714285714285714</v>
      </c>
    </row>
    <row r="213" spans="1:8" hidden="1" x14ac:dyDescent="0.4">
      <c r="A213">
        <v>106</v>
      </c>
      <c r="B213" t="s">
        <v>2</v>
      </c>
      <c r="C213">
        <v>0</v>
      </c>
      <c r="D213">
        <v>1</v>
      </c>
      <c r="E213">
        <v>6</v>
      </c>
      <c r="F213">
        <v>4</v>
      </c>
      <c r="G213">
        <v>1</v>
      </c>
      <c r="H213">
        <f>표2[[#This Row],[공격성공횟수]]/(표2[[#This Row],[공격실패횟수]]+표2[[#This Row],[공격성공횟수]])</f>
        <v>0.14285714285714285</v>
      </c>
    </row>
    <row r="214" spans="1:8" x14ac:dyDescent="0.4">
      <c r="A214">
        <v>107</v>
      </c>
      <c r="B214" t="s">
        <v>0</v>
      </c>
      <c r="C214">
        <v>1</v>
      </c>
      <c r="D214">
        <v>4</v>
      </c>
      <c r="E214">
        <v>4</v>
      </c>
      <c r="F214">
        <v>0</v>
      </c>
      <c r="G214">
        <v>0</v>
      </c>
      <c r="H214">
        <f>표2[[#This Row],[공격성공횟수]]/(표2[[#This Row],[공격실패횟수]]+표2[[#This Row],[공격성공횟수]])</f>
        <v>0.5</v>
      </c>
    </row>
    <row r="215" spans="1:8" hidden="1" x14ac:dyDescent="0.4">
      <c r="A215">
        <v>107</v>
      </c>
      <c r="B215" t="s">
        <v>2</v>
      </c>
      <c r="C215">
        <v>0</v>
      </c>
      <c r="D215">
        <v>0</v>
      </c>
      <c r="E215">
        <v>8</v>
      </c>
      <c r="F215">
        <v>4</v>
      </c>
      <c r="G215">
        <v>1</v>
      </c>
      <c r="H215">
        <f>표2[[#This Row],[공격성공횟수]]/(표2[[#This Row],[공격실패횟수]]+표2[[#This Row],[공격성공횟수]])</f>
        <v>0</v>
      </c>
    </row>
    <row r="216" spans="1:8" x14ac:dyDescent="0.4">
      <c r="A216">
        <v>108</v>
      </c>
      <c r="B216" t="s">
        <v>0</v>
      </c>
      <c r="C216">
        <v>1</v>
      </c>
      <c r="D216">
        <v>4</v>
      </c>
      <c r="E216">
        <v>15</v>
      </c>
      <c r="F216">
        <v>1</v>
      </c>
      <c r="G216">
        <v>0</v>
      </c>
      <c r="H216">
        <f>표2[[#This Row],[공격성공횟수]]/(표2[[#This Row],[공격실패횟수]]+표2[[#This Row],[공격성공횟수]])</f>
        <v>0.21052631578947367</v>
      </c>
    </row>
    <row r="217" spans="1:8" hidden="1" x14ac:dyDescent="0.4">
      <c r="A217">
        <v>108</v>
      </c>
      <c r="B217" t="s">
        <v>2</v>
      </c>
      <c r="C217">
        <v>0</v>
      </c>
      <c r="D217">
        <v>1</v>
      </c>
      <c r="E217">
        <v>18</v>
      </c>
      <c r="F217">
        <v>4</v>
      </c>
      <c r="G217">
        <v>1</v>
      </c>
      <c r="H217">
        <f>표2[[#This Row],[공격성공횟수]]/(표2[[#This Row],[공격실패횟수]]+표2[[#This Row],[공격성공횟수]])</f>
        <v>5.2631578947368418E-2</v>
      </c>
    </row>
    <row r="218" spans="1:8" x14ac:dyDescent="0.4">
      <c r="A218">
        <v>109</v>
      </c>
      <c r="B218" t="s">
        <v>0</v>
      </c>
      <c r="C218">
        <v>0</v>
      </c>
      <c r="D218">
        <v>2</v>
      </c>
      <c r="E218">
        <v>7</v>
      </c>
      <c r="F218">
        <v>4</v>
      </c>
      <c r="G218">
        <v>1</v>
      </c>
      <c r="H218">
        <f>표2[[#This Row],[공격성공횟수]]/(표2[[#This Row],[공격실패횟수]]+표2[[#This Row],[공격성공횟수]])</f>
        <v>0.22222222222222221</v>
      </c>
    </row>
    <row r="219" spans="1:8" hidden="1" x14ac:dyDescent="0.4">
      <c r="A219">
        <v>109</v>
      </c>
      <c r="B219" t="s">
        <v>2</v>
      </c>
      <c r="C219">
        <v>1</v>
      </c>
      <c r="D219">
        <v>4</v>
      </c>
      <c r="E219">
        <v>7</v>
      </c>
      <c r="F219">
        <v>2</v>
      </c>
      <c r="G219">
        <v>0</v>
      </c>
      <c r="H219">
        <f>표2[[#This Row],[공격성공횟수]]/(표2[[#This Row],[공격실패횟수]]+표2[[#This Row],[공격성공횟수]])</f>
        <v>0.36363636363636365</v>
      </c>
    </row>
    <row r="220" spans="1:8" x14ac:dyDescent="0.4">
      <c r="A220">
        <v>110</v>
      </c>
      <c r="B220" t="s">
        <v>0</v>
      </c>
      <c r="C220">
        <v>1</v>
      </c>
      <c r="D220">
        <v>4</v>
      </c>
      <c r="E220">
        <v>16</v>
      </c>
      <c r="F220">
        <v>0</v>
      </c>
      <c r="G220">
        <v>0</v>
      </c>
      <c r="H220">
        <f>표2[[#This Row],[공격성공횟수]]/(표2[[#This Row],[공격실패횟수]]+표2[[#This Row],[공격성공횟수]])</f>
        <v>0.2</v>
      </c>
    </row>
    <row r="221" spans="1:8" hidden="1" x14ac:dyDescent="0.4">
      <c r="A221">
        <v>110</v>
      </c>
      <c r="B221" t="s">
        <v>2</v>
      </c>
      <c r="C221">
        <v>0</v>
      </c>
      <c r="D221">
        <v>0</v>
      </c>
      <c r="E221">
        <v>19</v>
      </c>
      <c r="F221">
        <v>4</v>
      </c>
      <c r="G221">
        <v>1</v>
      </c>
      <c r="H221">
        <f>표2[[#This Row],[공격성공횟수]]/(표2[[#This Row],[공격실패횟수]]+표2[[#This Row],[공격성공횟수]])</f>
        <v>0</v>
      </c>
    </row>
    <row r="222" spans="1:8" x14ac:dyDescent="0.4">
      <c r="A222">
        <v>111</v>
      </c>
      <c r="B222" t="s">
        <v>0</v>
      </c>
      <c r="C222">
        <v>1</v>
      </c>
      <c r="D222">
        <v>4</v>
      </c>
      <c r="E222">
        <v>16</v>
      </c>
      <c r="F222">
        <v>1</v>
      </c>
      <c r="G222">
        <v>0</v>
      </c>
      <c r="H222">
        <f>표2[[#This Row],[공격성공횟수]]/(표2[[#This Row],[공격실패횟수]]+표2[[#This Row],[공격성공횟수]])</f>
        <v>0.2</v>
      </c>
    </row>
    <row r="223" spans="1:8" hidden="1" x14ac:dyDescent="0.4">
      <c r="A223">
        <v>111</v>
      </c>
      <c r="B223" t="s">
        <v>2</v>
      </c>
      <c r="C223">
        <v>0</v>
      </c>
      <c r="D223">
        <v>1</v>
      </c>
      <c r="E223">
        <v>21</v>
      </c>
      <c r="F223">
        <v>4</v>
      </c>
      <c r="G223">
        <v>1</v>
      </c>
      <c r="H223">
        <f>표2[[#This Row],[공격성공횟수]]/(표2[[#This Row],[공격실패횟수]]+표2[[#This Row],[공격성공횟수]])</f>
        <v>4.5454545454545456E-2</v>
      </c>
    </row>
    <row r="224" spans="1:8" x14ac:dyDescent="0.4">
      <c r="A224">
        <v>112</v>
      </c>
      <c r="B224" t="s">
        <v>0</v>
      </c>
      <c r="C224">
        <v>1</v>
      </c>
      <c r="D224">
        <v>4</v>
      </c>
      <c r="E224">
        <v>8</v>
      </c>
      <c r="F224">
        <v>3</v>
      </c>
      <c r="G224">
        <v>0</v>
      </c>
      <c r="H224">
        <f>표2[[#This Row],[공격성공횟수]]/(표2[[#This Row],[공격실패횟수]]+표2[[#This Row],[공격성공횟수]])</f>
        <v>0.33333333333333331</v>
      </c>
    </row>
    <row r="225" spans="1:8" hidden="1" x14ac:dyDescent="0.4">
      <c r="A225">
        <v>112</v>
      </c>
      <c r="B225" t="s">
        <v>2</v>
      </c>
      <c r="C225">
        <v>0</v>
      </c>
      <c r="D225">
        <v>3</v>
      </c>
      <c r="E225">
        <v>9</v>
      </c>
      <c r="F225">
        <v>4</v>
      </c>
      <c r="G225">
        <v>1</v>
      </c>
      <c r="H225">
        <f>표2[[#This Row],[공격성공횟수]]/(표2[[#This Row],[공격실패횟수]]+표2[[#This Row],[공격성공횟수]])</f>
        <v>0.25</v>
      </c>
    </row>
    <row r="226" spans="1:8" x14ac:dyDescent="0.4">
      <c r="A226">
        <v>113</v>
      </c>
      <c r="B226" t="s">
        <v>0</v>
      </c>
      <c r="C226">
        <v>0</v>
      </c>
      <c r="D226">
        <v>1</v>
      </c>
      <c r="E226">
        <v>7</v>
      </c>
      <c r="F226">
        <v>4</v>
      </c>
      <c r="G226">
        <v>1</v>
      </c>
      <c r="H226">
        <f>표2[[#This Row],[공격성공횟수]]/(표2[[#This Row],[공격실패횟수]]+표2[[#This Row],[공격성공횟수]])</f>
        <v>0.125</v>
      </c>
    </row>
    <row r="227" spans="1:8" hidden="1" x14ac:dyDescent="0.4">
      <c r="A227">
        <v>113</v>
      </c>
      <c r="B227" t="s">
        <v>2</v>
      </c>
      <c r="C227">
        <v>1</v>
      </c>
      <c r="D227">
        <v>4</v>
      </c>
      <c r="E227">
        <v>5</v>
      </c>
      <c r="F227">
        <v>1</v>
      </c>
      <c r="G227">
        <v>0</v>
      </c>
      <c r="H227">
        <f>표2[[#This Row],[공격성공횟수]]/(표2[[#This Row],[공격실패횟수]]+표2[[#This Row],[공격성공횟수]])</f>
        <v>0.44444444444444442</v>
      </c>
    </row>
    <row r="228" spans="1:8" x14ac:dyDescent="0.4">
      <c r="A228">
        <v>114</v>
      </c>
      <c r="B228" t="s">
        <v>0</v>
      </c>
      <c r="C228">
        <v>1</v>
      </c>
      <c r="D228">
        <v>4</v>
      </c>
      <c r="E228">
        <v>11</v>
      </c>
      <c r="F228">
        <v>1</v>
      </c>
      <c r="G228">
        <v>0</v>
      </c>
      <c r="H228">
        <f>표2[[#This Row],[공격성공횟수]]/(표2[[#This Row],[공격실패횟수]]+표2[[#This Row],[공격성공횟수]])</f>
        <v>0.26666666666666666</v>
      </c>
    </row>
    <row r="229" spans="1:8" hidden="1" x14ac:dyDescent="0.4">
      <c r="A229">
        <v>114</v>
      </c>
      <c r="B229" t="s">
        <v>2</v>
      </c>
      <c r="C229">
        <v>0</v>
      </c>
      <c r="D229">
        <v>1</v>
      </c>
      <c r="E229">
        <v>14</v>
      </c>
      <c r="F229">
        <v>4</v>
      </c>
      <c r="G229">
        <v>1</v>
      </c>
      <c r="H229">
        <f>표2[[#This Row],[공격성공횟수]]/(표2[[#This Row],[공격실패횟수]]+표2[[#This Row],[공격성공횟수]])</f>
        <v>6.6666666666666666E-2</v>
      </c>
    </row>
    <row r="230" spans="1:8" x14ac:dyDescent="0.4">
      <c r="A230">
        <v>115</v>
      </c>
      <c r="B230" t="s">
        <v>0</v>
      </c>
      <c r="C230">
        <v>1</v>
      </c>
      <c r="D230">
        <v>4</v>
      </c>
      <c r="E230">
        <v>45</v>
      </c>
      <c r="F230">
        <v>1</v>
      </c>
      <c r="G230">
        <v>0</v>
      </c>
      <c r="H230">
        <f>표2[[#This Row],[공격성공횟수]]/(표2[[#This Row],[공격실패횟수]]+표2[[#This Row],[공격성공횟수]])</f>
        <v>8.1632653061224483E-2</v>
      </c>
    </row>
    <row r="231" spans="1:8" hidden="1" x14ac:dyDescent="0.4">
      <c r="A231">
        <v>115</v>
      </c>
      <c r="B231" t="s">
        <v>2</v>
      </c>
      <c r="C231">
        <v>0</v>
      </c>
      <c r="D231">
        <v>1</v>
      </c>
      <c r="E231">
        <v>49</v>
      </c>
      <c r="F231">
        <v>4</v>
      </c>
      <c r="G231">
        <v>1</v>
      </c>
      <c r="H231">
        <f>표2[[#This Row],[공격성공횟수]]/(표2[[#This Row],[공격실패횟수]]+표2[[#This Row],[공격성공횟수]])</f>
        <v>0.02</v>
      </c>
    </row>
    <row r="232" spans="1:8" x14ac:dyDescent="0.4">
      <c r="A232">
        <v>116</v>
      </c>
      <c r="B232" t="s">
        <v>0</v>
      </c>
      <c r="C232">
        <v>1</v>
      </c>
      <c r="D232">
        <v>4</v>
      </c>
      <c r="E232">
        <v>12</v>
      </c>
      <c r="F232">
        <v>0</v>
      </c>
      <c r="G232">
        <v>0</v>
      </c>
      <c r="H232">
        <f>표2[[#This Row],[공격성공횟수]]/(표2[[#This Row],[공격실패횟수]]+표2[[#This Row],[공격성공횟수]])</f>
        <v>0.25</v>
      </c>
    </row>
    <row r="233" spans="1:8" hidden="1" x14ac:dyDescent="0.4">
      <c r="A233">
        <v>116</v>
      </c>
      <c r="B233" t="s">
        <v>2</v>
      </c>
      <c r="C233">
        <v>0</v>
      </c>
      <c r="D233">
        <v>0</v>
      </c>
      <c r="E233">
        <v>16</v>
      </c>
      <c r="F233">
        <v>4</v>
      </c>
      <c r="G233">
        <v>1</v>
      </c>
      <c r="H233">
        <f>표2[[#This Row],[공격성공횟수]]/(표2[[#This Row],[공격실패횟수]]+표2[[#This Row],[공격성공횟수]])</f>
        <v>0</v>
      </c>
    </row>
    <row r="234" spans="1:8" x14ac:dyDescent="0.4">
      <c r="A234">
        <v>117</v>
      </c>
      <c r="B234" t="s">
        <v>0</v>
      </c>
      <c r="C234">
        <v>1</v>
      </c>
      <c r="D234">
        <v>4</v>
      </c>
      <c r="E234">
        <v>2</v>
      </c>
      <c r="F234">
        <v>2</v>
      </c>
      <c r="G234">
        <v>0</v>
      </c>
      <c r="H234">
        <f>표2[[#This Row],[공격성공횟수]]/(표2[[#This Row],[공격실패횟수]]+표2[[#This Row],[공격성공횟수]])</f>
        <v>0.66666666666666663</v>
      </c>
    </row>
    <row r="235" spans="1:8" hidden="1" x14ac:dyDescent="0.4">
      <c r="A235">
        <v>117</v>
      </c>
      <c r="B235" t="s">
        <v>2</v>
      </c>
      <c r="C235">
        <v>0</v>
      </c>
      <c r="D235">
        <v>2</v>
      </c>
      <c r="E235">
        <v>4</v>
      </c>
      <c r="F235">
        <v>4</v>
      </c>
      <c r="G235">
        <v>1</v>
      </c>
      <c r="H235">
        <f>표2[[#This Row],[공격성공횟수]]/(표2[[#This Row],[공격실패횟수]]+표2[[#This Row],[공격성공횟수]])</f>
        <v>0.33333333333333331</v>
      </c>
    </row>
    <row r="236" spans="1:8" x14ac:dyDescent="0.4">
      <c r="A236">
        <v>118</v>
      </c>
      <c r="B236" t="s">
        <v>0</v>
      </c>
      <c r="C236">
        <v>0</v>
      </c>
      <c r="D236">
        <v>2</v>
      </c>
      <c r="E236">
        <v>73</v>
      </c>
      <c r="F236">
        <v>4</v>
      </c>
      <c r="G236">
        <v>1</v>
      </c>
      <c r="H236">
        <f>표2[[#This Row],[공격성공횟수]]/(표2[[#This Row],[공격실패횟수]]+표2[[#This Row],[공격성공횟수]])</f>
        <v>2.6666666666666668E-2</v>
      </c>
    </row>
    <row r="237" spans="1:8" hidden="1" x14ac:dyDescent="0.4">
      <c r="A237">
        <v>118</v>
      </c>
      <c r="B237" t="s">
        <v>2</v>
      </c>
      <c r="C237">
        <v>1</v>
      </c>
      <c r="D237">
        <v>4</v>
      </c>
      <c r="E237">
        <v>71</v>
      </c>
      <c r="F237">
        <v>2</v>
      </c>
      <c r="G237">
        <v>0</v>
      </c>
      <c r="H237">
        <f>표2[[#This Row],[공격성공횟수]]/(표2[[#This Row],[공격실패횟수]]+표2[[#This Row],[공격성공횟수]])</f>
        <v>5.3333333333333337E-2</v>
      </c>
    </row>
    <row r="238" spans="1:8" x14ac:dyDescent="0.4">
      <c r="A238">
        <v>119</v>
      </c>
      <c r="B238" t="s">
        <v>0</v>
      </c>
      <c r="C238">
        <v>1</v>
      </c>
      <c r="D238">
        <v>4</v>
      </c>
      <c r="E238">
        <v>31</v>
      </c>
      <c r="F238">
        <v>2</v>
      </c>
      <c r="G238">
        <v>0</v>
      </c>
      <c r="H238">
        <f>표2[[#This Row],[공격성공횟수]]/(표2[[#This Row],[공격실패횟수]]+표2[[#This Row],[공격성공횟수]])</f>
        <v>0.11428571428571428</v>
      </c>
    </row>
    <row r="239" spans="1:8" hidden="1" x14ac:dyDescent="0.4">
      <c r="A239">
        <v>119</v>
      </c>
      <c r="B239" t="s">
        <v>2</v>
      </c>
      <c r="C239">
        <v>0</v>
      </c>
      <c r="D239">
        <v>2</v>
      </c>
      <c r="E239">
        <v>31</v>
      </c>
      <c r="F239">
        <v>4</v>
      </c>
      <c r="G239">
        <v>1</v>
      </c>
      <c r="H239">
        <f>표2[[#This Row],[공격성공횟수]]/(표2[[#This Row],[공격실패횟수]]+표2[[#This Row],[공격성공횟수]])</f>
        <v>6.0606060606060608E-2</v>
      </c>
    </row>
    <row r="240" spans="1:8" x14ac:dyDescent="0.4">
      <c r="A240">
        <v>120</v>
      </c>
      <c r="B240" t="s">
        <v>0</v>
      </c>
      <c r="C240">
        <v>1</v>
      </c>
      <c r="D240">
        <v>4</v>
      </c>
      <c r="E240">
        <v>17</v>
      </c>
      <c r="F240">
        <v>2</v>
      </c>
      <c r="G240">
        <v>0</v>
      </c>
      <c r="H240">
        <f>표2[[#This Row],[공격성공횟수]]/(표2[[#This Row],[공격실패횟수]]+표2[[#This Row],[공격성공횟수]])</f>
        <v>0.19047619047619047</v>
      </c>
    </row>
    <row r="241" spans="1:8" hidden="1" x14ac:dyDescent="0.4">
      <c r="A241">
        <v>120</v>
      </c>
      <c r="B241" t="s">
        <v>2</v>
      </c>
      <c r="C241">
        <v>0</v>
      </c>
      <c r="D241">
        <v>2</v>
      </c>
      <c r="E241">
        <v>20</v>
      </c>
      <c r="F241">
        <v>4</v>
      </c>
      <c r="G241">
        <v>1</v>
      </c>
      <c r="H241">
        <f>표2[[#This Row],[공격성공횟수]]/(표2[[#This Row],[공격실패횟수]]+표2[[#This Row],[공격성공횟수]])</f>
        <v>9.0909090909090912E-2</v>
      </c>
    </row>
    <row r="242" spans="1:8" x14ac:dyDescent="0.4">
      <c r="A242">
        <v>121</v>
      </c>
      <c r="B242" t="s">
        <v>0</v>
      </c>
      <c r="C242">
        <v>1</v>
      </c>
      <c r="D242">
        <v>4</v>
      </c>
      <c r="E242">
        <v>13</v>
      </c>
      <c r="F242">
        <v>0</v>
      </c>
      <c r="G242">
        <v>0</v>
      </c>
      <c r="H242">
        <f>표2[[#This Row],[공격성공횟수]]/(표2[[#This Row],[공격실패횟수]]+표2[[#This Row],[공격성공횟수]])</f>
        <v>0.23529411764705882</v>
      </c>
    </row>
    <row r="243" spans="1:8" hidden="1" x14ac:dyDescent="0.4">
      <c r="A243">
        <v>121</v>
      </c>
      <c r="B243" t="s">
        <v>2</v>
      </c>
      <c r="C243">
        <v>0</v>
      </c>
      <c r="D243">
        <v>0</v>
      </c>
      <c r="E243">
        <v>15</v>
      </c>
      <c r="F243">
        <v>4</v>
      </c>
      <c r="G243">
        <v>1</v>
      </c>
      <c r="H243">
        <f>표2[[#This Row],[공격성공횟수]]/(표2[[#This Row],[공격실패횟수]]+표2[[#This Row],[공격성공횟수]])</f>
        <v>0</v>
      </c>
    </row>
    <row r="244" spans="1:8" x14ac:dyDescent="0.4">
      <c r="A244">
        <v>122</v>
      </c>
      <c r="B244" t="s">
        <v>0</v>
      </c>
      <c r="C244">
        <v>1</v>
      </c>
      <c r="D244">
        <v>4</v>
      </c>
      <c r="E244">
        <v>8</v>
      </c>
      <c r="F244">
        <v>2</v>
      </c>
      <c r="G244">
        <v>0</v>
      </c>
      <c r="H244">
        <f>표2[[#This Row],[공격성공횟수]]/(표2[[#This Row],[공격실패횟수]]+표2[[#This Row],[공격성공횟수]])</f>
        <v>0.33333333333333331</v>
      </c>
    </row>
    <row r="245" spans="1:8" hidden="1" x14ac:dyDescent="0.4">
      <c r="A245">
        <v>122</v>
      </c>
      <c r="B245" t="s">
        <v>2</v>
      </c>
      <c r="C245">
        <v>0</v>
      </c>
      <c r="D245">
        <v>2</v>
      </c>
      <c r="E245">
        <v>11</v>
      </c>
      <c r="F245">
        <v>4</v>
      </c>
      <c r="G245">
        <v>1</v>
      </c>
      <c r="H245">
        <f>표2[[#This Row],[공격성공횟수]]/(표2[[#This Row],[공격실패횟수]]+표2[[#This Row],[공격성공횟수]])</f>
        <v>0.15384615384615385</v>
      </c>
    </row>
    <row r="246" spans="1:8" x14ac:dyDescent="0.4">
      <c r="A246">
        <v>123</v>
      </c>
      <c r="B246" t="s">
        <v>0</v>
      </c>
      <c r="C246">
        <v>1</v>
      </c>
      <c r="D246">
        <v>4</v>
      </c>
      <c r="E246">
        <v>6</v>
      </c>
      <c r="F246">
        <v>3</v>
      </c>
      <c r="G246">
        <v>0</v>
      </c>
      <c r="H246">
        <f>표2[[#This Row],[공격성공횟수]]/(표2[[#This Row],[공격실패횟수]]+표2[[#This Row],[공격성공횟수]])</f>
        <v>0.4</v>
      </c>
    </row>
    <row r="247" spans="1:8" hidden="1" x14ac:dyDescent="0.4">
      <c r="A247">
        <v>123</v>
      </c>
      <c r="B247" t="s">
        <v>2</v>
      </c>
      <c r="C247">
        <v>0</v>
      </c>
      <c r="D247">
        <v>3</v>
      </c>
      <c r="E247">
        <v>7</v>
      </c>
      <c r="F247">
        <v>4</v>
      </c>
      <c r="G247">
        <v>1</v>
      </c>
      <c r="H247">
        <f>표2[[#This Row],[공격성공횟수]]/(표2[[#This Row],[공격실패횟수]]+표2[[#This Row],[공격성공횟수]])</f>
        <v>0.3</v>
      </c>
    </row>
    <row r="248" spans="1:8" x14ac:dyDescent="0.4">
      <c r="A248">
        <v>124</v>
      </c>
      <c r="B248" t="s">
        <v>0</v>
      </c>
      <c r="C248">
        <v>1</v>
      </c>
      <c r="D248">
        <v>4</v>
      </c>
      <c r="E248">
        <v>9</v>
      </c>
      <c r="F248">
        <v>0</v>
      </c>
      <c r="G248">
        <v>0</v>
      </c>
      <c r="H248">
        <f>표2[[#This Row],[공격성공횟수]]/(표2[[#This Row],[공격실패횟수]]+표2[[#This Row],[공격성공횟수]])</f>
        <v>0.30769230769230771</v>
      </c>
    </row>
    <row r="249" spans="1:8" hidden="1" x14ac:dyDescent="0.4">
      <c r="A249">
        <v>124</v>
      </c>
      <c r="B249" t="s">
        <v>2</v>
      </c>
      <c r="C249">
        <v>0</v>
      </c>
      <c r="D249">
        <v>0</v>
      </c>
      <c r="E249">
        <v>13</v>
      </c>
      <c r="F249">
        <v>4</v>
      </c>
      <c r="G249">
        <v>1</v>
      </c>
      <c r="H249">
        <f>표2[[#This Row],[공격성공횟수]]/(표2[[#This Row],[공격실패횟수]]+표2[[#This Row],[공격성공횟수]])</f>
        <v>0</v>
      </c>
    </row>
    <row r="250" spans="1:8" x14ac:dyDescent="0.4">
      <c r="A250">
        <v>125</v>
      </c>
      <c r="B250" t="s">
        <v>0</v>
      </c>
      <c r="C250">
        <v>1</v>
      </c>
      <c r="D250">
        <v>4</v>
      </c>
      <c r="E250">
        <v>31</v>
      </c>
      <c r="F250">
        <v>3</v>
      </c>
      <c r="G250">
        <v>0</v>
      </c>
      <c r="H250">
        <f>표2[[#This Row],[공격성공횟수]]/(표2[[#This Row],[공격실패횟수]]+표2[[#This Row],[공격성공횟수]])</f>
        <v>0.11428571428571428</v>
      </c>
    </row>
    <row r="251" spans="1:8" hidden="1" x14ac:dyDescent="0.4">
      <c r="A251">
        <v>125</v>
      </c>
      <c r="B251" t="s">
        <v>2</v>
      </c>
      <c r="C251">
        <v>0</v>
      </c>
      <c r="D251">
        <v>3</v>
      </c>
      <c r="E251">
        <v>33</v>
      </c>
      <c r="F251">
        <v>4</v>
      </c>
      <c r="G251">
        <v>1</v>
      </c>
      <c r="H251">
        <f>표2[[#This Row],[공격성공횟수]]/(표2[[#This Row],[공격실패횟수]]+표2[[#This Row],[공격성공횟수]])</f>
        <v>8.3333333333333329E-2</v>
      </c>
    </row>
    <row r="252" spans="1:8" x14ac:dyDescent="0.4">
      <c r="A252">
        <v>126</v>
      </c>
      <c r="B252" t="s">
        <v>0</v>
      </c>
      <c r="C252">
        <v>1</v>
      </c>
      <c r="D252">
        <v>4</v>
      </c>
      <c r="E252">
        <v>17</v>
      </c>
      <c r="F252">
        <v>0</v>
      </c>
      <c r="G252">
        <v>0</v>
      </c>
      <c r="H252">
        <f>표2[[#This Row],[공격성공횟수]]/(표2[[#This Row],[공격실패횟수]]+표2[[#This Row],[공격성공횟수]])</f>
        <v>0.19047619047619047</v>
      </c>
    </row>
    <row r="253" spans="1:8" hidden="1" x14ac:dyDescent="0.4">
      <c r="A253">
        <v>126</v>
      </c>
      <c r="B253" t="s">
        <v>2</v>
      </c>
      <c r="C253">
        <v>0</v>
      </c>
      <c r="D253">
        <v>0</v>
      </c>
      <c r="E253">
        <v>22</v>
      </c>
      <c r="F253">
        <v>4</v>
      </c>
      <c r="G253">
        <v>1</v>
      </c>
      <c r="H253">
        <f>표2[[#This Row],[공격성공횟수]]/(표2[[#This Row],[공격실패횟수]]+표2[[#This Row],[공격성공횟수]])</f>
        <v>0</v>
      </c>
    </row>
    <row r="254" spans="1:8" x14ac:dyDescent="0.4">
      <c r="A254">
        <v>127</v>
      </c>
      <c r="B254" t="s">
        <v>0</v>
      </c>
      <c r="C254">
        <v>1</v>
      </c>
      <c r="D254">
        <v>4</v>
      </c>
      <c r="E254">
        <v>10</v>
      </c>
      <c r="F254">
        <v>2</v>
      </c>
      <c r="G254">
        <v>0</v>
      </c>
      <c r="H254">
        <f>표2[[#This Row],[공격성공횟수]]/(표2[[#This Row],[공격실패횟수]]+표2[[#This Row],[공격성공횟수]])</f>
        <v>0.2857142857142857</v>
      </c>
    </row>
    <row r="255" spans="1:8" hidden="1" x14ac:dyDescent="0.4">
      <c r="A255">
        <v>127</v>
      </c>
      <c r="B255" t="s">
        <v>2</v>
      </c>
      <c r="C255">
        <v>0</v>
      </c>
      <c r="D255">
        <v>2</v>
      </c>
      <c r="E255">
        <v>12</v>
      </c>
      <c r="F255">
        <v>4</v>
      </c>
      <c r="G255">
        <v>1</v>
      </c>
      <c r="H255">
        <f>표2[[#This Row],[공격성공횟수]]/(표2[[#This Row],[공격실패횟수]]+표2[[#This Row],[공격성공횟수]])</f>
        <v>0.14285714285714285</v>
      </c>
    </row>
    <row r="256" spans="1:8" x14ac:dyDescent="0.4">
      <c r="A256">
        <v>128</v>
      </c>
      <c r="B256" t="s">
        <v>0</v>
      </c>
      <c r="C256">
        <v>1</v>
      </c>
      <c r="D256">
        <v>4</v>
      </c>
      <c r="E256">
        <v>86</v>
      </c>
      <c r="F256">
        <v>0</v>
      </c>
      <c r="G256">
        <v>0</v>
      </c>
      <c r="H256">
        <f>표2[[#This Row],[공격성공횟수]]/(표2[[#This Row],[공격실패횟수]]+표2[[#This Row],[공격성공횟수]])</f>
        <v>4.4444444444444446E-2</v>
      </c>
    </row>
    <row r="257" spans="1:8" hidden="1" x14ac:dyDescent="0.4">
      <c r="A257">
        <v>128</v>
      </c>
      <c r="B257" t="s">
        <v>2</v>
      </c>
      <c r="C257">
        <v>0</v>
      </c>
      <c r="D257">
        <v>0</v>
      </c>
      <c r="E257">
        <v>87</v>
      </c>
      <c r="F257">
        <v>4</v>
      </c>
      <c r="G257">
        <v>1</v>
      </c>
      <c r="H257">
        <f>표2[[#This Row],[공격성공횟수]]/(표2[[#This Row],[공격실패횟수]]+표2[[#This Row],[공격성공횟수]])</f>
        <v>0</v>
      </c>
    </row>
    <row r="258" spans="1:8" x14ac:dyDescent="0.4">
      <c r="A258">
        <v>129</v>
      </c>
      <c r="B258" t="s">
        <v>0</v>
      </c>
      <c r="C258">
        <v>1</v>
      </c>
      <c r="D258">
        <v>4</v>
      </c>
      <c r="E258">
        <v>21</v>
      </c>
      <c r="F258">
        <v>3</v>
      </c>
      <c r="G258">
        <v>0</v>
      </c>
      <c r="H258">
        <f>표2[[#This Row],[공격성공횟수]]/(표2[[#This Row],[공격실패횟수]]+표2[[#This Row],[공격성공횟수]])</f>
        <v>0.16</v>
      </c>
    </row>
    <row r="259" spans="1:8" hidden="1" x14ac:dyDescent="0.4">
      <c r="A259">
        <v>129</v>
      </c>
      <c r="B259" t="s">
        <v>2</v>
      </c>
      <c r="C259">
        <v>0</v>
      </c>
      <c r="D259">
        <v>3</v>
      </c>
      <c r="E259">
        <v>22</v>
      </c>
      <c r="F259">
        <v>4</v>
      </c>
      <c r="G259">
        <v>1</v>
      </c>
      <c r="H259">
        <f>표2[[#This Row],[공격성공횟수]]/(표2[[#This Row],[공격실패횟수]]+표2[[#This Row],[공격성공횟수]])</f>
        <v>0.12</v>
      </c>
    </row>
    <row r="260" spans="1:8" x14ac:dyDescent="0.4">
      <c r="A260">
        <v>130</v>
      </c>
      <c r="B260" t="s">
        <v>0</v>
      </c>
      <c r="C260">
        <v>0</v>
      </c>
      <c r="D260">
        <v>3</v>
      </c>
      <c r="E260">
        <v>18</v>
      </c>
      <c r="F260">
        <v>4</v>
      </c>
      <c r="G260">
        <v>1</v>
      </c>
      <c r="H260">
        <f>표2[[#This Row],[공격성공횟수]]/(표2[[#This Row],[공격실패횟수]]+표2[[#This Row],[공격성공횟수]])</f>
        <v>0.14285714285714285</v>
      </c>
    </row>
    <row r="261" spans="1:8" hidden="1" x14ac:dyDescent="0.4">
      <c r="A261">
        <v>130</v>
      </c>
      <c r="B261" t="s">
        <v>2</v>
      </c>
      <c r="C261">
        <v>1</v>
      </c>
      <c r="D261">
        <v>4</v>
      </c>
      <c r="E261">
        <v>17</v>
      </c>
      <c r="F261">
        <v>3</v>
      </c>
      <c r="G261">
        <v>0</v>
      </c>
      <c r="H261">
        <f>표2[[#This Row],[공격성공횟수]]/(표2[[#This Row],[공격실패횟수]]+표2[[#This Row],[공격성공횟수]])</f>
        <v>0.19047619047619047</v>
      </c>
    </row>
    <row r="262" spans="1:8" x14ac:dyDescent="0.4">
      <c r="A262">
        <v>131</v>
      </c>
      <c r="B262" t="s">
        <v>0</v>
      </c>
      <c r="C262">
        <v>1</v>
      </c>
      <c r="D262">
        <v>4</v>
      </c>
      <c r="E262">
        <v>18</v>
      </c>
      <c r="F262">
        <v>1</v>
      </c>
      <c r="G262">
        <v>0</v>
      </c>
      <c r="H262">
        <f>표2[[#This Row],[공격성공횟수]]/(표2[[#This Row],[공격실패횟수]]+표2[[#This Row],[공격성공횟수]])</f>
        <v>0.18181818181818182</v>
      </c>
    </row>
    <row r="263" spans="1:8" hidden="1" x14ac:dyDescent="0.4">
      <c r="A263">
        <v>131</v>
      </c>
      <c r="B263" t="s">
        <v>2</v>
      </c>
      <c r="C263">
        <v>0</v>
      </c>
      <c r="D263">
        <v>1</v>
      </c>
      <c r="E263">
        <v>20</v>
      </c>
      <c r="F263">
        <v>4</v>
      </c>
      <c r="G263">
        <v>1</v>
      </c>
      <c r="H263">
        <f>표2[[#This Row],[공격성공횟수]]/(표2[[#This Row],[공격실패횟수]]+표2[[#This Row],[공격성공횟수]])</f>
        <v>4.7619047619047616E-2</v>
      </c>
    </row>
    <row r="264" spans="1:8" x14ac:dyDescent="0.4">
      <c r="A264">
        <v>132</v>
      </c>
      <c r="B264" t="s">
        <v>0</v>
      </c>
      <c r="C264">
        <v>1</v>
      </c>
      <c r="D264">
        <v>4</v>
      </c>
      <c r="E264">
        <v>17</v>
      </c>
      <c r="F264">
        <v>3</v>
      </c>
      <c r="G264">
        <v>0</v>
      </c>
      <c r="H264">
        <f>표2[[#This Row],[공격성공횟수]]/(표2[[#This Row],[공격실패횟수]]+표2[[#This Row],[공격성공횟수]])</f>
        <v>0.19047619047619047</v>
      </c>
    </row>
    <row r="265" spans="1:8" hidden="1" x14ac:dyDescent="0.4">
      <c r="A265">
        <v>132</v>
      </c>
      <c r="B265" t="s">
        <v>2</v>
      </c>
      <c r="C265">
        <v>0</v>
      </c>
      <c r="D265">
        <v>3</v>
      </c>
      <c r="E265">
        <v>18</v>
      </c>
      <c r="F265">
        <v>4</v>
      </c>
      <c r="G265">
        <v>1</v>
      </c>
      <c r="H265">
        <f>표2[[#This Row],[공격성공횟수]]/(표2[[#This Row],[공격실패횟수]]+표2[[#This Row],[공격성공횟수]])</f>
        <v>0.14285714285714285</v>
      </c>
    </row>
    <row r="266" spans="1:8" x14ac:dyDescent="0.4">
      <c r="A266">
        <v>133</v>
      </c>
      <c r="B266" t="s">
        <v>0</v>
      </c>
      <c r="C266">
        <v>1</v>
      </c>
      <c r="D266">
        <v>4</v>
      </c>
      <c r="E266">
        <v>2</v>
      </c>
      <c r="F266">
        <v>2</v>
      </c>
      <c r="G266">
        <v>0</v>
      </c>
      <c r="H266">
        <f>표2[[#This Row],[공격성공횟수]]/(표2[[#This Row],[공격실패횟수]]+표2[[#This Row],[공격성공횟수]])</f>
        <v>0.66666666666666663</v>
      </c>
    </row>
    <row r="267" spans="1:8" hidden="1" x14ac:dyDescent="0.4">
      <c r="A267">
        <v>133</v>
      </c>
      <c r="B267" t="s">
        <v>2</v>
      </c>
      <c r="C267">
        <v>0</v>
      </c>
      <c r="D267">
        <v>2</v>
      </c>
      <c r="E267">
        <v>5</v>
      </c>
      <c r="F267">
        <v>4</v>
      </c>
      <c r="G267">
        <v>1</v>
      </c>
      <c r="H267">
        <f>표2[[#This Row],[공격성공횟수]]/(표2[[#This Row],[공격실패횟수]]+표2[[#This Row],[공격성공횟수]])</f>
        <v>0.2857142857142857</v>
      </c>
    </row>
    <row r="268" spans="1:8" x14ac:dyDescent="0.4">
      <c r="A268">
        <v>134</v>
      </c>
      <c r="B268" t="s">
        <v>0</v>
      </c>
      <c r="C268">
        <v>1</v>
      </c>
      <c r="D268">
        <v>4</v>
      </c>
      <c r="E268">
        <v>22</v>
      </c>
      <c r="F268">
        <v>0</v>
      </c>
      <c r="G268">
        <v>0</v>
      </c>
      <c r="H268">
        <f>표2[[#This Row],[공격성공횟수]]/(표2[[#This Row],[공격실패횟수]]+표2[[#This Row],[공격성공횟수]])</f>
        <v>0.15384615384615385</v>
      </c>
    </row>
    <row r="269" spans="1:8" hidden="1" x14ac:dyDescent="0.4">
      <c r="A269">
        <v>134</v>
      </c>
      <c r="B269" t="s">
        <v>2</v>
      </c>
      <c r="C269">
        <v>0</v>
      </c>
      <c r="D269">
        <v>0</v>
      </c>
      <c r="E269">
        <v>27</v>
      </c>
      <c r="F269">
        <v>4</v>
      </c>
      <c r="G269">
        <v>1</v>
      </c>
      <c r="H269">
        <f>표2[[#This Row],[공격성공횟수]]/(표2[[#This Row],[공격실패횟수]]+표2[[#This Row],[공격성공횟수]])</f>
        <v>0</v>
      </c>
    </row>
    <row r="270" spans="1:8" x14ac:dyDescent="0.4">
      <c r="A270">
        <v>135</v>
      </c>
      <c r="B270" t="s">
        <v>0</v>
      </c>
      <c r="C270">
        <v>1</v>
      </c>
      <c r="D270">
        <v>4</v>
      </c>
      <c r="E270">
        <v>5</v>
      </c>
      <c r="F270">
        <v>2</v>
      </c>
      <c r="G270">
        <v>0</v>
      </c>
      <c r="H270">
        <f>표2[[#This Row],[공격성공횟수]]/(표2[[#This Row],[공격실패횟수]]+표2[[#This Row],[공격성공횟수]])</f>
        <v>0.44444444444444442</v>
      </c>
    </row>
    <row r="271" spans="1:8" hidden="1" x14ac:dyDescent="0.4">
      <c r="A271">
        <v>135</v>
      </c>
      <c r="B271" t="s">
        <v>2</v>
      </c>
      <c r="C271">
        <v>0</v>
      </c>
      <c r="D271">
        <v>2</v>
      </c>
      <c r="E271">
        <v>7</v>
      </c>
      <c r="F271">
        <v>4</v>
      </c>
      <c r="G271">
        <v>1</v>
      </c>
      <c r="H271">
        <f>표2[[#This Row],[공격성공횟수]]/(표2[[#This Row],[공격실패횟수]]+표2[[#This Row],[공격성공횟수]])</f>
        <v>0.22222222222222221</v>
      </c>
    </row>
    <row r="272" spans="1:8" x14ac:dyDescent="0.4">
      <c r="A272">
        <v>136</v>
      </c>
      <c r="B272" t="s">
        <v>0</v>
      </c>
      <c r="C272">
        <v>1</v>
      </c>
      <c r="D272">
        <v>4</v>
      </c>
      <c r="E272">
        <v>9</v>
      </c>
      <c r="F272">
        <v>0</v>
      </c>
      <c r="G272">
        <v>0</v>
      </c>
      <c r="H272">
        <f>표2[[#This Row],[공격성공횟수]]/(표2[[#This Row],[공격실패횟수]]+표2[[#This Row],[공격성공횟수]])</f>
        <v>0.30769230769230771</v>
      </c>
    </row>
    <row r="273" spans="1:8" hidden="1" x14ac:dyDescent="0.4">
      <c r="A273">
        <v>136</v>
      </c>
      <c r="B273" t="s">
        <v>2</v>
      </c>
      <c r="C273">
        <v>0</v>
      </c>
      <c r="D273">
        <v>0</v>
      </c>
      <c r="E273">
        <v>12</v>
      </c>
      <c r="F273">
        <v>4</v>
      </c>
      <c r="G273">
        <v>1</v>
      </c>
      <c r="H273">
        <f>표2[[#This Row],[공격성공횟수]]/(표2[[#This Row],[공격실패횟수]]+표2[[#This Row],[공격성공횟수]])</f>
        <v>0</v>
      </c>
    </row>
    <row r="274" spans="1:8" x14ac:dyDescent="0.4">
      <c r="A274">
        <v>137</v>
      </c>
      <c r="B274" t="s">
        <v>0</v>
      </c>
      <c r="C274">
        <v>1</v>
      </c>
      <c r="D274">
        <v>4</v>
      </c>
      <c r="E274">
        <v>13</v>
      </c>
      <c r="F274">
        <v>1</v>
      </c>
      <c r="G274">
        <v>0</v>
      </c>
      <c r="H274">
        <f>표2[[#This Row],[공격성공횟수]]/(표2[[#This Row],[공격실패횟수]]+표2[[#This Row],[공격성공횟수]])</f>
        <v>0.23529411764705882</v>
      </c>
    </row>
    <row r="275" spans="1:8" hidden="1" x14ac:dyDescent="0.4">
      <c r="A275">
        <v>137</v>
      </c>
      <c r="B275" t="s">
        <v>2</v>
      </c>
      <c r="C275">
        <v>0</v>
      </c>
      <c r="D275">
        <v>1</v>
      </c>
      <c r="E275">
        <v>17</v>
      </c>
      <c r="F275">
        <v>4</v>
      </c>
      <c r="G275">
        <v>1</v>
      </c>
      <c r="H275">
        <f>표2[[#This Row],[공격성공횟수]]/(표2[[#This Row],[공격실패횟수]]+표2[[#This Row],[공격성공횟수]])</f>
        <v>5.5555555555555552E-2</v>
      </c>
    </row>
    <row r="276" spans="1:8" x14ac:dyDescent="0.4">
      <c r="A276">
        <v>138</v>
      </c>
      <c r="B276" t="s">
        <v>0</v>
      </c>
      <c r="C276">
        <v>1</v>
      </c>
      <c r="D276">
        <v>4</v>
      </c>
      <c r="E276">
        <v>29</v>
      </c>
      <c r="F276">
        <v>3</v>
      </c>
      <c r="G276">
        <v>0</v>
      </c>
      <c r="H276">
        <f>표2[[#This Row],[공격성공횟수]]/(표2[[#This Row],[공격실패횟수]]+표2[[#This Row],[공격성공횟수]])</f>
        <v>0.12121212121212122</v>
      </c>
    </row>
    <row r="277" spans="1:8" hidden="1" x14ac:dyDescent="0.4">
      <c r="A277">
        <v>138</v>
      </c>
      <c r="B277" t="s">
        <v>2</v>
      </c>
      <c r="C277">
        <v>0</v>
      </c>
      <c r="D277">
        <v>3</v>
      </c>
      <c r="E277">
        <v>28</v>
      </c>
      <c r="F277">
        <v>4</v>
      </c>
      <c r="G277">
        <v>1</v>
      </c>
      <c r="H277">
        <f>표2[[#This Row],[공격성공횟수]]/(표2[[#This Row],[공격실패횟수]]+표2[[#This Row],[공격성공횟수]])</f>
        <v>9.6774193548387094E-2</v>
      </c>
    </row>
    <row r="278" spans="1:8" x14ac:dyDescent="0.4">
      <c r="A278">
        <v>139</v>
      </c>
      <c r="B278" t="s">
        <v>0</v>
      </c>
      <c r="C278">
        <v>1</v>
      </c>
      <c r="D278">
        <v>4</v>
      </c>
      <c r="E278">
        <v>5</v>
      </c>
      <c r="F278">
        <v>1</v>
      </c>
      <c r="G278">
        <v>0</v>
      </c>
      <c r="H278">
        <f>표2[[#This Row],[공격성공횟수]]/(표2[[#This Row],[공격실패횟수]]+표2[[#This Row],[공격성공횟수]])</f>
        <v>0.44444444444444442</v>
      </c>
    </row>
    <row r="279" spans="1:8" hidden="1" x14ac:dyDescent="0.4">
      <c r="A279">
        <v>139</v>
      </c>
      <c r="B279" t="s">
        <v>2</v>
      </c>
      <c r="C279">
        <v>0</v>
      </c>
      <c r="D279">
        <v>1</v>
      </c>
      <c r="E279">
        <v>8</v>
      </c>
      <c r="F279">
        <v>4</v>
      </c>
      <c r="G279">
        <v>1</v>
      </c>
      <c r="H279">
        <f>표2[[#This Row],[공격성공횟수]]/(표2[[#This Row],[공격실패횟수]]+표2[[#This Row],[공격성공횟수]])</f>
        <v>0.1111111111111111</v>
      </c>
    </row>
    <row r="280" spans="1:8" x14ac:dyDescent="0.4">
      <c r="A280">
        <v>140</v>
      </c>
      <c r="B280" t="s">
        <v>0</v>
      </c>
      <c r="C280">
        <v>1</v>
      </c>
      <c r="D280">
        <v>4</v>
      </c>
      <c r="E280">
        <v>26</v>
      </c>
      <c r="F280">
        <v>2</v>
      </c>
      <c r="G280">
        <v>0</v>
      </c>
      <c r="H280">
        <f>표2[[#This Row],[공격성공횟수]]/(표2[[#This Row],[공격실패횟수]]+표2[[#This Row],[공격성공횟수]])</f>
        <v>0.13333333333333333</v>
      </c>
    </row>
    <row r="281" spans="1:8" hidden="1" x14ac:dyDescent="0.4">
      <c r="A281">
        <v>140</v>
      </c>
      <c r="B281" t="s">
        <v>2</v>
      </c>
      <c r="C281">
        <v>0</v>
      </c>
      <c r="D281">
        <v>2</v>
      </c>
      <c r="E281">
        <v>28</v>
      </c>
      <c r="F281">
        <v>4</v>
      </c>
      <c r="G281">
        <v>1</v>
      </c>
      <c r="H281">
        <f>표2[[#This Row],[공격성공횟수]]/(표2[[#This Row],[공격실패횟수]]+표2[[#This Row],[공격성공횟수]])</f>
        <v>6.6666666666666666E-2</v>
      </c>
    </row>
    <row r="282" spans="1:8" x14ac:dyDescent="0.4">
      <c r="A282">
        <v>141</v>
      </c>
      <c r="B282" t="s">
        <v>0</v>
      </c>
      <c r="C282">
        <v>1</v>
      </c>
      <c r="D282">
        <v>4</v>
      </c>
      <c r="E282">
        <v>4</v>
      </c>
      <c r="F282">
        <v>0</v>
      </c>
      <c r="G282">
        <v>0</v>
      </c>
      <c r="H282">
        <f>표2[[#This Row],[공격성공횟수]]/(표2[[#This Row],[공격실패횟수]]+표2[[#This Row],[공격성공횟수]])</f>
        <v>0.5</v>
      </c>
    </row>
    <row r="283" spans="1:8" hidden="1" x14ac:dyDescent="0.4">
      <c r="A283">
        <v>141</v>
      </c>
      <c r="B283" t="s">
        <v>2</v>
      </c>
      <c r="C283">
        <v>0</v>
      </c>
      <c r="D283">
        <v>0</v>
      </c>
      <c r="E283">
        <v>8</v>
      </c>
      <c r="F283">
        <v>4</v>
      </c>
      <c r="G283">
        <v>1</v>
      </c>
      <c r="H283">
        <f>표2[[#This Row],[공격성공횟수]]/(표2[[#This Row],[공격실패횟수]]+표2[[#This Row],[공격성공횟수]])</f>
        <v>0</v>
      </c>
    </row>
    <row r="284" spans="1:8" x14ac:dyDescent="0.4">
      <c r="A284">
        <v>142</v>
      </c>
      <c r="B284" t="s">
        <v>0</v>
      </c>
      <c r="C284">
        <v>1</v>
      </c>
      <c r="D284">
        <v>4</v>
      </c>
      <c r="E284">
        <v>4</v>
      </c>
      <c r="F284">
        <v>1</v>
      </c>
      <c r="G284">
        <v>0</v>
      </c>
      <c r="H284">
        <f>표2[[#This Row],[공격성공횟수]]/(표2[[#This Row],[공격실패횟수]]+표2[[#This Row],[공격성공횟수]])</f>
        <v>0.5</v>
      </c>
    </row>
    <row r="285" spans="1:8" hidden="1" x14ac:dyDescent="0.4">
      <c r="A285">
        <v>142</v>
      </c>
      <c r="B285" t="s">
        <v>2</v>
      </c>
      <c r="C285">
        <v>0</v>
      </c>
      <c r="D285">
        <v>1</v>
      </c>
      <c r="E285">
        <v>7</v>
      </c>
      <c r="F285">
        <v>4</v>
      </c>
      <c r="G285">
        <v>1</v>
      </c>
      <c r="H285">
        <f>표2[[#This Row],[공격성공횟수]]/(표2[[#This Row],[공격실패횟수]]+표2[[#This Row],[공격성공횟수]])</f>
        <v>0.125</v>
      </c>
    </row>
    <row r="286" spans="1:8" x14ac:dyDescent="0.4">
      <c r="A286">
        <v>143</v>
      </c>
      <c r="B286" t="s">
        <v>0</v>
      </c>
      <c r="C286">
        <v>1</v>
      </c>
      <c r="D286">
        <v>4</v>
      </c>
      <c r="E286">
        <v>10</v>
      </c>
      <c r="F286">
        <v>2</v>
      </c>
      <c r="G286">
        <v>0</v>
      </c>
      <c r="H286">
        <f>표2[[#This Row],[공격성공횟수]]/(표2[[#This Row],[공격실패횟수]]+표2[[#This Row],[공격성공횟수]])</f>
        <v>0.2857142857142857</v>
      </c>
    </row>
    <row r="287" spans="1:8" hidden="1" x14ac:dyDescent="0.4">
      <c r="A287">
        <v>143</v>
      </c>
      <c r="B287" t="s">
        <v>2</v>
      </c>
      <c r="C287">
        <v>0</v>
      </c>
      <c r="D287">
        <v>2</v>
      </c>
      <c r="E287">
        <v>13</v>
      </c>
      <c r="F287">
        <v>4</v>
      </c>
      <c r="G287">
        <v>1</v>
      </c>
      <c r="H287">
        <f>표2[[#This Row],[공격성공횟수]]/(표2[[#This Row],[공격실패횟수]]+표2[[#This Row],[공격성공횟수]])</f>
        <v>0.13333333333333333</v>
      </c>
    </row>
    <row r="288" spans="1:8" x14ac:dyDescent="0.4">
      <c r="A288">
        <v>144</v>
      </c>
      <c r="B288" t="s">
        <v>0</v>
      </c>
      <c r="C288">
        <v>0</v>
      </c>
      <c r="D288">
        <v>2</v>
      </c>
      <c r="E288">
        <v>35</v>
      </c>
      <c r="F288">
        <v>4</v>
      </c>
      <c r="G288">
        <v>1</v>
      </c>
      <c r="H288">
        <f>표2[[#This Row],[공격성공횟수]]/(표2[[#This Row],[공격실패횟수]]+표2[[#This Row],[공격성공횟수]])</f>
        <v>5.4054054054054057E-2</v>
      </c>
    </row>
    <row r="289" spans="1:8" hidden="1" x14ac:dyDescent="0.4">
      <c r="A289">
        <v>144</v>
      </c>
      <c r="B289" t="s">
        <v>2</v>
      </c>
      <c r="C289">
        <v>1</v>
      </c>
      <c r="D289">
        <v>4</v>
      </c>
      <c r="E289">
        <v>34</v>
      </c>
      <c r="F289">
        <v>2</v>
      </c>
      <c r="G289">
        <v>0</v>
      </c>
      <c r="H289">
        <f>표2[[#This Row],[공격성공횟수]]/(표2[[#This Row],[공격실패횟수]]+표2[[#This Row],[공격성공횟수]])</f>
        <v>0.10526315789473684</v>
      </c>
    </row>
    <row r="290" spans="1:8" x14ac:dyDescent="0.4">
      <c r="A290">
        <v>145</v>
      </c>
      <c r="B290" t="s">
        <v>0</v>
      </c>
      <c r="C290">
        <v>1</v>
      </c>
      <c r="D290">
        <v>4</v>
      </c>
      <c r="E290">
        <v>20</v>
      </c>
      <c r="F290">
        <v>2</v>
      </c>
      <c r="G290">
        <v>0</v>
      </c>
      <c r="H290">
        <f>표2[[#This Row],[공격성공횟수]]/(표2[[#This Row],[공격실패횟수]]+표2[[#This Row],[공격성공횟수]])</f>
        <v>0.16666666666666666</v>
      </c>
    </row>
    <row r="291" spans="1:8" hidden="1" x14ac:dyDescent="0.4">
      <c r="A291">
        <v>145</v>
      </c>
      <c r="B291" t="s">
        <v>2</v>
      </c>
      <c r="C291">
        <v>0</v>
      </c>
      <c r="D291">
        <v>2</v>
      </c>
      <c r="E291">
        <v>22</v>
      </c>
      <c r="F291">
        <v>4</v>
      </c>
      <c r="G291">
        <v>1</v>
      </c>
      <c r="H291">
        <f>표2[[#This Row],[공격성공횟수]]/(표2[[#This Row],[공격실패횟수]]+표2[[#This Row],[공격성공횟수]])</f>
        <v>8.3333333333333329E-2</v>
      </c>
    </row>
    <row r="292" spans="1:8" x14ac:dyDescent="0.4">
      <c r="A292">
        <v>146</v>
      </c>
      <c r="B292" t="s">
        <v>0</v>
      </c>
      <c r="C292">
        <v>1</v>
      </c>
      <c r="D292">
        <v>4</v>
      </c>
      <c r="E292">
        <v>5</v>
      </c>
      <c r="F292">
        <v>1</v>
      </c>
      <c r="G292">
        <v>0</v>
      </c>
      <c r="H292">
        <f>표2[[#This Row],[공격성공횟수]]/(표2[[#This Row],[공격실패횟수]]+표2[[#This Row],[공격성공횟수]])</f>
        <v>0.44444444444444442</v>
      </c>
    </row>
    <row r="293" spans="1:8" hidden="1" x14ac:dyDescent="0.4">
      <c r="A293">
        <v>146</v>
      </c>
      <c r="B293" t="s">
        <v>2</v>
      </c>
      <c r="C293">
        <v>0</v>
      </c>
      <c r="D293">
        <v>1</v>
      </c>
      <c r="E293">
        <v>7</v>
      </c>
      <c r="F293">
        <v>4</v>
      </c>
      <c r="G293">
        <v>1</v>
      </c>
      <c r="H293">
        <f>표2[[#This Row],[공격성공횟수]]/(표2[[#This Row],[공격실패횟수]]+표2[[#This Row],[공격성공횟수]])</f>
        <v>0.125</v>
      </c>
    </row>
    <row r="294" spans="1:8" x14ac:dyDescent="0.4">
      <c r="A294">
        <v>147</v>
      </c>
      <c r="B294" t="s">
        <v>0</v>
      </c>
      <c r="C294">
        <v>1</v>
      </c>
      <c r="D294">
        <v>4</v>
      </c>
      <c r="E294">
        <v>5</v>
      </c>
      <c r="F294">
        <v>3</v>
      </c>
      <c r="G294">
        <v>0</v>
      </c>
      <c r="H294">
        <f>표2[[#This Row],[공격성공횟수]]/(표2[[#This Row],[공격실패횟수]]+표2[[#This Row],[공격성공횟수]])</f>
        <v>0.44444444444444442</v>
      </c>
    </row>
    <row r="295" spans="1:8" hidden="1" x14ac:dyDescent="0.4">
      <c r="A295">
        <v>147</v>
      </c>
      <c r="B295" t="s">
        <v>2</v>
      </c>
      <c r="C295">
        <v>0</v>
      </c>
      <c r="D295">
        <v>3</v>
      </c>
      <c r="E295">
        <v>8</v>
      </c>
      <c r="F295">
        <v>4</v>
      </c>
      <c r="G295">
        <v>1</v>
      </c>
      <c r="H295">
        <f>표2[[#This Row],[공격성공횟수]]/(표2[[#This Row],[공격실패횟수]]+표2[[#This Row],[공격성공횟수]])</f>
        <v>0.27272727272727271</v>
      </c>
    </row>
    <row r="296" spans="1:8" x14ac:dyDescent="0.4">
      <c r="A296">
        <v>148</v>
      </c>
      <c r="B296" t="s">
        <v>0</v>
      </c>
      <c r="C296">
        <v>1</v>
      </c>
      <c r="D296">
        <v>4</v>
      </c>
      <c r="E296">
        <v>5</v>
      </c>
      <c r="F296">
        <v>2</v>
      </c>
      <c r="G296">
        <v>0</v>
      </c>
      <c r="H296">
        <f>표2[[#This Row],[공격성공횟수]]/(표2[[#This Row],[공격실패횟수]]+표2[[#This Row],[공격성공횟수]])</f>
        <v>0.44444444444444442</v>
      </c>
    </row>
    <row r="297" spans="1:8" hidden="1" x14ac:dyDescent="0.4">
      <c r="A297">
        <v>148</v>
      </c>
      <c r="B297" t="s">
        <v>2</v>
      </c>
      <c r="C297">
        <v>0</v>
      </c>
      <c r="D297">
        <v>2</v>
      </c>
      <c r="E297">
        <v>7</v>
      </c>
      <c r="F297">
        <v>4</v>
      </c>
      <c r="G297">
        <v>1</v>
      </c>
      <c r="H297">
        <f>표2[[#This Row],[공격성공횟수]]/(표2[[#This Row],[공격실패횟수]]+표2[[#This Row],[공격성공횟수]])</f>
        <v>0.22222222222222221</v>
      </c>
    </row>
    <row r="298" spans="1:8" x14ac:dyDescent="0.4">
      <c r="A298">
        <v>149</v>
      </c>
      <c r="B298" t="s">
        <v>0</v>
      </c>
      <c r="C298">
        <v>1</v>
      </c>
      <c r="D298">
        <v>4</v>
      </c>
      <c r="E298">
        <v>4</v>
      </c>
      <c r="F298">
        <v>2</v>
      </c>
      <c r="G298">
        <v>0</v>
      </c>
      <c r="H298">
        <f>표2[[#This Row],[공격성공횟수]]/(표2[[#This Row],[공격실패횟수]]+표2[[#This Row],[공격성공횟수]])</f>
        <v>0.5</v>
      </c>
    </row>
    <row r="299" spans="1:8" hidden="1" x14ac:dyDescent="0.4">
      <c r="A299">
        <v>149</v>
      </c>
      <c r="B299" t="s">
        <v>2</v>
      </c>
      <c r="C299">
        <v>0</v>
      </c>
      <c r="D299">
        <v>2</v>
      </c>
      <c r="E299">
        <v>6</v>
      </c>
      <c r="F299">
        <v>4</v>
      </c>
      <c r="G299">
        <v>1</v>
      </c>
      <c r="H299">
        <f>표2[[#This Row],[공격성공횟수]]/(표2[[#This Row],[공격실패횟수]]+표2[[#This Row],[공격성공횟수]])</f>
        <v>0.25</v>
      </c>
    </row>
    <row r="300" spans="1:8" x14ac:dyDescent="0.4">
      <c r="A300">
        <v>150</v>
      </c>
      <c r="B300" t="s">
        <v>0</v>
      </c>
      <c r="C300">
        <v>0</v>
      </c>
      <c r="D300">
        <v>1</v>
      </c>
      <c r="E300">
        <v>14</v>
      </c>
      <c r="F300">
        <v>4</v>
      </c>
      <c r="G300">
        <v>1</v>
      </c>
      <c r="H300">
        <f>표2[[#This Row],[공격성공횟수]]/(표2[[#This Row],[공격실패횟수]]+표2[[#This Row],[공격성공횟수]])</f>
        <v>6.6666666666666666E-2</v>
      </c>
    </row>
    <row r="301" spans="1:8" hidden="1" x14ac:dyDescent="0.4">
      <c r="A301">
        <v>150</v>
      </c>
      <c r="B301" t="s">
        <v>2</v>
      </c>
      <c r="C301">
        <v>1</v>
      </c>
      <c r="D301">
        <v>4</v>
      </c>
      <c r="E301">
        <v>13</v>
      </c>
      <c r="F301">
        <v>1</v>
      </c>
      <c r="G301">
        <v>0</v>
      </c>
      <c r="H301">
        <f>표2[[#This Row],[공격성공횟수]]/(표2[[#This Row],[공격실패횟수]]+표2[[#This Row],[공격성공횟수]])</f>
        <v>0.23529411764705882</v>
      </c>
    </row>
    <row r="302" spans="1:8" x14ac:dyDescent="0.4">
      <c r="A302">
        <v>151</v>
      </c>
      <c r="B302" t="s">
        <v>0</v>
      </c>
      <c r="C302">
        <v>1</v>
      </c>
      <c r="D302">
        <v>4</v>
      </c>
      <c r="E302">
        <v>9</v>
      </c>
      <c r="F302">
        <v>1</v>
      </c>
      <c r="G302">
        <v>0</v>
      </c>
      <c r="H302">
        <f>표2[[#This Row],[공격성공횟수]]/(표2[[#This Row],[공격실패횟수]]+표2[[#This Row],[공격성공횟수]])</f>
        <v>0.30769230769230771</v>
      </c>
    </row>
    <row r="303" spans="1:8" hidden="1" x14ac:dyDescent="0.4">
      <c r="A303">
        <v>151</v>
      </c>
      <c r="B303" t="s">
        <v>2</v>
      </c>
      <c r="C303">
        <v>0</v>
      </c>
      <c r="D303">
        <v>1</v>
      </c>
      <c r="E303">
        <v>12</v>
      </c>
      <c r="F303">
        <v>4</v>
      </c>
      <c r="G303">
        <v>1</v>
      </c>
      <c r="H303">
        <f>표2[[#This Row],[공격성공횟수]]/(표2[[#This Row],[공격실패횟수]]+표2[[#This Row],[공격성공횟수]])</f>
        <v>7.6923076923076927E-2</v>
      </c>
    </row>
    <row r="304" spans="1:8" x14ac:dyDescent="0.4">
      <c r="A304">
        <v>152</v>
      </c>
      <c r="B304" t="s">
        <v>0</v>
      </c>
      <c r="C304">
        <v>1</v>
      </c>
      <c r="D304">
        <v>4</v>
      </c>
      <c r="E304">
        <v>38</v>
      </c>
      <c r="F304">
        <v>2</v>
      </c>
      <c r="G304">
        <v>0</v>
      </c>
      <c r="H304">
        <f>표2[[#This Row],[공격성공횟수]]/(표2[[#This Row],[공격실패횟수]]+표2[[#This Row],[공격성공횟수]])</f>
        <v>9.5238095238095233E-2</v>
      </c>
    </row>
    <row r="305" spans="1:8" hidden="1" x14ac:dyDescent="0.4">
      <c r="A305">
        <v>152</v>
      </c>
      <c r="B305" t="s">
        <v>2</v>
      </c>
      <c r="C305">
        <v>0</v>
      </c>
      <c r="D305">
        <v>2</v>
      </c>
      <c r="E305">
        <v>40</v>
      </c>
      <c r="F305">
        <v>4</v>
      </c>
      <c r="G305">
        <v>1</v>
      </c>
      <c r="H305">
        <f>표2[[#This Row],[공격성공횟수]]/(표2[[#This Row],[공격실패횟수]]+표2[[#This Row],[공격성공횟수]])</f>
        <v>4.7619047619047616E-2</v>
      </c>
    </row>
    <row r="306" spans="1:8" x14ac:dyDescent="0.4">
      <c r="A306">
        <v>153</v>
      </c>
      <c r="B306" t="s">
        <v>0</v>
      </c>
      <c r="C306">
        <v>1</v>
      </c>
      <c r="D306">
        <v>4</v>
      </c>
      <c r="E306">
        <v>81</v>
      </c>
      <c r="F306">
        <v>0</v>
      </c>
      <c r="G306">
        <v>0</v>
      </c>
      <c r="H306">
        <f>표2[[#This Row],[공격성공횟수]]/(표2[[#This Row],[공격실패횟수]]+표2[[#This Row],[공격성공횟수]])</f>
        <v>4.7058823529411764E-2</v>
      </c>
    </row>
    <row r="307" spans="1:8" hidden="1" x14ac:dyDescent="0.4">
      <c r="A307">
        <v>153</v>
      </c>
      <c r="B307" t="s">
        <v>2</v>
      </c>
      <c r="C307">
        <v>0</v>
      </c>
      <c r="D307">
        <v>0</v>
      </c>
      <c r="E307">
        <v>83</v>
      </c>
      <c r="F307">
        <v>4</v>
      </c>
      <c r="G307">
        <v>1</v>
      </c>
      <c r="H307">
        <f>표2[[#This Row],[공격성공횟수]]/(표2[[#This Row],[공격실패횟수]]+표2[[#This Row],[공격성공횟수]])</f>
        <v>0</v>
      </c>
    </row>
    <row r="308" spans="1:8" x14ac:dyDescent="0.4">
      <c r="A308">
        <v>154</v>
      </c>
      <c r="B308" t="s">
        <v>0</v>
      </c>
      <c r="C308">
        <v>1</v>
      </c>
      <c r="D308">
        <v>4</v>
      </c>
      <c r="E308">
        <v>22</v>
      </c>
      <c r="F308">
        <v>0</v>
      </c>
      <c r="G308">
        <v>0</v>
      </c>
      <c r="H308">
        <f>표2[[#This Row],[공격성공횟수]]/(표2[[#This Row],[공격실패횟수]]+표2[[#This Row],[공격성공횟수]])</f>
        <v>0.15384615384615385</v>
      </c>
    </row>
    <row r="309" spans="1:8" hidden="1" x14ac:dyDescent="0.4">
      <c r="A309">
        <v>154</v>
      </c>
      <c r="B309" t="s">
        <v>2</v>
      </c>
      <c r="C309">
        <v>0</v>
      </c>
      <c r="D309">
        <v>0</v>
      </c>
      <c r="E309">
        <v>27</v>
      </c>
      <c r="F309">
        <v>4</v>
      </c>
      <c r="G309">
        <v>1</v>
      </c>
      <c r="H309">
        <f>표2[[#This Row],[공격성공횟수]]/(표2[[#This Row],[공격실패횟수]]+표2[[#This Row],[공격성공횟수]])</f>
        <v>0</v>
      </c>
    </row>
    <row r="310" spans="1:8" x14ac:dyDescent="0.4">
      <c r="A310">
        <v>155</v>
      </c>
      <c r="B310" t="s">
        <v>0</v>
      </c>
      <c r="C310">
        <v>1</v>
      </c>
      <c r="D310">
        <v>4</v>
      </c>
      <c r="E310">
        <v>20</v>
      </c>
      <c r="F310">
        <v>1</v>
      </c>
      <c r="G310">
        <v>0</v>
      </c>
      <c r="H310">
        <f>표2[[#This Row],[공격성공횟수]]/(표2[[#This Row],[공격실패횟수]]+표2[[#This Row],[공격성공횟수]])</f>
        <v>0.16666666666666666</v>
      </c>
    </row>
    <row r="311" spans="1:8" hidden="1" x14ac:dyDescent="0.4">
      <c r="A311">
        <v>155</v>
      </c>
      <c r="B311" t="s">
        <v>2</v>
      </c>
      <c r="C311">
        <v>0</v>
      </c>
      <c r="D311">
        <v>1</v>
      </c>
      <c r="E311">
        <v>23</v>
      </c>
      <c r="F311">
        <v>4</v>
      </c>
      <c r="G311">
        <v>1</v>
      </c>
      <c r="H311">
        <f>표2[[#This Row],[공격성공횟수]]/(표2[[#This Row],[공격실패횟수]]+표2[[#This Row],[공격성공횟수]])</f>
        <v>4.1666666666666664E-2</v>
      </c>
    </row>
    <row r="312" spans="1:8" x14ac:dyDescent="0.4">
      <c r="A312">
        <v>156</v>
      </c>
      <c r="B312" t="s">
        <v>0</v>
      </c>
      <c r="C312">
        <v>1</v>
      </c>
      <c r="D312">
        <v>4</v>
      </c>
      <c r="E312">
        <v>8</v>
      </c>
      <c r="F312">
        <v>0</v>
      </c>
      <c r="G312">
        <v>0</v>
      </c>
      <c r="H312">
        <f>표2[[#This Row],[공격성공횟수]]/(표2[[#This Row],[공격실패횟수]]+표2[[#This Row],[공격성공횟수]])</f>
        <v>0.33333333333333331</v>
      </c>
    </row>
    <row r="313" spans="1:8" hidden="1" x14ac:dyDescent="0.4">
      <c r="A313">
        <v>156</v>
      </c>
      <c r="B313" t="s">
        <v>2</v>
      </c>
      <c r="C313">
        <v>0</v>
      </c>
      <c r="D313">
        <v>0</v>
      </c>
      <c r="E313">
        <v>13</v>
      </c>
      <c r="F313">
        <v>4</v>
      </c>
      <c r="G313">
        <v>1</v>
      </c>
      <c r="H313">
        <f>표2[[#This Row],[공격성공횟수]]/(표2[[#This Row],[공격실패횟수]]+표2[[#This Row],[공격성공횟수]])</f>
        <v>0</v>
      </c>
    </row>
    <row r="314" spans="1:8" x14ac:dyDescent="0.4">
      <c r="A314">
        <v>157</v>
      </c>
      <c r="B314" t="s">
        <v>0</v>
      </c>
      <c r="C314">
        <v>1</v>
      </c>
      <c r="D314">
        <v>4</v>
      </c>
      <c r="E314">
        <v>37</v>
      </c>
      <c r="F314">
        <v>0</v>
      </c>
      <c r="G314">
        <v>0</v>
      </c>
      <c r="H314">
        <f>표2[[#This Row],[공격성공횟수]]/(표2[[#This Row],[공격실패횟수]]+표2[[#This Row],[공격성공횟수]])</f>
        <v>9.7560975609756101E-2</v>
      </c>
    </row>
    <row r="315" spans="1:8" hidden="1" x14ac:dyDescent="0.4">
      <c r="A315">
        <v>157</v>
      </c>
      <c r="B315" t="s">
        <v>2</v>
      </c>
      <c r="C315">
        <v>0</v>
      </c>
      <c r="D315">
        <v>0</v>
      </c>
      <c r="E315">
        <v>41</v>
      </c>
      <c r="F315">
        <v>4</v>
      </c>
      <c r="G315">
        <v>1</v>
      </c>
      <c r="H315">
        <f>표2[[#This Row],[공격성공횟수]]/(표2[[#This Row],[공격실패횟수]]+표2[[#This Row],[공격성공횟수]])</f>
        <v>0</v>
      </c>
    </row>
    <row r="316" spans="1:8" x14ac:dyDescent="0.4">
      <c r="A316">
        <v>158</v>
      </c>
      <c r="B316" t="s">
        <v>0</v>
      </c>
      <c r="C316">
        <v>0</v>
      </c>
      <c r="D316">
        <v>2</v>
      </c>
      <c r="E316">
        <v>18</v>
      </c>
      <c r="F316">
        <v>4</v>
      </c>
      <c r="G316">
        <v>1</v>
      </c>
      <c r="H316">
        <f>표2[[#This Row],[공격성공횟수]]/(표2[[#This Row],[공격실패횟수]]+표2[[#This Row],[공격성공횟수]])</f>
        <v>0.1</v>
      </c>
    </row>
    <row r="317" spans="1:8" hidden="1" x14ac:dyDescent="0.4">
      <c r="A317">
        <v>158</v>
      </c>
      <c r="B317" t="s">
        <v>2</v>
      </c>
      <c r="C317">
        <v>1</v>
      </c>
      <c r="D317">
        <v>4</v>
      </c>
      <c r="E317">
        <v>17</v>
      </c>
      <c r="F317">
        <v>2</v>
      </c>
      <c r="G317">
        <v>0</v>
      </c>
      <c r="H317">
        <f>표2[[#This Row],[공격성공횟수]]/(표2[[#This Row],[공격실패횟수]]+표2[[#This Row],[공격성공횟수]])</f>
        <v>0.19047619047619047</v>
      </c>
    </row>
    <row r="318" spans="1:8" x14ac:dyDescent="0.4">
      <c r="A318">
        <v>159</v>
      </c>
      <c r="B318" t="s">
        <v>0</v>
      </c>
      <c r="C318">
        <v>0</v>
      </c>
      <c r="D318">
        <v>2</v>
      </c>
      <c r="E318">
        <v>7</v>
      </c>
      <c r="F318">
        <v>4</v>
      </c>
      <c r="G318">
        <v>1</v>
      </c>
      <c r="H318">
        <f>표2[[#This Row],[공격성공횟수]]/(표2[[#This Row],[공격실패횟수]]+표2[[#This Row],[공격성공횟수]])</f>
        <v>0.22222222222222221</v>
      </c>
    </row>
    <row r="319" spans="1:8" hidden="1" x14ac:dyDescent="0.4">
      <c r="A319">
        <v>159</v>
      </c>
      <c r="B319" t="s">
        <v>2</v>
      </c>
      <c r="C319">
        <v>1</v>
      </c>
      <c r="D319">
        <v>4</v>
      </c>
      <c r="E319">
        <v>6</v>
      </c>
      <c r="F319">
        <v>2</v>
      </c>
      <c r="G319">
        <v>0</v>
      </c>
      <c r="H319">
        <f>표2[[#This Row],[공격성공횟수]]/(표2[[#This Row],[공격실패횟수]]+표2[[#This Row],[공격성공횟수]])</f>
        <v>0.4</v>
      </c>
    </row>
    <row r="320" spans="1:8" x14ac:dyDescent="0.4">
      <c r="A320">
        <v>160</v>
      </c>
      <c r="B320" t="s">
        <v>0</v>
      </c>
      <c r="C320">
        <v>1</v>
      </c>
      <c r="D320">
        <v>4</v>
      </c>
      <c r="E320">
        <v>3</v>
      </c>
      <c r="F320">
        <v>3</v>
      </c>
      <c r="G320">
        <v>0</v>
      </c>
      <c r="H320">
        <f>표2[[#This Row],[공격성공횟수]]/(표2[[#This Row],[공격실패횟수]]+표2[[#This Row],[공격성공횟수]])</f>
        <v>0.5714285714285714</v>
      </c>
    </row>
    <row r="321" spans="1:8" hidden="1" x14ac:dyDescent="0.4">
      <c r="A321">
        <v>160</v>
      </c>
      <c r="B321" t="s">
        <v>2</v>
      </c>
      <c r="C321">
        <v>0</v>
      </c>
      <c r="D321">
        <v>3</v>
      </c>
      <c r="E321">
        <v>3</v>
      </c>
      <c r="F321">
        <v>4</v>
      </c>
      <c r="G321">
        <v>1</v>
      </c>
      <c r="H321">
        <f>표2[[#This Row],[공격성공횟수]]/(표2[[#This Row],[공격실패횟수]]+표2[[#This Row],[공격성공횟수]])</f>
        <v>0.5</v>
      </c>
    </row>
    <row r="322" spans="1:8" x14ac:dyDescent="0.4">
      <c r="A322">
        <v>161</v>
      </c>
      <c r="B322" t="s">
        <v>0</v>
      </c>
      <c r="C322">
        <v>1</v>
      </c>
      <c r="D322">
        <v>4</v>
      </c>
      <c r="E322">
        <v>6</v>
      </c>
      <c r="F322">
        <v>0</v>
      </c>
      <c r="G322">
        <v>0</v>
      </c>
      <c r="H322">
        <f>표2[[#This Row],[공격성공횟수]]/(표2[[#This Row],[공격실패횟수]]+표2[[#This Row],[공격성공횟수]])</f>
        <v>0.4</v>
      </c>
    </row>
    <row r="323" spans="1:8" hidden="1" x14ac:dyDescent="0.4">
      <c r="A323">
        <v>161</v>
      </c>
      <c r="B323" t="s">
        <v>2</v>
      </c>
      <c r="C323">
        <v>0</v>
      </c>
      <c r="D323">
        <v>0</v>
      </c>
      <c r="E323">
        <v>10</v>
      </c>
      <c r="F323">
        <v>4</v>
      </c>
      <c r="G323">
        <v>1</v>
      </c>
      <c r="H323">
        <f>표2[[#This Row],[공격성공횟수]]/(표2[[#This Row],[공격실패횟수]]+표2[[#This Row],[공격성공횟수]])</f>
        <v>0</v>
      </c>
    </row>
    <row r="324" spans="1:8" x14ac:dyDescent="0.4">
      <c r="A324">
        <v>162</v>
      </c>
      <c r="B324" t="s">
        <v>0</v>
      </c>
      <c r="C324">
        <v>1</v>
      </c>
      <c r="D324">
        <v>4</v>
      </c>
      <c r="E324">
        <v>13</v>
      </c>
      <c r="F324">
        <v>0</v>
      </c>
      <c r="G324">
        <v>0</v>
      </c>
      <c r="H324">
        <f>표2[[#This Row],[공격성공횟수]]/(표2[[#This Row],[공격실패횟수]]+표2[[#This Row],[공격성공횟수]])</f>
        <v>0.23529411764705882</v>
      </c>
    </row>
    <row r="325" spans="1:8" hidden="1" x14ac:dyDescent="0.4">
      <c r="A325">
        <v>162</v>
      </c>
      <c r="B325" t="s">
        <v>2</v>
      </c>
      <c r="C325">
        <v>0</v>
      </c>
      <c r="D325">
        <v>0</v>
      </c>
      <c r="E325">
        <v>18</v>
      </c>
      <c r="F325">
        <v>4</v>
      </c>
      <c r="G325">
        <v>1</v>
      </c>
      <c r="H325">
        <f>표2[[#This Row],[공격성공횟수]]/(표2[[#This Row],[공격실패횟수]]+표2[[#This Row],[공격성공횟수]])</f>
        <v>0</v>
      </c>
    </row>
    <row r="326" spans="1:8" x14ac:dyDescent="0.4">
      <c r="A326">
        <v>163</v>
      </c>
      <c r="B326" t="s">
        <v>0</v>
      </c>
      <c r="C326">
        <v>0</v>
      </c>
      <c r="D326">
        <v>2</v>
      </c>
      <c r="E326">
        <v>16</v>
      </c>
      <c r="F326">
        <v>4</v>
      </c>
      <c r="G326">
        <v>1</v>
      </c>
      <c r="H326">
        <f>표2[[#This Row],[공격성공횟수]]/(표2[[#This Row],[공격실패횟수]]+표2[[#This Row],[공격성공횟수]])</f>
        <v>0.1111111111111111</v>
      </c>
    </row>
    <row r="327" spans="1:8" hidden="1" x14ac:dyDescent="0.4">
      <c r="A327">
        <v>163</v>
      </c>
      <c r="B327" t="s">
        <v>2</v>
      </c>
      <c r="C327">
        <v>1</v>
      </c>
      <c r="D327">
        <v>4</v>
      </c>
      <c r="E327">
        <v>15</v>
      </c>
      <c r="F327">
        <v>2</v>
      </c>
      <c r="G327">
        <v>0</v>
      </c>
      <c r="H327">
        <f>표2[[#This Row],[공격성공횟수]]/(표2[[#This Row],[공격실패횟수]]+표2[[#This Row],[공격성공횟수]])</f>
        <v>0.21052631578947367</v>
      </c>
    </row>
    <row r="328" spans="1:8" x14ac:dyDescent="0.4">
      <c r="A328">
        <v>164</v>
      </c>
      <c r="B328" t="s">
        <v>0</v>
      </c>
      <c r="C328">
        <v>1</v>
      </c>
      <c r="D328">
        <v>4</v>
      </c>
      <c r="E328">
        <v>56</v>
      </c>
      <c r="F328">
        <v>1</v>
      </c>
      <c r="G328">
        <v>0</v>
      </c>
      <c r="H328">
        <f>표2[[#This Row],[공격성공횟수]]/(표2[[#This Row],[공격실패횟수]]+표2[[#This Row],[공격성공횟수]])</f>
        <v>6.6666666666666666E-2</v>
      </c>
    </row>
    <row r="329" spans="1:8" hidden="1" x14ac:dyDescent="0.4">
      <c r="A329">
        <v>164</v>
      </c>
      <c r="B329" t="s">
        <v>2</v>
      </c>
      <c r="C329">
        <v>0</v>
      </c>
      <c r="D329">
        <v>1</v>
      </c>
      <c r="E329">
        <v>59</v>
      </c>
      <c r="F329">
        <v>4</v>
      </c>
      <c r="G329">
        <v>1</v>
      </c>
      <c r="H329">
        <f>표2[[#This Row],[공격성공횟수]]/(표2[[#This Row],[공격실패횟수]]+표2[[#This Row],[공격성공횟수]])</f>
        <v>1.6666666666666666E-2</v>
      </c>
    </row>
    <row r="330" spans="1:8" x14ac:dyDescent="0.4">
      <c r="A330">
        <v>165</v>
      </c>
      <c r="B330" t="s">
        <v>0</v>
      </c>
      <c r="C330">
        <v>1</v>
      </c>
      <c r="D330">
        <v>4</v>
      </c>
      <c r="E330">
        <v>8</v>
      </c>
      <c r="F330">
        <v>2</v>
      </c>
      <c r="G330">
        <v>0</v>
      </c>
      <c r="H330">
        <f>표2[[#This Row],[공격성공횟수]]/(표2[[#This Row],[공격실패횟수]]+표2[[#This Row],[공격성공횟수]])</f>
        <v>0.33333333333333331</v>
      </c>
    </row>
    <row r="331" spans="1:8" hidden="1" x14ac:dyDescent="0.4">
      <c r="A331">
        <v>165</v>
      </c>
      <c r="B331" t="s">
        <v>2</v>
      </c>
      <c r="C331">
        <v>0</v>
      </c>
      <c r="D331">
        <v>2</v>
      </c>
      <c r="E331">
        <v>11</v>
      </c>
      <c r="F331">
        <v>4</v>
      </c>
      <c r="G331">
        <v>1</v>
      </c>
      <c r="H331">
        <f>표2[[#This Row],[공격성공횟수]]/(표2[[#This Row],[공격실패횟수]]+표2[[#This Row],[공격성공횟수]])</f>
        <v>0.15384615384615385</v>
      </c>
    </row>
    <row r="332" spans="1:8" x14ac:dyDescent="0.4">
      <c r="A332">
        <v>166</v>
      </c>
      <c r="B332" t="s">
        <v>0</v>
      </c>
      <c r="C332">
        <v>1</v>
      </c>
      <c r="D332">
        <v>4</v>
      </c>
      <c r="E332">
        <v>7</v>
      </c>
      <c r="F332">
        <v>1</v>
      </c>
      <c r="G332">
        <v>0</v>
      </c>
      <c r="H332">
        <f>표2[[#This Row],[공격성공횟수]]/(표2[[#This Row],[공격실패횟수]]+표2[[#This Row],[공격성공횟수]])</f>
        <v>0.36363636363636365</v>
      </c>
    </row>
    <row r="333" spans="1:8" hidden="1" x14ac:dyDescent="0.4">
      <c r="A333">
        <v>166</v>
      </c>
      <c r="B333" t="s">
        <v>2</v>
      </c>
      <c r="C333">
        <v>0</v>
      </c>
      <c r="D333">
        <v>1</v>
      </c>
      <c r="E333">
        <v>10</v>
      </c>
      <c r="F333">
        <v>4</v>
      </c>
      <c r="G333">
        <v>1</v>
      </c>
      <c r="H333">
        <f>표2[[#This Row],[공격성공횟수]]/(표2[[#This Row],[공격실패횟수]]+표2[[#This Row],[공격성공횟수]])</f>
        <v>9.0909090909090912E-2</v>
      </c>
    </row>
    <row r="334" spans="1:8" x14ac:dyDescent="0.4">
      <c r="A334">
        <v>167</v>
      </c>
      <c r="B334" t="s">
        <v>0</v>
      </c>
      <c r="C334">
        <v>1</v>
      </c>
      <c r="D334">
        <v>4</v>
      </c>
      <c r="E334">
        <v>9</v>
      </c>
      <c r="F334">
        <v>0</v>
      </c>
      <c r="G334">
        <v>0</v>
      </c>
      <c r="H334">
        <f>표2[[#This Row],[공격성공횟수]]/(표2[[#This Row],[공격실패횟수]]+표2[[#This Row],[공격성공횟수]])</f>
        <v>0.30769230769230771</v>
      </c>
    </row>
    <row r="335" spans="1:8" hidden="1" x14ac:dyDescent="0.4">
      <c r="A335">
        <v>167</v>
      </c>
      <c r="B335" t="s">
        <v>2</v>
      </c>
      <c r="C335">
        <v>0</v>
      </c>
      <c r="D335">
        <v>0</v>
      </c>
      <c r="E335">
        <v>13</v>
      </c>
      <c r="F335">
        <v>4</v>
      </c>
      <c r="G335">
        <v>1</v>
      </c>
      <c r="H335">
        <f>표2[[#This Row],[공격성공횟수]]/(표2[[#This Row],[공격실패횟수]]+표2[[#This Row],[공격성공횟수]])</f>
        <v>0</v>
      </c>
    </row>
    <row r="336" spans="1:8" x14ac:dyDescent="0.4">
      <c r="A336">
        <v>168</v>
      </c>
      <c r="B336" t="s">
        <v>0</v>
      </c>
      <c r="C336">
        <v>1</v>
      </c>
      <c r="D336">
        <v>4</v>
      </c>
      <c r="E336">
        <v>11</v>
      </c>
      <c r="F336">
        <v>1</v>
      </c>
      <c r="G336">
        <v>0</v>
      </c>
      <c r="H336">
        <f>표2[[#This Row],[공격성공횟수]]/(표2[[#This Row],[공격실패횟수]]+표2[[#This Row],[공격성공횟수]])</f>
        <v>0.26666666666666666</v>
      </c>
    </row>
    <row r="337" spans="1:8" hidden="1" x14ac:dyDescent="0.4">
      <c r="A337">
        <v>168</v>
      </c>
      <c r="B337" t="s">
        <v>2</v>
      </c>
      <c r="C337">
        <v>0</v>
      </c>
      <c r="D337">
        <v>1</v>
      </c>
      <c r="E337">
        <v>14</v>
      </c>
      <c r="F337">
        <v>4</v>
      </c>
      <c r="G337">
        <v>1</v>
      </c>
      <c r="H337">
        <f>표2[[#This Row],[공격성공횟수]]/(표2[[#This Row],[공격실패횟수]]+표2[[#This Row],[공격성공횟수]])</f>
        <v>6.6666666666666666E-2</v>
      </c>
    </row>
    <row r="338" spans="1:8" x14ac:dyDescent="0.4">
      <c r="A338">
        <v>169</v>
      </c>
      <c r="B338" t="s">
        <v>0</v>
      </c>
      <c r="C338">
        <v>1</v>
      </c>
      <c r="D338">
        <v>4</v>
      </c>
      <c r="E338">
        <v>10</v>
      </c>
      <c r="F338">
        <v>3</v>
      </c>
      <c r="G338">
        <v>0</v>
      </c>
      <c r="H338">
        <f>표2[[#This Row],[공격성공횟수]]/(표2[[#This Row],[공격실패횟수]]+표2[[#This Row],[공격성공횟수]])</f>
        <v>0.2857142857142857</v>
      </c>
    </row>
    <row r="339" spans="1:8" hidden="1" x14ac:dyDescent="0.4">
      <c r="A339">
        <v>169</v>
      </c>
      <c r="B339" t="s">
        <v>2</v>
      </c>
      <c r="C339">
        <v>0</v>
      </c>
      <c r="D339">
        <v>3</v>
      </c>
      <c r="E339">
        <v>12</v>
      </c>
      <c r="F339">
        <v>4</v>
      </c>
      <c r="G339">
        <v>1</v>
      </c>
      <c r="H339">
        <f>표2[[#This Row],[공격성공횟수]]/(표2[[#This Row],[공격실패횟수]]+표2[[#This Row],[공격성공횟수]])</f>
        <v>0.2</v>
      </c>
    </row>
    <row r="340" spans="1:8" x14ac:dyDescent="0.4">
      <c r="A340">
        <v>170</v>
      </c>
      <c r="B340" t="s">
        <v>0</v>
      </c>
      <c r="C340">
        <v>0</v>
      </c>
      <c r="D340">
        <v>2</v>
      </c>
      <c r="E340">
        <v>11</v>
      </c>
      <c r="F340">
        <v>4</v>
      </c>
      <c r="G340">
        <v>1</v>
      </c>
      <c r="H340">
        <f>표2[[#This Row],[공격성공횟수]]/(표2[[#This Row],[공격실패횟수]]+표2[[#This Row],[공격성공횟수]])</f>
        <v>0.15384615384615385</v>
      </c>
    </row>
    <row r="341" spans="1:8" hidden="1" x14ac:dyDescent="0.4">
      <c r="A341">
        <v>170</v>
      </c>
      <c r="B341" t="s">
        <v>2</v>
      </c>
      <c r="C341">
        <v>1</v>
      </c>
      <c r="D341">
        <v>4</v>
      </c>
      <c r="E341">
        <v>10</v>
      </c>
      <c r="F341">
        <v>2</v>
      </c>
      <c r="G341">
        <v>0</v>
      </c>
      <c r="H341">
        <f>표2[[#This Row],[공격성공횟수]]/(표2[[#This Row],[공격실패횟수]]+표2[[#This Row],[공격성공횟수]])</f>
        <v>0.2857142857142857</v>
      </c>
    </row>
    <row r="342" spans="1:8" x14ac:dyDescent="0.4">
      <c r="A342">
        <v>171</v>
      </c>
      <c r="B342" t="s">
        <v>0</v>
      </c>
      <c r="C342">
        <v>1</v>
      </c>
      <c r="D342">
        <v>4</v>
      </c>
      <c r="E342">
        <v>12</v>
      </c>
      <c r="F342">
        <v>1</v>
      </c>
      <c r="G342">
        <v>0</v>
      </c>
      <c r="H342">
        <f>표2[[#This Row],[공격성공횟수]]/(표2[[#This Row],[공격실패횟수]]+표2[[#This Row],[공격성공횟수]])</f>
        <v>0.25</v>
      </c>
    </row>
    <row r="343" spans="1:8" hidden="1" x14ac:dyDescent="0.4">
      <c r="A343">
        <v>171</v>
      </c>
      <c r="B343" t="s">
        <v>2</v>
      </c>
      <c r="C343">
        <v>0</v>
      </c>
      <c r="D343">
        <v>1</v>
      </c>
      <c r="E343">
        <v>14</v>
      </c>
      <c r="F343">
        <v>4</v>
      </c>
      <c r="G343">
        <v>1</v>
      </c>
      <c r="H343">
        <f>표2[[#This Row],[공격성공횟수]]/(표2[[#This Row],[공격실패횟수]]+표2[[#This Row],[공격성공횟수]])</f>
        <v>6.6666666666666666E-2</v>
      </c>
    </row>
    <row r="344" spans="1:8" x14ac:dyDescent="0.4">
      <c r="A344">
        <v>172</v>
      </c>
      <c r="B344" t="s">
        <v>0</v>
      </c>
      <c r="C344">
        <v>0</v>
      </c>
      <c r="D344">
        <v>2</v>
      </c>
      <c r="E344">
        <v>7</v>
      </c>
      <c r="F344">
        <v>4</v>
      </c>
      <c r="G344">
        <v>1</v>
      </c>
      <c r="H344">
        <f>표2[[#This Row],[공격성공횟수]]/(표2[[#This Row],[공격실패횟수]]+표2[[#This Row],[공격성공횟수]])</f>
        <v>0.22222222222222221</v>
      </c>
    </row>
    <row r="345" spans="1:8" hidden="1" x14ac:dyDescent="0.4">
      <c r="A345">
        <v>172</v>
      </c>
      <c r="B345" t="s">
        <v>2</v>
      </c>
      <c r="C345">
        <v>1</v>
      </c>
      <c r="D345">
        <v>4</v>
      </c>
      <c r="E345">
        <v>8</v>
      </c>
      <c r="F345">
        <v>2</v>
      </c>
      <c r="G345">
        <v>0</v>
      </c>
      <c r="H345">
        <f>표2[[#This Row],[공격성공횟수]]/(표2[[#This Row],[공격실패횟수]]+표2[[#This Row],[공격성공횟수]])</f>
        <v>0.33333333333333331</v>
      </c>
    </row>
    <row r="346" spans="1:8" x14ac:dyDescent="0.4">
      <c r="A346">
        <v>173</v>
      </c>
      <c r="B346" t="s">
        <v>0</v>
      </c>
      <c r="C346">
        <v>1</v>
      </c>
      <c r="D346">
        <v>4</v>
      </c>
      <c r="E346">
        <v>25</v>
      </c>
      <c r="F346">
        <v>3</v>
      </c>
      <c r="G346">
        <v>0</v>
      </c>
      <c r="H346">
        <f>표2[[#This Row],[공격성공횟수]]/(표2[[#This Row],[공격실패횟수]]+표2[[#This Row],[공격성공횟수]])</f>
        <v>0.13793103448275862</v>
      </c>
    </row>
    <row r="347" spans="1:8" hidden="1" x14ac:dyDescent="0.4">
      <c r="A347">
        <v>173</v>
      </c>
      <c r="B347" t="s">
        <v>2</v>
      </c>
      <c r="C347">
        <v>0</v>
      </c>
      <c r="D347">
        <v>3</v>
      </c>
      <c r="E347">
        <v>27</v>
      </c>
      <c r="F347">
        <v>4</v>
      </c>
      <c r="G347">
        <v>1</v>
      </c>
      <c r="H347">
        <f>표2[[#This Row],[공격성공횟수]]/(표2[[#This Row],[공격실패횟수]]+표2[[#This Row],[공격성공횟수]])</f>
        <v>0.1</v>
      </c>
    </row>
    <row r="348" spans="1:8" x14ac:dyDescent="0.4">
      <c r="A348">
        <v>174</v>
      </c>
      <c r="B348" t="s">
        <v>0</v>
      </c>
      <c r="C348">
        <v>0</v>
      </c>
      <c r="D348">
        <v>0</v>
      </c>
      <c r="E348">
        <v>10</v>
      </c>
      <c r="F348">
        <v>4</v>
      </c>
      <c r="G348">
        <v>1</v>
      </c>
      <c r="H348">
        <f>표2[[#This Row],[공격성공횟수]]/(표2[[#This Row],[공격실패횟수]]+표2[[#This Row],[공격성공횟수]])</f>
        <v>0</v>
      </c>
    </row>
    <row r="349" spans="1:8" hidden="1" x14ac:dyDescent="0.4">
      <c r="A349">
        <v>174</v>
      </c>
      <c r="B349" t="s">
        <v>2</v>
      </c>
      <c r="C349">
        <v>1</v>
      </c>
      <c r="D349">
        <v>4</v>
      </c>
      <c r="E349">
        <v>7</v>
      </c>
      <c r="F349">
        <v>0</v>
      </c>
      <c r="G349">
        <v>0</v>
      </c>
      <c r="H349">
        <f>표2[[#This Row],[공격성공횟수]]/(표2[[#This Row],[공격실패횟수]]+표2[[#This Row],[공격성공횟수]])</f>
        <v>0.36363636363636365</v>
      </c>
    </row>
    <row r="350" spans="1:8" x14ac:dyDescent="0.4">
      <c r="A350">
        <v>175</v>
      </c>
      <c r="B350" t="s">
        <v>0</v>
      </c>
      <c r="C350">
        <v>1</v>
      </c>
      <c r="D350">
        <v>4</v>
      </c>
      <c r="E350">
        <v>5</v>
      </c>
      <c r="F350">
        <v>3</v>
      </c>
      <c r="G350">
        <v>0</v>
      </c>
      <c r="H350">
        <f>표2[[#This Row],[공격성공횟수]]/(표2[[#This Row],[공격실패횟수]]+표2[[#This Row],[공격성공횟수]])</f>
        <v>0.44444444444444442</v>
      </c>
    </row>
    <row r="351" spans="1:8" hidden="1" x14ac:dyDescent="0.4">
      <c r="A351">
        <v>175</v>
      </c>
      <c r="B351" t="s">
        <v>2</v>
      </c>
      <c r="C351">
        <v>0</v>
      </c>
      <c r="D351">
        <v>3</v>
      </c>
      <c r="E351">
        <v>5</v>
      </c>
      <c r="F351">
        <v>4</v>
      </c>
      <c r="G351">
        <v>1</v>
      </c>
      <c r="H351">
        <f>표2[[#This Row],[공격성공횟수]]/(표2[[#This Row],[공격실패횟수]]+표2[[#This Row],[공격성공횟수]])</f>
        <v>0.375</v>
      </c>
    </row>
    <row r="352" spans="1:8" x14ac:dyDescent="0.4">
      <c r="A352">
        <v>176</v>
      </c>
      <c r="B352" t="s">
        <v>0</v>
      </c>
      <c r="C352">
        <v>1</v>
      </c>
      <c r="D352">
        <v>4</v>
      </c>
      <c r="E352">
        <v>28</v>
      </c>
      <c r="F352">
        <v>2</v>
      </c>
      <c r="G352">
        <v>0</v>
      </c>
      <c r="H352">
        <f>표2[[#This Row],[공격성공횟수]]/(표2[[#This Row],[공격실패횟수]]+표2[[#This Row],[공격성공횟수]])</f>
        <v>0.125</v>
      </c>
    </row>
    <row r="353" spans="1:8" hidden="1" x14ac:dyDescent="0.4">
      <c r="A353">
        <v>176</v>
      </c>
      <c r="B353" t="s">
        <v>2</v>
      </c>
      <c r="C353">
        <v>0</v>
      </c>
      <c r="D353">
        <v>2</v>
      </c>
      <c r="E353">
        <v>31</v>
      </c>
      <c r="F353">
        <v>4</v>
      </c>
      <c r="G353">
        <v>1</v>
      </c>
      <c r="H353">
        <f>표2[[#This Row],[공격성공횟수]]/(표2[[#This Row],[공격실패횟수]]+표2[[#This Row],[공격성공횟수]])</f>
        <v>6.0606060606060608E-2</v>
      </c>
    </row>
    <row r="354" spans="1:8" x14ac:dyDescent="0.4">
      <c r="A354">
        <v>177</v>
      </c>
      <c r="B354" t="s">
        <v>0</v>
      </c>
      <c r="C354">
        <v>1</v>
      </c>
      <c r="D354">
        <v>4</v>
      </c>
      <c r="E354">
        <v>6</v>
      </c>
      <c r="F354">
        <v>2</v>
      </c>
      <c r="G354">
        <v>0</v>
      </c>
      <c r="H354">
        <f>표2[[#This Row],[공격성공횟수]]/(표2[[#This Row],[공격실패횟수]]+표2[[#This Row],[공격성공횟수]])</f>
        <v>0.4</v>
      </c>
    </row>
    <row r="355" spans="1:8" hidden="1" x14ac:dyDescent="0.4">
      <c r="A355">
        <v>177</v>
      </c>
      <c r="B355" t="s">
        <v>2</v>
      </c>
      <c r="C355">
        <v>0</v>
      </c>
      <c r="D355">
        <v>2</v>
      </c>
      <c r="E355">
        <v>8</v>
      </c>
      <c r="F355">
        <v>4</v>
      </c>
      <c r="G355">
        <v>1</v>
      </c>
      <c r="H355">
        <f>표2[[#This Row],[공격성공횟수]]/(표2[[#This Row],[공격실패횟수]]+표2[[#This Row],[공격성공횟수]])</f>
        <v>0.2</v>
      </c>
    </row>
    <row r="356" spans="1:8" x14ac:dyDescent="0.4">
      <c r="A356">
        <v>178</v>
      </c>
      <c r="B356" t="s">
        <v>0</v>
      </c>
      <c r="C356">
        <v>1</v>
      </c>
      <c r="D356">
        <v>4</v>
      </c>
      <c r="E356">
        <v>36</v>
      </c>
      <c r="F356">
        <v>0</v>
      </c>
      <c r="G356">
        <v>0</v>
      </c>
      <c r="H356">
        <f>표2[[#This Row],[공격성공횟수]]/(표2[[#This Row],[공격실패횟수]]+표2[[#This Row],[공격성공횟수]])</f>
        <v>0.1</v>
      </c>
    </row>
    <row r="357" spans="1:8" hidden="1" x14ac:dyDescent="0.4">
      <c r="A357">
        <v>178</v>
      </c>
      <c r="B357" t="s">
        <v>2</v>
      </c>
      <c r="C357">
        <v>0</v>
      </c>
      <c r="D357">
        <v>0</v>
      </c>
      <c r="E357">
        <v>41</v>
      </c>
      <c r="F357">
        <v>4</v>
      </c>
      <c r="G357">
        <v>1</v>
      </c>
      <c r="H357">
        <f>표2[[#This Row],[공격성공횟수]]/(표2[[#This Row],[공격실패횟수]]+표2[[#This Row],[공격성공횟수]])</f>
        <v>0</v>
      </c>
    </row>
    <row r="358" spans="1:8" x14ac:dyDescent="0.4">
      <c r="A358">
        <v>179</v>
      </c>
      <c r="B358" t="s">
        <v>0</v>
      </c>
      <c r="C358">
        <v>1</v>
      </c>
      <c r="D358">
        <v>4</v>
      </c>
      <c r="E358">
        <v>11</v>
      </c>
      <c r="F358">
        <v>1</v>
      </c>
      <c r="G358">
        <v>0</v>
      </c>
      <c r="H358">
        <f>표2[[#This Row],[공격성공횟수]]/(표2[[#This Row],[공격실패횟수]]+표2[[#This Row],[공격성공횟수]])</f>
        <v>0.26666666666666666</v>
      </c>
    </row>
    <row r="359" spans="1:8" hidden="1" x14ac:dyDescent="0.4">
      <c r="A359">
        <v>179</v>
      </c>
      <c r="B359" t="s">
        <v>2</v>
      </c>
      <c r="C359">
        <v>0</v>
      </c>
      <c r="D359">
        <v>1</v>
      </c>
      <c r="E359">
        <v>15</v>
      </c>
      <c r="F359">
        <v>4</v>
      </c>
      <c r="G359">
        <v>1</v>
      </c>
      <c r="H359">
        <f>표2[[#This Row],[공격성공횟수]]/(표2[[#This Row],[공격실패횟수]]+표2[[#This Row],[공격성공횟수]])</f>
        <v>6.25E-2</v>
      </c>
    </row>
    <row r="360" spans="1:8" x14ac:dyDescent="0.4">
      <c r="A360">
        <v>180</v>
      </c>
      <c r="B360" t="s">
        <v>0</v>
      </c>
      <c r="C360">
        <v>1</v>
      </c>
      <c r="D360">
        <v>4</v>
      </c>
      <c r="E360">
        <v>12</v>
      </c>
      <c r="F360">
        <v>3</v>
      </c>
      <c r="G360">
        <v>0</v>
      </c>
      <c r="H360">
        <f>표2[[#This Row],[공격성공횟수]]/(표2[[#This Row],[공격실패횟수]]+표2[[#This Row],[공격성공횟수]])</f>
        <v>0.25</v>
      </c>
    </row>
    <row r="361" spans="1:8" hidden="1" x14ac:dyDescent="0.4">
      <c r="A361">
        <v>180</v>
      </c>
      <c r="B361" t="s">
        <v>2</v>
      </c>
      <c r="C361">
        <v>0</v>
      </c>
      <c r="D361">
        <v>3</v>
      </c>
      <c r="E361">
        <v>13</v>
      </c>
      <c r="F361">
        <v>4</v>
      </c>
      <c r="G361">
        <v>1</v>
      </c>
      <c r="H361">
        <f>표2[[#This Row],[공격성공횟수]]/(표2[[#This Row],[공격실패횟수]]+표2[[#This Row],[공격성공횟수]])</f>
        <v>0.1875</v>
      </c>
    </row>
    <row r="362" spans="1:8" x14ac:dyDescent="0.4">
      <c r="A362">
        <v>181</v>
      </c>
      <c r="B362" t="s">
        <v>0</v>
      </c>
      <c r="C362">
        <v>1</v>
      </c>
      <c r="D362">
        <v>4</v>
      </c>
      <c r="E362">
        <v>5</v>
      </c>
      <c r="F362">
        <v>1</v>
      </c>
      <c r="G362">
        <v>0</v>
      </c>
      <c r="H362">
        <f>표2[[#This Row],[공격성공횟수]]/(표2[[#This Row],[공격실패횟수]]+표2[[#This Row],[공격성공횟수]])</f>
        <v>0.44444444444444442</v>
      </c>
    </row>
    <row r="363" spans="1:8" hidden="1" x14ac:dyDescent="0.4">
      <c r="A363">
        <v>181</v>
      </c>
      <c r="B363" t="s">
        <v>2</v>
      </c>
      <c r="C363">
        <v>0</v>
      </c>
      <c r="D363">
        <v>1</v>
      </c>
      <c r="E363">
        <v>8</v>
      </c>
      <c r="F363">
        <v>4</v>
      </c>
      <c r="G363">
        <v>1</v>
      </c>
      <c r="H363">
        <f>표2[[#This Row],[공격성공횟수]]/(표2[[#This Row],[공격실패횟수]]+표2[[#This Row],[공격성공횟수]])</f>
        <v>0.1111111111111111</v>
      </c>
    </row>
    <row r="364" spans="1:8" x14ac:dyDescent="0.4">
      <c r="A364">
        <v>182</v>
      </c>
      <c r="B364" t="s">
        <v>0</v>
      </c>
      <c r="C364">
        <v>1</v>
      </c>
      <c r="D364">
        <v>4</v>
      </c>
      <c r="E364">
        <v>6</v>
      </c>
      <c r="F364">
        <v>1</v>
      </c>
      <c r="G364">
        <v>0</v>
      </c>
      <c r="H364">
        <f>표2[[#This Row],[공격성공횟수]]/(표2[[#This Row],[공격실패횟수]]+표2[[#This Row],[공격성공횟수]])</f>
        <v>0.4</v>
      </c>
    </row>
    <row r="365" spans="1:8" hidden="1" x14ac:dyDescent="0.4">
      <c r="A365">
        <v>182</v>
      </c>
      <c r="B365" t="s">
        <v>2</v>
      </c>
      <c r="C365">
        <v>0</v>
      </c>
      <c r="D365">
        <v>1</v>
      </c>
      <c r="E365">
        <v>9</v>
      </c>
      <c r="F365">
        <v>4</v>
      </c>
      <c r="G365">
        <v>1</v>
      </c>
      <c r="H365">
        <f>표2[[#This Row],[공격성공횟수]]/(표2[[#This Row],[공격실패횟수]]+표2[[#This Row],[공격성공횟수]])</f>
        <v>0.1</v>
      </c>
    </row>
    <row r="366" spans="1:8" x14ac:dyDescent="0.4">
      <c r="A366">
        <v>183</v>
      </c>
      <c r="B366" t="s">
        <v>0</v>
      </c>
      <c r="C366">
        <v>1</v>
      </c>
      <c r="D366">
        <v>4</v>
      </c>
      <c r="E366">
        <v>9</v>
      </c>
      <c r="F366">
        <v>0</v>
      </c>
      <c r="G366">
        <v>0</v>
      </c>
      <c r="H366">
        <f>표2[[#This Row],[공격성공횟수]]/(표2[[#This Row],[공격실패횟수]]+표2[[#This Row],[공격성공횟수]])</f>
        <v>0.30769230769230771</v>
      </c>
    </row>
    <row r="367" spans="1:8" hidden="1" x14ac:dyDescent="0.4">
      <c r="A367">
        <v>183</v>
      </c>
      <c r="B367" t="s">
        <v>2</v>
      </c>
      <c r="C367">
        <v>0</v>
      </c>
      <c r="D367">
        <v>0</v>
      </c>
      <c r="E367">
        <v>12</v>
      </c>
      <c r="F367">
        <v>4</v>
      </c>
      <c r="G367">
        <v>1</v>
      </c>
      <c r="H367">
        <f>표2[[#This Row],[공격성공횟수]]/(표2[[#This Row],[공격실패횟수]]+표2[[#This Row],[공격성공횟수]])</f>
        <v>0</v>
      </c>
    </row>
    <row r="368" spans="1:8" x14ac:dyDescent="0.4">
      <c r="A368">
        <v>184</v>
      </c>
      <c r="B368" t="s">
        <v>0</v>
      </c>
      <c r="C368">
        <v>1</v>
      </c>
      <c r="D368">
        <v>4</v>
      </c>
      <c r="E368">
        <v>7</v>
      </c>
      <c r="F368">
        <v>1</v>
      </c>
      <c r="G368">
        <v>0</v>
      </c>
      <c r="H368">
        <f>표2[[#This Row],[공격성공횟수]]/(표2[[#This Row],[공격실패횟수]]+표2[[#This Row],[공격성공횟수]])</f>
        <v>0.36363636363636365</v>
      </c>
    </row>
    <row r="369" spans="1:8" hidden="1" x14ac:dyDescent="0.4">
      <c r="A369">
        <v>184</v>
      </c>
      <c r="B369" t="s">
        <v>2</v>
      </c>
      <c r="C369">
        <v>0</v>
      </c>
      <c r="D369">
        <v>1</v>
      </c>
      <c r="E369">
        <v>11</v>
      </c>
      <c r="F369">
        <v>4</v>
      </c>
      <c r="G369">
        <v>1</v>
      </c>
      <c r="H369">
        <f>표2[[#This Row],[공격성공횟수]]/(표2[[#This Row],[공격실패횟수]]+표2[[#This Row],[공격성공횟수]])</f>
        <v>8.3333333333333329E-2</v>
      </c>
    </row>
    <row r="370" spans="1:8" x14ac:dyDescent="0.4">
      <c r="A370">
        <v>185</v>
      </c>
      <c r="B370" t="s">
        <v>0</v>
      </c>
      <c r="C370">
        <v>0</v>
      </c>
      <c r="D370">
        <v>0</v>
      </c>
      <c r="E370">
        <v>12</v>
      </c>
      <c r="F370">
        <v>4</v>
      </c>
      <c r="G370">
        <v>1</v>
      </c>
      <c r="H370">
        <f>표2[[#This Row],[공격성공횟수]]/(표2[[#This Row],[공격실패횟수]]+표2[[#This Row],[공격성공횟수]])</f>
        <v>0</v>
      </c>
    </row>
    <row r="371" spans="1:8" hidden="1" x14ac:dyDescent="0.4">
      <c r="A371">
        <v>185</v>
      </c>
      <c r="B371" t="s">
        <v>2</v>
      </c>
      <c r="C371">
        <v>1</v>
      </c>
      <c r="D371">
        <v>4</v>
      </c>
      <c r="E371">
        <v>7</v>
      </c>
      <c r="F371">
        <v>0</v>
      </c>
      <c r="G371">
        <v>0</v>
      </c>
      <c r="H371">
        <f>표2[[#This Row],[공격성공횟수]]/(표2[[#This Row],[공격실패횟수]]+표2[[#This Row],[공격성공횟수]])</f>
        <v>0.36363636363636365</v>
      </c>
    </row>
    <row r="372" spans="1:8" x14ac:dyDescent="0.4">
      <c r="A372">
        <v>186</v>
      </c>
      <c r="B372" t="s">
        <v>0</v>
      </c>
      <c r="C372">
        <v>0</v>
      </c>
      <c r="D372">
        <v>3</v>
      </c>
      <c r="E372">
        <v>16</v>
      </c>
      <c r="F372">
        <v>4</v>
      </c>
      <c r="G372">
        <v>1</v>
      </c>
      <c r="H372">
        <f>표2[[#This Row],[공격성공횟수]]/(표2[[#This Row],[공격실패횟수]]+표2[[#This Row],[공격성공횟수]])</f>
        <v>0.15789473684210525</v>
      </c>
    </row>
    <row r="373" spans="1:8" hidden="1" x14ac:dyDescent="0.4">
      <c r="A373">
        <v>186</v>
      </c>
      <c r="B373" t="s">
        <v>2</v>
      </c>
      <c r="C373">
        <v>1</v>
      </c>
      <c r="D373">
        <v>4</v>
      </c>
      <c r="E373">
        <v>15</v>
      </c>
      <c r="F373">
        <v>3</v>
      </c>
      <c r="G373">
        <v>0</v>
      </c>
      <c r="H373">
        <f>표2[[#This Row],[공격성공횟수]]/(표2[[#This Row],[공격실패횟수]]+표2[[#This Row],[공격성공횟수]])</f>
        <v>0.21052631578947367</v>
      </c>
    </row>
    <row r="374" spans="1:8" x14ac:dyDescent="0.4">
      <c r="A374">
        <v>187</v>
      </c>
      <c r="B374" t="s">
        <v>0</v>
      </c>
      <c r="C374">
        <v>1</v>
      </c>
      <c r="D374">
        <v>4</v>
      </c>
      <c r="E374">
        <v>8</v>
      </c>
      <c r="F374">
        <v>3</v>
      </c>
      <c r="G374">
        <v>0</v>
      </c>
      <c r="H374">
        <f>표2[[#This Row],[공격성공횟수]]/(표2[[#This Row],[공격실패횟수]]+표2[[#This Row],[공격성공횟수]])</f>
        <v>0.33333333333333331</v>
      </c>
    </row>
    <row r="375" spans="1:8" hidden="1" x14ac:dyDescent="0.4">
      <c r="A375">
        <v>187</v>
      </c>
      <c r="B375" t="s">
        <v>2</v>
      </c>
      <c r="C375">
        <v>0</v>
      </c>
      <c r="D375">
        <v>3</v>
      </c>
      <c r="E375">
        <v>8</v>
      </c>
      <c r="F375">
        <v>4</v>
      </c>
      <c r="G375">
        <v>1</v>
      </c>
      <c r="H375">
        <f>표2[[#This Row],[공격성공횟수]]/(표2[[#This Row],[공격실패횟수]]+표2[[#This Row],[공격성공횟수]])</f>
        <v>0.27272727272727271</v>
      </c>
    </row>
    <row r="376" spans="1:8" x14ac:dyDescent="0.4">
      <c r="A376">
        <v>188</v>
      </c>
      <c r="B376" t="s">
        <v>0</v>
      </c>
      <c r="C376">
        <v>1</v>
      </c>
      <c r="D376">
        <v>4</v>
      </c>
      <c r="E376">
        <v>6</v>
      </c>
      <c r="F376">
        <v>3</v>
      </c>
      <c r="G376">
        <v>0</v>
      </c>
      <c r="H376">
        <f>표2[[#This Row],[공격성공횟수]]/(표2[[#This Row],[공격실패횟수]]+표2[[#This Row],[공격성공횟수]])</f>
        <v>0.4</v>
      </c>
    </row>
    <row r="377" spans="1:8" hidden="1" x14ac:dyDescent="0.4">
      <c r="A377">
        <v>188</v>
      </c>
      <c r="B377" t="s">
        <v>2</v>
      </c>
      <c r="C377">
        <v>0</v>
      </c>
      <c r="D377">
        <v>3</v>
      </c>
      <c r="E377">
        <v>8</v>
      </c>
      <c r="F377">
        <v>4</v>
      </c>
      <c r="G377">
        <v>1</v>
      </c>
      <c r="H377">
        <f>표2[[#This Row],[공격성공횟수]]/(표2[[#This Row],[공격실패횟수]]+표2[[#This Row],[공격성공횟수]])</f>
        <v>0.27272727272727271</v>
      </c>
    </row>
    <row r="378" spans="1:8" x14ac:dyDescent="0.4">
      <c r="A378">
        <v>189</v>
      </c>
      <c r="B378" t="s">
        <v>0</v>
      </c>
      <c r="C378">
        <v>1</v>
      </c>
      <c r="D378">
        <v>4</v>
      </c>
      <c r="E378">
        <v>7</v>
      </c>
      <c r="F378">
        <v>2</v>
      </c>
      <c r="G378">
        <v>0</v>
      </c>
      <c r="H378">
        <f>표2[[#This Row],[공격성공횟수]]/(표2[[#This Row],[공격실패횟수]]+표2[[#This Row],[공격성공횟수]])</f>
        <v>0.36363636363636365</v>
      </c>
    </row>
    <row r="379" spans="1:8" hidden="1" x14ac:dyDescent="0.4">
      <c r="A379">
        <v>189</v>
      </c>
      <c r="B379" t="s">
        <v>2</v>
      </c>
      <c r="C379">
        <v>0</v>
      </c>
      <c r="D379">
        <v>2</v>
      </c>
      <c r="E379">
        <v>9</v>
      </c>
      <c r="F379">
        <v>4</v>
      </c>
      <c r="G379">
        <v>1</v>
      </c>
      <c r="H379">
        <f>표2[[#This Row],[공격성공횟수]]/(표2[[#This Row],[공격실패횟수]]+표2[[#This Row],[공격성공횟수]])</f>
        <v>0.18181818181818182</v>
      </c>
    </row>
    <row r="380" spans="1:8" x14ac:dyDescent="0.4">
      <c r="A380">
        <v>190</v>
      </c>
      <c r="B380" t="s">
        <v>0</v>
      </c>
      <c r="C380">
        <v>0</v>
      </c>
      <c r="D380">
        <v>2</v>
      </c>
      <c r="E380">
        <v>18</v>
      </c>
      <c r="F380">
        <v>4</v>
      </c>
      <c r="G380">
        <v>1</v>
      </c>
      <c r="H380">
        <f>표2[[#This Row],[공격성공횟수]]/(표2[[#This Row],[공격실패횟수]]+표2[[#This Row],[공격성공횟수]])</f>
        <v>0.1</v>
      </c>
    </row>
    <row r="381" spans="1:8" hidden="1" x14ac:dyDescent="0.4">
      <c r="A381">
        <v>190</v>
      </c>
      <c r="B381" t="s">
        <v>2</v>
      </c>
      <c r="C381">
        <v>1</v>
      </c>
      <c r="D381">
        <v>4</v>
      </c>
      <c r="E381">
        <v>19</v>
      </c>
      <c r="F381">
        <v>2</v>
      </c>
      <c r="G381">
        <v>0</v>
      </c>
      <c r="H381">
        <f>표2[[#This Row],[공격성공횟수]]/(표2[[#This Row],[공격실패횟수]]+표2[[#This Row],[공격성공횟수]])</f>
        <v>0.17391304347826086</v>
      </c>
    </row>
    <row r="382" spans="1:8" x14ac:dyDescent="0.4">
      <c r="A382">
        <v>191</v>
      </c>
      <c r="B382" t="s">
        <v>0</v>
      </c>
      <c r="C382">
        <v>0</v>
      </c>
      <c r="D382">
        <v>3</v>
      </c>
      <c r="E382">
        <v>13</v>
      </c>
      <c r="F382">
        <v>4</v>
      </c>
      <c r="G382">
        <v>1</v>
      </c>
      <c r="H382">
        <f>표2[[#This Row],[공격성공횟수]]/(표2[[#This Row],[공격실패횟수]]+표2[[#This Row],[공격성공횟수]])</f>
        <v>0.1875</v>
      </c>
    </row>
    <row r="383" spans="1:8" hidden="1" x14ac:dyDescent="0.4">
      <c r="A383">
        <v>191</v>
      </c>
      <c r="B383" t="s">
        <v>2</v>
      </c>
      <c r="C383">
        <v>1</v>
      </c>
      <c r="D383">
        <v>4</v>
      </c>
      <c r="E383">
        <v>13</v>
      </c>
      <c r="F383">
        <v>3</v>
      </c>
      <c r="G383">
        <v>0</v>
      </c>
      <c r="H383">
        <f>표2[[#This Row],[공격성공횟수]]/(표2[[#This Row],[공격실패횟수]]+표2[[#This Row],[공격성공횟수]])</f>
        <v>0.23529411764705882</v>
      </c>
    </row>
    <row r="384" spans="1:8" x14ac:dyDescent="0.4">
      <c r="A384">
        <v>192</v>
      </c>
      <c r="B384" t="s">
        <v>0</v>
      </c>
      <c r="C384">
        <v>1</v>
      </c>
      <c r="D384">
        <v>4</v>
      </c>
      <c r="E384">
        <v>8</v>
      </c>
      <c r="F384">
        <v>2</v>
      </c>
      <c r="G384">
        <v>0</v>
      </c>
      <c r="H384">
        <f>표2[[#This Row],[공격성공횟수]]/(표2[[#This Row],[공격실패횟수]]+표2[[#This Row],[공격성공횟수]])</f>
        <v>0.33333333333333331</v>
      </c>
    </row>
    <row r="385" spans="1:8" hidden="1" x14ac:dyDescent="0.4">
      <c r="A385">
        <v>192</v>
      </c>
      <c r="B385" t="s">
        <v>2</v>
      </c>
      <c r="C385">
        <v>0</v>
      </c>
      <c r="D385">
        <v>2</v>
      </c>
      <c r="E385">
        <v>10</v>
      </c>
      <c r="F385">
        <v>4</v>
      </c>
      <c r="G385">
        <v>1</v>
      </c>
      <c r="H385">
        <f>표2[[#This Row],[공격성공횟수]]/(표2[[#This Row],[공격실패횟수]]+표2[[#This Row],[공격성공횟수]])</f>
        <v>0.16666666666666666</v>
      </c>
    </row>
    <row r="386" spans="1:8" x14ac:dyDescent="0.4">
      <c r="A386">
        <v>193</v>
      </c>
      <c r="B386" t="s">
        <v>0</v>
      </c>
      <c r="C386">
        <v>0</v>
      </c>
      <c r="D386">
        <v>0</v>
      </c>
      <c r="E386">
        <v>10</v>
      </c>
      <c r="F386">
        <v>4</v>
      </c>
      <c r="G386">
        <v>1</v>
      </c>
      <c r="H386">
        <f>표2[[#This Row],[공격성공횟수]]/(표2[[#This Row],[공격실패횟수]]+표2[[#This Row],[공격성공횟수]])</f>
        <v>0</v>
      </c>
    </row>
    <row r="387" spans="1:8" hidden="1" x14ac:dyDescent="0.4">
      <c r="A387">
        <v>193</v>
      </c>
      <c r="B387" t="s">
        <v>2</v>
      </c>
      <c r="C387">
        <v>1</v>
      </c>
      <c r="D387">
        <v>4</v>
      </c>
      <c r="E387">
        <v>8</v>
      </c>
      <c r="F387">
        <v>0</v>
      </c>
      <c r="G387">
        <v>0</v>
      </c>
      <c r="H387">
        <f>표2[[#This Row],[공격성공횟수]]/(표2[[#This Row],[공격실패횟수]]+표2[[#This Row],[공격성공횟수]])</f>
        <v>0.33333333333333331</v>
      </c>
    </row>
    <row r="388" spans="1:8" x14ac:dyDescent="0.4">
      <c r="A388">
        <v>194</v>
      </c>
      <c r="B388" t="s">
        <v>0</v>
      </c>
      <c r="C388">
        <v>1</v>
      </c>
      <c r="D388">
        <v>4</v>
      </c>
      <c r="E388">
        <v>10</v>
      </c>
      <c r="F388">
        <v>3</v>
      </c>
      <c r="G388">
        <v>0</v>
      </c>
      <c r="H388">
        <f>표2[[#This Row],[공격성공횟수]]/(표2[[#This Row],[공격실패횟수]]+표2[[#This Row],[공격성공횟수]])</f>
        <v>0.2857142857142857</v>
      </c>
    </row>
    <row r="389" spans="1:8" hidden="1" x14ac:dyDescent="0.4">
      <c r="A389">
        <v>194</v>
      </c>
      <c r="B389" t="s">
        <v>2</v>
      </c>
      <c r="C389">
        <v>0</v>
      </c>
      <c r="D389">
        <v>3</v>
      </c>
      <c r="E389">
        <v>10</v>
      </c>
      <c r="F389">
        <v>4</v>
      </c>
      <c r="G389">
        <v>1</v>
      </c>
      <c r="H389">
        <f>표2[[#This Row],[공격성공횟수]]/(표2[[#This Row],[공격실패횟수]]+표2[[#This Row],[공격성공횟수]])</f>
        <v>0.23076923076923078</v>
      </c>
    </row>
    <row r="390" spans="1:8" x14ac:dyDescent="0.4">
      <c r="A390">
        <v>195</v>
      </c>
      <c r="B390" t="s">
        <v>0</v>
      </c>
      <c r="C390">
        <v>1</v>
      </c>
      <c r="D390">
        <v>4</v>
      </c>
      <c r="E390">
        <v>6</v>
      </c>
      <c r="F390">
        <v>0</v>
      </c>
      <c r="G390">
        <v>0</v>
      </c>
      <c r="H390">
        <f>표2[[#This Row],[공격성공횟수]]/(표2[[#This Row],[공격실패횟수]]+표2[[#This Row],[공격성공횟수]])</f>
        <v>0.4</v>
      </c>
    </row>
    <row r="391" spans="1:8" hidden="1" x14ac:dyDescent="0.4">
      <c r="A391">
        <v>195</v>
      </c>
      <c r="B391" t="s">
        <v>2</v>
      </c>
      <c r="C391">
        <v>0</v>
      </c>
      <c r="D391">
        <v>0</v>
      </c>
      <c r="E391">
        <v>10</v>
      </c>
      <c r="F391">
        <v>4</v>
      </c>
      <c r="G391">
        <v>1</v>
      </c>
      <c r="H391">
        <f>표2[[#This Row],[공격성공횟수]]/(표2[[#This Row],[공격실패횟수]]+표2[[#This Row],[공격성공횟수]])</f>
        <v>0</v>
      </c>
    </row>
    <row r="392" spans="1:8" x14ac:dyDescent="0.4">
      <c r="A392">
        <v>196</v>
      </c>
      <c r="B392" t="s">
        <v>0</v>
      </c>
      <c r="C392">
        <v>1</v>
      </c>
      <c r="D392">
        <v>4</v>
      </c>
      <c r="E392">
        <v>65</v>
      </c>
      <c r="F392">
        <v>1</v>
      </c>
      <c r="G392">
        <v>0</v>
      </c>
      <c r="H392">
        <f>표2[[#This Row],[공격성공횟수]]/(표2[[#This Row],[공격실패횟수]]+표2[[#This Row],[공격성공횟수]])</f>
        <v>5.7971014492753624E-2</v>
      </c>
    </row>
    <row r="393" spans="1:8" hidden="1" x14ac:dyDescent="0.4">
      <c r="A393">
        <v>196</v>
      </c>
      <c r="B393" t="s">
        <v>2</v>
      </c>
      <c r="C393">
        <v>0</v>
      </c>
      <c r="D393">
        <v>1</v>
      </c>
      <c r="E393">
        <v>68</v>
      </c>
      <c r="F393">
        <v>4</v>
      </c>
      <c r="G393">
        <v>1</v>
      </c>
      <c r="H393">
        <f>표2[[#This Row],[공격성공횟수]]/(표2[[#This Row],[공격실패횟수]]+표2[[#This Row],[공격성공횟수]])</f>
        <v>1.4492753623188406E-2</v>
      </c>
    </row>
    <row r="394" spans="1:8" x14ac:dyDescent="0.4">
      <c r="A394">
        <v>197</v>
      </c>
      <c r="B394" t="s">
        <v>0</v>
      </c>
      <c r="C394">
        <v>1</v>
      </c>
      <c r="D394">
        <v>4</v>
      </c>
      <c r="E394">
        <v>7</v>
      </c>
      <c r="F394">
        <v>1</v>
      </c>
      <c r="G394">
        <v>0</v>
      </c>
      <c r="H394">
        <f>표2[[#This Row],[공격성공횟수]]/(표2[[#This Row],[공격실패횟수]]+표2[[#This Row],[공격성공횟수]])</f>
        <v>0.36363636363636365</v>
      </c>
    </row>
    <row r="395" spans="1:8" hidden="1" x14ac:dyDescent="0.4">
      <c r="A395">
        <v>197</v>
      </c>
      <c r="B395" t="s">
        <v>2</v>
      </c>
      <c r="C395">
        <v>0</v>
      </c>
      <c r="D395">
        <v>1</v>
      </c>
      <c r="E395">
        <v>10</v>
      </c>
      <c r="F395">
        <v>4</v>
      </c>
      <c r="G395">
        <v>1</v>
      </c>
      <c r="H395">
        <f>표2[[#This Row],[공격성공횟수]]/(표2[[#This Row],[공격실패횟수]]+표2[[#This Row],[공격성공횟수]])</f>
        <v>9.0909090909090912E-2</v>
      </c>
    </row>
    <row r="396" spans="1:8" x14ac:dyDescent="0.4">
      <c r="A396">
        <v>198</v>
      </c>
      <c r="B396" t="s">
        <v>0</v>
      </c>
      <c r="C396">
        <v>1</v>
      </c>
      <c r="D396">
        <v>4</v>
      </c>
      <c r="E396">
        <v>33</v>
      </c>
      <c r="F396">
        <v>1</v>
      </c>
      <c r="G396">
        <v>0</v>
      </c>
      <c r="H396">
        <f>표2[[#This Row],[공격성공횟수]]/(표2[[#This Row],[공격실패횟수]]+표2[[#This Row],[공격성공횟수]])</f>
        <v>0.10810810810810811</v>
      </c>
    </row>
    <row r="397" spans="1:8" hidden="1" x14ac:dyDescent="0.4">
      <c r="A397">
        <v>198</v>
      </c>
      <c r="B397" t="s">
        <v>2</v>
      </c>
      <c r="C397">
        <v>0</v>
      </c>
      <c r="D397">
        <v>1</v>
      </c>
      <c r="E397">
        <v>36</v>
      </c>
      <c r="F397">
        <v>4</v>
      </c>
      <c r="G397">
        <v>1</v>
      </c>
      <c r="H397">
        <f>표2[[#This Row],[공격성공횟수]]/(표2[[#This Row],[공격실패횟수]]+표2[[#This Row],[공격성공횟수]])</f>
        <v>2.7027027027027029E-2</v>
      </c>
    </row>
    <row r="398" spans="1:8" x14ac:dyDescent="0.4">
      <c r="A398">
        <v>199</v>
      </c>
      <c r="B398" t="s">
        <v>0</v>
      </c>
      <c r="C398">
        <v>1</v>
      </c>
      <c r="D398">
        <v>4</v>
      </c>
      <c r="E398">
        <v>9</v>
      </c>
      <c r="F398">
        <v>3</v>
      </c>
      <c r="G398">
        <v>0</v>
      </c>
      <c r="H398">
        <f>표2[[#This Row],[공격성공횟수]]/(표2[[#This Row],[공격실패횟수]]+표2[[#This Row],[공격성공횟수]])</f>
        <v>0.30769230769230771</v>
      </c>
    </row>
    <row r="399" spans="1:8" hidden="1" x14ac:dyDescent="0.4">
      <c r="A399">
        <v>199</v>
      </c>
      <c r="B399" t="s">
        <v>2</v>
      </c>
      <c r="C399">
        <v>0</v>
      </c>
      <c r="D399">
        <v>3</v>
      </c>
      <c r="E399">
        <v>10</v>
      </c>
      <c r="F399">
        <v>4</v>
      </c>
      <c r="G399">
        <v>1</v>
      </c>
      <c r="H399">
        <f>표2[[#This Row],[공격성공횟수]]/(표2[[#This Row],[공격실패횟수]]+표2[[#This Row],[공격성공횟수]])</f>
        <v>0.23076923076923078</v>
      </c>
    </row>
    <row r="400" spans="1:8" x14ac:dyDescent="0.4">
      <c r="A400">
        <v>200</v>
      </c>
      <c r="B400" t="s">
        <v>0</v>
      </c>
      <c r="C400">
        <v>0</v>
      </c>
      <c r="D400">
        <v>2</v>
      </c>
      <c r="E400">
        <v>8</v>
      </c>
      <c r="F400">
        <v>4</v>
      </c>
      <c r="G400">
        <v>1</v>
      </c>
      <c r="H400">
        <f>표2[[#This Row],[공격성공횟수]]/(표2[[#This Row],[공격실패횟수]]+표2[[#This Row],[공격성공횟수]])</f>
        <v>0.2</v>
      </c>
    </row>
    <row r="401" spans="1:8" hidden="1" x14ac:dyDescent="0.4">
      <c r="A401">
        <v>200</v>
      </c>
      <c r="B401" t="s">
        <v>2</v>
      </c>
      <c r="C401">
        <v>1</v>
      </c>
      <c r="D401">
        <v>4</v>
      </c>
      <c r="E401">
        <v>6</v>
      </c>
      <c r="F401">
        <v>2</v>
      </c>
      <c r="G401">
        <v>0</v>
      </c>
      <c r="H401">
        <f>표2[[#This Row],[공격성공횟수]]/(표2[[#This Row],[공격실패횟수]]+표2[[#This Row],[공격성공횟수]])</f>
        <v>0.4</v>
      </c>
    </row>
    <row r="402" spans="1:8" x14ac:dyDescent="0.4">
      <c r="A402">
        <v>201</v>
      </c>
      <c r="B402" t="s">
        <v>0</v>
      </c>
      <c r="C402">
        <v>0</v>
      </c>
      <c r="D402">
        <v>3</v>
      </c>
      <c r="E402">
        <v>9</v>
      </c>
      <c r="F402">
        <v>4</v>
      </c>
      <c r="G402">
        <v>1</v>
      </c>
      <c r="H402">
        <f>표2[[#This Row],[공격성공횟수]]/(표2[[#This Row],[공격실패횟수]]+표2[[#This Row],[공격성공횟수]])</f>
        <v>0.25</v>
      </c>
    </row>
    <row r="403" spans="1:8" hidden="1" x14ac:dyDescent="0.4">
      <c r="A403">
        <v>201</v>
      </c>
      <c r="B403" t="s">
        <v>2</v>
      </c>
      <c r="C403">
        <v>1</v>
      </c>
      <c r="D403">
        <v>4</v>
      </c>
      <c r="E403">
        <v>8</v>
      </c>
      <c r="F403">
        <v>3</v>
      </c>
      <c r="G403">
        <v>0</v>
      </c>
      <c r="H403">
        <f>표2[[#This Row],[공격성공횟수]]/(표2[[#This Row],[공격실패횟수]]+표2[[#This Row],[공격성공횟수]])</f>
        <v>0.33333333333333331</v>
      </c>
    </row>
    <row r="404" spans="1:8" x14ac:dyDescent="0.4">
      <c r="A404">
        <v>202</v>
      </c>
      <c r="B404" t="s">
        <v>0</v>
      </c>
      <c r="C404">
        <v>0</v>
      </c>
      <c r="D404">
        <v>1</v>
      </c>
      <c r="E404">
        <v>115</v>
      </c>
      <c r="F404">
        <v>2</v>
      </c>
      <c r="G404">
        <v>0</v>
      </c>
      <c r="H404">
        <f>표2[[#This Row],[공격성공횟수]]/(표2[[#This Row],[공격실패횟수]]+표2[[#This Row],[공격성공횟수]])</f>
        <v>8.6206896551724137E-3</v>
      </c>
    </row>
    <row r="405" spans="1:8" hidden="1" x14ac:dyDescent="0.4">
      <c r="A405">
        <v>202</v>
      </c>
      <c r="B405" t="s">
        <v>2</v>
      </c>
      <c r="C405">
        <v>0</v>
      </c>
      <c r="D405">
        <v>2</v>
      </c>
      <c r="E405">
        <v>113</v>
      </c>
      <c r="F405">
        <v>1</v>
      </c>
      <c r="G405">
        <v>0</v>
      </c>
      <c r="H405">
        <f>표2[[#This Row],[공격성공횟수]]/(표2[[#This Row],[공격실패횟수]]+표2[[#This Row],[공격성공횟수]])</f>
        <v>1.7391304347826087E-2</v>
      </c>
    </row>
    <row r="406" spans="1:8" x14ac:dyDescent="0.4">
      <c r="A406">
        <v>203</v>
      </c>
      <c r="B406" t="s">
        <v>0</v>
      </c>
      <c r="C406">
        <v>1</v>
      </c>
      <c r="D406">
        <v>4</v>
      </c>
      <c r="E406">
        <v>15</v>
      </c>
      <c r="F406">
        <v>3</v>
      </c>
      <c r="G406">
        <v>0</v>
      </c>
      <c r="H406">
        <f>표2[[#This Row],[공격성공횟수]]/(표2[[#This Row],[공격실패횟수]]+표2[[#This Row],[공격성공횟수]])</f>
        <v>0.21052631578947367</v>
      </c>
    </row>
    <row r="407" spans="1:8" hidden="1" x14ac:dyDescent="0.4">
      <c r="A407">
        <v>203</v>
      </c>
      <c r="B407" t="s">
        <v>2</v>
      </c>
      <c r="C407">
        <v>0</v>
      </c>
      <c r="D407">
        <v>3</v>
      </c>
      <c r="E407">
        <v>17</v>
      </c>
      <c r="F407">
        <v>4</v>
      </c>
      <c r="G407">
        <v>1</v>
      </c>
      <c r="H407">
        <f>표2[[#This Row],[공격성공횟수]]/(표2[[#This Row],[공격실패횟수]]+표2[[#This Row],[공격성공횟수]])</f>
        <v>0.15</v>
      </c>
    </row>
    <row r="408" spans="1:8" x14ac:dyDescent="0.4">
      <c r="A408">
        <v>204</v>
      </c>
      <c r="B408" t="s">
        <v>0</v>
      </c>
      <c r="C408">
        <v>1</v>
      </c>
      <c r="D408">
        <v>4</v>
      </c>
      <c r="E408">
        <v>9</v>
      </c>
      <c r="F408">
        <v>2</v>
      </c>
      <c r="G408">
        <v>0</v>
      </c>
      <c r="H408">
        <f>표2[[#This Row],[공격성공횟수]]/(표2[[#This Row],[공격실패횟수]]+표2[[#This Row],[공격성공횟수]])</f>
        <v>0.30769230769230771</v>
      </c>
    </row>
    <row r="409" spans="1:8" hidden="1" x14ac:dyDescent="0.4">
      <c r="A409">
        <v>204</v>
      </c>
      <c r="B409" t="s">
        <v>2</v>
      </c>
      <c r="C409">
        <v>0</v>
      </c>
      <c r="D409">
        <v>2</v>
      </c>
      <c r="E409">
        <v>10</v>
      </c>
      <c r="F409">
        <v>4</v>
      </c>
      <c r="G409">
        <v>1</v>
      </c>
      <c r="H409">
        <f>표2[[#This Row],[공격성공횟수]]/(표2[[#This Row],[공격실패횟수]]+표2[[#This Row],[공격성공횟수]])</f>
        <v>0.16666666666666666</v>
      </c>
    </row>
    <row r="410" spans="1:8" x14ac:dyDescent="0.4">
      <c r="A410">
        <v>205</v>
      </c>
      <c r="B410" t="s">
        <v>0</v>
      </c>
      <c r="C410">
        <v>0</v>
      </c>
      <c r="D410">
        <v>3</v>
      </c>
      <c r="E410">
        <v>11</v>
      </c>
      <c r="F410">
        <v>4</v>
      </c>
      <c r="G410">
        <v>1</v>
      </c>
      <c r="H410">
        <f>표2[[#This Row],[공격성공횟수]]/(표2[[#This Row],[공격실패횟수]]+표2[[#This Row],[공격성공횟수]])</f>
        <v>0.21428571428571427</v>
      </c>
    </row>
    <row r="411" spans="1:8" hidden="1" x14ac:dyDescent="0.4">
      <c r="A411">
        <v>205</v>
      </c>
      <c r="B411" t="s">
        <v>2</v>
      </c>
      <c r="C411">
        <v>1</v>
      </c>
      <c r="D411">
        <v>4</v>
      </c>
      <c r="E411">
        <v>10</v>
      </c>
      <c r="F411">
        <v>3</v>
      </c>
      <c r="G411">
        <v>0</v>
      </c>
      <c r="H411">
        <f>표2[[#This Row],[공격성공횟수]]/(표2[[#This Row],[공격실패횟수]]+표2[[#This Row],[공격성공횟수]])</f>
        <v>0.2857142857142857</v>
      </c>
    </row>
    <row r="412" spans="1:8" x14ac:dyDescent="0.4">
      <c r="A412">
        <v>206</v>
      </c>
      <c r="B412" t="s">
        <v>0</v>
      </c>
      <c r="C412">
        <v>1</v>
      </c>
      <c r="D412">
        <v>4</v>
      </c>
      <c r="E412">
        <v>58</v>
      </c>
      <c r="F412">
        <v>2</v>
      </c>
      <c r="G412">
        <v>0</v>
      </c>
      <c r="H412">
        <f>표2[[#This Row],[공격성공횟수]]/(표2[[#This Row],[공격실패횟수]]+표2[[#This Row],[공격성공횟수]])</f>
        <v>6.4516129032258063E-2</v>
      </c>
    </row>
    <row r="413" spans="1:8" hidden="1" x14ac:dyDescent="0.4">
      <c r="A413">
        <v>206</v>
      </c>
      <c r="B413" t="s">
        <v>2</v>
      </c>
      <c r="C413">
        <v>0</v>
      </c>
      <c r="D413">
        <v>2</v>
      </c>
      <c r="E413">
        <v>60</v>
      </c>
      <c r="F413">
        <v>4</v>
      </c>
      <c r="G413">
        <v>1</v>
      </c>
      <c r="H413">
        <f>표2[[#This Row],[공격성공횟수]]/(표2[[#This Row],[공격실패횟수]]+표2[[#This Row],[공격성공횟수]])</f>
        <v>3.2258064516129031E-2</v>
      </c>
    </row>
    <row r="414" spans="1:8" x14ac:dyDescent="0.4">
      <c r="A414">
        <v>207</v>
      </c>
      <c r="B414" t="s">
        <v>0</v>
      </c>
      <c r="C414">
        <v>1</v>
      </c>
      <c r="D414">
        <v>4</v>
      </c>
      <c r="E414">
        <v>12</v>
      </c>
      <c r="F414">
        <v>1</v>
      </c>
      <c r="G414">
        <v>0</v>
      </c>
      <c r="H414">
        <f>표2[[#This Row],[공격성공횟수]]/(표2[[#This Row],[공격실패횟수]]+표2[[#This Row],[공격성공횟수]])</f>
        <v>0.25</v>
      </c>
    </row>
    <row r="415" spans="1:8" hidden="1" x14ac:dyDescent="0.4">
      <c r="A415">
        <v>207</v>
      </c>
      <c r="B415" t="s">
        <v>2</v>
      </c>
      <c r="C415">
        <v>0</v>
      </c>
      <c r="D415">
        <v>1</v>
      </c>
      <c r="E415">
        <v>14</v>
      </c>
      <c r="F415">
        <v>4</v>
      </c>
      <c r="G415">
        <v>1</v>
      </c>
      <c r="H415">
        <f>표2[[#This Row],[공격성공횟수]]/(표2[[#This Row],[공격실패횟수]]+표2[[#This Row],[공격성공횟수]])</f>
        <v>6.6666666666666666E-2</v>
      </c>
    </row>
    <row r="416" spans="1:8" x14ac:dyDescent="0.4">
      <c r="A416">
        <v>208</v>
      </c>
      <c r="B416" t="s">
        <v>0</v>
      </c>
      <c r="C416">
        <v>1</v>
      </c>
      <c r="D416">
        <v>4</v>
      </c>
      <c r="E416">
        <v>18</v>
      </c>
      <c r="F416">
        <v>1</v>
      </c>
      <c r="G416">
        <v>0</v>
      </c>
      <c r="H416">
        <f>표2[[#This Row],[공격성공횟수]]/(표2[[#This Row],[공격실패횟수]]+표2[[#This Row],[공격성공횟수]])</f>
        <v>0.18181818181818182</v>
      </c>
    </row>
    <row r="417" spans="1:8" hidden="1" x14ac:dyDescent="0.4">
      <c r="A417">
        <v>208</v>
      </c>
      <c r="B417" t="s">
        <v>2</v>
      </c>
      <c r="C417">
        <v>0</v>
      </c>
      <c r="D417">
        <v>1</v>
      </c>
      <c r="E417">
        <v>21</v>
      </c>
      <c r="F417">
        <v>4</v>
      </c>
      <c r="G417">
        <v>1</v>
      </c>
      <c r="H417">
        <f>표2[[#This Row],[공격성공횟수]]/(표2[[#This Row],[공격실패횟수]]+표2[[#This Row],[공격성공횟수]])</f>
        <v>4.5454545454545456E-2</v>
      </c>
    </row>
    <row r="418" spans="1:8" x14ac:dyDescent="0.4">
      <c r="A418">
        <v>209</v>
      </c>
      <c r="B418" t="s">
        <v>0</v>
      </c>
      <c r="C418">
        <v>1</v>
      </c>
      <c r="D418">
        <v>4</v>
      </c>
      <c r="E418">
        <v>34</v>
      </c>
      <c r="F418">
        <v>2</v>
      </c>
      <c r="G418">
        <v>0</v>
      </c>
      <c r="H418">
        <f>표2[[#This Row],[공격성공횟수]]/(표2[[#This Row],[공격실패횟수]]+표2[[#This Row],[공격성공횟수]])</f>
        <v>0.10526315789473684</v>
      </c>
    </row>
    <row r="419" spans="1:8" hidden="1" x14ac:dyDescent="0.4">
      <c r="A419">
        <v>209</v>
      </c>
      <c r="B419" t="s">
        <v>2</v>
      </c>
      <c r="C419">
        <v>0</v>
      </c>
      <c r="D419">
        <v>2</v>
      </c>
      <c r="E419">
        <v>36</v>
      </c>
      <c r="F419">
        <v>4</v>
      </c>
      <c r="G419">
        <v>1</v>
      </c>
      <c r="H419">
        <f>표2[[#This Row],[공격성공횟수]]/(표2[[#This Row],[공격실패횟수]]+표2[[#This Row],[공격성공횟수]])</f>
        <v>5.2631578947368418E-2</v>
      </c>
    </row>
    <row r="420" spans="1:8" x14ac:dyDescent="0.4">
      <c r="A420">
        <v>210</v>
      </c>
      <c r="B420" t="s">
        <v>0</v>
      </c>
      <c r="C420">
        <v>1</v>
      </c>
      <c r="D420">
        <v>4</v>
      </c>
      <c r="E420">
        <v>58</v>
      </c>
      <c r="F420">
        <v>0</v>
      </c>
      <c r="G420">
        <v>0</v>
      </c>
      <c r="H420">
        <f>표2[[#This Row],[공격성공횟수]]/(표2[[#This Row],[공격실패횟수]]+표2[[#This Row],[공격성공횟수]])</f>
        <v>6.4516129032258063E-2</v>
      </c>
    </row>
    <row r="421" spans="1:8" hidden="1" x14ac:dyDescent="0.4">
      <c r="A421">
        <v>210</v>
      </c>
      <c r="B421" t="s">
        <v>2</v>
      </c>
      <c r="C421">
        <v>0</v>
      </c>
      <c r="D421">
        <v>0</v>
      </c>
      <c r="E421">
        <v>61</v>
      </c>
      <c r="F421">
        <v>4</v>
      </c>
      <c r="G421">
        <v>1</v>
      </c>
      <c r="H421">
        <f>표2[[#This Row],[공격성공횟수]]/(표2[[#This Row],[공격실패횟수]]+표2[[#This Row],[공격성공횟수]])</f>
        <v>0</v>
      </c>
    </row>
    <row r="422" spans="1:8" x14ac:dyDescent="0.4">
      <c r="A422">
        <v>211</v>
      </c>
      <c r="B422" t="s">
        <v>0</v>
      </c>
      <c r="C422">
        <v>1</v>
      </c>
      <c r="D422">
        <v>4</v>
      </c>
      <c r="E422">
        <v>108</v>
      </c>
      <c r="F422">
        <v>0</v>
      </c>
      <c r="G422">
        <v>0</v>
      </c>
      <c r="H422">
        <f>표2[[#This Row],[공격성공횟수]]/(표2[[#This Row],[공격실패횟수]]+표2[[#This Row],[공격성공횟수]])</f>
        <v>3.5714285714285712E-2</v>
      </c>
    </row>
    <row r="423" spans="1:8" hidden="1" x14ac:dyDescent="0.4">
      <c r="A423">
        <v>211</v>
      </c>
      <c r="B423" t="s">
        <v>2</v>
      </c>
      <c r="C423">
        <v>0</v>
      </c>
      <c r="D423">
        <v>0</v>
      </c>
      <c r="E423">
        <v>111</v>
      </c>
      <c r="F423">
        <v>4</v>
      </c>
      <c r="G423">
        <v>1</v>
      </c>
      <c r="H423">
        <f>표2[[#This Row],[공격성공횟수]]/(표2[[#This Row],[공격실패횟수]]+표2[[#This Row],[공격성공횟수]])</f>
        <v>0</v>
      </c>
    </row>
    <row r="424" spans="1:8" x14ac:dyDescent="0.4">
      <c r="A424">
        <v>212</v>
      </c>
      <c r="B424" t="s">
        <v>0</v>
      </c>
      <c r="C424">
        <v>1</v>
      </c>
      <c r="D424">
        <v>4</v>
      </c>
      <c r="E424">
        <v>5</v>
      </c>
      <c r="F424">
        <v>2</v>
      </c>
      <c r="G424">
        <v>0</v>
      </c>
      <c r="H424">
        <f>표2[[#This Row],[공격성공횟수]]/(표2[[#This Row],[공격실패횟수]]+표2[[#This Row],[공격성공횟수]])</f>
        <v>0.44444444444444442</v>
      </c>
    </row>
    <row r="425" spans="1:8" hidden="1" x14ac:dyDescent="0.4">
      <c r="A425">
        <v>212</v>
      </c>
      <c r="B425" t="s">
        <v>2</v>
      </c>
      <c r="C425">
        <v>0</v>
      </c>
      <c r="D425">
        <v>2</v>
      </c>
      <c r="E425">
        <v>6</v>
      </c>
      <c r="F425">
        <v>4</v>
      </c>
      <c r="G425">
        <v>1</v>
      </c>
      <c r="H425">
        <f>표2[[#This Row],[공격성공횟수]]/(표2[[#This Row],[공격실패횟수]]+표2[[#This Row],[공격성공횟수]])</f>
        <v>0.25</v>
      </c>
    </row>
    <row r="426" spans="1:8" x14ac:dyDescent="0.4">
      <c r="A426">
        <v>213</v>
      </c>
      <c r="B426" t="s">
        <v>0</v>
      </c>
      <c r="C426">
        <v>1</v>
      </c>
      <c r="D426">
        <v>4</v>
      </c>
      <c r="E426">
        <v>21</v>
      </c>
      <c r="F426">
        <v>3</v>
      </c>
      <c r="G426">
        <v>0</v>
      </c>
      <c r="H426">
        <f>표2[[#This Row],[공격성공횟수]]/(표2[[#This Row],[공격실패횟수]]+표2[[#This Row],[공격성공횟수]])</f>
        <v>0.16</v>
      </c>
    </row>
    <row r="427" spans="1:8" hidden="1" x14ac:dyDescent="0.4">
      <c r="A427">
        <v>213</v>
      </c>
      <c r="B427" t="s">
        <v>2</v>
      </c>
      <c r="C427">
        <v>0</v>
      </c>
      <c r="D427">
        <v>3</v>
      </c>
      <c r="E427">
        <v>21</v>
      </c>
      <c r="F427">
        <v>4</v>
      </c>
      <c r="G427">
        <v>1</v>
      </c>
      <c r="H427">
        <f>표2[[#This Row],[공격성공횟수]]/(표2[[#This Row],[공격실패횟수]]+표2[[#This Row],[공격성공횟수]])</f>
        <v>0.125</v>
      </c>
    </row>
    <row r="428" spans="1:8" x14ac:dyDescent="0.4">
      <c r="A428">
        <v>214</v>
      </c>
      <c r="B428" t="s">
        <v>0</v>
      </c>
      <c r="C428">
        <v>1</v>
      </c>
      <c r="D428">
        <v>4</v>
      </c>
      <c r="E428">
        <v>2</v>
      </c>
      <c r="F428">
        <v>2</v>
      </c>
      <c r="G428">
        <v>0</v>
      </c>
      <c r="H428">
        <f>표2[[#This Row],[공격성공횟수]]/(표2[[#This Row],[공격실패횟수]]+표2[[#This Row],[공격성공횟수]])</f>
        <v>0.66666666666666663</v>
      </c>
    </row>
    <row r="429" spans="1:8" hidden="1" x14ac:dyDescent="0.4">
      <c r="A429">
        <v>214</v>
      </c>
      <c r="B429" t="s">
        <v>2</v>
      </c>
      <c r="C429">
        <v>0</v>
      </c>
      <c r="D429">
        <v>2</v>
      </c>
      <c r="E429">
        <v>5</v>
      </c>
      <c r="F429">
        <v>4</v>
      </c>
      <c r="G429">
        <v>1</v>
      </c>
      <c r="H429">
        <f>표2[[#This Row],[공격성공횟수]]/(표2[[#This Row],[공격실패횟수]]+표2[[#This Row],[공격성공횟수]])</f>
        <v>0.2857142857142857</v>
      </c>
    </row>
    <row r="430" spans="1:8" x14ac:dyDescent="0.4">
      <c r="A430">
        <v>215</v>
      </c>
      <c r="B430" t="s">
        <v>0</v>
      </c>
      <c r="C430">
        <v>1</v>
      </c>
      <c r="D430">
        <v>4</v>
      </c>
      <c r="E430">
        <v>24</v>
      </c>
      <c r="F430">
        <v>1</v>
      </c>
      <c r="G430">
        <v>0</v>
      </c>
      <c r="H430">
        <f>표2[[#This Row],[공격성공횟수]]/(표2[[#This Row],[공격실패횟수]]+표2[[#This Row],[공격성공횟수]])</f>
        <v>0.14285714285714285</v>
      </c>
    </row>
    <row r="431" spans="1:8" hidden="1" x14ac:dyDescent="0.4">
      <c r="A431">
        <v>215</v>
      </c>
      <c r="B431" t="s">
        <v>2</v>
      </c>
      <c r="C431">
        <v>0</v>
      </c>
      <c r="D431">
        <v>1</v>
      </c>
      <c r="E431">
        <v>27</v>
      </c>
      <c r="F431">
        <v>4</v>
      </c>
      <c r="G431">
        <v>1</v>
      </c>
      <c r="H431">
        <f>표2[[#This Row],[공격성공횟수]]/(표2[[#This Row],[공격실패횟수]]+표2[[#This Row],[공격성공횟수]])</f>
        <v>3.5714285714285712E-2</v>
      </c>
    </row>
    <row r="432" spans="1:8" x14ac:dyDescent="0.4">
      <c r="A432">
        <v>216</v>
      </c>
      <c r="B432" t="s">
        <v>0</v>
      </c>
      <c r="C432">
        <v>1</v>
      </c>
      <c r="D432">
        <v>4</v>
      </c>
      <c r="E432">
        <v>10</v>
      </c>
      <c r="F432">
        <v>0</v>
      </c>
      <c r="G432">
        <v>0</v>
      </c>
      <c r="H432">
        <f>표2[[#This Row],[공격성공횟수]]/(표2[[#This Row],[공격실패횟수]]+표2[[#This Row],[공격성공횟수]])</f>
        <v>0.2857142857142857</v>
      </c>
    </row>
    <row r="433" spans="1:8" hidden="1" x14ac:dyDescent="0.4">
      <c r="A433">
        <v>216</v>
      </c>
      <c r="B433" t="s">
        <v>2</v>
      </c>
      <c r="C433">
        <v>0</v>
      </c>
      <c r="D433">
        <v>0</v>
      </c>
      <c r="E433">
        <v>14</v>
      </c>
      <c r="F433">
        <v>4</v>
      </c>
      <c r="G433">
        <v>1</v>
      </c>
      <c r="H433">
        <f>표2[[#This Row],[공격성공횟수]]/(표2[[#This Row],[공격실패횟수]]+표2[[#This Row],[공격성공횟수]])</f>
        <v>0</v>
      </c>
    </row>
    <row r="434" spans="1:8" x14ac:dyDescent="0.4">
      <c r="A434">
        <v>217</v>
      </c>
      <c r="B434" t="s">
        <v>0</v>
      </c>
      <c r="C434">
        <v>1</v>
      </c>
      <c r="D434">
        <v>4</v>
      </c>
      <c r="E434">
        <v>9</v>
      </c>
      <c r="F434">
        <v>1</v>
      </c>
      <c r="G434">
        <v>0</v>
      </c>
      <c r="H434">
        <f>표2[[#This Row],[공격성공횟수]]/(표2[[#This Row],[공격실패횟수]]+표2[[#This Row],[공격성공횟수]])</f>
        <v>0.30769230769230771</v>
      </c>
    </row>
    <row r="435" spans="1:8" hidden="1" x14ac:dyDescent="0.4">
      <c r="A435">
        <v>217</v>
      </c>
      <c r="B435" t="s">
        <v>2</v>
      </c>
      <c r="C435">
        <v>0</v>
      </c>
      <c r="D435">
        <v>1</v>
      </c>
      <c r="E435">
        <v>12</v>
      </c>
      <c r="F435">
        <v>4</v>
      </c>
      <c r="G435">
        <v>1</v>
      </c>
      <c r="H435">
        <f>표2[[#This Row],[공격성공횟수]]/(표2[[#This Row],[공격실패횟수]]+표2[[#This Row],[공격성공횟수]])</f>
        <v>7.6923076923076927E-2</v>
      </c>
    </row>
    <row r="436" spans="1:8" x14ac:dyDescent="0.4">
      <c r="A436">
        <v>218</v>
      </c>
      <c r="B436" t="s">
        <v>0</v>
      </c>
      <c r="C436">
        <v>1</v>
      </c>
      <c r="D436">
        <v>4</v>
      </c>
      <c r="E436">
        <v>9</v>
      </c>
      <c r="F436">
        <v>2</v>
      </c>
      <c r="G436">
        <v>0</v>
      </c>
      <c r="H436">
        <f>표2[[#This Row],[공격성공횟수]]/(표2[[#This Row],[공격실패횟수]]+표2[[#This Row],[공격성공횟수]])</f>
        <v>0.30769230769230771</v>
      </c>
    </row>
    <row r="437" spans="1:8" hidden="1" x14ac:dyDescent="0.4">
      <c r="A437">
        <v>218</v>
      </c>
      <c r="B437" t="s">
        <v>2</v>
      </c>
      <c r="C437">
        <v>0</v>
      </c>
      <c r="D437">
        <v>2</v>
      </c>
      <c r="E437">
        <v>11</v>
      </c>
      <c r="F437">
        <v>4</v>
      </c>
      <c r="G437">
        <v>1</v>
      </c>
      <c r="H437">
        <f>표2[[#This Row],[공격성공횟수]]/(표2[[#This Row],[공격실패횟수]]+표2[[#This Row],[공격성공횟수]])</f>
        <v>0.15384615384615385</v>
      </c>
    </row>
    <row r="438" spans="1:8" x14ac:dyDescent="0.4">
      <c r="A438">
        <v>219</v>
      </c>
      <c r="B438" t="s">
        <v>0</v>
      </c>
      <c r="C438">
        <v>1</v>
      </c>
      <c r="D438">
        <v>4</v>
      </c>
      <c r="E438">
        <v>9</v>
      </c>
      <c r="F438">
        <v>2</v>
      </c>
      <c r="G438">
        <v>0</v>
      </c>
      <c r="H438">
        <f>표2[[#This Row],[공격성공횟수]]/(표2[[#This Row],[공격실패횟수]]+표2[[#This Row],[공격성공횟수]])</f>
        <v>0.30769230769230771</v>
      </c>
    </row>
    <row r="439" spans="1:8" hidden="1" x14ac:dyDescent="0.4">
      <c r="A439">
        <v>219</v>
      </c>
      <c r="B439" t="s">
        <v>2</v>
      </c>
      <c r="C439">
        <v>0</v>
      </c>
      <c r="D439">
        <v>2</v>
      </c>
      <c r="E439">
        <v>11</v>
      </c>
      <c r="F439">
        <v>4</v>
      </c>
      <c r="G439">
        <v>1</v>
      </c>
      <c r="H439">
        <f>표2[[#This Row],[공격성공횟수]]/(표2[[#This Row],[공격실패횟수]]+표2[[#This Row],[공격성공횟수]])</f>
        <v>0.15384615384615385</v>
      </c>
    </row>
    <row r="440" spans="1:8" x14ac:dyDescent="0.4">
      <c r="A440">
        <v>220</v>
      </c>
      <c r="B440" t="s">
        <v>0</v>
      </c>
      <c r="C440">
        <v>1</v>
      </c>
      <c r="D440">
        <v>4</v>
      </c>
      <c r="E440">
        <v>16</v>
      </c>
      <c r="F440">
        <v>1</v>
      </c>
      <c r="G440">
        <v>0</v>
      </c>
      <c r="H440">
        <f>표2[[#This Row],[공격성공횟수]]/(표2[[#This Row],[공격실패횟수]]+표2[[#This Row],[공격성공횟수]])</f>
        <v>0.2</v>
      </c>
    </row>
    <row r="441" spans="1:8" hidden="1" x14ac:dyDescent="0.4">
      <c r="A441">
        <v>220</v>
      </c>
      <c r="B441" t="s">
        <v>2</v>
      </c>
      <c r="C441">
        <v>0</v>
      </c>
      <c r="D441">
        <v>1</v>
      </c>
      <c r="E441">
        <v>19</v>
      </c>
      <c r="F441">
        <v>4</v>
      </c>
      <c r="G441">
        <v>1</v>
      </c>
      <c r="H441">
        <f>표2[[#This Row],[공격성공횟수]]/(표2[[#This Row],[공격실패횟수]]+표2[[#This Row],[공격성공횟수]])</f>
        <v>0.05</v>
      </c>
    </row>
    <row r="442" spans="1:8" x14ac:dyDescent="0.4">
      <c r="A442">
        <v>221</v>
      </c>
      <c r="B442" t="s">
        <v>0</v>
      </c>
      <c r="C442">
        <v>1</v>
      </c>
      <c r="D442">
        <v>4</v>
      </c>
      <c r="E442">
        <v>48</v>
      </c>
      <c r="F442">
        <v>2</v>
      </c>
      <c r="G442">
        <v>0</v>
      </c>
      <c r="H442">
        <f>표2[[#This Row],[공격성공횟수]]/(표2[[#This Row],[공격실패횟수]]+표2[[#This Row],[공격성공횟수]])</f>
        <v>7.6923076923076927E-2</v>
      </c>
    </row>
    <row r="443" spans="1:8" hidden="1" x14ac:dyDescent="0.4">
      <c r="A443">
        <v>221</v>
      </c>
      <c r="B443" t="s">
        <v>2</v>
      </c>
      <c r="C443">
        <v>0</v>
      </c>
      <c r="D443">
        <v>2</v>
      </c>
      <c r="E443">
        <v>49</v>
      </c>
      <c r="F443">
        <v>4</v>
      </c>
      <c r="G443">
        <v>1</v>
      </c>
      <c r="H443">
        <f>표2[[#This Row],[공격성공횟수]]/(표2[[#This Row],[공격실패횟수]]+표2[[#This Row],[공격성공횟수]])</f>
        <v>3.9215686274509803E-2</v>
      </c>
    </row>
    <row r="444" spans="1:8" x14ac:dyDescent="0.4">
      <c r="A444">
        <v>222</v>
      </c>
      <c r="B444" t="s">
        <v>0</v>
      </c>
      <c r="C444">
        <v>1</v>
      </c>
      <c r="D444">
        <v>4</v>
      </c>
      <c r="E444">
        <v>6</v>
      </c>
      <c r="F444">
        <v>3</v>
      </c>
      <c r="G444">
        <v>0</v>
      </c>
      <c r="H444">
        <f>표2[[#This Row],[공격성공횟수]]/(표2[[#This Row],[공격실패횟수]]+표2[[#This Row],[공격성공횟수]])</f>
        <v>0.4</v>
      </c>
    </row>
    <row r="445" spans="1:8" hidden="1" x14ac:dyDescent="0.4">
      <c r="A445">
        <v>222</v>
      </c>
      <c r="B445" t="s">
        <v>2</v>
      </c>
      <c r="C445">
        <v>0</v>
      </c>
      <c r="D445">
        <v>3</v>
      </c>
      <c r="E445">
        <v>7</v>
      </c>
      <c r="F445">
        <v>4</v>
      </c>
      <c r="G445">
        <v>1</v>
      </c>
      <c r="H445">
        <f>표2[[#This Row],[공격성공횟수]]/(표2[[#This Row],[공격실패횟수]]+표2[[#This Row],[공격성공횟수]])</f>
        <v>0.3</v>
      </c>
    </row>
    <row r="446" spans="1:8" x14ac:dyDescent="0.4">
      <c r="A446">
        <v>223</v>
      </c>
      <c r="B446" t="s">
        <v>0</v>
      </c>
      <c r="C446">
        <v>1</v>
      </c>
      <c r="D446">
        <v>4</v>
      </c>
      <c r="E446">
        <v>8</v>
      </c>
      <c r="F446">
        <v>2</v>
      </c>
      <c r="G446">
        <v>0</v>
      </c>
      <c r="H446">
        <f>표2[[#This Row],[공격성공횟수]]/(표2[[#This Row],[공격실패횟수]]+표2[[#This Row],[공격성공횟수]])</f>
        <v>0.33333333333333331</v>
      </c>
    </row>
    <row r="447" spans="1:8" hidden="1" x14ac:dyDescent="0.4">
      <c r="A447">
        <v>223</v>
      </c>
      <c r="B447" t="s">
        <v>2</v>
      </c>
      <c r="C447">
        <v>0</v>
      </c>
      <c r="D447">
        <v>2</v>
      </c>
      <c r="E447">
        <v>10</v>
      </c>
      <c r="F447">
        <v>4</v>
      </c>
      <c r="G447">
        <v>1</v>
      </c>
      <c r="H447">
        <f>표2[[#This Row],[공격성공횟수]]/(표2[[#This Row],[공격실패횟수]]+표2[[#This Row],[공격성공횟수]])</f>
        <v>0.16666666666666666</v>
      </c>
    </row>
    <row r="448" spans="1:8" x14ac:dyDescent="0.4">
      <c r="A448">
        <v>224</v>
      </c>
      <c r="B448" t="s">
        <v>0</v>
      </c>
      <c r="C448">
        <v>1</v>
      </c>
      <c r="D448">
        <v>4</v>
      </c>
      <c r="E448">
        <v>6</v>
      </c>
      <c r="F448">
        <v>2</v>
      </c>
      <c r="G448">
        <v>0</v>
      </c>
      <c r="H448">
        <f>표2[[#This Row],[공격성공횟수]]/(표2[[#This Row],[공격실패횟수]]+표2[[#This Row],[공격성공횟수]])</f>
        <v>0.4</v>
      </c>
    </row>
    <row r="449" spans="1:8" hidden="1" x14ac:dyDescent="0.4">
      <c r="A449">
        <v>224</v>
      </c>
      <c r="B449" t="s">
        <v>2</v>
      </c>
      <c r="C449">
        <v>0</v>
      </c>
      <c r="D449">
        <v>2</v>
      </c>
      <c r="E449">
        <v>9</v>
      </c>
      <c r="F449">
        <v>4</v>
      </c>
      <c r="G449">
        <v>1</v>
      </c>
      <c r="H449">
        <f>표2[[#This Row],[공격성공횟수]]/(표2[[#This Row],[공격실패횟수]]+표2[[#This Row],[공격성공횟수]])</f>
        <v>0.18181818181818182</v>
      </c>
    </row>
    <row r="450" spans="1:8" x14ac:dyDescent="0.4">
      <c r="A450">
        <v>225</v>
      </c>
      <c r="B450" t="s">
        <v>0</v>
      </c>
      <c r="C450">
        <v>0</v>
      </c>
      <c r="D450">
        <v>3</v>
      </c>
      <c r="E450">
        <v>10</v>
      </c>
      <c r="F450">
        <v>4</v>
      </c>
      <c r="G450">
        <v>1</v>
      </c>
      <c r="H450">
        <f>표2[[#This Row],[공격성공횟수]]/(표2[[#This Row],[공격실패횟수]]+표2[[#This Row],[공격성공횟수]])</f>
        <v>0.23076923076923078</v>
      </c>
    </row>
    <row r="451" spans="1:8" hidden="1" x14ac:dyDescent="0.4">
      <c r="A451">
        <v>225</v>
      </c>
      <c r="B451" t="s">
        <v>2</v>
      </c>
      <c r="C451">
        <v>1</v>
      </c>
      <c r="D451">
        <v>4</v>
      </c>
      <c r="E451">
        <v>11</v>
      </c>
      <c r="F451">
        <v>3</v>
      </c>
      <c r="G451">
        <v>0</v>
      </c>
      <c r="H451">
        <f>표2[[#This Row],[공격성공횟수]]/(표2[[#This Row],[공격실패횟수]]+표2[[#This Row],[공격성공횟수]])</f>
        <v>0.26666666666666666</v>
      </c>
    </row>
    <row r="452" spans="1:8" x14ac:dyDescent="0.4">
      <c r="A452">
        <v>226</v>
      </c>
      <c r="B452" t="s">
        <v>0</v>
      </c>
      <c r="C452">
        <v>1</v>
      </c>
      <c r="D452">
        <v>4</v>
      </c>
      <c r="E452">
        <v>28</v>
      </c>
      <c r="F452">
        <v>1</v>
      </c>
      <c r="G452">
        <v>0</v>
      </c>
      <c r="H452">
        <f>표2[[#This Row],[공격성공횟수]]/(표2[[#This Row],[공격실패횟수]]+표2[[#This Row],[공격성공횟수]])</f>
        <v>0.125</v>
      </c>
    </row>
    <row r="453" spans="1:8" hidden="1" x14ac:dyDescent="0.4">
      <c r="A453">
        <v>226</v>
      </c>
      <c r="B453" t="s">
        <v>2</v>
      </c>
      <c r="C453">
        <v>0</v>
      </c>
      <c r="D453">
        <v>1</v>
      </c>
      <c r="E453">
        <v>30</v>
      </c>
      <c r="F453">
        <v>4</v>
      </c>
      <c r="G453">
        <v>1</v>
      </c>
      <c r="H453">
        <f>표2[[#This Row],[공격성공횟수]]/(표2[[#This Row],[공격실패횟수]]+표2[[#This Row],[공격성공횟수]])</f>
        <v>3.2258064516129031E-2</v>
      </c>
    </row>
    <row r="454" spans="1:8" x14ac:dyDescent="0.4">
      <c r="A454">
        <v>227</v>
      </c>
      <c r="B454" t="s">
        <v>0</v>
      </c>
      <c r="C454">
        <v>1</v>
      </c>
      <c r="D454">
        <v>4</v>
      </c>
      <c r="E454">
        <v>5</v>
      </c>
      <c r="F454">
        <v>1</v>
      </c>
      <c r="G454">
        <v>0</v>
      </c>
      <c r="H454">
        <f>표2[[#This Row],[공격성공횟수]]/(표2[[#This Row],[공격실패횟수]]+표2[[#This Row],[공격성공횟수]])</f>
        <v>0.44444444444444442</v>
      </c>
    </row>
    <row r="455" spans="1:8" hidden="1" x14ac:dyDescent="0.4">
      <c r="A455">
        <v>227</v>
      </c>
      <c r="B455" t="s">
        <v>2</v>
      </c>
      <c r="C455">
        <v>0</v>
      </c>
      <c r="D455">
        <v>1</v>
      </c>
      <c r="E455">
        <v>8</v>
      </c>
      <c r="F455">
        <v>4</v>
      </c>
      <c r="G455">
        <v>1</v>
      </c>
      <c r="H455">
        <f>표2[[#This Row],[공격성공횟수]]/(표2[[#This Row],[공격실패횟수]]+표2[[#This Row],[공격성공횟수]])</f>
        <v>0.1111111111111111</v>
      </c>
    </row>
    <row r="456" spans="1:8" x14ac:dyDescent="0.4">
      <c r="A456">
        <v>228</v>
      </c>
      <c r="B456" t="s">
        <v>0</v>
      </c>
      <c r="C456">
        <v>1</v>
      </c>
      <c r="D456">
        <v>4</v>
      </c>
      <c r="E456">
        <v>32</v>
      </c>
      <c r="F456">
        <v>0</v>
      </c>
      <c r="G456">
        <v>0</v>
      </c>
      <c r="H456">
        <f>표2[[#This Row],[공격성공횟수]]/(표2[[#This Row],[공격실패횟수]]+표2[[#This Row],[공격성공횟수]])</f>
        <v>0.1111111111111111</v>
      </c>
    </row>
    <row r="457" spans="1:8" hidden="1" x14ac:dyDescent="0.4">
      <c r="A457">
        <v>228</v>
      </c>
      <c r="B457" t="s">
        <v>2</v>
      </c>
      <c r="C457">
        <v>0</v>
      </c>
      <c r="D457">
        <v>0</v>
      </c>
      <c r="E457">
        <v>36</v>
      </c>
      <c r="F457">
        <v>4</v>
      </c>
      <c r="G457">
        <v>1</v>
      </c>
      <c r="H457">
        <f>표2[[#This Row],[공격성공횟수]]/(표2[[#This Row],[공격실패횟수]]+표2[[#This Row],[공격성공횟수]])</f>
        <v>0</v>
      </c>
    </row>
    <row r="458" spans="1:8" x14ac:dyDescent="0.4">
      <c r="A458">
        <v>229</v>
      </c>
      <c r="B458" t="s">
        <v>0</v>
      </c>
      <c r="C458">
        <v>1</v>
      </c>
      <c r="D458">
        <v>4</v>
      </c>
      <c r="E458">
        <v>16</v>
      </c>
      <c r="F458">
        <v>1</v>
      </c>
      <c r="G458">
        <v>0</v>
      </c>
      <c r="H458">
        <f>표2[[#This Row],[공격성공횟수]]/(표2[[#This Row],[공격실패횟수]]+표2[[#This Row],[공격성공횟수]])</f>
        <v>0.2</v>
      </c>
    </row>
    <row r="459" spans="1:8" hidden="1" x14ac:dyDescent="0.4">
      <c r="A459">
        <v>229</v>
      </c>
      <c r="B459" t="s">
        <v>2</v>
      </c>
      <c r="C459">
        <v>0</v>
      </c>
      <c r="D459">
        <v>1</v>
      </c>
      <c r="E459">
        <v>20</v>
      </c>
      <c r="F459">
        <v>4</v>
      </c>
      <c r="G459">
        <v>1</v>
      </c>
      <c r="H459">
        <f>표2[[#This Row],[공격성공횟수]]/(표2[[#This Row],[공격실패횟수]]+표2[[#This Row],[공격성공횟수]])</f>
        <v>4.7619047619047616E-2</v>
      </c>
    </row>
    <row r="460" spans="1:8" x14ac:dyDescent="0.4">
      <c r="A460">
        <v>230</v>
      </c>
      <c r="B460" t="s">
        <v>0</v>
      </c>
      <c r="C460">
        <v>1</v>
      </c>
      <c r="D460">
        <v>4</v>
      </c>
      <c r="E460">
        <v>3</v>
      </c>
      <c r="F460">
        <v>1</v>
      </c>
      <c r="G460">
        <v>0</v>
      </c>
      <c r="H460">
        <f>표2[[#This Row],[공격성공횟수]]/(표2[[#This Row],[공격실패횟수]]+표2[[#This Row],[공격성공횟수]])</f>
        <v>0.5714285714285714</v>
      </c>
    </row>
    <row r="461" spans="1:8" hidden="1" x14ac:dyDescent="0.4">
      <c r="A461">
        <v>230</v>
      </c>
      <c r="B461" t="s">
        <v>2</v>
      </c>
      <c r="C461">
        <v>0</v>
      </c>
      <c r="D461">
        <v>1</v>
      </c>
      <c r="E461">
        <v>6</v>
      </c>
      <c r="F461">
        <v>4</v>
      </c>
      <c r="G461">
        <v>1</v>
      </c>
      <c r="H461">
        <f>표2[[#This Row],[공격성공횟수]]/(표2[[#This Row],[공격실패횟수]]+표2[[#This Row],[공격성공횟수]])</f>
        <v>0.14285714285714285</v>
      </c>
    </row>
    <row r="462" spans="1:8" x14ac:dyDescent="0.4">
      <c r="A462">
        <v>231</v>
      </c>
      <c r="B462" t="s">
        <v>0</v>
      </c>
      <c r="C462">
        <v>0</v>
      </c>
      <c r="D462">
        <v>0</v>
      </c>
      <c r="E462">
        <v>28</v>
      </c>
      <c r="F462">
        <v>4</v>
      </c>
      <c r="G462">
        <v>1</v>
      </c>
      <c r="H462">
        <f>표2[[#This Row],[공격성공횟수]]/(표2[[#This Row],[공격실패횟수]]+표2[[#This Row],[공격성공횟수]])</f>
        <v>0</v>
      </c>
    </row>
    <row r="463" spans="1:8" hidden="1" x14ac:dyDescent="0.4">
      <c r="A463">
        <v>231</v>
      </c>
      <c r="B463" t="s">
        <v>2</v>
      </c>
      <c r="C463">
        <v>1</v>
      </c>
      <c r="D463">
        <v>4</v>
      </c>
      <c r="E463">
        <v>24</v>
      </c>
      <c r="F463">
        <v>0</v>
      </c>
      <c r="G463">
        <v>0</v>
      </c>
      <c r="H463">
        <f>표2[[#This Row],[공격성공횟수]]/(표2[[#This Row],[공격실패횟수]]+표2[[#This Row],[공격성공횟수]])</f>
        <v>0.14285714285714285</v>
      </c>
    </row>
    <row r="464" spans="1:8" x14ac:dyDescent="0.4">
      <c r="A464">
        <v>232</v>
      </c>
      <c r="B464" t="s">
        <v>0</v>
      </c>
      <c r="C464">
        <v>0</v>
      </c>
      <c r="D464">
        <v>2</v>
      </c>
      <c r="E464">
        <v>14</v>
      </c>
      <c r="F464">
        <v>4</v>
      </c>
      <c r="G464">
        <v>1</v>
      </c>
      <c r="H464">
        <f>표2[[#This Row],[공격성공횟수]]/(표2[[#This Row],[공격실패횟수]]+표2[[#This Row],[공격성공횟수]])</f>
        <v>0.125</v>
      </c>
    </row>
    <row r="465" spans="1:8" hidden="1" x14ac:dyDescent="0.4">
      <c r="A465">
        <v>232</v>
      </c>
      <c r="B465" t="s">
        <v>2</v>
      </c>
      <c r="C465">
        <v>1</v>
      </c>
      <c r="D465">
        <v>4</v>
      </c>
      <c r="E465">
        <v>12</v>
      </c>
      <c r="F465">
        <v>2</v>
      </c>
      <c r="G465">
        <v>0</v>
      </c>
      <c r="H465">
        <f>표2[[#This Row],[공격성공횟수]]/(표2[[#This Row],[공격실패횟수]]+표2[[#This Row],[공격성공횟수]])</f>
        <v>0.25</v>
      </c>
    </row>
    <row r="466" spans="1:8" x14ac:dyDescent="0.4">
      <c r="A466">
        <v>233</v>
      </c>
      <c r="B466" t="s">
        <v>0</v>
      </c>
      <c r="C466">
        <v>1</v>
      </c>
      <c r="D466">
        <v>4</v>
      </c>
      <c r="E466">
        <v>5</v>
      </c>
      <c r="F466">
        <v>1</v>
      </c>
      <c r="G466">
        <v>0</v>
      </c>
      <c r="H466">
        <f>표2[[#This Row],[공격성공횟수]]/(표2[[#This Row],[공격실패횟수]]+표2[[#This Row],[공격성공횟수]])</f>
        <v>0.44444444444444442</v>
      </c>
    </row>
    <row r="467" spans="1:8" hidden="1" x14ac:dyDescent="0.4">
      <c r="A467">
        <v>233</v>
      </c>
      <c r="B467" t="s">
        <v>2</v>
      </c>
      <c r="C467">
        <v>0</v>
      </c>
      <c r="D467">
        <v>1</v>
      </c>
      <c r="E467">
        <v>7</v>
      </c>
      <c r="F467">
        <v>4</v>
      </c>
      <c r="G467">
        <v>1</v>
      </c>
      <c r="H467">
        <f>표2[[#This Row],[공격성공횟수]]/(표2[[#This Row],[공격실패횟수]]+표2[[#This Row],[공격성공횟수]])</f>
        <v>0.125</v>
      </c>
    </row>
    <row r="468" spans="1:8" x14ac:dyDescent="0.4">
      <c r="A468">
        <v>234</v>
      </c>
      <c r="B468" t="s">
        <v>0</v>
      </c>
      <c r="C468">
        <v>1</v>
      </c>
      <c r="D468">
        <v>4</v>
      </c>
      <c r="E468">
        <v>7</v>
      </c>
      <c r="F468">
        <v>1</v>
      </c>
      <c r="G468">
        <v>0</v>
      </c>
      <c r="H468">
        <f>표2[[#This Row],[공격성공횟수]]/(표2[[#This Row],[공격실패횟수]]+표2[[#This Row],[공격성공횟수]])</f>
        <v>0.36363636363636365</v>
      </c>
    </row>
    <row r="469" spans="1:8" hidden="1" x14ac:dyDescent="0.4">
      <c r="A469">
        <v>234</v>
      </c>
      <c r="B469" t="s">
        <v>2</v>
      </c>
      <c r="C469">
        <v>0</v>
      </c>
      <c r="D469">
        <v>1</v>
      </c>
      <c r="E469">
        <v>11</v>
      </c>
      <c r="F469">
        <v>4</v>
      </c>
      <c r="G469">
        <v>1</v>
      </c>
      <c r="H469">
        <f>표2[[#This Row],[공격성공횟수]]/(표2[[#This Row],[공격실패횟수]]+표2[[#This Row],[공격성공횟수]])</f>
        <v>8.3333333333333329E-2</v>
      </c>
    </row>
    <row r="470" spans="1:8" x14ac:dyDescent="0.4">
      <c r="A470">
        <v>235</v>
      </c>
      <c r="B470" t="s">
        <v>0</v>
      </c>
      <c r="C470">
        <v>0</v>
      </c>
      <c r="D470">
        <v>0</v>
      </c>
      <c r="E470">
        <v>9</v>
      </c>
      <c r="F470">
        <v>4</v>
      </c>
      <c r="G470">
        <v>1</v>
      </c>
      <c r="H470">
        <f>표2[[#This Row],[공격성공횟수]]/(표2[[#This Row],[공격실패횟수]]+표2[[#This Row],[공격성공횟수]])</f>
        <v>0</v>
      </c>
    </row>
    <row r="471" spans="1:8" hidden="1" x14ac:dyDescent="0.4">
      <c r="A471">
        <v>235</v>
      </c>
      <c r="B471" t="s">
        <v>2</v>
      </c>
      <c r="C471">
        <v>1</v>
      </c>
      <c r="D471">
        <v>4</v>
      </c>
      <c r="E471">
        <v>6</v>
      </c>
      <c r="F471">
        <v>0</v>
      </c>
      <c r="G471">
        <v>0</v>
      </c>
      <c r="H471">
        <f>표2[[#This Row],[공격성공횟수]]/(표2[[#This Row],[공격실패횟수]]+표2[[#This Row],[공격성공횟수]])</f>
        <v>0.4</v>
      </c>
    </row>
    <row r="472" spans="1:8" x14ac:dyDescent="0.4">
      <c r="A472">
        <v>236</v>
      </c>
      <c r="B472" t="s">
        <v>0</v>
      </c>
      <c r="C472">
        <v>1</v>
      </c>
      <c r="D472">
        <v>4</v>
      </c>
      <c r="E472">
        <v>8</v>
      </c>
      <c r="F472">
        <v>0</v>
      </c>
      <c r="G472">
        <v>0</v>
      </c>
      <c r="H472">
        <f>표2[[#This Row],[공격성공횟수]]/(표2[[#This Row],[공격실패횟수]]+표2[[#This Row],[공격성공횟수]])</f>
        <v>0.33333333333333331</v>
      </c>
    </row>
    <row r="473" spans="1:8" hidden="1" x14ac:dyDescent="0.4">
      <c r="A473">
        <v>236</v>
      </c>
      <c r="B473" t="s">
        <v>2</v>
      </c>
      <c r="C473">
        <v>0</v>
      </c>
      <c r="D473">
        <v>0</v>
      </c>
      <c r="E473">
        <v>12</v>
      </c>
      <c r="F473">
        <v>4</v>
      </c>
      <c r="G473">
        <v>1</v>
      </c>
      <c r="H473">
        <f>표2[[#This Row],[공격성공횟수]]/(표2[[#This Row],[공격실패횟수]]+표2[[#This Row],[공격성공횟수]])</f>
        <v>0</v>
      </c>
    </row>
    <row r="474" spans="1:8" x14ac:dyDescent="0.4">
      <c r="A474">
        <v>237</v>
      </c>
      <c r="B474" t="s">
        <v>0</v>
      </c>
      <c r="C474">
        <v>1</v>
      </c>
      <c r="D474">
        <v>4</v>
      </c>
      <c r="E474">
        <v>11</v>
      </c>
      <c r="F474">
        <v>2</v>
      </c>
      <c r="G474">
        <v>0</v>
      </c>
      <c r="H474">
        <f>표2[[#This Row],[공격성공횟수]]/(표2[[#This Row],[공격실패횟수]]+표2[[#This Row],[공격성공횟수]])</f>
        <v>0.26666666666666666</v>
      </c>
    </row>
    <row r="475" spans="1:8" hidden="1" x14ac:dyDescent="0.4">
      <c r="A475">
        <v>237</v>
      </c>
      <c r="B475" t="s">
        <v>2</v>
      </c>
      <c r="C475">
        <v>0</v>
      </c>
      <c r="D475">
        <v>2</v>
      </c>
      <c r="E475">
        <v>12</v>
      </c>
      <c r="F475">
        <v>4</v>
      </c>
      <c r="G475">
        <v>1</v>
      </c>
      <c r="H475">
        <f>표2[[#This Row],[공격성공횟수]]/(표2[[#This Row],[공격실패횟수]]+표2[[#This Row],[공격성공횟수]])</f>
        <v>0.14285714285714285</v>
      </c>
    </row>
    <row r="476" spans="1:8" x14ac:dyDescent="0.4">
      <c r="A476">
        <v>238</v>
      </c>
      <c r="B476" t="s">
        <v>0</v>
      </c>
      <c r="C476">
        <v>1</v>
      </c>
      <c r="D476">
        <v>4</v>
      </c>
      <c r="E476">
        <v>90</v>
      </c>
      <c r="F476">
        <v>0</v>
      </c>
      <c r="G476">
        <v>0</v>
      </c>
      <c r="H476">
        <f>표2[[#This Row],[공격성공횟수]]/(표2[[#This Row],[공격실패횟수]]+표2[[#This Row],[공격성공횟수]])</f>
        <v>4.2553191489361701E-2</v>
      </c>
    </row>
    <row r="477" spans="1:8" hidden="1" x14ac:dyDescent="0.4">
      <c r="A477">
        <v>238</v>
      </c>
      <c r="B477" t="s">
        <v>2</v>
      </c>
      <c r="C477">
        <v>0</v>
      </c>
      <c r="D477">
        <v>0</v>
      </c>
      <c r="E477">
        <v>92</v>
      </c>
      <c r="F477">
        <v>4</v>
      </c>
      <c r="G477">
        <v>1</v>
      </c>
      <c r="H477">
        <f>표2[[#This Row],[공격성공횟수]]/(표2[[#This Row],[공격실패횟수]]+표2[[#This Row],[공격성공횟수]])</f>
        <v>0</v>
      </c>
    </row>
    <row r="478" spans="1:8" x14ac:dyDescent="0.4">
      <c r="A478">
        <v>239</v>
      </c>
      <c r="B478" t="s">
        <v>0</v>
      </c>
      <c r="C478">
        <v>0</v>
      </c>
      <c r="D478">
        <v>1</v>
      </c>
      <c r="E478">
        <v>5</v>
      </c>
      <c r="F478">
        <v>4</v>
      </c>
      <c r="G478">
        <v>1</v>
      </c>
      <c r="H478">
        <f>표2[[#This Row],[공격성공횟수]]/(표2[[#This Row],[공격실패횟수]]+표2[[#This Row],[공격성공횟수]])</f>
        <v>0.16666666666666666</v>
      </c>
    </row>
    <row r="479" spans="1:8" hidden="1" x14ac:dyDescent="0.4">
      <c r="A479">
        <v>239</v>
      </c>
      <c r="B479" t="s">
        <v>2</v>
      </c>
      <c r="C479">
        <v>1</v>
      </c>
      <c r="D479">
        <v>4</v>
      </c>
      <c r="E479">
        <v>4</v>
      </c>
      <c r="F479">
        <v>1</v>
      </c>
      <c r="G479">
        <v>0</v>
      </c>
      <c r="H479">
        <f>표2[[#This Row],[공격성공횟수]]/(표2[[#This Row],[공격실패횟수]]+표2[[#This Row],[공격성공횟수]])</f>
        <v>0.5</v>
      </c>
    </row>
    <row r="480" spans="1:8" x14ac:dyDescent="0.4">
      <c r="A480">
        <v>240</v>
      </c>
      <c r="B480" t="s">
        <v>0</v>
      </c>
      <c r="C480">
        <v>1</v>
      </c>
      <c r="D480">
        <v>4</v>
      </c>
      <c r="E480">
        <v>25</v>
      </c>
      <c r="F480">
        <v>2</v>
      </c>
      <c r="G480">
        <v>0</v>
      </c>
      <c r="H480">
        <f>표2[[#This Row],[공격성공횟수]]/(표2[[#This Row],[공격실패횟수]]+표2[[#This Row],[공격성공횟수]])</f>
        <v>0.13793103448275862</v>
      </c>
    </row>
    <row r="481" spans="1:8" hidden="1" x14ac:dyDescent="0.4">
      <c r="A481">
        <v>240</v>
      </c>
      <c r="B481" t="s">
        <v>2</v>
      </c>
      <c r="C481">
        <v>0</v>
      </c>
      <c r="D481">
        <v>2</v>
      </c>
      <c r="E481">
        <v>26</v>
      </c>
      <c r="F481">
        <v>4</v>
      </c>
      <c r="G481">
        <v>1</v>
      </c>
      <c r="H481">
        <f>표2[[#This Row],[공격성공횟수]]/(표2[[#This Row],[공격실패횟수]]+표2[[#This Row],[공격성공횟수]])</f>
        <v>7.1428571428571425E-2</v>
      </c>
    </row>
    <row r="482" spans="1:8" x14ac:dyDescent="0.4">
      <c r="A482">
        <v>241</v>
      </c>
      <c r="B482" t="s">
        <v>0</v>
      </c>
      <c r="C482">
        <v>0</v>
      </c>
      <c r="D482">
        <v>3</v>
      </c>
      <c r="E482">
        <v>24</v>
      </c>
      <c r="F482">
        <v>4</v>
      </c>
      <c r="G482">
        <v>1</v>
      </c>
      <c r="H482">
        <f>표2[[#This Row],[공격성공횟수]]/(표2[[#This Row],[공격실패횟수]]+표2[[#This Row],[공격성공횟수]])</f>
        <v>0.1111111111111111</v>
      </c>
    </row>
    <row r="483" spans="1:8" hidden="1" x14ac:dyDescent="0.4">
      <c r="A483">
        <v>241</v>
      </c>
      <c r="B483" t="s">
        <v>2</v>
      </c>
      <c r="C483">
        <v>1</v>
      </c>
      <c r="D483">
        <v>4</v>
      </c>
      <c r="E483">
        <v>24</v>
      </c>
      <c r="F483">
        <v>3</v>
      </c>
      <c r="G483">
        <v>0</v>
      </c>
      <c r="H483">
        <f>표2[[#This Row],[공격성공횟수]]/(표2[[#This Row],[공격실패횟수]]+표2[[#This Row],[공격성공횟수]])</f>
        <v>0.14285714285714285</v>
      </c>
    </row>
    <row r="484" spans="1:8" x14ac:dyDescent="0.4">
      <c r="A484">
        <v>242</v>
      </c>
      <c r="B484" t="s">
        <v>0</v>
      </c>
      <c r="C484">
        <v>1</v>
      </c>
      <c r="D484">
        <v>4</v>
      </c>
      <c r="E484">
        <v>67</v>
      </c>
      <c r="F484">
        <v>3</v>
      </c>
      <c r="G484">
        <v>0</v>
      </c>
      <c r="H484">
        <f>표2[[#This Row],[공격성공횟수]]/(표2[[#This Row],[공격실패횟수]]+표2[[#This Row],[공격성공횟수]])</f>
        <v>5.6338028169014086E-2</v>
      </c>
    </row>
    <row r="485" spans="1:8" hidden="1" x14ac:dyDescent="0.4">
      <c r="A485">
        <v>242</v>
      </c>
      <c r="B485" t="s">
        <v>2</v>
      </c>
      <c r="C485">
        <v>0</v>
      </c>
      <c r="D485">
        <v>3</v>
      </c>
      <c r="E485">
        <v>67</v>
      </c>
      <c r="F485">
        <v>4</v>
      </c>
      <c r="G485">
        <v>1</v>
      </c>
      <c r="H485">
        <f>표2[[#This Row],[공격성공횟수]]/(표2[[#This Row],[공격실패횟수]]+표2[[#This Row],[공격성공횟수]])</f>
        <v>4.2857142857142858E-2</v>
      </c>
    </row>
    <row r="486" spans="1:8" x14ac:dyDescent="0.4">
      <c r="A486">
        <v>243</v>
      </c>
      <c r="B486" t="s">
        <v>0</v>
      </c>
      <c r="C486">
        <v>1</v>
      </c>
      <c r="D486">
        <v>4</v>
      </c>
      <c r="E486">
        <v>5</v>
      </c>
      <c r="F486">
        <v>1</v>
      </c>
      <c r="G486">
        <v>0</v>
      </c>
      <c r="H486">
        <f>표2[[#This Row],[공격성공횟수]]/(표2[[#This Row],[공격실패횟수]]+표2[[#This Row],[공격성공횟수]])</f>
        <v>0.44444444444444442</v>
      </c>
    </row>
    <row r="487" spans="1:8" hidden="1" x14ac:dyDescent="0.4">
      <c r="A487">
        <v>243</v>
      </c>
      <c r="B487" t="s">
        <v>2</v>
      </c>
      <c r="C487">
        <v>0</v>
      </c>
      <c r="D487">
        <v>1</v>
      </c>
      <c r="E487">
        <v>8</v>
      </c>
      <c r="F487">
        <v>4</v>
      </c>
      <c r="G487">
        <v>1</v>
      </c>
      <c r="H487">
        <f>표2[[#This Row],[공격성공횟수]]/(표2[[#This Row],[공격실패횟수]]+표2[[#This Row],[공격성공횟수]])</f>
        <v>0.1111111111111111</v>
      </c>
    </row>
    <row r="488" spans="1:8" x14ac:dyDescent="0.4">
      <c r="A488">
        <v>244</v>
      </c>
      <c r="B488" t="s">
        <v>0</v>
      </c>
      <c r="C488">
        <v>1</v>
      </c>
      <c r="D488">
        <v>4</v>
      </c>
      <c r="E488">
        <v>6</v>
      </c>
      <c r="F488">
        <v>3</v>
      </c>
      <c r="G488">
        <v>0</v>
      </c>
      <c r="H488">
        <f>표2[[#This Row],[공격성공횟수]]/(표2[[#This Row],[공격실패횟수]]+표2[[#This Row],[공격성공횟수]])</f>
        <v>0.4</v>
      </c>
    </row>
    <row r="489" spans="1:8" hidden="1" x14ac:dyDescent="0.4">
      <c r="A489">
        <v>244</v>
      </c>
      <c r="B489" t="s">
        <v>2</v>
      </c>
      <c r="C489">
        <v>0</v>
      </c>
      <c r="D489">
        <v>3</v>
      </c>
      <c r="E489">
        <v>7</v>
      </c>
      <c r="F489">
        <v>4</v>
      </c>
      <c r="G489">
        <v>1</v>
      </c>
      <c r="H489">
        <f>표2[[#This Row],[공격성공횟수]]/(표2[[#This Row],[공격실패횟수]]+표2[[#This Row],[공격성공횟수]])</f>
        <v>0.3</v>
      </c>
    </row>
    <row r="490" spans="1:8" x14ac:dyDescent="0.4">
      <c r="A490">
        <v>245</v>
      </c>
      <c r="B490" t="s">
        <v>0</v>
      </c>
      <c r="C490">
        <v>1</v>
      </c>
      <c r="D490">
        <v>4</v>
      </c>
      <c r="E490">
        <v>35</v>
      </c>
      <c r="F490">
        <v>0</v>
      </c>
      <c r="G490">
        <v>0</v>
      </c>
      <c r="H490">
        <f>표2[[#This Row],[공격성공횟수]]/(표2[[#This Row],[공격실패횟수]]+표2[[#This Row],[공격성공횟수]])</f>
        <v>0.10256410256410256</v>
      </c>
    </row>
    <row r="491" spans="1:8" hidden="1" x14ac:dyDescent="0.4">
      <c r="A491">
        <v>245</v>
      </c>
      <c r="B491" t="s">
        <v>2</v>
      </c>
      <c r="C491">
        <v>0</v>
      </c>
      <c r="D491">
        <v>0</v>
      </c>
      <c r="E491">
        <v>39</v>
      </c>
      <c r="F491">
        <v>4</v>
      </c>
      <c r="G491">
        <v>1</v>
      </c>
      <c r="H491">
        <f>표2[[#This Row],[공격성공횟수]]/(표2[[#This Row],[공격실패횟수]]+표2[[#This Row],[공격성공횟수]])</f>
        <v>0</v>
      </c>
    </row>
    <row r="492" spans="1:8" x14ac:dyDescent="0.4">
      <c r="A492">
        <v>246</v>
      </c>
      <c r="B492" t="s">
        <v>0</v>
      </c>
      <c r="C492">
        <v>0</v>
      </c>
      <c r="D492">
        <v>2</v>
      </c>
      <c r="E492">
        <v>4</v>
      </c>
      <c r="F492">
        <v>4</v>
      </c>
      <c r="G492">
        <v>1</v>
      </c>
      <c r="H492">
        <f>표2[[#This Row],[공격성공횟수]]/(표2[[#This Row],[공격실패횟수]]+표2[[#This Row],[공격성공횟수]])</f>
        <v>0.33333333333333331</v>
      </c>
    </row>
    <row r="493" spans="1:8" hidden="1" x14ac:dyDescent="0.4">
      <c r="A493">
        <v>246</v>
      </c>
      <c r="B493" t="s">
        <v>2</v>
      </c>
      <c r="C493">
        <v>1</v>
      </c>
      <c r="D493">
        <v>4</v>
      </c>
      <c r="E493">
        <v>4</v>
      </c>
      <c r="F493">
        <v>2</v>
      </c>
      <c r="G493">
        <v>0</v>
      </c>
      <c r="H493">
        <f>표2[[#This Row],[공격성공횟수]]/(표2[[#This Row],[공격실패횟수]]+표2[[#This Row],[공격성공횟수]])</f>
        <v>0.5</v>
      </c>
    </row>
    <row r="494" spans="1:8" x14ac:dyDescent="0.4">
      <c r="A494">
        <v>247</v>
      </c>
      <c r="B494" t="s">
        <v>0</v>
      </c>
      <c r="C494">
        <v>1</v>
      </c>
      <c r="D494">
        <v>4</v>
      </c>
      <c r="E494">
        <v>17</v>
      </c>
      <c r="F494">
        <v>0</v>
      </c>
      <c r="G494">
        <v>0</v>
      </c>
      <c r="H494">
        <f>표2[[#This Row],[공격성공횟수]]/(표2[[#This Row],[공격실패횟수]]+표2[[#This Row],[공격성공횟수]])</f>
        <v>0.19047619047619047</v>
      </c>
    </row>
    <row r="495" spans="1:8" hidden="1" x14ac:dyDescent="0.4">
      <c r="A495">
        <v>247</v>
      </c>
      <c r="B495" t="s">
        <v>2</v>
      </c>
      <c r="C495">
        <v>0</v>
      </c>
      <c r="D495">
        <v>0</v>
      </c>
      <c r="E495">
        <v>19</v>
      </c>
      <c r="F495">
        <v>4</v>
      </c>
      <c r="G495">
        <v>1</v>
      </c>
      <c r="H495">
        <f>표2[[#This Row],[공격성공횟수]]/(표2[[#This Row],[공격실패횟수]]+표2[[#This Row],[공격성공횟수]])</f>
        <v>0</v>
      </c>
    </row>
    <row r="496" spans="1:8" x14ac:dyDescent="0.4">
      <c r="A496">
        <v>248</v>
      </c>
      <c r="B496" t="s">
        <v>0</v>
      </c>
      <c r="C496">
        <v>1</v>
      </c>
      <c r="D496">
        <v>4</v>
      </c>
      <c r="E496">
        <v>9</v>
      </c>
      <c r="F496">
        <v>0</v>
      </c>
      <c r="G496">
        <v>0</v>
      </c>
      <c r="H496">
        <f>표2[[#This Row],[공격성공횟수]]/(표2[[#This Row],[공격실패횟수]]+표2[[#This Row],[공격성공횟수]])</f>
        <v>0.30769230769230771</v>
      </c>
    </row>
    <row r="497" spans="1:8" hidden="1" x14ac:dyDescent="0.4">
      <c r="A497">
        <v>248</v>
      </c>
      <c r="B497" t="s">
        <v>2</v>
      </c>
      <c r="C497">
        <v>0</v>
      </c>
      <c r="D497">
        <v>0</v>
      </c>
      <c r="E497">
        <v>14</v>
      </c>
      <c r="F497">
        <v>4</v>
      </c>
      <c r="G497">
        <v>1</v>
      </c>
      <c r="H497">
        <f>표2[[#This Row],[공격성공횟수]]/(표2[[#This Row],[공격실패횟수]]+표2[[#This Row],[공격성공횟수]])</f>
        <v>0</v>
      </c>
    </row>
    <row r="498" spans="1:8" x14ac:dyDescent="0.4">
      <c r="A498">
        <v>249</v>
      </c>
      <c r="B498" t="s">
        <v>0</v>
      </c>
      <c r="C498">
        <v>0</v>
      </c>
      <c r="D498">
        <v>2</v>
      </c>
      <c r="E498">
        <v>9</v>
      </c>
      <c r="F498">
        <v>4</v>
      </c>
      <c r="G498">
        <v>1</v>
      </c>
      <c r="H498">
        <f>표2[[#This Row],[공격성공횟수]]/(표2[[#This Row],[공격실패횟수]]+표2[[#This Row],[공격성공횟수]])</f>
        <v>0.18181818181818182</v>
      </c>
    </row>
    <row r="499" spans="1:8" hidden="1" x14ac:dyDescent="0.4">
      <c r="A499">
        <v>249</v>
      </c>
      <c r="B499" t="s">
        <v>2</v>
      </c>
      <c r="C499">
        <v>1</v>
      </c>
      <c r="D499">
        <v>4</v>
      </c>
      <c r="E499">
        <v>8</v>
      </c>
      <c r="F499">
        <v>2</v>
      </c>
      <c r="G499">
        <v>0</v>
      </c>
      <c r="H499">
        <f>표2[[#This Row],[공격성공횟수]]/(표2[[#This Row],[공격실패횟수]]+표2[[#This Row],[공격성공횟수]])</f>
        <v>0.33333333333333331</v>
      </c>
    </row>
    <row r="500" spans="1:8" x14ac:dyDescent="0.4">
      <c r="A500">
        <v>250</v>
      </c>
      <c r="B500" t="s">
        <v>0</v>
      </c>
      <c r="C500">
        <v>1</v>
      </c>
      <c r="D500">
        <v>4</v>
      </c>
      <c r="E500">
        <v>6</v>
      </c>
      <c r="F500">
        <v>1</v>
      </c>
      <c r="G500">
        <v>0</v>
      </c>
      <c r="H500">
        <f>표2[[#This Row],[공격성공횟수]]/(표2[[#This Row],[공격실패횟수]]+표2[[#This Row],[공격성공횟수]])</f>
        <v>0.4</v>
      </c>
    </row>
    <row r="501" spans="1:8" hidden="1" x14ac:dyDescent="0.4">
      <c r="A501">
        <v>250</v>
      </c>
      <c r="B501" t="s">
        <v>2</v>
      </c>
      <c r="C501">
        <v>0</v>
      </c>
      <c r="D501">
        <v>1</v>
      </c>
      <c r="E501">
        <v>8</v>
      </c>
      <c r="F501">
        <v>4</v>
      </c>
      <c r="G501">
        <v>1</v>
      </c>
      <c r="H501">
        <f>표2[[#This Row],[공격성공횟수]]/(표2[[#This Row],[공격실패횟수]]+표2[[#This Row],[공격성공횟수]])</f>
        <v>0.1111111111111111</v>
      </c>
    </row>
    <row r="502" spans="1:8" x14ac:dyDescent="0.4">
      <c r="A502">
        <v>251</v>
      </c>
      <c r="B502" t="s">
        <v>0</v>
      </c>
      <c r="C502">
        <v>0</v>
      </c>
      <c r="D502">
        <v>2</v>
      </c>
      <c r="E502">
        <v>33</v>
      </c>
      <c r="F502">
        <v>4</v>
      </c>
      <c r="G502">
        <v>1</v>
      </c>
      <c r="H502">
        <f>표2[[#This Row],[공격성공횟수]]/(표2[[#This Row],[공격실패횟수]]+표2[[#This Row],[공격성공횟수]])</f>
        <v>5.7142857142857141E-2</v>
      </c>
    </row>
    <row r="503" spans="1:8" hidden="1" x14ac:dyDescent="0.4">
      <c r="A503">
        <v>251</v>
      </c>
      <c r="B503" t="s">
        <v>2</v>
      </c>
      <c r="C503">
        <v>1</v>
      </c>
      <c r="D503">
        <v>4</v>
      </c>
      <c r="E503">
        <v>32</v>
      </c>
      <c r="F503">
        <v>2</v>
      </c>
      <c r="G503">
        <v>0</v>
      </c>
      <c r="H503">
        <f>표2[[#This Row],[공격성공횟수]]/(표2[[#This Row],[공격실패횟수]]+표2[[#This Row],[공격성공횟수]])</f>
        <v>0.1111111111111111</v>
      </c>
    </row>
    <row r="504" spans="1:8" x14ac:dyDescent="0.4">
      <c r="A504">
        <v>252</v>
      </c>
      <c r="B504" t="s">
        <v>0</v>
      </c>
      <c r="C504">
        <v>1</v>
      </c>
      <c r="D504">
        <v>4</v>
      </c>
      <c r="E504">
        <v>58</v>
      </c>
      <c r="F504">
        <v>1</v>
      </c>
      <c r="G504">
        <v>0</v>
      </c>
      <c r="H504">
        <f>표2[[#This Row],[공격성공횟수]]/(표2[[#This Row],[공격실패횟수]]+표2[[#This Row],[공격성공횟수]])</f>
        <v>6.4516129032258063E-2</v>
      </c>
    </row>
    <row r="505" spans="1:8" hidden="1" x14ac:dyDescent="0.4">
      <c r="A505">
        <v>252</v>
      </c>
      <c r="B505" t="s">
        <v>2</v>
      </c>
      <c r="C505">
        <v>0</v>
      </c>
      <c r="D505">
        <v>1</v>
      </c>
      <c r="E505">
        <v>61</v>
      </c>
      <c r="F505">
        <v>4</v>
      </c>
      <c r="G505">
        <v>1</v>
      </c>
      <c r="H505">
        <f>표2[[#This Row],[공격성공횟수]]/(표2[[#This Row],[공격실패횟수]]+표2[[#This Row],[공격성공횟수]])</f>
        <v>1.6129032258064516E-2</v>
      </c>
    </row>
    <row r="506" spans="1:8" x14ac:dyDescent="0.4">
      <c r="A506">
        <v>253</v>
      </c>
      <c r="B506" t="s">
        <v>0</v>
      </c>
      <c r="C506">
        <v>1</v>
      </c>
      <c r="D506">
        <v>4</v>
      </c>
      <c r="E506">
        <v>13</v>
      </c>
      <c r="F506">
        <v>3</v>
      </c>
      <c r="G506">
        <v>0</v>
      </c>
      <c r="H506">
        <f>표2[[#This Row],[공격성공횟수]]/(표2[[#This Row],[공격실패횟수]]+표2[[#This Row],[공격성공횟수]])</f>
        <v>0.23529411764705882</v>
      </c>
    </row>
    <row r="507" spans="1:8" hidden="1" x14ac:dyDescent="0.4">
      <c r="A507">
        <v>253</v>
      </c>
      <c r="B507" t="s">
        <v>2</v>
      </c>
      <c r="C507">
        <v>0</v>
      </c>
      <c r="D507">
        <v>3</v>
      </c>
      <c r="E507">
        <v>14</v>
      </c>
      <c r="F507">
        <v>4</v>
      </c>
      <c r="G507">
        <v>1</v>
      </c>
      <c r="H507">
        <f>표2[[#This Row],[공격성공횟수]]/(표2[[#This Row],[공격실패횟수]]+표2[[#This Row],[공격성공횟수]])</f>
        <v>0.17647058823529413</v>
      </c>
    </row>
    <row r="508" spans="1:8" x14ac:dyDescent="0.4">
      <c r="A508">
        <v>254</v>
      </c>
      <c r="B508" t="s">
        <v>0</v>
      </c>
      <c r="C508">
        <v>1</v>
      </c>
      <c r="D508">
        <v>4</v>
      </c>
      <c r="E508">
        <v>16</v>
      </c>
      <c r="F508">
        <v>0</v>
      </c>
      <c r="G508">
        <v>0</v>
      </c>
      <c r="H508">
        <f>표2[[#This Row],[공격성공횟수]]/(표2[[#This Row],[공격실패횟수]]+표2[[#This Row],[공격성공횟수]])</f>
        <v>0.2</v>
      </c>
    </row>
    <row r="509" spans="1:8" hidden="1" x14ac:dyDescent="0.4">
      <c r="A509">
        <v>254</v>
      </c>
      <c r="B509" t="s">
        <v>2</v>
      </c>
      <c r="C509">
        <v>0</v>
      </c>
      <c r="D509">
        <v>0</v>
      </c>
      <c r="E509">
        <v>21</v>
      </c>
      <c r="F509">
        <v>4</v>
      </c>
      <c r="G509">
        <v>1</v>
      </c>
      <c r="H509">
        <f>표2[[#This Row],[공격성공횟수]]/(표2[[#This Row],[공격실패횟수]]+표2[[#This Row],[공격성공횟수]])</f>
        <v>0</v>
      </c>
    </row>
    <row r="510" spans="1:8" x14ac:dyDescent="0.4">
      <c r="A510">
        <v>255</v>
      </c>
      <c r="B510" t="s">
        <v>0</v>
      </c>
      <c r="C510">
        <v>1</v>
      </c>
      <c r="D510">
        <v>4</v>
      </c>
      <c r="E510">
        <v>11</v>
      </c>
      <c r="F510">
        <v>1</v>
      </c>
      <c r="G510">
        <v>0</v>
      </c>
      <c r="H510">
        <f>표2[[#This Row],[공격성공횟수]]/(표2[[#This Row],[공격실패횟수]]+표2[[#This Row],[공격성공횟수]])</f>
        <v>0.26666666666666666</v>
      </c>
    </row>
    <row r="511" spans="1:8" hidden="1" x14ac:dyDescent="0.4">
      <c r="A511">
        <v>255</v>
      </c>
      <c r="B511" t="s">
        <v>2</v>
      </c>
      <c r="C511">
        <v>0</v>
      </c>
      <c r="D511">
        <v>1</v>
      </c>
      <c r="E511">
        <v>14</v>
      </c>
      <c r="F511">
        <v>4</v>
      </c>
      <c r="G511">
        <v>1</v>
      </c>
      <c r="H511">
        <f>표2[[#This Row],[공격성공횟수]]/(표2[[#This Row],[공격실패횟수]]+표2[[#This Row],[공격성공횟수]])</f>
        <v>6.6666666666666666E-2</v>
      </c>
    </row>
    <row r="512" spans="1:8" x14ac:dyDescent="0.4">
      <c r="A512">
        <v>256</v>
      </c>
      <c r="B512" t="s">
        <v>0</v>
      </c>
      <c r="C512">
        <v>1</v>
      </c>
      <c r="D512">
        <v>4</v>
      </c>
      <c r="E512">
        <v>94</v>
      </c>
      <c r="F512">
        <v>2</v>
      </c>
      <c r="G512">
        <v>0</v>
      </c>
      <c r="H512">
        <f>표2[[#This Row],[공격성공횟수]]/(표2[[#This Row],[공격실패횟수]]+표2[[#This Row],[공격성공횟수]])</f>
        <v>4.0816326530612242E-2</v>
      </c>
    </row>
    <row r="513" spans="1:8" hidden="1" x14ac:dyDescent="0.4">
      <c r="A513">
        <v>256</v>
      </c>
      <c r="B513" t="s">
        <v>2</v>
      </c>
      <c r="C513">
        <v>0</v>
      </c>
      <c r="D513">
        <v>2</v>
      </c>
      <c r="E513">
        <v>95</v>
      </c>
      <c r="F513">
        <v>4</v>
      </c>
      <c r="G513">
        <v>1</v>
      </c>
      <c r="H513">
        <f>표2[[#This Row],[공격성공횟수]]/(표2[[#This Row],[공격실패횟수]]+표2[[#This Row],[공격성공횟수]])</f>
        <v>2.0618556701030927E-2</v>
      </c>
    </row>
    <row r="514" spans="1:8" x14ac:dyDescent="0.4">
      <c r="A514">
        <v>257</v>
      </c>
      <c r="B514" t="s">
        <v>0</v>
      </c>
      <c r="C514">
        <v>0</v>
      </c>
      <c r="D514">
        <v>3</v>
      </c>
      <c r="E514">
        <v>52</v>
      </c>
      <c r="F514">
        <v>4</v>
      </c>
      <c r="G514">
        <v>1</v>
      </c>
      <c r="H514">
        <f>표2[[#This Row],[공격성공횟수]]/(표2[[#This Row],[공격실패횟수]]+표2[[#This Row],[공격성공횟수]])</f>
        <v>5.4545454545454543E-2</v>
      </c>
    </row>
    <row r="515" spans="1:8" hidden="1" x14ac:dyDescent="0.4">
      <c r="A515">
        <v>257</v>
      </c>
      <c r="B515" t="s">
        <v>2</v>
      </c>
      <c r="C515">
        <v>1</v>
      </c>
      <c r="D515">
        <v>4</v>
      </c>
      <c r="E515">
        <v>52</v>
      </c>
      <c r="F515">
        <v>3</v>
      </c>
      <c r="G515">
        <v>0</v>
      </c>
      <c r="H515">
        <f>표2[[#This Row],[공격성공횟수]]/(표2[[#This Row],[공격실패횟수]]+표2[[#This Row],[공격성공횟수]])</f>
        <v>7.1428571428571425E-2</v>
      </c>
    </row>
    <row r="516" spans="1:8" x14ac:dyDescent="0.4">
      <c r="A516">
        <v>258</v>
      </c>
      <c r="B516" t="s">
        <v>0</v>
      </c>
      <c r="C516">
        <v>1</v>
      </c>
      <c r="D516">
        <v>4</v>
      </c>
      <c r="E516">
        <v>33</v>
      </c>
      <c r="F516">
        <v>2</v>
      </c>
      <c r="G516">
        <v>0</v>
      </c>
      <c r="H516">
        <f>표2[[#This Row],[공격성공횟수]]/(표2[[#This Row],[공격실패횟수]]+표2[[#This Row],[공격성공횟수]])</f>
        <v>0.10810810810810811</v>
      </c>
    </row>
    <row r="517" spans="1:8" hidden="1" x14ac:dyDescent="0.4">
      <c r="A517">
        <v>258</v>
      </c>
      <c r="B517" t="s">
        <v>2</v>
      </c>
      <c r="C517">
        <v>0</v>
      </c>
      <c r="D517">
        <v>2</v>
      </c>
      <c r="E517">
        <v>34</v>
      </c>
      <c r="F517">
        <v>4</v>
      </c>
      <c r="G517">
        <v>1</v>
      </c>
      <c r="H517">
        <f>표2[[#This Row],[공격성공횟수]]/(표2[[#This Row],[공격실패횟수]]+표2[[#This Row],[공격성공횟수]])</f>
        <v>5.5555555555555552E-2</v>
      </c>
    </row>
    <row r="518" spans="1:8" x14ac:dyDescent="0.4">
      <c r="A518">
        <v>259</v>
      </c>
      <c r="B518" t="s">
        <v>0</v>
      </c>
      <c r="C518">
        <v>1</v>
      </c>
      <c r="D518">
        <v>4</v>
      </c>
      <c r="E518">
        <v>7</v>
      </c>
      <c r="F518">
        <v>0</v>
      </c>
      <c r="G518">
        <v>0</v>
      </c>
      <c r="H518">
        <f>표2[[#This Row],[공격성공횟수]]/(표2[[#This Row],[공격실패횟수]]+표2[[#This Row],[공격성공횟수]])</f>
        <v>0.36363636363636365</v>
      </c>
    </row>
    <row r="519" spans="1:8" hidden="1" x14ac:dyDescent="0.4">
      <c r="A519">
        <v>259</v>
      </c>
      <c r="B519" t="s">
        <v>2</v>
      </c>
      <c r="C519">
        <v>0</v>
      </c>
      <c r="D519">
        <v>0</v>
      </c>
      <c r="E519">
        <v>10</v>
      </c>
      <c r="F519">
        <v>4</v>
      </c>
      <c r="G519">
        <v>1</v>
      </c>
      <c r="H519">
        <f>표2[[#This Row],[공격성공횟수]]/(표2[[#This Row],[공격실패횟수]]+표2[[#This Row],[공격성공횟수]])</f>
        <v>0</v>
      </c>
    </row>
    <row r="520" spans="1:8" x14ac:dyDescent="0.4">
      <c r="A520">
        <v>260</v>
      </c>
      <c r="B520" t="s">
        <v>0</v>
      </c>
      <c r="C520">
        <v>1</v>
      </c>
      <c r="D520">
        <v>4</v>
      </c>
      <c r="E520">
        <v>7</v>
      </c>
      <c r="F520">
        <v>2</v>
      </c>
      <c r="G520">
        <v>0</v>
      </c>
      <c r="H520">
        <f>표2[[#This Row],[공격성공횟수]]/(표2[[#This Row],[공격실패횟수]]+표2[[#This Row],[공격성공횟수]])</f>
        <v>0.36363636363636365</v>
      </c>
    </row>
    <row r="521" spans="1:8" hidden="1" x14ac:dyDescent="0.4">
      <c r="A521">
        <v>260</v>
      </c>
      <c r="B521" t="s">
        <v>2</v>
      </c>
      <c r="C521">
        <v>0</v>
      </c>
      <c r="D521">
        <v>2</v>
      </c>
      <c r="E521">
        <v>9</v>
      </c>
      <c r="F521">
        <v>4</v>
      </c>
      <c r="G521">
        <v>1</v>
      </c>
      <c r="H521">
        <f>표2[[#This Row],[공격성공횟수]]/(표2[[#This Row],[공격실패횟수]]+표2[[#This Row],[공격성공횟수]])</f>
        <v>0.18181818181818182</v>
      </c>
    </row>
    <row r="522" spans="1:8" x14ac:dyDescent="0.4">
      <c r="A522">
        <v>261</v>
      </c>
      <c r="B522" t="s">
        <v>0</v>
      </c>
      <c r="C522">
        <v>1</v>
      </c>
      <c r="D522">
        <v>4</v>
      </c>
      <c r="E522">
        <v>10</v>
      </c>
      <c r="F522">
        <v>3</v>
      </c>
      <c r="G522">
        <v>0</v>
      </c>
      <c r="H522">
        <f>표2[[#This Row],[공격성공횟수]]/(표2[[#This Row],[공격실패횟수]]+표2[[#This Row],[공격성공횟수]])</f>
        <v>0.2857142857142857</v>
      </c>
    </row>
    <row r="523" spans="1:8" hidden="1" x14ac:dyDescent="0.4">
      <c r="A523">
        <v>261</v>
      </c>
      <c r="B523" t="s">
        <v>2</v>
      </c>
      <c r="C523">
        <v>0</v>
      </c>
      <c r="D523">
        <v>3</v>
      </c>
      <c r="E523">
        <v>12</v>
      </c>
      <c r="F523">
        <v>4</v>
      </c>
      <c r="G523">
        <v>1</v>
      </c>
      <c r="H523">
        <f>표2[[#This Row],[공격성공횟수]]/(표2[[#This Row],[공격실패횟수]]+표2[[#This Row],[공격성공횟수]])</f>
        <v>0.2</v>
      </c>
    </row>
    <row r="524" spans="1:8" x14ac:dyDescent="0.4">
      <c r="A524">
        <v>262</v>
      </c>
      <c r="B524" t="s">
        <v>0</v>
      </c>
      <c r="C524">
        <v>0</v>
      </c>
      <c r="D524">
        <v>1</v>
      </c>
      <c r="E524">
        <v>7</v>
      </c>
      <c r="F524">
        <v>4</v>
      </c>
      <c r="G524">
        <v>1</v>
      </c>
      <c r="H524">
        <f>표2[[#This Row],[공격성공횟수]]/(표2[[#This Row],[공격실패횟수]]+표2[[#This Row],[공격성공횟수]])</f>
        <v>0.125</v>
      </c>
    </row>
    <row r="525" spans="1:8" hidden="1" x14ac:dyDescent="0.4">
      <c r="A525">
        <v>262</v>
      </c>
      <c r="B525" t="s">
        <v>2</v>
      </c>
      <c r="C525">
        <v>1</v>
      </c>
      <c r="D525">
        <v>4</v>
      </c>
      <c r="E525">
        <v>6</v>
      </c>
      <c r="F525">
        <v>1</v>
      </c>
      <c r="G525">
        <v>0</v>
      </c>
      <c r="H525">
        <f>표2[[#This Row],[공격성공횟수]]/(표2[[#This Row],[공격실패횟수]]+표2[[#This Row],[공격성공횟수]])</f>
        <v>0.4</v>
      </c>
    </row>
    <row r="526" spans="1:8" x14ac:dyDescent="0.4">
      <c r="A526">
        <v>263</v>
      </c>
      <c r="B526" t="s">
        <v>0</v>
      </c>
      <c r="C526">
        <v>1</v>
      </c>
      <c r="D526">
        <v>4</v>
      </c>
      <c r="E526">
        <v>8</v>
      </c>
      <c r="F526">
        <v>1</v>
      </c>
      <c r="G526">
        <v>0</v>
      </c>
      <c r="H526">
        <f>표2[[#This Row],[공격성공횟수]]/(표2[[#This Row],[공격실패횟수]]+표2[[#This Row],[공격성공횟수]])</f>
        <v>0.33333333333333331</v>
      </c>
    </row>
    <row r="527" spans="1:8" hidden="1" x14ac:dyDescent="0.4">
      <c r="A527">
        <v>263</v>
      </c>
      <c r="B527" t="s">
        <v>2</v>
      </c>
      <c r="C527">
        <v>0</v>
      </c>
      <c r="D527">
        <v>1</v>
      </c>
      <c r="E527">
        <v>10</v>
      </c>
      <c r="F527">
        <v>4</v>
      </c>
      <c r="G527">
        <v>1</v>
      </c>
      <c r="H527">
        <f>표2[[#This Row],[공격성공횟수]]/(표2[[#This Row],[공격실패횟수]]+표2[[#This Row],[공격성공횟수]])</f>
        <v>9.0909090909090912E-2</v>
      </c>
    </row>
    <row r="528" spans="1:8" x14ac:dyDescent="0.4">
      <c r="A528">
        <v>264</v>
      </c>
      <c r="B528" t="s">
        <v>0</v>
      </c>
      <c r="C528">
        <v>1</v>
      </c>
      <c r="D528">
        <v>4</v>
      </c>
      <c r="E528">
        <v>25</v>
      </c>
      <c r="F528">
        <v>1</v>
      </c>
      <c r="G528">
        <v>0</v>
      </c>
      <c r="H528">
        <f>표2[[#This Row],[공격성공횟수]]/(표2[[#This Row],[공격실패횟수]]+표2[[#This Row],[공격성공횟수]])</f>
        <v>0.13793103448275862</v>
      </c>
    </row>
    <row r="529" spans="1:8" hidden="1" x14ac:dyDescent="0.4">
      <c r="A529">
        <v>264</v>
      </c>
      <c r="B529" t="s">
        <v>2</v>
      </c>
      <c r="C529">
        <v>0</v>
      </c>
      <c r="D529">
        <v>1</v>
      </c>
      <c r="E529">
        <v>28</v>
      </c>
      <c r="F529">
        <v>4</v>
      </c>
      <c r="G529">
        <v>1</v>
      </c>
      <c r="H529">
        <f>표2[[#This Row],[공격성공횟수]]/(표2[[#This Row],[공격실패횟수]]+표2[[#This Row],[공격성공횟수]])</f>
        <v>3.4482758620689655E-2</v>
      </c>
    </row>
    <row r="530" spans="1:8" x14ac:dyDescent="0.4">
      <c r="A530">
        <v>265</v>
      </c>
      <c r="B530" t="s">
        <v>0</v>
      </c>
      <c r="C530">
        <v>1</v>
      </c>
      <c r="D530">
        <v>4</v>
      </c>
      <c r="E530">
        <v>9</v>
      </c>
      <c r="F530">
        <v>3</v>
      </c>
      <c r="G530">
        <v>0</v>
      </c>
      <c r="H530">
        <f>표2[[#This Row],[공격성공횟수]]/(표2[[#This Row],[공격실패횟수]]+표2[[#This Row],[공격성공횟수]])</f>
        <v>0.30769230769230771</v>
      </c>
    </row>
    <row r="531" spans="1:8" hidden="1" x14ac:dyDescent="0.4">
      <c r="A531">
        <v>265</v>
      </c>
      <c r="B531" t="s">
        <v>2</v>
      </c>
      <c r="C531">
        <v>0</v>
      </c>
      <c r="D531">
        <v>3</v>
      </c>
      <c r="E531">
        <v>9</v>
      </c>
      <c r="F531">
        <v>4</v>
      </c>
      <c r="G531">
        <v>1</v>
      </c>
      <c r="H531">
        <f>표2[[#This Row],[공격성공횟수]]/(표2[[#This Row],[공격실패횟수]]+표2[[#This Row],[공격성공횟수]])</f>
        <v>0.25</v>
      </c>
    </row>
    <row r="532" spans="1:8" x14ac:dyDescent="0.4">
      <c r="A532">
        <v>266</v>
      </c>
      <c r="B532" t="s">
        <v>0</v>
      </c>
      <c r="C532">
        <v>1</v>
      </c>
      <c r="D532">
        <v>4</v>
      </c>
      <c r="E532">
        <v>25</v>
      </c>
      <c r="F532">
        <v>3</v>
      </c>
      <c r="G532">
        <v>0</v>
      </c>
      <c r="H532">
        <f>표2[[#This Row],[공격성공횟수]]/(표2[[#This Row],[공격실패횟수]]+표2[[#This Row],[공격성공횟수]])</f>
        <v>0.13793103448275862</v>
      </c>
    </row>
    <row r="533" spans="1:8" hidden="1" x14ac:dyDescent="0.4">
      <c r="A533">
        <v>266</v>
      </c>
      <c r="B533" t="s">
        <v>2</v>
      </c>
      <c r="C533">
        <v>0</v>
      </c>
      <c r="D533">
        <v>3</v>
      </c>
      <c r="E533">
        <v>27</v>
      </c>
      <c r="F533">
        <v>4</v>
      </c>
      <c r="G533">
        <v>1</v>
      </c>
      <c r="H533">
        <f>표2[[#This Row],[공격성공횟수]]/(표2[[#This Row],[공격실패횟수]]+표2[[#This Row],[공격성공횟수]])</f>
        <v>0.1</v>
      </c>
    </row>
    <row r="534" spans="1:8" x14ac:dyDescent="0.4">
      <c r="A534">
        <v>267</v>
      </c>
      <c r="B534" t="s">
        <v>0</v>
      </c>
      <c r="C534">
        <v>1</v>
      </c>
      <c r="D534">
        <v>4</v>
      </c>
      <c r="E534">
        <v>13</v>
      </c>
      <c r="F534">
        <v>3</v>
      </c>
      <c r="G534">
        <v>0</v>
      </c>
      <c r="H534">
        <f>표2[[#This Row],[공격성공횟수]]/(표2[[#This Row],[공격실패횟수]]+표2[[#This Row],[공격성공횟수]])</f>
        <v>0.23529411764705882</v>
      </c>
    </row>
    <row r="535" spans="1:8" hidden="1" x14ac:dyDescent="0.4">
      <c r="A535">
        <v>267</v>
      </c>
      <c r="B535" t="s">
        <v>2</v>
      </c>
      <c r="C535">
        <v>0</v>
      </c>
      <c r="D535">
        <v>3</v>
      </c>
      <c r="E535">
        <v>13</v>
      </c>
      <c r="F535">
        <v>4</v>
      </c>
      <c r="G535">
        <v>1</v>
      </c>
      <c r="H535">
        <f>표2[[#This Row],[공격성공횟수]]/(표2[[#This Row],[공격실패횟수]]+표2[[#This Row],[공격성공횟수]])</f>
        <v>0.1875</v>
      </c>
    </row>
    <row r="536" spans="1:8" x14ac:dyDescent="0.4">
      <c r="A536">
        <v>268</v>
      </c>
      <c r="B536" t="s">
        <v>0</v>
      </c>
      <c r="C536">
        <v>0</v>
      </c>
      <c r="D536">
        <v>3</v>
      </c>
      <c r="E536">
        <v>12</v>
      </c>
      <c r="F536">
        <v>4</v>
      </c>
      <c r="G536">
        <v>1</v>
      </c>
      <c r="H536">
        <f>표2[[#This Row],[공격성공횟수]]/(표2[[#This Row],[공격실패횟수]]+표2[[#This Row],[공격성공횟수]])</f>
        <v>0.2</v>
      </c>
    </row>
    <row r="537" spans="1:8" hidden="1" x14ac:dyDescent="0.4">
      <c r="A537">
        <v>268</v>
      </c>
      <c r="B537" t="s">
        <v>2</v>
      </c>
      <c r="C537">
        <v>1</v>
      </c>
      <c r="D537">
        <v>4</v>
      </c>
      <c r="E537">
        <v>13</v>
      </c>
      <c r="F537">
        <v>3</v>
      </c>
      <c r="G537">
        <v>0</v>
      </c>
      <c r="H537">
        <f>표2[[#This Row],[공격성공횟수]]/(표2[[#This Row],[공격실패횟수]]+표2[[#This Row],[공격성공횟수]])</f>
        <v>0.23529411764705882</v>
      </c>
    </row>
    <row r="538" spans="1:8" x14ac:dyDescent="0.4">
      <c r="A538">
        <v>269</v>
      </c>
      <c r="B538" t="s">
        <v>0</v>
      </c>
      <c r="C538">
        <v>1</v>
      </c>
      <c r="D538">
        <v>4</v>
      </c>
      <c r="E538">
        <v>6</v>
      </c>
      <c r="F538">
        <v>1</v>
      </c>
      <c r="G538">
        <v>0</v>
      </c>
      <c r="H538">
        <f>표2[[#This Row],[공격성공횟수]]/(표2[[#This Row],[공격실패횟수]]+표2[[#This Row],[공격성공횟수]])</f>
        <v>0.4</v>
      </c>
    </row>
    <row r="539" spans="1:8" hidden="1" x14ac:dyDescent="0.4">
      <c r="A539">
        <v>269</v>
      </c>
      <c r="B539" t="s">
        <v>2</v>
      </c>
      <c r="C539">
        <v>0</v>
      </c>
      <c r="D539">
        <v>1</v>
      </c>
      <c r="E539">
        <v>9</v>
      </c>
      <c r="F539">
        <v>4</v>
      </c>
      <c r="G539">
        <v>1</v>
      </c>
      <c r="H539">
        <f>표2[[#This Row],[공격성공횟수]]/(표2[[#This Row],[공격실패횟수]]+표2[[#This Row],[공격성공횟수]])</f>
        <v>0.1</v>
      </c>
    </row>
    <row r="540" spans="1:8" x14ac:dyDescent="0.4">
      <c r="A540">
        <v>270</v>
      </c>
      <c r="B540" t="s">
        <v>0</v>
      </c>
      <c r="C540">
        <v>1</v>
      </c>
      <c r="D540">
        <v>4</v>
      </c>
      <c r="E540">
        <v>8</v>
      </c>
      <c r="F540">
        <v>0</v>
      </c>
      <c r="G540">
        <v>0</v>
      </c>
      <c r="H540">
        <f>표2[[#This Row],[공격성공횟수]]/(표2[[#This Row],[공격실패횟수]]+표2[[#This Row],[공격성공횟수]])</f>
        <v>0.33333333333333331</v>
      </c>
    </row>
    <row r="541" spans="1:8" hidden="1" x14ac:dyDescent="0.4">
      <c r="A541">
        <v>270</v>
      </c>
      <c r="B541" t="s">
        <v>2</v>
      </c>
      <c r="C541">
        <v>0</v>
      </c>
      <c r="D541">
        <v>0</v>
      </c>
      <c r="E541">
        <v>12</v>
      </c>
      <c r="F541">
        <v>4</v>
      </c>
      <c r="G541">
        <v>1</v>
      </c>
      <c r="H541">
        <f>표2[[#This Row],[공격성공횟수]]/(표2[[#This Row],[공격실패횟수]]+표2[[#This Row],[공격성공횟수]])</f>
        <v>0</v>
      </c>
    </row>
    <row r="542" spans="1:8" x14ac:dyDescent="0.4">
      <c r="A542">
        <v>271</v>
      </c>
      <c r="B542" t="s">
        <v>0</v>
      </c>
      <c r="C542">
        <v>1</v>
      </c>
      <c r="D542">
        <v>4</v>
      </c>
      <c r="E542">
        <v>22</v>
      </c>
      <c r="F542">
        <v>0</v>
      </c>
      <c r="G542">
        <v>0</v>
      </c>
      <c r="H542">
        <f>표2[[#This Row],[공격성공횟수]]/(표2[[#This Row],[공격실패횟수]]+표2[[#This Row],[공격성공횟수]])</f>
        <v>0.15384615384615385</v>
      </c>
    </row>
    <row r="543" spans="1:8" hidden="1" x14ac:dyDescent="0.4">
      <c r="A543">
        <v>271</v>
      </c>
      <c r="B543" t="s">
        <v>2</v>
      </c>
      <c r="C543">
        <v>0</v>
      </c>
      <c r="D543">
        <v>0</v>
      </c>
      <c r="E543">
        <v>26</v>
      </c>
      <c r="F543">
        <v>4</v>
      </c>
      <c r="G543">
        <v>1</v>
      </c>
      <c r="H543">
        <f>표2[[#This Row],[공격성공횟수]]/(표2[[#This Row],[공격실패횟수]]+표2[[#This Row],[공격성공횟수]])</f>
        <v>0</v>
      </c>
    </row>
    <row r="544" spans="1:8" x14ac:dyDescent="0.4">
      <c r="A544">
        <v>272</v>
      </c>
      <c r="B544" t="s">
        <v>0</v>
      </c>
      <c r="C544">
        <v>1</v>
      </c>
      <c r="D544">
        <v>4</v>
      </c>
      <c r="E544">
        <v>6</v>
      </c>
      <c r="F544">
        <v>3</v>
      </c>
      <c r="G544">
        <v>0</v>
      </c>
      <c r="H544">
        <f>표2[[#This Row],[공격성공횟수]]/(표2[[#This Row],[공격실패횟수]]+표2[[#This Row],[공격성공횟수]])</f>
        <v>0.4</v>
      </c>
    </row>
    <row r="545" spans="1:8" hidden="1" x14ac:dyDescent="0.4">
      <c r="A545">
        <v>272</v>
      </c>
      <c r="B545" t="s">
        <v>2</v>
      </c>
      <c r="C545">
        <v>0</v>
      </c>
      <c r="D545">
        <v>3</v>
      </c>
      <c r="E545">
        <v>7</v>
      </c>
      <c r="F545">
        <v>4</v>
      </c>
      <c r="G545">
        <v>1</v>
      </c>
      <c r="H545">
        <f>표2[[#This Row],[공격성공횟수]]/(표2[[#This Row],[공격실패횟수]]+표2[[#This Row],[공격성공횟수]])</f>
        <v>0.3</v>
      </c>
    </row>
    <row r="546" spans="1:8" x14ac:dyDescent="0.4">
      <c r="A546">
        <v>273</v>
      </c>
      <c r="B546" t="s">
        <v>0</v>
      </c>
      <c r="C546">
        <v>0</v>
      </c>
      <c r="D546">
        <v>2</v>
      </c>
      <c r="E546">
        <v>8</v>
      </c>
      <c r="F546">
        <v>4</v>
      </c>
      <c r="G546">
        <v>1</v>
      </c>
      <c r="H546">
        <f>표2[[#This Row],[공격성공횟수]]/(표2[[#This Row],[공격실패횟수]]+표2[[#This Row],[공격성공횟수]])</f>
        <v>0.2</v>
      </c>
    </row>
    <row r="547" spans="1:8" hidden="1" x14ac:dyDescent="0.4">
      <c r="A547">
        <v>273</v>
      </c>
      <c r="B547" t="s">
        <v>2</v>
      </c>
      <c r="C547">
        <v>1</v>
      </c>
      <c r="D547">
        <v>4</v>
      </c>
      <c r="E547">
        <v>8</v>
      </c>
      <c r="F547">
        <v>2</v>
      </c>
      <c r="G547">
        <v>0</v>
      </c>
      <c r="H547">
        <f>표2[[#This Row],[공격성공횟수]]/(표2[[#This Row],[공격실패횟수]]+표2[[#This Row],[공격성공횟수]])</f>
        <v>0.33333333333333331</v>
      </c>
    </row>
    <row r="548" spans="1:8" x14ac:dyDescent="0.4">
      <c r="A548">
        <v>274</v>
      </c>
      <c r="B548" t="s">
        <v>0</v>
      </c>
      <c r="C548">
        <v>1</v>
      </c>
      <c r="D548">
        <v>4</v>
      </c>
      <c r="E548">
        <v>8</v>
      </c>
      <c r="F548">
        <v>2</v>
      </c>
      <c r="G548">
        <v>0</v>
      </c>
      <c r="H548">
        <f>표2[[#This Row],[공격성공횟수]]/(표2[[#This Row],[공격실패횟수]]+표2[[#This Row],[공격성공횟수]])</f>
        <v>0.33333333333333331</v>
      </c>
    </row>
    <row r="549" spans="1:8" hidden="1" x14ac:dyDescent="0.4">
      <c r="A549">
        <v>274</v>
      </c>
      <c r="B549" t="s">
        <v>2</v>
      </c>
      <c r="C549">
        <v>0</v>
      </c>
      <c r="D549">
        <v>2</v>
      </c>
      <c r="E549">
        <v>9</v>
      </c>
      <c r="F549">
        <v>4</v>
      </c>
      <c r="G549">
        <v>1</v>
      </c>
      <c r="H549">
        <f>표2[[#This Row],[공격성공횟수]]/(표2[[#This Row],[공격실패횟수]]+표2[[#This Row],[공격성공횟수]])</f>
        <v>0.18181818181818182</v>
      </c>
    </row>
    <row r="550" spans="1:8" x14ac:dyDescent="0.4">
      <c r="A550">
        <v>275</v>
      </c>
      <c r="B550" t="s">
        <v>0</v>
      </c>
      <c r="C550">
        <v>1</v>
      </c>
      <c r="D550">
        <v>4</v>
      </c>
      <c r="E550">
        <v>25</v>
      </c>
      <c r="F550">
        <v>1</v>
      </c>
      <c r="G550">
        <v>0</v>
      </c>
      <c r="H550">
        <f>표2[[#This Row],[공격성공횟수]]/(표2[[#This Row],[공격실패횟수]]+표2[[#This Row],[공격성공횟수]])</f>
        <v>0.13793103448275862</v>
      </c>
    </row>
    <row r="551" spans="1:8" hidden="1" x14ac:dyDescent="0.4">
      <c r="A551">
        <v>275</v>
      </c>
      <c r="B551" t="s">
        <v>2</v>
      </c>
      <c r="C551">
        <v>0</v>
      </c>
      <c r="D551">
        <v>1</v>
      </c>
      <c r="E551">
        <v>29</v>
      </c>
      <c r="F551">
        <v>4</v>
      </c>
      <c r="G551">
        <v>1</v>
      </c>
      <c r="H551">
        <f>표2[[#This Row],[공격성공횟수]]/(표2[[#This Row],[공격실패횟수]]+표2[[#This Row],[공격성공횟수]])</f>
        <v>3.3333333333333333E-2</v>
      </c>
    </row>
    <row r="552" spans="1:8" x14ac:dyDescent="0.4">
      <c r="A552">
        <v>276</v>
      </c>
      <c r="B552" t="s">
        <v>0</v>
      </c>
      <c r="C552">
        <v>1</v>
      </c>
      <c r="D552">
        <v>4</v>
      </c>
      <c r="E552">
        <v>16</v>
      </c>
      <c r="F552">
        <v>1</v>
      </c>
      <c r="G552">
        <v>0</v>
      </c>
      <c r="H552">
        <f>표2[[#This Row],[공격성공횟수]]/(표2[[#This Row],[공격실패횟수]]+표2[[#This Row],[공격성공횟수]])</f>
        <v>0.2</v>
      </c>
    </row>
    <row r="553" spans="1:8" hidden="1" x14ac:dyDescent="0.4">
      <c r="A553">
        <v>276</v>
      </c>
      <c r="B553" t="s">
        <v>2</v>
      </c>
      <c r="C553">
        <v>0</v>
      </c>
      <c r="D553">
        <v>1</v>
      </c>
      <c r="E553">
        <v>19</v>
      </c>
      <c r="F553">
        <v>4</v>
      </c>
      <c r="G553">
        <v>1</v>
      </c>
      <c r="H553">
        <f>표2[[#This Row],[공격성공횟수]]/(표2[[#This Row],[공격실패횟수]]+표2[[#This Row],[공격성공횟수]])</f>
        <v>0.05</v>
      </c>
    </row>
    <row r="554" spans="1:8" x14ac:dyDescent="0.4">
      <c r="A554">
        <v>277</v>
      </c>
      <c r="B554" t="s">
        <v>0</v>
      </c>
      <c r="C554">
        <v>1</v>
      </c>
      <c r="D554">
        <v>4</v>
      </c>
      <c r="E554">
        <v>34</v>
      </c>
      <c r="F554">
        <v>1</v>
      </c>
      <c r="G554">
        <v>0</v>
      </c>
      <c r="H554">
        <f>표2[[#This Row],[공격성공횟수]]/(표2[[#This Row],[공격실패횟수]]+표2[[#This Row],[공격성공횟수]])</f>
        <v>0.10526315789473684</v>
      </c>
    </row>
    <row r="555" spans="1:8" hidden="1" x14ac:dyDescent="0.4">
      <c r="A555">
        <v>277</v>
      </c>
      <c r="B555" t="s">
        <v>2</v>
      </c>
      <c r="C555">
        <v>0</v>
      </c>
      <c r="D555">
        <v>1</v>
      </c>
      <c r="E555">
        <v>37</v>
      </c>
      <c r="F555">
        <v>4</v>
      </c>
      <c r="G555">
        <v>1</v>
      </c>
      <c r="H555">
        <f>표2[[#This Row],[공격성공횟수]]/(표2[[#This Row],[공격실패횟수]]+표2[[#This Row],[공격성공횟수]])</f>
        <v>2.6315789473684209E-2</v>
      </c>
    </row>
    <row r="556" spans="1:8" x14ac:dyDescent="0.4">
      <c r="A556">
        <v>278</v>
      </c>
      <c r="B556" t="s">
        <v>0</v>
      </c>
      <c r="C556">
        <v>1</v>
      </c>
      <c r="D556">
        <v>4</v>
      </c>
      <c r="E556">
        <v>12</v>
      </c>
      <c r="F556">
        <v>1</v>
      </c>
      <c r="G556">
        <v>0</v>
      </c>
      <c r="H556">
        <f>표2[[#This Row],[공격성공횟수]]/(표2[[#This Row],[공격실패횟수]]+표2[[#This Row],[공격성공횟수]])</f>
        <v>0.25</v>
      </c>
    </row>
    <row r="557" spans="1:8" hidden="1" x14ac:dyDescent="0.4">
      <c r="A557">
        <v>278</v>
      </c>
      <c r="B557" t="s">
        <v>2</v>
      </c>
      <c r="C557">
        <v>0</v>
      </c>
      <c r="D557">
        <v>1</v>
      </c>
      <c r="E557">
        <v>16</v>
      </c>
      <c r="F557">
        <v>4</v>
      </c>
      <c r="G557">
        <v>1</v>
      </c>
      <c r="H557">
        <f>표2[[#This Row],[공격성공횟수]]/(표2[[#This Row],[공격실패횟수]]+표2[[#This Row],[공격성공횟수]])</f>
        <v>5.8823529411764705E-2</v>
      </c>
    </row>
    <row r="558" spans="1:8" x14ac:dyDescent="0.4">
      <c r="A558">
        <v>279</v>
      </c>
      <c r="B558" t="s">
        <v>0</v>
      </c>
      <c r="C558">
        <v>1</v>
      </c>
      <c r="D558">
        <v>4</v>
      </c>
      <c r="E558">
        <v>8</v>
      </c>
      <c r="F558">
        <v>1</v>
      </c>
      <c r="G558">
        <v>0</v>
      </c>
      <c r="H558">
        <f>표2[[#This Row],[공격성공횟수]]/(표2[[#This Row],[공격실패횟수]]+표2[[#This Row],[공격성공횟수]])</f>
        <v>0.33333333333333331</v>
      </c>
    </row>
    <row r="559" spans="1:8" hidden="1" x14ac:dyDescent="0.4">
      <c r="A559">
        <v>279</v>
      </c>
      <c r="B559" t="s">
        <v>2</v>
      </c>
      <c r="C559">
        <v>0</v>
      </c>
      <c r="D559">
        <v>1</v>
      </c>
      <c r="E559">
        <v>12</v>
      </c>
      <c r="F559">
        <v>4</v>
      </c>
      <c r="G559">
        <v>1</v>
      </c>
      <c r="H559">
        <f>표2[[#This Row],[공격성공횟수]]/(표2[[#This Row],[공격실패횟수]]+표2[[#This Row],[공격성공횟수]])</f>
        <v>7.6923076923076927E-2</v>
      </c>
    </row>
    <row r="560" spans="1:8" x14ac:dyDescent="0.4">
      <c r="A560">
        <v>280</v>
      </c>
      <c r="B560" t="s">
        <v>0</v>
      </c>
      <c r="C560">
        <v>1</v>
      </c>
      <c r="D560">
        <v>4</v>
      </c>
      <c r="E560">
        <v>6</v>
      </c>
      <c r="F560">
        <v>1</v>
      </c>
      <c r="G560">
        <v>0</v>
      </c>
      <c r="H560">
        <f>표2[[#This Row],[공격성공횟수]]/(표2[[#This Row],[공격실패횟수]]+표2[[#This Row],[공격성공횟수]])</f>
        <v>0.4</v>
      </c>
    </row>
    <row r="561" spans="1:8" hidden="1" x14ac:dyDescent="0.4">
      <c r="A561">
        <v>280</v>
      </c>
      <c r="B561" t="s">
        <v>2</v>
      </c>
      <c r="C561">
        <v>0</v>
      </c>
      <c r="D561">
        <v>1</v>
      </c>
      <c r="E561">
        <v>9</v>
      </c>
      <c r="F561">
        <v>4</v>
      </c>
      <c r="G561">
        <v>1</v>
      </c>
      <c r="H561">
        <f>표2[[#This Row],[공격성공횟수]]/(표2[[#This Row],[공격실패횟수]]+표2[[#This Row],[공격성공횟수]])</f>
        <v>0.1</v>
      </c>
    </row>
    <row r="562" spans="1:8" x14ac:dyDescent="0.4">
      <c r="A562">
        <v>281</v>
      </c>
      <c r="B562" t="s">
        <v>0</v>
      </c>
      <c r="C562">
        <v>0</v>
      </c>
      <c r="D562">
        <v>3</v>
      </c>
      <c r="E562">
        <v>78</v>
      </c>
      <c r="F562">
        <v>4</v>
      </c>
      <c r="G562">
        <v>1</v>
      </c>
      <c r="H562">
        <f>표2[[#This Row],[공격성공횟수]]/(표2[[#This Row],[공격실패횟수]]+표2[[#This Row],[공격성공횟수]])</f>
        <v>3.7037037037037035E-2</v>
      </c>
    </row>
    <row r="563" spans="1:8" hidden="1" x14ac:dyDescent="0.4">
      <c r="A563">
        <v>281</v>
      </c>
      <c r="B563" t="s">
        <v>2</v>
      </c>
      <c r="C563">
        <v>1</v>
      </c>
      <c r="D563">
        <v>4</v>
      </c>
      <c r="E563">
        <v>77</v>
      </c>
      <c r="F563">
        <v>3</v>
      </c>
      <c r="G563">
        <v>0</v>
      </c>
      <c r="H563">
        <f>표2[[#This Row],[공격성공횟수]]/(표2[[#This Row],[공격실패횟수]]+표2[[#This Row],[공격성공횟수]])</f>
        <v>4.9382716049382713E-2</v>
      </c>
    </row>
    <row r="564" spans="1:8" x14ac:dyDescent="0.4">
      <c r="A564">
        <v>282</v>
      </c>
      <c r="B564" t="s">
        <v>0</v>
      </c>
      <c r="C564">
        <v>1</v>
      </c>
      <c r="D564">
        <v>4</v>
      </c>
      <c r="E564">
        <v>12</v>
      </c>
      <c r="F564">
        <v>0</v>
      </c>
      <c r="G564">
        <v>0</v>
      </c>
      <c r="H564">
        <f>표2[[#This Row],[공격성공횟수]]/(표2[[#This Row],[공격실패횟수]]+표2[[#This Row],[공격성공횟수]])</f>
        <v>0.25</v>
      </c>
    </row>
    <row r="565" spans="1:8" hidden="1" x14ac:dyDescent="0.4">
      <c r="A565">
        <v>282</v>
      </c>
      <c r="B565" t="s">
        <v>2</v>
      </c>
      <c r="C565">
        <v>0</v>
      </c>
      <c r="D565">
        <v>0</v>
      </c>
      <c r="E565">
        <v>15</v>
      </c>
      <c r="F565">
        <v>4</v>
      </c>
      <c r="G565">
        <v>1</v>
      </c>
      <c r="H565">
        <f>표2[[#This Row],[공격성공횟수]]/(표2[[#This Row],[공격실패횟수]]+표2[[#This Row],[공격성공횟수]])</f>
        <v>0</v>
      </c>
    </row>
    <row r="566" spans="1:8" x14ac:dyDescent="0.4">
      <c r="A566">
        <v>283</v>
      </c>
      <c r="B566" t="s">
        <v>0</v>
      </c>
      <c r="C566">
        <v>1</v>
      </c>
      <c r="D566">
        <v>4</v>
      </c>
      <c r="E566">
        <v>3</v>
      </c>
      <c r="F566">
        <v>1</v>
      </c>
      <c r="G566">
        <v>0</v>
      </c>
      <c r="H566">
        <f>표2[[#This Row],[공격성공횟수]]/(표2[[#This Row],[공격실패횟수]]+표2[[#This Row],[공격성공횟수]])</f>
        <v>0.5714285714285714</v>
      </c>
    </row>
    <row r="567" spans="1:8" hidden="1" x14ac:dyDescent="0.4">
      <c r="A567">
        <v>283</v>
      </c>
      <c r="B567" t="s">
        <v>2</v>
      </c>
      <c r="C567">
        <v>0</v>
      </c>
      <c r="D567">
        <v>1</v>
      </c>
      <c r="E567">
        <v>6</v>
      </c>
      <c r="F567">
        <v>4</v>
      </c>
      <c r="G567">
        <v>1</v>
      </c>
      <c r="H567">
        <f>표2[[#This Row],[공격성공횟수]]/(표2[[#This Row],[공격실패횟수]]+표2[[#This Row],[공격성공횟수]])</f>
        <v>0.14285714285714285</v>
      </c>
    </row>
    <row r="568" spans="1:8" x14ac:dyDescent="0.4">
      <c r="A568">
        <v>284</v>
      </c>
      <c r="B568" t="s">
        <v>0</v>
      </c>
      <c r="C568">
        <v>1</v>
      </c>
      <c r="D568">
        <v>4</v>
      </c>
      <c r="E568">
        <v>8</v>
      </c>
      <c r="F568">
        <v>3</v>
      </c>
      <c r="G568">
        <v>0</v>
      </c>
      <c r="H568">
        <f>표2[[#This Row],[공격성공횟수]]/(표2[[#This Row],[공격실패횟수]]+표2[[#This Row],[공격성공횟수]])</f>
        <v>0.33333333333333331</v>
      </c>
    </row>
    <row r="569" spans="1:8" hidden="1" x14ac:dyDescent="0.4">
      <c r="A569">
        <v>284</v>
      </c>
      <c r="B569" t="s">
        <v>2</v>
      </c>
      <c r="C569">
        <v>0</v>
      </c>
      <c r="D569">
        <v>3</v>
      </c>
      <c r="E569">
        <v>10</v>
      </c>
      <c r="F569">
        <v>4</v>
      </c>
      <c r="G569">
        <v>1</v>
      </c>
      <c r="H569">
        <f>표2[[#This Row],[공격성공횟수]]/(표2[[#This Row],[공격실패횟수]]+표2[[#This Row],[공격성공횟수]])</f>
        <v>0.23076923076923078</v>
      </c>
    </row>
    <row r="570" spans="1:8" x14ac:dyDescent="0.4">
      <c r="A570">
        <v>285</v>
      </c>
      <c r="B570" t="s">
        <v>0</v>
      </c>
      <c r="C570">
        <v>1</v>
      </c>
      <c r="D570">
        <v>4</v>
      </c>
      <c r="E570">
        <v>3</v>
      </c>
      <c r="F570">
        <v>0</v>
      </c>
      <c r="G570">
        <v>0</v>
      </c>
      <c r="H570">
        <f>표2[[#This Row],[공격성공횟수]]/(표2[[#This Row],[공격실패횟수]]+표2[[#This Row],[공격성공횟수]])</f>
        <v>0.5714285714285714</v>
      </c>
    </row>
    <row r="571" spans="1:8" hidden="1" x14ac:dyDescent="0.4">
      <c r="A571">
        <v>285</v>
      </c>
      <c r="B571" t="s">
        <v>2</v>
      </c>
      <c r="C571">
        <v>0</v>
      </c>
      <c r="D571">
        <v>0</v>
      </c>
      <c r="E571">
        <v>7</v>
      </c>
      <c r="F571">
        <v>4</v>
      </c>
      <c r="G571">
        <v>1</v>
      </c>
      <c r="H571">
        <f>표2[[#This Row],[공격성공횟수]]/(표2[[#This Row],[공격실패횟수]]+표2[[#This Row],[공격성공횟수]])</f>
        <v>0</v>
      </c>
    </row>
    <row r="572" spans="1:8" x14ac:dyDescent="0.4">
      <c r="A572">
        <v>286</v>
      </c>
      <c r="B572" t="s">
        <v>0</v>
      </c>
      <c r="C572">
        <v>1</v>
      </c>
      <c r="D572">
        <v>4</v>
      </c>
      <c r="E572">
        <v>36</v>
      </c>
      <c r="F572">
        <v>3</v>
      </c>
      <c r="G572">
        <v>0</v>
      </c>
      <c r="H572">
        <f>표2[[#This Row],[공격성공횟수]]/(표2[[#This Row],[공격실패횟수]]+표2[[#This Row],[공격성공횟수]])</f>
        <v>0.1</v>
      </c>
    </row>
    <row r="573" spans="1:8" hidden="1" x14ac:dyDescent="0.4">
      <c r="A573">
        <v>286</v>
      </c>
      <c r="B573" t="s">
        <v>2</v>
      </c>
      <c r="C573">
        <v>0</v>
      </c>
      <c r="D573">
        <v>3</v>
      </c>
      <c r="E573">
        <v>36</v>
      </c>
      <c r="F573">
        <v>4</v>
      </c>
      <c r="G573">
        <v>1</v>
      </c>
      <c r="H573">
        <f>표2[[#This Row],[공격성공횟수]]/(표2[[#This Row],[공격실패횟수]]+표2[[#This Row],[공격성공횟수]])</f>
        <v>7.6923076923076927E-2</v>
      </c>
    </row>
    <row r="574" spans="1:8" x14ac:dyDescent="0.4">
      <c r="A574">
        <v>287</v>
      </c>
      <c r="B574" t="s">
        <v>0</v>
      </c>
      <c r="C574">
        <v>1</v>
      </c>
      <c r="D574">
        <v>4</v>
      </c>
      <c r="E574">
        <v>4</v>
      </c>
      <c r="F574">
        <v>1</v>
      </c>
      <c r="G574">
        <v>0</v>
      </c>
      <c r="H574">
        <f>표2[[#This Row],[공격성공횟수]]/(표2[[#This Row],[공격실패횟수]]+표2[[#This Row],[공격성공횟수]])</f>
        <v>0.5</v>
      </c>
    </row>
    <row r="575" spans="1:8" hidden="1" x14ac:dyDescent="0.4">
      <c r="A575">
        <v>287</v>
      </c>
      <c r="B575" t="s">
        <v>2</v>
      </c>
      <c r="C575">
        <v>0</v>
      </c>
      <c r="D575">
        <v>1</v>
      </c>
      <c r="E575">
        <v>7</v>
      </c>
      <c r="F575">
        <v>4</v>
      </c>
      <c r="G575">
        <v>1</v>
      </c>
      <c r="H575">
        <f>표2[[#This Row],[공격성공횟수]]/(표2[[#This Row],[공격실패횟수]]+표2[[#This Row],[공격성공횟수]])</f>
        <v>0.125</v>
      </c>
    </row>
    <row r="576" spans="1:8" x14ac:dyDescent="0.4">
      <c r="A576">
        <v>288</v>
      </c>
      <c r="B576" t="s">
        <v>0</v>
      </c>
      <c r="C576">
        <v>1</v>
      </c>
      <c r="D576">
        <v>4</v>
      </c>
      <c r="E576">
        <v>9</v>
      </c>
      <c r="F576">
        <v>0</v>
      </c>
      <c r="G576">
        <v>0</v>
      </c>
      <c r="H576">
        <f>표2[[#This Row],[공격성공횟수]]/(표2[[#This Row],[공격실패횟수]]+표2[[#This Row],[공격성공횟수]])</f>
        <v>0.30769230769230771</v>
      </c>
    </row>
    <row r="577" spans="1:8" hidden="1" x14ac:dyDescent="0.4">
      <c r="A577">
        <v>288</v>
      </c>
      <c r="B577" t="s">
        <v>2</v>
      </c>
      <c r="C577">
        <v>0</v>
      </c>
      <c r="D577">
        <v>0</v>
      </c>
      <c r="E577">
        <v>13</v>
      </c>
      <c r="F577">
        <v>4</v>
      </c>
      <c r="G577">
        <v>1</v>
      </c>
      <c r="H577">
        <f>표2[[#This Row],[공격성공횟수]]/(표2[[#This Row],[공격실패횟수]]+표2[[#This Row],[공격성공횟수]])</f>
        <v>0</v>
      </c>
    </row>
    <row r="578" spans="1:8" x14ac:dyDescent="0.4">
      <c r="A578">
        <v>289</v>
      </c>
      <c r="B578" t="s">
        <v>0</v>
      </c>
      <c r="C578">
        <v>1</v>
      </c>
      <c r="D578">
        <v>4</v>
      </c>
      <c r="E578">
        <v>5</v>
      </c>
      <c r="F578">
        <v>1</v>
      </c>
      <c r="G578">
        <v>0</v>
      </c>
      <c r="H578">
        <f>표2[[#This Row],[공격성공횟수]]/(표2[[#This Row],[공격실패횟수]]+표2[[#This Row],[공격성공횟수]])</f>
        <v>0.44444444444444442</v>
      </c>
    </row>
    <row r="579" spans="1:8" hidden="1" x14ac:dyDescent="0.4">
      <c r="A579">
        <v>289</v>
      </c>
      <c r="B579" t="s">
        <v>2</v>
      </c>
      <c r="C579">
        <v>0</v>
      </c>
      <c r="D579">
        <v>1</v>
      </c>
      <c r="E579">
        <v>9</v>
      </c>
      <c r="F579">
        <v>4</v>
      </c>
      <c r="G579">
        <v>1</v>
      </c>
      <c r="H579">
        <f>표2[[#This Row],[공격성공횟수]]/(표2[[#This Row],[공격실패횟수]]+표2[[#This Row],[공격성공횟수]])</f>
        <v>0.1</v>
      </c>
    </row>
    <row r="580" spans="1:8" x14ac:dyDescent="0.4">
      <c r="A580">
        <v>290</v>
      </c>
      <c r="B580" t="s">
        <v>0</v>
      </c>
      <c r="C580">
        <v>1</v>
      </c>
      <c r="D580">
        <v>4</v>
      </c>
      <c r="E580">
        <v>21</v>
      </c>
      <c r="F580">
        <v>3</v>
      </c>
      <c r="G580">
        <v>0</v>
      </c>
      <c r="H580">
        <f>표2[[#This Row],[공격성공횟수]]/(표2[[#This Row],[공격실패횟수]]+표2[[#This Row],[공격성공횟수]])</f>
        <v>0.16</v>
      </c>
    </row>
    <row r="581" spans="1:8" hidden="1" x14ac:dyDescent="0.4">
      <c r="A581">
        <v>290</v>
      </c>
      <c r="B581" t="s">
        <v>2</v>
      </c>
      <c r="C581">
        <v>0</v>
      </c>
      <c r="D581">
        <v>3</v>
      </c>
      <c r="E581">
        <v>22</v>
      </c>
      <c r="F581">
        <v>4</v>
      </c>
      <c r="G581">
        <v>1</v>
      </c>
      <c r="H581">
        <f>표2[[#This Row],[공격성공횟수]]/(표2[[#This Row],[공격실패횟수]]+표2[[#This Row],[공격성공횟수]])</f>
        <v>0.12</v>
      </c>
    </row>
    <row r="582" spans="1:8" x14ac:dyDescent="0.4">
      <c r="A582">
        <v>291</v>
      </c>
      <c r="B582" t="s">
        <v>0</v>
      </c>
      <c r="C582">
        <v>1</v>
      </c>
      <c r="D582">
        <v>4</v>
      </c>
      <c r="E582">
        <v>7</v>
      </c>
      <c r="F582">
        <v>2</v>
      </c>
      <c r="G582">
        <v>0</v>
      </c>
      <c r="H582">
        <f>표2[[#This Row],[공격성공횟수]]/(표2[[#This Row],[공격실패횟수]]+표2[[#This Row],[공격성공횟수]])</f>
        <v>0.36363636363636365</v>
      </c>
    </row>
    <row r="583" spans="1:8" hidden="1" x14ac:dyDescent="0.4">
      <c r="A583">
        <v>291</v>
      </c>
      <c r="B583" t="s">
        <v>2</v>
      </c>
      <c r="C583">
        <v>0</v>
      </c>
      <c r="D583">
        <v>2</v>
      </c>
      <c r="E583">
        <v>9</v>
      </c>
      <c r="F583">
        <v>4</v>
      </c>
      <c r="G583">
        <v>1</v>
      </c>
      <c r="H583">
        <f>표2[[#This Row],[공격성공횟수]]/(표2[[#This Row],[공격실패횟수]]+표2[[#This Row],[공격성공횟수]])</f>
        <v>0.18181818181818182</v>
      </c>
    </row>
    <row r="584" spans="1:8" x14ac:dyDescent="0.4">
      <c r="A584">
        <v>292</v>
      </c>
      <c r="B584" t="s">
        <v>0</v>
      </c>
      <c r="C584">
        <v>0</v>
      </c>
      <c r="D584">
        <v>2</v>
      </c>
      <c r="E584">
        <v>24</v>
      </c>
      <c r="F584">
        <v>4</v>
      </c>
      <c r="G584">
        <v>1</v>
      </c>
      <c r="H584">
        <f>표2[[#This Row],[공격성공횟수]]/(표2[[#This Row],[공격실패횟수]]+표2[[#This Row],[공격성공횟수]])</f>
        <v>7.6923076923076927E-2</v>
      </c>
    </row>
    <row r="585" spans="1:8" hidden="1" x14ac:dyDescent="0.4">
      <c r="A585">
        <v>292</v>
      </c>
      <c r="B585" t="s">
        <v>2</v>
      </c>
      <c r="C585">
        <v>1</v>
      </c>
      <c r="D585">
        <v>4</v>
      </c>
      <c r="E585">
        <v>23</v>
      </c>
      <c r="F585">
        <v>2</v>
      </c>
      <c r="G585">
        <v>0</v>
      </c>
      <c r="H585">
        <f>표2[[#This Row],[공격성공횟수]]/(표2[[#This Row],[공격실패횟수]]+표2[[#This Row],[공격성공횟수]])</f>
        <v>0.14814814814814814</v>
      </c>
    </row>
    <row r="586" spans="1:8" x14ac:dyDescent="0.4">
      <c r="A586">
        <v>293</v>
      </c>
      <c r="B586" t="s">
        <v>0</v>
      </c>
      <c r="C586">
        <v>1</v>
      </c>
      <c r="D586">
        <v>4</v>
      </c>
      <c r="E586">
        <v>9</v>
      </c>
      <c r="F586">
        <v>3</v>
      </c>
      <c r="G586">
        <v>0</v>
      </c>
      <c r="H586">
        <f>표2[[#This Row],[공격성공횟수]]/(표2[[#This Row],[공격실패횟수]]+표2[[#This Row],[공격성공횟수]])</f>
        <v>0.30769230769230771</v>
      </c>
    </row>
    <row r="587" spans="1:8" hidden="1" x14ac:dyDescent="0.4">
      <c r="A587">
        <v>293</v>
      </c>
      <c r="B587" t="s">
        <v>2</v>
      </c>
      <c r="C587">
        <v>0</v>
      </c>
      <c r="D587">
        <v>3</v>
      </c>
      <c r="E587">
        <v>9</v>
      </c>
      <c r="F587">
        <v>4</v>
      </c>
      <c r="G587">
        <v>1</v>
      </c>
      <c r="H587">
        <f>표2[[#This Row],[공격성공횟수]]/(표2[[#This Row],[공격실패횟수]]+표2[[#This Row],[공격성공횟수]])</f>
        <v>0.25</v>
      </c>
    </row>
    <row r="588" spans="1:8" x14ac:dyDescent="0.4">
      <c r="A588">
        <v>294</v>
      </c>
      <c r="B588" t="s">
        <v>0</v>
      </c>
      <c r="C588">
        <v>0</v>
      </c>
      <c r="D588">
        <v>1</v>
      </c>
      <c r="E588">
        <v>7</v>
      </c>
      <c r="F588">
        <v>4</v>
      </c>
      <c r="G588">
        <v>1</v>
      </c>
      <c r="H588">
        <f>표2[[#This Row],[공격성공횟수]]/(표2[[#This Row],[공격실패횟수]]+표2[[#This Row],[공격성공횟수]])</f>
        <v>0.125</v>
      </c>
    </row>
    <row r="589" spans="1:8" hidden="1" x14ac:dyDescent="0.4">
      <c r="A589">
        <v>294</v>
      </c>
      <c r="B589" t="s">
        <v>2</v>
      </c>
      <c r="C589">
        <v>1</v>
      </c>
      <c r="D589">
        <v>4</v>
      </c>
      <c r="E589">
        <v>5</v>
      </c>
      <c r="F589">
        <v>1</v>
      </c>
      <c r="G589">
        <v>0</v>
      </c>
      <c r="H589">
        <f>표2[[#This Row],[공격성공횟수]]/(표2[[#This Row],[공격실패횟수]]+표2[[#This Row],[공격성공횟수]])</f>
        <v>0.44444444444444442</v>
      </c>
    </row>
    <row r="590" spans="1:8" x14ac:dyDescent="0.4">
      <c r="A590">
        <v>295</v>
      </c>
      <c r="B590" t="s">
        <v>0</v>
      </c>
      <c r="C590">
        <v>1</v>
      </c>
      <c r="D590">
        <v>4</v>
      </c>
      <c r="E590">
        <v>8</v>
      </c>
      <c r="F590">
        <v>3</v>
      </c>
      <c r="G590">
        <v>0</v>
      </c>
      <c r="H590">
        <f>표2[[#This Row],[공격성공횟수]]/(표2[[#This Row],[공격실패횟수]]+표2[[#This Row],[공격성공횟수]])</f>
        <v>0.33333333333333331</v>
      </c>
    </row>
    <row r="591" spans="1:8" hidden="1" x14ac:dyDescent="0.4">
      <c r="A591">
        <v>295</v>
      </c>
      <c r="B591" t="s">
        <v>2</v>
      </c>
      <c r="C591">
        <v>0</v>
      </c>
      <c r="D591">
        <v>3</v>
      </c>
      <c r="E591">
        <v>9</v>
      </c>
      <c r="F591">
        <v>4</v>
      </c>
      <c r="G591">
        <v>1</v>
      </c>
      <c r="H591">
        <f>표2[[#This Row],[공격성공횟수]]/(표2[[#This Row],[공격실패횟수]]+표2[[#This Row],[공격성공횟수]])</f>
        <v>0.25</v>
      </c>
    </row>
    <row r="592" spans="1:8" x14ac:dyDescent="0.4">
      <c r="A592">
        <v>296</v>
      </c>
      <c r="B592" t="s">
        <v>0</v>
      </c>
      <c r="C592">
        <v>1</v>
      </c>
      <c r="D592">
        <v>4</v>
      </c>
      <c r="E592">
        <v>6</v>
      </c>
      <c r="F592">
        <v>3</v>
      </c>
      <c r="G592">
        <v>0</v>
      </c>
      <c r="H592">
        <f>표2[[#This Row],[공격성공횟수]]/(표2[[#This Row],[공격실패횟수]]+표2[[#This Row],[공격성공횟수]])</f>
        <v>0.4</v>
      </c>
    </row>
    <row r="593" spans="1:8" hidden="1" x14ac:dyDescent="0.4">
      <c r="A593">
        <v>296</v>
      </c>
      <c r="B593" t="s">
        <v>2</v>
      </c>
      <c r="C593">
        <v>0</v>
      </c>
      <c r="D593">
        <v>3</v>
      </c>
      <c r="E593">
        <v>7</v>
      </c>
      <c r="F593">
        <v>4</v>
      </c>
      <c r="G593">
        <v>1</v>
      </c>
      <c r="H593">
        <f>표2[[#This Row],[공격성공횟수]]/(표2[[#This Row],[공격실패횟수]]+표2[[#This Row],[공격성공횟수]])</f>
        <v>0.3</v>
      </c>
    </row>
    <row r="594" spans="1:8" x14ac:dyDescent="0.4">
      <c r="A594">
        <v>297</v>
      </c>
      <c r="B594" t="s">
        <v>0</v>
      </c>
      <c r="C594">
        <v>0</v>
      </c>
      <c r="D594">
        <v>0</v>
      </c>
      <c r="E594">
        <v>11</v>
      </c>
      <c r="F594">
        <v>4</v>
      </c>
      <c r="G594">
        <v>1</v>
      </c>
      <c r="H594">
        <f>표2[[#This Row],[공격성공횟수]]/(표2[[#This Row],[공격실패횟수]]+표2[[#This Row],[공격성공횟수]])</f>
        <v>0</v>
      </c>
    </row>
    <row r="595" spans="1:8" hidden="1" x14ac:dyDescent="0.4">
      <c r="A595">
        <v>297</v>
      </c>
      <c r="B595" t="s">
        <v>2</v>
      </c>
      <c r="C595">
        <v>1</v>
      </c>
      <c r="D595">
        <v>4</v>
      </c>
      <c r="E595">
        <v>9</v>
      </c>
      <c r="F595">
        <v>0</v>
      </c>
      <c r="G595">
        <v>0</v>
      </c>
      <c r="H595">
        <f>표2[[#This Row],[공격성공횟수]]/(표2[[#This Row],[공격실패횟수]]+표2[[#This Row],[공격성공횟수]])</f>
        <v>0.30769230769230771</v>
      </c>
    </row>
    <row r="596" spans="1:8" x14ac:dyDescent="0.4">
      <c r="A596">
        <v>298</v>
      </c>
      <c r="B596" t="s">
        <v>0</v>
      </c>
      <c r="C596">
        <v>1</v>
      </c>
      <c r="D596">
        <v>4</v>
      </c>
      <c r="E596">
        <v>58</v>
      </c>
      <c r="F596">
        <v>1</v>
      </c>
      <c r="G596">
        <v>0</v>
      </c>
      <c r="H596">
        <f>표2[[#This Row],[공격성공횟수]]/(표2[[#This Row],[공격실패횟수]]+표2[[#This Row],[공격성공횟수]])</f>
        <v>6.4516129032258063E-2</v>
      </c>
    </row>
    <row r="597" spans="1:8" hidden="1" x14ac:dyDescent="0.4">
      <c r="A597">
        <v>298</v>
      </c>
      <c r="B597" t="s">
        <v>2</v>
      </c>
      <c r="C597">
        <v>0</v>
      </c>
      <c r="D597">
        <v>1</v>
      </c>
      <c r="E597">
        <v>59</v>
      </c>
      <c r="F597">
        <v>4</v>
      </c>
      <c r="G597">
        <v>1</v>
      </c>
      <c r="H597">
        <f>표2[[#This Row],[공격성공횟수]]/(표2[[#This Row],[공격실패횟수]]+표2[[#This Row],[공격성공횟수]])</f>
        <v>1.6666666666666666E-2</v>
      </c>
    </row>
    <row r="598" spans="1:8" x14ac:dyDescent="0.4">
      <c r="A598">
        <v>299</v>
      </c>
      <c r="B598" t="s">
        <v>0</v>
      </c>
      <c r="C598">
        <v>1</v>
      </c>
      <c r="D598">
        <v>4</v>
      </c>
      <c r="E598">
        <v>11</v>
      </c>
      <c r="F598">
        <v>0</v>
      </c>
      <c r="G598">
        <v>0</v>
      </c>
      <c r="H598">
        <f>표2[[#This Row],[공격성공횟수]]/(표2[[#This Row],[공격실패횟수]]+표2[[#This Row],[공격성공횟수]])</f>
        <v>0.26666666666666666</v>
      </c>
    </row>
    <row r="599" spans="1:8" hidden="1" x14ac:dyDescent="0.4">
      <c r="A599">
        <v>299</v>
      </c>
      <c r="B599" t="s">
        <v>2</v>
      </c>
      <c r="C599">
        <v>0</v>
      </c>
      <c r="D599">
        <v>0</v>
      </c>
      <c r="E599">
        <v>16</v>
      </c>
      <c r="F599">
        <v>4</v>
      </c>
      <c r="G599">
        <v>1</v>
      </c>
      <c r="H599">
        <f>표2[[#This Row],[공격성공횟수]]/(표2[[#This Row],[공격실패횟수]]+표2[[#This Row],[공격성공횟수]])</f>
        <v>0</v>
      </c>
    </row>
    <row r="600" spans="1:8" x14ac:dyDescent="0.4">
      <c r="A600">
        <v>300</v>
      </c>
      <c r="B600" t="s">
        <v>0</v>
      </c>
      <c r="C600">
        <v>1</v>
      </c>
      <c r="D600">
        <v>4</v>
      </c>
      <c r="E600">
        <v>5</v>
      </c>
      <c r="F600">
        <v>0</v>
      </c>
      <c r="G600">
        <v>0</v>
      </c>
      <c r="H600">
        <f>표2[[#This Row],[공격성공횟수]]/(표2[[#This Row],[공격실패횟수]]+표2[[#This Row],[공격성공횟수]])</f>
        <v>0.44444444444444442</v>
      </c>
    </row>
    <row r="601" spans="1:8" hidden="1" x14ac:dyDescent="0.4">
      <c r="A601">
        <v>300</v>
      </c>
      <c r="B601" t="s">
        <v>2</v>
      </c>
      <c r="C601">
        <v>0</v>
      </c>
      <c r="D601">
        <v>0</v>
      </c>
      <c r="E601">
        <v>9</v>
      </c>
      <c r="F601">
        <v>4</v>
      </c>
      <c r="G601">
        <v>1</v>
      </c>
      <c r="H601">
        <f>표2[[#This Row],[공격성공횟수]]/(표2[[#This Row],[공격실패횟수]]+표2[[#This Row],[공격성공횟수]])</f>
        <v>0</v>
      </c>
    </row>
    <row r="602" spans="1:8" x14ac:dyDescent="0.4">
      <c r="A602">
        <v>301</v>
      </c>
      <c r="B602" t="s">
        <v>0</v>
      </c>
      <c r="C602">
        <v>1</v>
      </c>
      <c r="D602">
        <v>4</v>
      </c>
      <c r="E602">
        <v>9</v>
      </c>
      <c r="F602">
        <v>3</v>
      </c>
      <c r="G602">
        <v>0</v>
      </c>
      <c r="H602">
        <f>표2[[#This Row],[공격성공횟수]]/(표2[[#This Row],[공격실패횟수]]+표2[[#This Row],[공격성공횟수]])</f>
        <v>0.30769230769230771</v>
      </c>
    </row>
    <row r="603" spans="1:8" hidden="1" x14ac:dyDescent="0.4">
      <c r="A603">
        <v>301</v>
      </c>
      <c r="B603" t="s">
        <v>2</v>
      </c>
      <c r="C603">
        <v>0</v>
      </c>
      <c r="D603">
        <v>3</v>
      </c>
      <c r="E603">
        <v>11</v>
      </c>
      <c r="F603">
        <v>4</v>
      </c>
      <c r="G603">
        <v>1</v>
      </c>
      <c r="H603">
        <f>표2[[#This Row],[공격성공횟수]]/(표2[[#This Row],[공격실패횟수]]+표2[[#This Row],[공격성공횟수]])</f>
        <v>0.21428571428571427</v>
      </c>
    </row>
    <row r="604" spans="1:8" x14ac:dyDescent="0.4">
      <c r="A604">
        <v>302</v>
      </c>
      <c r="B604" t="s">
        <v>0</v>
      </c>
      <c r="C604">
        <v>1</v>
      </c>
      <c r="D604">
        <v>4</v>
      </c>
      <c r="E604">
        <v>13</v>
      </c>
      <c r="F604">
        <v>0</v>
      </c>
      <c r="G604">
        <v>0</v>
      </c>
      <c r="H604">
        <f>표2[[#This Row],[공격성공횟수]]/(표2[[#This Row],[공격실패횟수]]+표2[[#This Row],[공격성공횟수]])</f>
        <v>0.23529411764705882</v>
      </c>
    </row>
    <row r="605" spans="1:8" hidden="1" x14ac:dyDescent="0.4">
      <c r="A605">
        <v>302</v>
      </c>
      <c r="B605" t="s">
        <v>2</v>
      </c>
      <c r="C605">
        <v>0</v>
      </c>
      <c r="D605">
        <v>0</v>
      </c>
      <c r="E605">
        <v>18</v>
      </c>
      <c r="F605">
        <v>4</v>
      </c>
      <c r="G605">
        <v>1</v>
      </c>
      <c r="H605">
        <f>표2[[#This Row],[공격성공횟수]]/(표2[[#This Row],[공격실패횟수]]+표2[[#This Row],[공격성공횟수]])</f>
        <v>0</v>
      </c>
    </row>
    <row r="606" spans="1:8" x14ac:dyDescent="0.4">
      <c r="A606">
        <v>303</v>
      </c>
      <c r="B606" t="s">
        <v>0</v>
      </c>
      <c r="C606">
        <v>1</v>
      </c>
      <c r="D606">
        <v>4</v>
      </c>
      <c r="E606">
        <v>20</v>
      </c>
      <c r="F606">
        <v>0</v>
      </c>
      <c r="G606">
        <v>0</v>
      </c>
      <c r="H606">
        <f>표2[[#This Row],[공격성공횟수]]/(표2[[#This Row],[공격실패횟수]]+표2[[#This Row],[공격성공횟수]])</f>
        <v>0.16666666666666666</v>
      </c>
    </row>
    <row r="607" spans="1:8" hidden="1" x14ac:dyDescent="0.4">
      <c r="A607">
        <v>303</v>
      </c>
      <c r="B607" t="s">
        <v>2</v>
      </c>
      <c r="C607">
        <v>0</v>
      </c>
      <c r="D607">
        <v>0</v>
      </c>
      <c r="E607">
        <v>24</v>
      </c>
      <c r="F607">
        <v>4</v>
      </c>
      <c r="G607">
        <v>1</v>
      </c>
      <c r="H607">
        <f>표2[[#This Row],[공격성공횟수]]/(표2[[#This Row],[공격실패횟수]]+표2[[#This Row],[공격성공횟수]])</f>
        <v>0</v>
      </c>
    </row>
    <row r="608" spans="1:8" x14ac:dyDescent="0.4">
      <c r="A608">
        <v>304</v>
      </c>
      <c r="B608" t="s">
        <v>0</v>
      </c>
      <c r="C608">
        <v>1</v>
      </c>
      <c r="D608">
        <v>4</v>
      </c>
      <c r="E608">
        <v>14</v>
      </c>
      <c r="F608">
        <v>3</v>
      </c>
      <c r="G608">
        <v>0</v>
      </c>
      <c r="H608">
        <f>표2[[#This Row],[공격성공횟수]]/(표2[[#This Row],[공격실패횟수]]+표2[[#This Row],[공격성공횟수]])</f>
        <v>0.22222222222222221</v>
      </c>
    </row>
    <row r="609" spans="1:8" hidden="1" x14ac:dyDescent="0.4">
      <c r="A609">
        <v>304</v>
      </c>
      <c r="B609" t="s">
        <v>2</v>
      </c>
      <c r="C609">
        <v>0</v>
      </c>
      <c r="D609">
        <v>3</v>
      </c>
      <c r="E609">
        <v>14</v>
      </c>
      <c r="F609">
        <v>4</v>
      </c>
      <c r="G609">
        <v>1</v>
      </c>
      <c r="H609">
        <f>표2[[#This Row],[공격성공횟수]]/(표2[[#This Row],[공격실패횟수]]+표2[[#This Row],[공격성공횟수]])</f>
        <v>0.17647058823529413</v>
      </c>
    </row>
    <row r="610" spans="1:8" x14ac:dyDescent="0.4">
      <c r="A610">
        <v>305</v>
      </c>
      <c r="B610" t="s">
        <v>0</v>
      </c>
      <c r="C610">
        <v>1</v>
      </c>
      <c r="D610">
        <v>4</v>
      </c>
      <c r="E610">
        <v>14</v>
      </c>
      <c r="F610">
        <v>1</v>
      </c>
      <c r="G610">
        <v>0</v>
      </c>
      <c r="H610">
        <f>표2[[#This Row],[공격성공횟수]]/(표2[[#This Row],[공격실패횟수]]+표2[[#This Row],[공격성공횟수]])</f>
        <v>0.22222222222222221</v>
      </c>
    </row>
    <row r="611" spans="1:8" hidden="1" x14ac:dyDescent="0.4">
      <c r="A611">
        <v>305</v>
      </c>
      <c r="B611" t="s">
        <v>2</v>
      </c>
      <c r="C611">
        <v>0</v>
      </c>
      <c r="D611">
        <v>1</v>
      </c>
      <c r="E611">
        <v>17</v>
      </c>
      <c r="F611">
        <v>4</v>
      </c>
      <c r="G611">
        <v>1</v>
      </c>
      <c r="H611">
        <f>표2[[#This Row],[공격성공횟수]]/(표2[[#This Row],[공격실패횟수]]+표2[[#This Row],[공격성공횟수]])</f>
        <v>5.5555555555555552E-2</v>
      </c>
    </row>
    <row r="612" spans="1:8" x14ac:dyDescent="0.4">
      <c r="A612">
        <v>306</v>
      </c>
      <c r="B612" t="s">
        <v>0</v>
      </c>
      <c r="C612">
        <v>1</v>
      </c>
      <c r="D612">
        <v>4</v>
      </c>
      <c r="E612">
        <v>16</v>
      </c>
      <c r="F612">
        <v>1</v>
      </c>
      <c r="G612">
        <v>0</v>
      </c>
      <c r="H612">
        <f>표2[[#This Row],[공격성공횟수]]/(표2[[#This Row],[공격실패횟수]]+표2[[#This Row],[공격성공횟수]])</f>
        <v>0.2</v>
      </c>
    </row>
    <row r="613" spans="1:8" hidden="1" x14ac:dyDescent="0.4">
      <c r="A613">
        <v>306</v>
      </c>
      <c r="B613" t="s">
        <v>2</v>
      </c>
      <c r="C613">
        <v>0</v>
      </c>
      <c r="D613">
        <v>1</v>
      </c>
      <c r="E613">
        <v>20</v>
      </c>
      <c r="F613">
        <v>4</v>
      </c>
      <c r="G613">
        <v>1</v>
      </c>
      <c r="H613">
        <f>표2[[#This Row],[공격성공횟수]]/(표2[[#This Row],[공격실패횟수]]+표2[[#This Row],[공격성공횟수]])</f>
        <v>4.7619047619047616E-2</v>
      </c>
    </row>
    <row r="614" spans="1:8" x14ac:dyDescent="0.4">
      <c r="A614">
        <v>307</v>
      </c>
      <c r="B614" t="s">
        <v>0</v>
      </c>
      <c r="C614">
        <v>0</v>
      </c>
      <c r="D614">
        <v>1</v>
      </c>
      <c r="E614">
        <v>100</v>
      </c>
      <c r="F614">
        <v>4</v>
      </c>
      <c r="G614">
        <v>1</v>
      </c>
      <c r="H614">
        <f>표2[[#This Row],[공격성공횟수]]/(표2[[#This Row],[공격실패횟수]]+표2[[#This Row],[공격성공횟수]])</f>
        <v>9.9009900990099011E-3</v>
      </c>
    </row>
    <row r="615" spans="1:8" hidden="1" x14ac:dyDescent="0.4">
      <c r="A615">
        <v>307</v>
      </c>
      <c r="B615" t="s">
        <v>2</v>
      </c>
      <c r="C615">
        <v>1</v>
      </c>
      <c r="D615">
        <v>4</v>
      </c>
      <c r="E615">
        <v>97</v>
      </c>
      <c r="F615">
        <v>1</v>
      </c>
      <c r="G615">
        <v>0</v>
      </c>
      <c r="H615">
        <f>표2[[#This Row],[공격성공횟수]]/(표2[[#This Row],[공격실패횟수]]+표2[[#This Row],[공격성공횟수]])</f>
        <v>3.9603960396039604E-2</v>
      </c>
    </row>
    <row r="616" spans="1:8" x14ac:dyDescent="0.4">
      <c r="A616">
        <v>308</v>
      </c>
      <c r="B616" t="s">
        <v>0</v>
      </c>
      <c r="C616">
        <v>0</v>
      </c>
      <c r="D616">
        <v>2</v>
      </c>
      <c r="E616">
        <v>114</v>
      </c>
      <c r="F616">
        <v>0</v>
      </c>
      <c r="G616">
        <v>0</v>
      </c>
      <c r="H616">
        <f>표2[[#This Row],[공격성공횟수]]/(표2[[#This Row],[공격실패횟수]]+표2[[#This Row],[공격성공횟수]])</f>
        <v>1.7241379310344827E-2</v>
      </c>
    </row>
    <row r="617" spans="1:8" hidden="1" x14ac:dyDescent="0.4">
      <c r="A617">
        <v>308</v>
      </c>
      <c r="B617" t="s">
        <v>2</v>
      </c>
      <c r="C617">
        <v>0</v>
      </c>
      <c r="D617">
        <v>0</v>
      </c>
      <c r="E617">
        <v>116</v>
      </c>
      <c r="F617">
        <v>2</v>
      </c>
      <c r="G617">
        <v>0</v>
      </c>
      <c r="H617">
        <f>표2[[#This Row],[공격성공횟수]]/(표2[[#This Row],[공격실패횟수]]+표2[[#This Row],[공격성공횟수]])</f>
        <v>0</v>
      </c>
    </row>
    <row r="618" spans="1:8" x14ac:dyDescent="0.4">
      <c r="A618">
        <v>309</v>
      </c>
      <c r="B618" t="s">
        <v>0</v>
      </c>
      <c r="C618">
        <v>1</v>
      </c>
      <c r="D618">
        <v>4</v>
      </c>
      <c r="E618">
        <v>32</v>
      </c>
      <c r="F618">
        <v>3</v>
      </c>
      <c r="G618">
        <v>0</v>
      </c>
      <c r="H618">
        <f>표2[[#This Row],[공격성공횟수]]/(표2[[#This Row],[공격실패횟수]]+표2[[#This Row],[공격성공횟수]])</f>
        <v>0.1111111111111111</v>
      </c>
    </row>
    <row r="619" spans="1:8" hidden="1" x14ac:dyDescent="0.4">
      <c r="A619">
        <v>309</v>
      </c>
      <c r="B619" t="s">
        <v>2</v>
      </c>
      <c r="C619">
        <v>0</v>
      </c>
      <c r="D619">
        <v>3</v>
      </c>
      <c r="E619">
        <v>36</v>
      </c>
      <c r="F619">
        <v>4</v>
      </c>
      <c r="G619">
        <v>1</v>
      </c>
      <c r="H619">
        <f>표2[[#This Row],[공격성공횟수]]/(표2[[#This Row],[공격실패횟수]]+표2[[#This Row],[공격성공횟수]])</f>
        <v>7.6923076923076927E-2</v>
      </c>
    </row>
    <row r="620" spans="1:8" x14ac:dyDescent="0.4">
      <c r="A620">
        <v>310</v>
      </c>
      <c r="B620" t="s">
        <v>0</v>
      </c>
      <c r="C620">
        <v>0</v>
      </c>
      <c r="D620">
        <v>1</v>
      </c>
      <c r="E620">
        <v>12</v>
      </c>
      <c r="F620">
        <v>4</v>
      </c>
      <c r="G620">
        <v>1</v>
      </c>
      <c r="H620">
        <f>표2[[#This Row],[공격성공횟수]]/(표2[[#This Row],[공격실패횟수]]+표2[[#This Row],[공격성공횟수]])</f>
        <v>7.6923076923076927E-2</v>
      </c>
    </row>
    <row r="621" spans="1:8" hidden="1" x14ac:dyDescent="0.4">
      <c r="A621">
        <v>310</v>
      </c>
      <c r="B621" t="s">
        <v>2</v>
      </c>
      <c r="C621">
        <v>1</v>
      </c>
      <c r="D621">
        <v>4</v>
      </c>
      <c r="E621">
        <v>11</v>
      </c>
      <c r="F621">
        <v>1</v>
      </c>
      <c r="G621">
        <v>0</v>
      </c>
      <c r="H621">
        <f>표2[[#This Row],[공격성공횟수]]/(표2[[#This Row],[공격실패횟수]]+표2[[#This Row],[공격성공횟수]])</f>
        <v>0.26666666666666666</v>
      </c>
    </row>
    <row r="622" spans="1:8" x14ac:dyDescent="0.4">
      <c r="A622">
        <v>311</v>
      </c>
      <c r="B622" t="s">
        <v>0</v>
      </c>
      <c r="C622">
        <v>1</v>
      </c>
      <c r="D622">
        <v>4</v>
      </c>
      <c r="E622">
        <v>6</v>
      </c>
      <c r="F622">
        <v>3</v>
      </c>
      <c r="G622">
        <v>0</v>
      </c>
      <c r="H622">
        <f>표2[[#This Row],[공격성공횟수]]/(표2[[#This Row],[공격실패횟수]]+표2[[#This Row],[공격성공횟수]])</f>
        <v>0.4</v>
      </c>
    </row>
    <row r="623" spans="1:8" hidden="1" x14ac:dyDescent="0.4">
      <c r="A623">
        <v>311</v>
      </c>
      <c r="B623" t="s">
        <v>2</v>
      </c>
      <c r="C623">
        <v>0</v>
      </c>
      <c r="D623">
        <v>3</v>
      </c>
      <c r="E623">
        <v>6</v>
      </c>
      <c r="F623">
        <v>4</v>
      </c>
      <c r="G623">
        <v>1</v>
      </c>
      <c r="H623">
        <f>표2[[#This Row],[공격성공횟수]]/(표2[[#This Row],[공격실패횟수]]+표2[[#This Row],[공격성공횟수]])</f>
        <v>0.33333333333333331</v>
      </c>
    </row>
    <row r="624" spans="1:8" x14ac:dyDescent="0.4">
      <c r="A624">
        <v>312</v>
      </c>
      <c r="B624" t="s">
        <v>0</v>
      </c>
      <c r="C624">
        <v>1</v>
      </c>
      <c r="D624">
        <v>4</v>
      </c>
      <c r="E624">
        <v>7</v>
      </c>
      <c r="F624">
        <v>3</v>
      </c>
      <c r="G624">
        <v>0</v>
      </c>
      <c r="H624">
        <f>표2[[#This Row],[공격성공횟수]]/(표2[[#This Row],[공격실패횟수]]+표2[[#This Row],[공격성공횟수]])</f>
        <v>0.36363636363636365</v>
      </c>
    </row>
    <row r="625" spans="1:8" hidden="1" x14ac:dyDescent="0.4">
      <c r="A625">
        <v>312</v>
      </c>
      <c r="B625" t="s">
        <v>2</v>
      </c>
      <c r="C625">
        <v>0</v>
      </c>
      <c r="D625">
        <v>3</v>
      </c>
      <c r="E625">
        <v>8</v>
      </c>
      <c r="F625">
        <v>4</v>
      </c>
      <c r="G625">
        <v>1</v>
      </c>
      <c r="H625">
        <f>표2[[#This Row],[공격성공횟수]]/(표2[[#This Row],[공격실패횟수]]+표2[[#This Row],[공격성공횟수]])</f>
        <v>0.27272727272727271</v>
      </c>
    </row>
    <row r="626" spans="1:8" x14ac:dyDescent="0.4">
      <c r="A626">
        <v>313</v>
      </c>
      <c r="B626" t="s">
        <v>0</v>
      </c>
      <c r="C626">
        <v>1</v>
      </c>
      <c r="D626">
        <v>4</v>
      </c>
      <c r="E626">
        <v>3</v>
      </c>
      <c r="F626">
        <v>3</v>
      </c>
      <c r="G626">
        <v>0</v>
      </c>
      <c r="H626">
        <f>표2[[#This Row],[공격성공횟수]]/(표2[[#This Row],[공격실패횟수]]+표2[[#This Row],[공격성공횟수]])</f>
        <v>0.5714285714285714</v>
      </c>
    </row>
    <row r="627" spans="1:8" hidden="1" x14ac:dyDescent="0.4">
      <c r="A627">
        <v>313</v>
      </c>
      <c r="B627" t="s">
        <v>2</v>
      </c>
      <c r="C627">
        <v>0</v>
      </c>
      <c r="D627">
        <v>3</v>
      </c>
      <c r="E627">
        <v>4</v>
      </c>
      <c r="F627">
        <v>4</v>
      </c>
      <c r="G627">
        <v>1</v>
      </c>
      <c r="H627">
        <f>표2[[#This Row],[공격성공횟수]]/(표2[[#This Row],[공격실패횟수]]+표2[[#This Row],[공격성공횟수]])</f>
        <v>0.42857142857142855</v>
      </c>
    </row>
    <row r="628" spans="1:8" x14ac:dyDescent="0.4">
      <c r="A628">
        <v>314</v>
      </c>
      <c r="B628" t="s">
        <v>0</v>
      </c>
      <c r="C628">
        <v>1</v>
      </c>
      <c r="D628">
        <v>4</v>
      </c>
      <c r="E628">
        <v>14</v>
      </c>
      <c r="F628">
        <v>3</v>
      </c>
      <c r="G628">
        <v>0</v>
      </c>
      <c r="H628">
        <f>표2[[#This Row],[공격성공횟수]]/(표2[[#This Row],[공격실패횟수]]+표2[[#This Row],[공격성공횟수]])</f>
        <v>0.22222222222222221</v>
      </c>
    </row>
    <row r="629" spans="1:8" hidden="1" x14ac:dyDescent="0.4">
      <c r="A629">
        <v>314</v>
      </c>
      <c r="B629" t="s">
        <v>2</v>
      </c>
      <c r="C629">
        <v>0</v>
      </c>
      <c r="D629">
        <v>3</v>
      </c>
      <c r="E629">
        <v>15</v>
      </c>
      <c r="F629">
        <v>4</v>
      </c>
      <c r="G629">
        <v>1</v>
      </c>
      <c r="H629">
        <f>표2[[#This Row],[공격성공횟수]]/(표2[[#This Row],[공격실패횟수]]+표2[[#This Row],[공격성공횟수]])</f>
        <v>0.16666666666666666</v>
      </c>
    </row>
    <row r="630" spans="1:8" x14ac:dyDescent="0.4">
      <c r="A630">
        <v>315</v>
      </c>
      <c r="B630" t="s">
        <v>0</v>
      </c>
      <c r="C630">
        <v>1</v>
      </c>
      <c r="D630">
        <v>4</v>
      </c>
      <c r="E630">
        <v>6</v>
      </c>
      <c r="F630">
        <v>1</v>
      </c>
      <c r="G630">
        <v>0</v>
      </c>
      <c r="H630">
        <f>표2[[#This Row],[공격성공횟수]]/(표2[[#This Row],[공격실패횟수]]+표2[[#This Row],[공격성공횟수]])</f>
        <v>0.4</v>
      </c>
    </row>
    <row r="631" spans="1:8" hidden="1" x14ac:dyDescent="0.4">
      <c r="A631">
        <v>315</v>
      </c>
      <c r="B631" t="s">
        <v>2</v>
      </c>
      <c r="C631">
        <v>0</v>
      </c>
      <c r="D631">
        <v>1</v>
      </c>
      <c r="E631">
        <v>9</v>
      </c>
      <c r="F631">
        <v>4</v>
      </c>
      <c r="G631">
        <v>1</v>
      </c>
      <c r="H631">
        <f>표2[[#This Row],[공격성공횟수]]/(표2[[#This Row],[공격실패횟수]]+표2[[#This Row],[공격성공횟수]])</f>
        <v>0.1</v>
      </c>
    </row>
    <row r="632" spans="1:8" x14ac:dyDescent="0.4">
      <c r="A632">
        <v>316</v>
      </c>
      <c r="B632" t="s">
        <v>0</v>
      </c>
      <c r="C632">
        <v>1</v>
      </c>
      <c r="D632">
        <v>4</v>
      </c>
      <c r="E632">
        <v>3</v>
      </c>
      <c r="F632">
        <v>1</v>
      </c>
      <c r="G632">
        <v>0</v>
      </c>
      <c r="H632">
        <f>표2[[#This Row],[공격성공횟수]]/(표2[[#This Row],[공격실패횟수]]+표2[[#This Row],[공격성공횟수]])</f>
        <v>0.5714285714285714</v>
      </c>
    </row>
    <row r="633" spans="1:8" hidden="1" x14ac:dyDescent="0.4">
      <c r="A633">
        <v>316</v>
      </c>
      <c r="B633" t="s">
        <v>2</v>
      </c>
      <c r="C633">
        <v>0</v>
      </c>
      <c r="D633">
        <v>1</v>
      </c>
      <c r="E633">
        <v>6</v>
      </c>
      <c r="F633">
        <v>4</v>
      </c>
      <c r="G633">
        <v>1</v>
      </c>
      <c r="H633">
        <f>표2[[#This Row],[공격성공횟수]]/(표2[[#This Row],[공격실패횟수]]+표2[[#This Row],[공격성공횟수]])</f>
        <v>0.14285714285714285</v>
      </c>
    </row>
    <row r="634" spans="1:8" x14ac:dyDescent="0.4">
      <c r="A634">
        <v>317</v>
      </c>
      <c r="B634" t="s">
        <v>0</v>
      </c>
      <c r="C634">
        <v>1</v>
      </c>
      <c r="D634">
        <v>4</v>
      </c>
      <c r="E634">
        <v>89</v>
      </c>
      <c r="F634">
        <v>3</v>
      </c>
      <c r="G634">
        <v>0</v>
      </c>
      <c r="H634">
        <f>표2[[#This Row],[공격성공횟수]]/(표2[[#This Row],[공격실패횟수]]+표2[[#This Row],[공격성공횟수]])</f>
        <v>4.3010752688172046E-2</v>
      </c>
    </row>
    <row r="635" spans="1:8" hidden="1" x14ac:dyDescent="0.4">
      <c r="A635">
        <v>317</v>
      </c>
      <c r="B635" t="s">
        <v>2</v>
      </c>
      <c r="C635">
        <v>0</v>
      </c>
      <c r="D635">
        <v>3</v>
      </c>
      <c r="E635">
        <v>90</v>
      </c>
      <c r="F635">
        <v>4</v>
      </c>
      <c r="G635">
        <v>1</v>
      </c>
      <c r="H635">
        <f>표2[[#This Row],[공격성공횟수]]/(표2[[#This Row],[공격실패횟수]]+표2[[#This Row],[공격성공횟수]])</f>
        <v>3.2258064516129031E-2</v>
      </c>
    </row>
    <row r="636" spans="1:8" x14ac:dyDescent="0.4">
      <c r="A636">
        <v>318</v>
      </c>
      <c r="B636" t="s">
        <v>0</v>
      </c>
      <c r="C636">
        <v>1</v>
      </c>
      <c r="D636">
        <v>4</v>
      </c>
      <c r="E636">
        <v>20</v>
      </c>
      <c r="F636">
        <v>2</v>
      </c>
      <c r="G636">
        <v>0</v>
      </c>
      <c r="H636">
        <f>표2[[#This Row],[공격성공횟수]]/(표2[[#This Row],[공격실패횟수]]+표2[[#This Row],[공격성공횟수]])</f>
        <v>0.16666666666666666</v>
      </c>
    </row>
    <row r="637" spans="1:8" hidden="1" x14ac:dyDescent="0.4">
      <c r="A637">
        <v>318</v>
      </c>
      <c r="B637" t="s">
        <v>2</v>
      </c>
      <c r="C637">
        <v>0</v>
      </c>
      <c r="D637">
        <v>2</v>
      </c>
      <c r="E637">
        <v>22</v>
      </c>
      <c r="F637">
        <v>4</v>
      </c>
      <c r="G637">
        <v>1</v>
      </c>
      <c r="H637">
        <f>표2[[#This Row],[공격성공횟수]]/(표2[[#This Row],[공격실패횟수]]+표2[[#This Row],[공격성공횟수]])</f>
        <v>8.3333333333333329E-2</v>
      </c>
    </row>
    <row r="638" spans="1:8" x14ac:dyDescent="0.4">
      <c r="A638">
        <v>319</v>
      </c>
      <c r="B638" t="s">
        <v>0</v>
      </c>
      <c r="C638">
        <v>1</v>
      </c>
      <c r="D638">
        <v>4</v>
      </c>
      <c r="E638">
        <v>6</v>
      </c>
      <c r="F638">
        <v>1</v>
      </c>
      <c r="G638">
        <v>0</v>
      </c>
      <c r="H638">
        <f>표2[[#This Row],[공격성공횟수]]/(표2[[#This Row],[공격실패횟수]]+표2[[#This Row],[공격성공횟수]])</f>
        <v>0.4</v>
      </c>
    </row>
    <row r="639" spans="1:8" hidden="1" x14ac:dyDescent="0.4">
      <c r="A639">
        <v>319</v>
      </c>
      <c r="B639" t="s">
        <v>2</v>
      </c>
      <c r="C639">
        <v>0</v>
      </c>
      <c r="D639">
        <v>1</v>
      </c>
      <c r="E639">
        <v>9</v>
      </c>
      <c r="F639">
        <v>4</v>
      </c>
      <c r="G639">
        <v>1</v>
      </c>
      <c r="H639">
        <f>표2[[#This Row],[공격성공횟수]]/(표2[[#This Row],[공격실패횟수]]+표2[[#This Row],[공격성공횟수]])</f>
        <v>0.1</v>
      </c>
    </row>
    <row r="640" spans="1:8" x14ac:dyDescent="0.4">
      <c r="A640">
        <v>320</v>
      </c>
      <c r="B640" t="s">
        <v>0</v>
      </c>
      <c r="C640">
        <v>1</v>
      </c>
      <c r="D640">
        <v>4</v>
      </c>
      <c r="E640">
        <v>5</v>
      </c>
      <c r="F640">
        <v>1</v>
      </c>
      <c r="G640">
        <v>0</v>
      </c>
      <c r="H640">
        <f>표2[[#This Row],[공격성공횟수]]/(표2[[#This Row],[공격실패횟수]]+표2[[#This Row],[공격성공횟수]])</f>
        <v>0.44444444444444442</v>
      </c>
    </row>
    <row r="641" spans="1:8" hidden="1" x14ac:dyDescent="0.4">
      <c r="A641">
        <v>320</v>
      </c>
      <c r="B641" t="s">
        <v>2</v>
      </c>
      <c r="C641">
        <v>0</v>
      </c>
      <c r="D641">
        <v>1</v>
      </c>
      <c r="E641">
        <v>8</v>
      </c>
      <c r="F641">
        <v>4</v>
      </c>
      <c r="G641">
        <v>1</v>
      </c>
      <c r="H641">
        <f>표2[[#This Row],[공격성공횟수]]/(표2[[#This Row],[공격실패횟수]]+표2[[#This Row],[공격성공횟수]])</f>
        <v>0.1111111111111111</v>
      </c>
    </row>
    <row r="642" spans="1:8" x14ac:dyDescent="0.4">
      <c r="A642">
        <v>321</v>
      </c>
      <c r="B642" t="s">
        <v>0</v>
      </c>
      <c r="C642">
        <v>1</v>
      </c>
      <c r="D642">
        <v>4</v>
      </c>
      <c r="E642">
        <v>8</v>
      </c>
      <c r="F642">
        <v>3</v>
      </c>
      <c r="G642">
        <v>0</v>
      </c>
      <c r="H642">
        <f>표2[[#This Row],[공격성공횟수]]/(표2[[#This Row],[공격실패횟수]]+표2[[#This Row],[공격성공횟수]])</f>
        <v>0.33333333333333331</v>
      </c>
    </row>
    <row r="643" spans="1:8" hidden="1" x14ac:dyDescent="0.4">
      <c r="A643">
        <v>321</v>
      </c>
      <c r="B643" t="s">
        <v>2</v>
      </c>
      <c r="C643">
        <v>0</v>
      </c>
      <c r="D643">
        <v>3</v>
      </c>
      <c r="E643">
        <v>9</v>
      </c>
      <c r="F643">
        <v>4</v>
      </c>
      <c r="G643">
        <v>1</v>
      </c>
      <c r="H643">
        <f>표2[[#This Row],[공격성공횟수]]/(표2[[#This Row],[공격실패횟수]]+표2[[#This Row],[공격성공횟수]])</f>
        <v>0.25</v>
      </c>
    </row>
    <row r="644" spans="1:8" x14ac:dyDescent="0.4">
      <c r="A644">
        <v>322</v>
      </c>
      <c r="B644" t="s">
        <v>0</v>
      </c>
      <c r="C644">
        <v>0</v>
      </c>
      <c r="D644">
        <v>1</v>
      </c>
      <c r="E644">
        <v>9</v>
      </c>
      <c r="F644">
        <v>4</v>
      </c>
      <c r="G644">
        <v>1</v>
      </c>
      <c r="H644">
        <f>표2[[#This Row],[공격성공횟수]]/(표2[[#This Row],[공격실패횟수]]+표2[[#This Row],[공격성공횟수]])</f>
        <v>0.1</v>
      </c>
    </row>
    <row r="645" spans="1:8" hidden="1" x14ac:dyDescent="0.4">
      <c r="A645">
        <v>322</v>
      </c>
      <c r="B645" t="s">
        <v>2</v>
      </c>
      <c r="C645">
        <v>1</v>
      </c>
      <c r="D645">
        <v>4</v>
      </c>
      <c r="E645">
        <v>8</v>
      </c>
      <c r="F645">
        <v>1</v>
      </c>
      <c r="G645">
        <v>0</v>
      </c>
      <c r="H645">
        <f>표2[[#This Row],[공격성공횟수]]/(표2[[#This Row],[공격실패횟수]]+표2[[#This Row],[공격성공횟수]])</f>
        <v>0.33333333333333331</v>
      </c>
    </row>
    <row r="646" spans="1:8" x14ac:dyDescent="0.4">
      <c r="A646">
        <v>323</v>
      </c>
      <c r="B646" t="s">
        <v>0</v>
      </c>
      <c r="C646">
        <v>1</v>
      </c>
      <c r="D646">
        <v>4</v>
      </c>
      <c r="E646">
        <v>15</v>
      </c>
      <c r="F646">
        <v>1</v>
      </c>
      <c r="G646">
        <v>0</v>
      </c>
      <c r="H646">
        <f>표2[[#This Row],[공격성공횟수]]/(표2[[#This Row],[공격실패횟수]]+표2[[#This Row],[공격성공횟수]])</f>
        <v>0.21052631578947367</v>
      </c>
    </row>
    <row r="647" spans="1:8" hidden="1" x14ac:dyDescent="0.4">
      <c r="A647">
        <v>323</v>
      </c>
      <c r="B647" t="s">
        <v>2</v>
      </c>
      <c r="C647">
        <v>0</v>
      </c>
      <c r="D647">
        <v>1</v>
      </c>
      <c r="E647">
        <v>17</v>
      </c>
      <c r="F647">
        <v>4</v>
      </c>
      <c r="G647">
        <v>1</v>
      </c>
      <c r="H647">
        <f>표2[[#This Row],[공격성공횟수]]/(표2[[#This Row],[공격실패횟수]]+표2[[#This Row],[공격성공횟수]])</f>
        <v>5.5555555555555552E-2</v>
      </c>
    </row>
    <row r="648" spans="1:8" x14ac:dyDescent="0.4">
      <c r="A648">
        <v>324</v>
      </c>
      <c r="B648" t="s">
        <v>0</v>
      </c>
      <c r="C648">
        <v>1</v>
      </c>
      <c r="D648">
        <v>4</v>
      </c>
      <c r="E648">
        <v>3</v>
      </c>
      <c r="F648">
        <v>0</v>
      </c>
      <c r="G648">
        <v>0</v>
      </c>
      <c r="H648">
        <f>표2[[#This Row],[공격성공횟수]]/(표2[[#This Row],[공격실패횟수]]+표2[[#This Row],[공격성공횟수]])</f>
        <v>0.5714285714285714</v>
      </c>
    </row>
    <row r="649" spans="1:8" hidden="1" x14ac:dyDescent="0.4">
      <c r="A649">
        <v>324</v>
      </c>
      <c r="B649" t="s">
        <v>2</v>
      </c>
      <c r="C649">
        <v>0</v>
      </c>
      <c r="D649">
        <v>0</v>
      </c>
      <c r="E649">
        <v>6</v>
      </c>
      <c r="F649">
        <v>4</v>
      </c>
      <c r="G649">
        <v>1</v>
      </c>
      <c r="H649">
        <f>표2[[#This Row],[공격성공횟수]]/(표2[[#This Row],[공격실패횟수]]+표2[[#This Row],[공격성공횟수]])</f>
        <v>0</v>
      </c>
    </row>
    <row r="650" spans="1:8" x14ac:dyDescent="0.4">
      <c r="A650">
        <v>325</v>
      </c>
      <c r="B650" t="s">
        <v>0</v>
      </c>
      <c r="C650">
        <v>0</v>
      </c>
      <c r="D650">
        <v>1</v>
      </c>
      <c r="E650">
        <v>11</v>
      </c>
      <c r="F650">
        <v>4</v>
      </c>
      <c r="G650">
        <v>1</v>
      </c>
      <c r="H650">
        <f>표2[[#This Row],[공격성공횟수]]/(표2[[#This Row],[공격실패횟수]]+표2[[#This Row],[공격성공횟수]])</f>
        <v>8.3333333333333329E-2</v>
      </c>
    </row>
    <row r="651" spans="1:8" hidden="1" x14ac:dyDescent="0.4">
      <c r="A651">
        <v>325</v>
      </c>
      <c r="B651" t="s">
        <v>2</v>
      </c>
      <c r="C651">
        <v>1</v>
      </c>
      <c r="D651">
        <v>4</v>
      </c>
      <c r="E651">
        <v>10</v>
      </c>
      <c r="F651">
        <v>1</v>
      </c>
      <c r="G651">
        <v>0</v>
      </c>
      <c r="H651">
        <f>표2[[#This Row],[공격성공횟수]]/(표2[[#This Row],[공격실패횟수]]+표2[[#This Row],[공격성공횟수]])</f>
        <v>0.2857142857142857</v>
      </c>
    </row>
    <row r="652" spans="1:8" x14ac:dyDescent="0.4">
      <c r="A652">
        <v>326</v>
      </c>
      <c r="B652" t="s">
        <v>0</v>
      </c>
      <c r="C652">
        <v>1</v>
      </c>
      <c r="D652">
        <v>4</v>
      </c>
      <c r="E652">
        <v>13</v>
      </c>
      <c r="F652">
        <v>0</v>
      </c>
      <c r="G652">
        <v>0</v>
      </c>
      <c r="H652">
        <f>표2[[#This Row],[공격성공횟수]]/(표2[[#This Row],[공격실패횟수]]+표2[[#This Row],[공격성공횟수]])</f>
        <v>0.23529411764705882</v>
      </c>
    </row>
    <row r="653" spans="1:8" hidden="1" x14ac:dyDescent="0.4">
      <c r="A653">
        <v>326</v>
      </c>
      <c r="B653" t="s">
        <v>2</v>
      </c>
      <c r="C653">
        <v>0</v>
      </c>
      <c r="D653">
        <v>0</v>
      </c>
      <c r="E653">
        <v>16</v>
      </c>
      <c r="F653">
        <v>4</v>
      </c>
      <c r="G653">
        <v>1</v>
      </c>
      <c r="H653">
        <f>표2[[#This Row],[공격성공횟수]]/(표2[[#This Row],[공격실패횟수]]+표2[[#This Row],[공격성공횟수]])</f>
        <v>0</v>
      </c>
    </row>
    <row r="654" spans="1:8" x14ac:dyDescent="0.4">
      <c r="A654">
        <v>327</v>
      </c>
      <c r="B654" t="s">
        <v>0</v>
      </c>
      <c r="C654">
        <v>1</v>
      </c>
      <c r="D654">
        <v>4</v>
      </c>
      <c r="E654">
        <v>19</v>
      </c>
      <c r="F654">
        <v>3</v>
      </c>
      <c r="G654">
        <v>0</v>
      </c>
      <c r="H654">
        <f>표2[[#This Row],[공격성공횟수]]/(표2[[#This Row],[공격실패횟수]]+표2[[#This Row],[공격성공횟수]])</f>
        <v>0.17391304347826086</v>
      </c>
    </row>
    <row r="655" spans="1:8" hidden="1" x14ac:dyDescent="0.4">
      <c r="A655">
        <v>327</v>
      </c>
      <c r="B655" t="s">
        <v>2</v>
      </c>
      <c r="C655">
        <v>0</v>
      </c>
      <c r="D655">
        <v>3</v>
      </c>
      <c r="E655">
        <v>20</v>
      </c>
      <c r="F655">
        <v>4</v>
      </c>
      <c r="G655">
        <v>1</v>
      </c>
      <c r="H655">
        <f>표2[[#This Row],[공격성공횟수]]/(표2[[#This Row],[공격실패횟수]]+표2[[#This Row],[공격성공횟수]])</f>
        <v>0.13043478260869565</v>
      </c>
    </row>
    <row r="656" spans="1:8" x14ac:dyDescent="0.4">
      <c r="A656">
        <v>328</v>
      </c>
      <c r="B656" t="s">
        <v>0</v>
      </c>
      <c r="C656">
        <v>1</v>
      </c>
      <c r="D656">
        <v>4</v>
      </c>
      <c r="E656">
        <v>9</v>
      </c>
      <c r="F656">
        <v>1</v>
      </c>
      <c r="G656">
        <v>0</v>
      </c>
      <c r="H656">
        <f>표2[[#This Row],[공격성공횟수]]/(표2[[#This Row],[공격실패횟수]]+표2[[#This Row],[공격성공횟수]])</f>
        <v>0.30769230769230771</v>
      </c>
    </row>
    <row r="657" spans="1:8" hidden="1" x14ac:dyDescent="0.4">
      <c r="A657">
        <v>328</v>
      </c>
      <c r="B657" t="s">
        <v>2</v>
      </c>
      <c r="C657">
        <v>0</v>
      </c>
      <c r="D657">
        <v>1</v>
      </c>
      <c r="E657">
        <v>13</v>
      </c>
      <c r="F657">
        <v>4</v>
      </c>
      <c r="G657">
        <v>1</v>
      </c>
      <c r="H657">
        <f>표2[[#This Row],[공격성공횟수]]/(표2[[#This Row],[공격실패횟수]]+표2[[#This Row],[공격성공횟수]])</f>
        <v>7.1428571428571425E-2</v>
      </c>
    </row>
    <row r="658" spans="1:8" x14ac:dyDescent="0.4">
      <c r="A658">
        <v>329</v>
      </c>
      <c r="B658" t="s">
        <v>0</v>
      </c>
      <c r="C658">
        <v>0</v>
      </c>
      <c r="D658">
        <v>3</v>
      </c>
      <c r="E658">
        <v>32</v>
      </c>
      <c r="F658">
        <v>4</v>
      </c>
      <c r="G658">
        <v>1</v>
      </c>
      <c r="H658">
        <f>표2[[#This Row],[공격성공횟수]]/(표2[[#This Row],[공격실패횟수]]+표2[[#This Row],[공격성공횟수]])</f>
        <v>8.5714285714285715E-2</v>
      </c>
    </row>
    <row r="659" spans="1:8" hidden="1" x14ac:dyDescent="0.4">
      <c r="A659">
        <v>329</v>
      </c>
      <c r="B659" t="s">
        <v>2</v>
      </c>
      <c r="C659">
        <v>1</v>
      </c>
      <c r="D659">
        <v>4</v>
      </c>
      <c r="E659">
        <v>31</v>
      </c>
      <c r="F659">
        <v>3</v>
      </c>
      <c r="G659">
        <v>0</v>
      </c>
      <c r="H659">
        <f>표2[[#This Row],[공격성공횟수]]/(표2[[#This Row],[공격실패횟수]]+표2[[#This Row],[공격성공횟수]])</f>
        <v>0.11428571428571428</v>
      </c>
    </row>
    <row r="660" spans="1:8" x14ac:dyDescent="0.4">
      <c r="A660">
        <v>330</v>
      </c>
      <c r="B660" t="s">
        <v>0</v>
      </c>
      <c r="C660">
        <v>0</v>
      </c>
      <c r="D660">
        <v>3</v>
      </c>
      <c r="E660">
        <v>2</v>
      </c>
      <c r="F660">
        <v>4</v>
      </c>
      <c r="G660">
        <v>1</v>
      </c>
      <c r="H660">
        <f>표2[[#This Row],[공격성공횟수]]/(표2[[#This Row],[공격실패횟수]]+표2[[#This Row],[공격성공횟수]])</f>
        <v>0.6</v>
      </c>
    </row>
    <row r="661" spans="1:8" hidden="1" x14ac:dyDescent="0.4">
      <c r="A661">
        <v>330</v>
      </c>
      <c r="B661" t="s">
        <v>2</v>
      </c>
      <c r="C661">
        <v>1</v>
      </c>
      <c r="D661">
        <v>4</v>
      </c>
      <c r="E661">
        <v>2</v>
      </c>
      <c r="F661">
        <v>3</v>
      </c>
      <c r="G661">
        <v>0</v>
      </c>
      <c r="H661">
        <f>표2[[#This Row],[공격성공횟수]]/(표2[[#This Row],[공격실패횟수]]+표2[[#This Row],[공격성공횟수]])</f>
        <v>0.66666666666666663</v>
      </c>
    </row>
    <row r="662" spans="1:8" x14ac:dyDescent="0.4">
      <c r="A662">
        <v>331</v>
      </c>
      <c r="B662" t="s">
        <v>0</v>
      </c>
      <c r="C662">
        <v>0</v>
      </c>
      <c r="D662">
        <v>2</v>
      </c>
      <c r="E662">
        <v>10</v>
      </c>
      <c r="F662">
        <v>4</v>
      </c>
      <c r="G662">
        <v>1</v>
      </c>
      <c r="H662">
        <f>표2[[#This Row],[공격성공횟수]]/(표2[[#This Row],[공격실패횟수]]+표2[[#This Row],[공격성공횟수]])</f>
        <v>0.16666666666666666</v>
      </c>
    </row>
    <row r="663" spans="1:8" hidden="1" x14ac:dyDescent="0.4">
      <c r="A663">
        <v>331</v>
      </c>
      <c r="B663" t="s">
        <v>2</v>
      </c>
      <c r="C663">
        <v>1</v>
      </c>
      <c r="D663">
        <v>4</v>
      </c>
      <c r="E663">
        <v>9</v>
      </c>
      <c r="F663">
        <v>2</v>
      </c>
      <c r="G663">
        <v>0</v>
      </c>
      <c r="H663">
        <f>표2[[#This Row],[공격성공횟수]]/(표2[[#This Row],[공격실패횟수]]+표2[[#This Row],[공격성공횟수]])</f>
        <v>0.30769230769230771</v>
      </c>
    </row>
    <row r="664" spans="1:8" x14ac:dyDescent="0.4">
      <c r="A664">
        <v>332</v>
      </c>
      <c r="B664" t="s">
        <v>0</v>
      </c>
      <c r="C664">
        <v>1</v>
      </c>
      <c r="D664">
        <v>4</v>
      </c>
      <c r="E664">
        <v>21</v>
      </c>
      <c r="F664">
        <v>1</v>
      </c>
      <c r="G664">
        <v>0</v>
      </c>
      <c r="H664">
        <f>표2[[#This Row],[공격성공횟수]]/(표2[[#This Row],[공격실패횟수]]+표2[[#This Row],[공격성공횟수]])</f>
        <v>0.16</v>
      </c>
    </row>
    <row r="665" spans="1:8" hidden="1" x14ac:dyDescent="0.4">
      <c r="A665">
        <v>332</v>
      </c>
      <c r="B665" t="s">
        <v>2</v>
      </c>
      <c r="C665">
        <v>0</v>
      </c>
      <c r="D665">
        <v>1</v>
      </c>
      <c r="E665">
        <v>24</v>
      </c>
      <c r="F665">
        <v>4</v>
      </c>
      <c r="G665">
        <v>1</v>
      </c>
      <c r="H665">
        <f>표2[[#This Row],[공격성공횟수]]/(표2[[#This Row],[공격실패횟수]]+표2[[#This Row],[공격성공횟수]])</f>
        <v>0.04</v>
      </c>
    </row>
    <row r="666" spans="1:8" x14ac:dyDescent="0.4">
      <c r="A666">
        <v>333</v>
      </c>
      <c r="B666" t="s">
        <v>0</v>
      </c>
      <c r="C666">
        <v>1</v>
      </c>
      <c r="D666">
        <v>4</v>
      </c>
      <c r="E666">
        <v>81</v>
      </c>
      <c r="F666">
        <v>1</v>
      </c>
      <c r="G666">
        <v>0</v>
      </c>
      <c r="H666">
        <f>표2[[#This Row],[공격성공횟수]]/(표2[[#This Row],[공격실패횟수]]+표2[[#This Row],[공격성공횟수]])</f>
        <v>4.7058823529411764E-2</v>
      </c>
    </row>
    <row r="667" spans="1:8" hidden="1" x14ac:dyDescent="0.4">
      <c r="A667">
        <v>333</v>
      </c>
      <c r="B667" t="s">
        <v>2</v>
      </c>
      <c r="C667">
        <v>0</v>
      </c>
      <c r="D667">
        <v>1</v>
      </c>
      <c r="E667">
        <v>84</v>
      </c>
      <c r="F667">
        <v>4</v>
      </c>
      <c r="G667">
        <v>1</v>
      </c>
      <c r="H667">
        <f>표2[[#This Row],[공격성공횟수]]/(표2[[#This Row],[공격실패횟수]]+표2[[#This Row],[공격성공횟수]])</f>
        <v>1.1764705882352941E-2</v>
      </c>
    </row>
    <row r="668" spans="1:8" x14ac:dyDescent="0.4">
      <c r="A668">
        <v>334</v>
      </c>
      <c r="B668" t="s">
        <v>0</v>
      </c>
      <c r="C668">
        <v>1</v>
      </c>
      <c r="D668">
        <v>4</v>
      </c>
      <c r="E668">
        <v>8</v>
      </c>
      <c r="F668">
        <v>1</v>
      </c>
      <c r="G668">
        <v>0</v>
      </c>
      <c r="H668">
        <f>표2[[#This Row],[공격성공횟수]]/(표2[[#This Row],[공격실패횟수]]+표2[[#This Row],[공격성공횟수]])</f>
        <v>0.33333333333333331</v>
      </c>
    </row>
    <row r="669" spans="1:8" hidden="1" x14ac:dyDescent="0.4">
      <c r="A669">
        <v>334</v>
      </c>
      <c r="B669" t="s">
        <v>2</v>
      </c>
      <c r="C669">
        <v>0</v>
      </c>
      <c r="D669">
        <v>1</v>
      </c>
      <c r="E669">
        <v>11</v>
      </c>
      <c r="F669">
        <v>4</v>
      </c>
      <c r="G669">
        <v>1</v>
      </c>
      <c r="H669">
        <f>표2[[#This Row],[공격성공횟수]]/(표2[[#This Row],[공격실패횟수]]+표2[[#This Row],[공격성공횟수]])</f>
        <v>8.3333333333333329E-2</v>
      </c>
    </row>
    <row r="670" spans="1:8" x14ac:dyDescent="0.4">
      <c r="A670">
        <v>335</v>
      </c>
      <c r="B670" t="s">
        <v>0</v>
      </c>
      <c r="C670">
        <v>1</v>
      </c>
      <c r="D670">
        <v>4</v>
      </c>
      <c r="E670">
        <v>19</v>
      </c>
      <c r="F670">
        <v>1</v>
      </c>
      <c r="G670">
        <v>0</v>
      </c>
      <c r="H670">
        <f>표2[[#This Row],[공격성공횟수]]/(표2[[#This Row],[공격실패횟수]]+표2[[#This Row],[공격성공횟수]])</f>
        <v>0.17391304347826086</v>
      </c>
    </row>
    <row r="671" spans="1:8" hidden="1" x14ac:dyDescent="0.4">
      <c r="A671">
        <v>335</v>
      </c>
      <c r="B671" t="s">
        <v>2</v>
      </c>
      <c r="C671">
        <v>0</v>
      </c>
      <c r="D671">
        <v>1</v>
      </c>
      <c r="E671">
        <v>22</v>
      </c>
      <c r="F671">
        <v>4</v>
      </c>
      <c r="G671">
        <v>1</v>
      </c>
      <c r="H671">
        <f>표2[[#This Row],[공격성공횟수]]/(표2[[#This Row],[공격실패횟수]]+표2[[#This Row],[공격성공횟수]])</f>
        <v>4.3478260869565216E-2</v>
      </c>
    </row>
    <row r="672" spans="1:8" x14ac:dyDescent="0.4">
      <c r="A672">
        <v>336</v>
      </c>
      <c r="B672" t="s">
        <v>0</v>
      </c>
      <c r="C672">
        <v>1</v>
      </c>
      <c r="D672">
        <v>4</v>
      </c>
      <c r="E672">
        <v>66</v>
      </c>
      <c r="F672">
        <v>2</v>
      </c>
      <c r="G672">
        <v>0</v>
      </c>
      <c r="H672">
        <f>표2[[#This Row],[공격성공횟수]]/(표2[[#This Row],[공격실패횟수]]+표2[[#This Row],[공격성공횟수]])</f>
        <v>5.7142857142857141E-2</v>
      </c>
    </row>
    <row r="673" spans="1:8" hidden="1" x14ac:dyDescent="0.4">
      <c r="A673">
        <v>336</v>
      </c>
      <c r="B673" t="s">
        <v>2</v>
      </c>
      <c r="C673">
        <v>0</v>
      </c>
      <c r="D673">
        <v>2</v>
      </c>
      <c r="E673">
        <v>67</v>
      </c>
      <c r="F673">
        <v>4</v>
      </c>
      <c r="G673">
        <v>1</v>
      </c>
      <c r="H673">
        <f>표2[[#This Row],[공격성공횟수]]/(표2[[#This Row],[공격실패횟수]]+표2[[#This Row],[공격성공횟수]])</f>
        <v>2.8985507246376812E-2</v>
      </c>
    </row>
    <row r="674" spans="1:8" x14ac:dyDescent="0.4">
      <c r="A674">
        <v>337</v>
      </c>
      <c r="B674" t="s">
        <v>0</v>
      </c>
      <c r="C674">
        <v>1</v>
      </c>
      <c r="D674">
        <v>4</v>
      </c>
      <c r="E674">
        <v>65</v>
      </c>
      <c r="F674">
        <v>3</v>
      </c>
      <c r="G674">
        <v>0</v>
      </c>
      <c r="H674">
        <f>표2[[#This Row],[공격성공횟수]]/(표2[[#This Row],[공격실패횟수]]+표2[[#This Row],[공격성공횟수]])</f>
        <v>5.7971014492753624E-2</v>
      </c>
    </row>
    <row r="675" spans="1:8" hidden="1" x14ac:dyDescent="0.4">
      <c r="A675">
        <v>337</v>
      </c>
      <c r="B675" t="s">
        <v>2</v>
      </c>
      <c r="C675">
        <v>0</v>
      </c>
      <c r="D675">
        <v>3</v>
      </c>
      <c r="E675">
        <v>64</v>
      </c>
      <c r="F675">
        <v>4</v>
      </c>
      <c r="G675">
        <v>1</v>
      </c>
      <c r="H675">
        <f>표2[[#This Row],[공격성공횟수]]/(표2[[#This Row],[공격실패횟수]]+표2[[#This Row],[공격성공횟수]])</f>
        <v>4.4776119402985072E-2</v>
      </c>
    </row>
    <row r="676" spans="1:8" x14ac:dyDescent="0.4">
      <c r="A676">
        <v>338</v>
      </c>
      <c r="B676" t="s">
        <v>0</v>
      </c>
      <c r="C676">
        <v>1</v>
      </c>
      <c r="D676">
        <v>4</v>
      </c>
      <c r="E676">
        <v>11</v>
      </c>
      <c r="F676">
        <v>1</v>
      </c>
      <c r="G676">
        <v>0</v>
      </c>
      <c r="H676">
        <f>표2[[#This Row],[공격성공횟수]]/(표2[[#This Row],[공격실패횟수]]+표2[[#This Row],[공격성공횟수]])</f>
        <v>0.26666666666666666</v>
      </c>
    </row>
    <row r="677" spans="1:8" hidden="1" x14ac:dyDescent="0.4">
      <c r="A677">
        <v>338</v>
      </c>
      <c r="B677" t="s">
        <v>2</v>
      </c>
      <c r="C677">
        <v>0</v>
      </c>
      <c r="D677">
        <v>1</v>
      </c>
      <c r="E677">
        <v>14</v>
      </c>
      <c r="F677">
        <v>4</v>
      </c>
      <c r="G677">
        <v>1</v>
      </c>
      <c r="H677">
        <f>표2[[#This Row],[공격성공횟수]]/(표2[[#This Row],[공격실패횟수]]+표2[[#This Row],[공격성공횟수]])</f>
        <v>6.6666666666666666E-2</v>
      </c>
    </row>
    <row r="678" spans="1:8" x14ac:dyDescent="0.4">
      <c r="A678">
        <v>339</v>
      </c>
      <c r="B678" t="s">
        <v>0</v>
      </c>
      <c r="C678">
        <v>1</v>
      </c>
      <c r="D678">
        <v>4</v>
      </c>
      <c r="E678">
        <v>11</v>
      </c>
      <c r="F678">
        <v>3</v>
      </c>
      <c r="G678">
        <v>0</v>
      </c>
      <c r="H678">
        <f>표2[[#This Row],[공격성공횟수]]/(표2[[#This Row],[공격실패횟수]]+표2[[#This Row],[공격성공횟수]])</f>
        <v>0.26666666666666666</v>
      </c>
    </row>
    <row r="679" spans="1:8" hidden="1" x14ac:dyDescent="0.4">
      <c r="A679">
        <v>339</v>
      </c>
      <c r="B679" t="s">
        <v>2</v>
      </c>
      <c r="C679">
        <v>0</v>
      </c>
      <c r="D679">
        <v>3</v>
      </c>
      <c r="E679">
        <v>13</v>
      </c>
      <c r="F679">
        <v>4</v>
      </c>
      <c r="G679">
        <v>1</v>
      </c>
      <c r="H679">
        <f>표2[[#This Row],[공격성공횟수]]/(표2[[#This Row],[공격실패횟수]]+표2[[#This Row],[공격성공횟수]])</f>
        <v>0.1875</v>
      </c>
    </row>
    <row r="680" spans="1:8" x14ac:dyDescent="0.4">
      <c r="A680">
        <v>340</v>
      </c>
      <c r="B680" t="s">
        <v>0</v>
      </c>
      <c r="C680">
        <v>1</v>
      </c>
      <c r="D680">
        <v>4</v>
      </c>
      <c r="E680">
        <v>18</v>
      </c>
      <c r="F680">
        <v>1</v>
      </c>
      <c r="G680">
        <v>0</v>
      </c>
      <c r="H680">
        <f>표2[[#This Row],[공격성공횟수]]/(표2[[#This Row],[공격실패횟수]]+표2[[#This Row],[공격성공횟수]])</f>
        <v>0.18181818181818182</v>
      </c>
    </row>
    <row r="681" spans="1:8" hidden="1" x14ac:dyDescent="0.4">
      <c r="A681">
        <v>340</v>
      </c>
      <c r="B681" t="s">
        <v>2</v>
      </c>
      <c r="C681">
        <v>0</v>
      </c>
      <c r="D681">
        <v>1</v>
      </c>
      <c r="E681">
        <v>21</v>
      </c>
      <c r="F681">
        <v>4</v>
      </c>
      <c r="G681">
        <v>1</v>
      </c>
      <c r="H681">
        <f>표2[[#This Row],[공격성공횟수]]/(표2[[#This Row],[공격실패횟수]]+표2[[#This Row],[공격성공횟수]])</f>
        <v>4.5454545454545456E-2</v>
      </c>
    </row>
    <row r="682" spans="1:8" x14ac:dyDescent="0.4">
      <c r="A682">
        <v>341</v>
      </c>
      <c r="B682" t="s">
        <v>0</v>
      </c>
      <c r="C682">
        <v>1</v>
      </c>
      <c r="D682">
        <v>4</v>
      </c>
      <c r="E682">
        <v>1</v>
      </c>
      <c r="F682">
        <v>3</v>
      </c>
      <c r="G682">
        <v>0</v>
      </c>
      <c r="H682">
        <f>표2[[#This Row],[공격성공횟수]]/(표2[[#This Row],[공격실패횟수]]+표2[[#This Row],[공격성공횟수]])</f>
        <v>0.8</v>
      </c>
    </row>
    <row r="683" spans="1:8" hidden="1" x14ac:dyDescent="0.4">
      <c r="A683">
        <v>341</v>
      </c>
      <c r="B683" t="s">
        <v>2</v>
      </c>
      <c r="C683">
        <v>0</v>
      </c>
      <c r="D683">
        <v>3</v>
      </c>
      <c r="E683">
        <v>2</v>
      </c>
      <c r="F683">
        <v>4</v>
      </c>
      <c r="G683">
        <v>1</v>
      </c>
      <c r="H683">
        <f>표2[[#This Row],[공격성공횟수]]/(표2[[#This Row],[공격실패횟수]]+표2[[#This Row],[공격성공횟수]])</f>
        <v>0.6</v>
      </c>
    </row>
    <row r="684" spans="1:8" x14ac:dyDescent="0.4">
      <c r="A684">
        <v>342</v>
      </c>
      <c r="B684" t="s">
        <v>0</v>
      </c>
      <c r="C684">
        <v>1</v>
      </c>
      <c r="D684">
        <v>4</v>
      </c>
      <c r="E684">
        <v>62</v>
      </c>
      <c r="F684">
        <v>0</v>
      </c>
      <c r="G684">
        <v>0</v>
      </c>
      <c r="H684">
        <f>표2[[#This Row],[공격성공횟수]]/(표2[[#This Row],[공격실패횟수]]+표2[[#This Row],[공격성공횟수]])</f>
        <v>6.0606060606060608E-2</v>
      </c>
    </row>
    <row r="685" spans="1:8" hidden="1" x14ac:dyDescent="0.4">
      <c r="A685">
        <v>342</v>
      </c>
      <c r="B685" t="s">
        <v>2</v>
      </c>
      <c r="C685">
        <v>0</v>
      </c>
      <c r="D685">
        <v>0</v>
      </c>
      <c r="E685">
        <v>66</v>
      </c>
      <c r="F685">
        <v>4</v>
      </c>
      <c r="G685">
        <v>1</v>
      </c>
      <c r="H685">
        <f>표2[[#This Row],[공격성공횟수]]/(표2[[#This Row],[공격실패횟수]]+표2[[#This Row],[공격성공횟수]])</f>
        <v>0</v>
      </c>
    </row>
    <row r="686" spans="1:8" x14ac:dyDescent="0.4">
      <c r="A686">
        <v>343</v>
      </c>
      <c r="B686" t="s">
        <v>0</v>
      </c>
      <c r="C686">
        <v>0</v>
      </c>
      <c r="D686">
        <v>2</v>
      </c>
      <c r="E686">
        <v>9</v>
      </c>
      <c r="F686">
        <v>4</v>
      </c>
      <c r="G686">
        <v>1</v>
      </c>
      <c r="H686">
        <f>표2[[#This Row],[공격성공횟수]]/(표2[[#This Row],[공격실패횟수]]+표2[[#This Row],[공격성공횟수]])</f>
        <v>0.18181818181818182</v>
      </c>
    </row>
    <row r="687" spans="1:8" hidden="1" x14ac:dyDescent="0.4">
      <c r="A687">
        <v>343</v>
      </c>
      <c r="B687" t="s">
        <v>2</v>
      </c>
      <c r="C687">
        <v>1</v>
      </c>
      <c r="D687">
        <v>4</v>
      </c>
      <c r="E687">
        <v>8</v>
      </c>
      <c r="F687">
        <v>2</v>
      </c>
      <c r="G687">
        <v>0</v>
      </c>
      <c r="H687">
        <f>표2[[#This Row],[공격성공횟수]]/(표2[[#This Row],[공격실패횟수]]+표2[[#This Row],[공격성공횟수]])</f>
        <v>0.33333333333333331</v>
      </c>
    </row>
    <row r="688" spans="1:8" x14ac:dyDescent="0.4">
      <c r="A688">
        <v>344</v>
      </c>
      <c r="B688" t="s">
        <v>0</v>
      </c>
      <c r="C688">
        <v>1</v>
      </c>
      <c r="D688">
        <v>4</v>
      </c>
      <c r="E688">
        <v>10</v>
      </c>
      <c r="F688">
        <v>2</v>
      </c>
      <c r="G688">
        <v>0</v>
      </c>
      <c r="H688">
        <f>표2[[#This Row],[공격성공횟수]]/(표2[[#This Row],[공격실패횟수]]+표2[[#This Row],[공격성공횟수]])</f>
        <v>0.2857142857142857</v>
      </c>
    </row>
    <row r="689" spans="1:8" hidden="1" x14ac:dyDescent="0.4">
      <c r="A689">
        <v>344</v>
      </c>
      <c r="B689" t="s">
        <v>2</v>
      </c>
      <c r="C689">
        <v>0</v>
      </c>
      <c r="D689">
        <v>2</v>
      </c>
      <c r="E689">
        <v>12</v>
      </c>
      <c r="F689">
        <v>4</v>
      </c>
      <c r="G689">
        <v>1</v>
      </c>
      <c r="H689">
        <f>표2[[#This Row],[공격성공횟수]]/(표2[[#This Row],[공격실패횟수]]+표2[[#This Row],[공격성공횟수]])</f>
        <v>0.14285714285714285</v>
      </c>
    </row>
    <row r="690" spans="1:8" x14ac:dyDescent="0.4">
      <c r="A690">
        <v>345</v>
      </c>
      <c r="B690" t="s">
        <v>0</v>
      </c>
      <c r="C690">
        <v>1</v>
      </c>
      <c r="D690">
        <v>4</v>
      </c>
      <c r="E690">
        <v>59</v>
      </c>
      <c r="F690">
        <v>3</v>
      </c>
      <c r="G690">
        <v>0</v>
      </c>
      <c r="H690">
        <f>표2[[#This Row],[공격성공횟수]]/(표2[[#This Row],[공격실패횟수]]+표2[[#This Row],[공격성공횟수]])</f>
        <v>6.3492063492063489E-2</v>
      </c>
    </row>
    <row r="691" spans="1:8" hidden="1" x14ac:dyDescent="0.4">
      <c r="A691">
        <v>345</v>
      </c>
      <c r="B691" t="s">
        <v>2</v>
      </c>
      <c r="C691">
        <v>0</v>
      </c>
      <c r="D691">
        <v>3</v>
      </c>
      <c r="E691">
        <v>58</v>
      </c>
      <c r="F691">
        <v>4</v>
      </c>
      <c r="G691">
        <v>1</v>
      </c>
      <c r="H691">
        <f>표2[[#This Row],[공격성공횟수]]/(표2[[#This Row],[공격실패횟수]]+표2[[#This Row],[공격성공횟수]])</f>
        <v>4.9180327868852458E-2</v>
      </c>
    </row>
    <row r="692" spans="1:8" x14ac:dyDescent="0.4">
      <c r="A692">
        <v>346</v>
      </c>
      <c r="B692" t="s">
        <v>0</v>
      </c>
      <c r="C692">
        <v>0</v>
      </c>
      <c r="D692">
        <v>2</v>
      </c>
      <c r="E692">
        <v>14</v>
      </c>
      <c r="F692">
        <v>4</v>
      </c>
      <c r="G692">
        <v>1</v>
      </c>
      <c r="H692">
        <f>표2[[#This Row],[공격성공횟수]]/(표2[[#This Row],[공격실패횟수]]+표2[[#This Row],[공격성공횟수]])</f>
        <v>0.125</v>
      </c>
    </row>
    <row r="693" spans="1:8" hidden="1" x14ac:dyDescent="0.4">
      <c r="A693">
        <v>346</v>
      </c>
      <c r="B693" t="s">
        <v>2</v>
      </c>
      <c r="C693">
        <v>1</v>
      </c>
      <c r="D693">
        <v>4</v>
      </c>
      <c r="E693">
        <v>12</v>
      </c>
      <c r="F693">
        <v>2</v>
      </c>
      <c r="G693">
        <v>0</v>
      </c>
      <c r="H693">
        <f>표2[[#This Row],[공격성공횟수]]/(표2[[#This Row],[공격실패횟수]]+표2[[#This Row],[공격성공횟수]])</f>
        <v>0.25</v>
      </c>
    </row>
    <row r="694" spans="1:8" x14ac:dyDescent="0.4">
      <c r="A694">
        <v>347</v>
      </c>
      <c r="B694" t="s">
        <v>0</v>
      </c>
      <c r="C694">
        <v>1</v>
      </c>
      <c r="D694">
        <v>4</v>
      </c>
      <c r="E694">
        <v>61</v>
      </c>
      <c r="F694">
        <v>2</v>
      </c>
      <c r="G694">
        <v>0</v>
      </c>
      <c r="H694">
        <f>표2[[#This Row],[공격성공횟수]]/(표2[[#This Row],[공격실패횟수]]+표2[[#This Row],[공격성공횟수]])</f>
        <v>6.1538461538461542E-2</v>
      </c>
    </row>
    <row r="695" spans="1:8" hidden="1" x14ac:dyDescent="0.4">
      <c r="A695">
        <v>347</v>
      </c>
      <c r="B695" t="s">
        <v>2</v>
      </c>
      <c r="C695">
        <v>0</v>
      </c>
      <c r="D695">
        <v>2</v>
      </c>
      <c r="E695">
        <v>62</v>
      </c>
      <c r="F695">
        <v>4</v>
      </c>
      <c r="G695">
        <v>1</v>
      </c>
      <c r="H695">
        <f>표2[[#This Row],[공격성공횟수]]/(표2[[#This Row],[공격실패횟수]]+표2[[#This Row],[공격성공횟수]])</f>
        <v>3.125E-2</v>
      </c>
    </row>
    <row r="696" spans="1:8" x14ac:dyDescent="0.4">
      <c r="A696">
        <v>348</v>
      </c>
      <c r="B696" t="s">
        <v>0</v>
      </c>
      <c r="C696">
        <v>0</v>
      </c>
      <c r="D696">
        <v>2</v>
      </c>
      <c r="E696">
        <v>8</v>
      </c>
      <c r="F696">
        <v>4</v>
      </c>
      <c r="G696">
        <v>1</v>
      </c>
      <c r="H696">
        <f>표2[[#This Row],[공격성공횟수]]/(표2[[#This Row],[공격실패횟수]]+표2[[#This Row],[공격성공횟수]])</f>
        <v>0.2</v>
      </c>
    </row>
    <row r="697" spans="1:8" hidden="1" x14ac:dyDescent="0.4">
      <c r="A697">
        <v>348</v>
      </c>
      <c r="B697" t="s">
        <v>2</v>
      </c>
      <c r="C697">
        <v>1</v>
      </c>
      <c r="D697">
        <v>4</v>
      </c>
      <c r="E697">
        <v>8</v>
      </c>
      <c r="F697">
        <v>2</v>
      </c>
      <c r="G697">
        <v>0</v>
      </c>
      <c r="H697">
        <f>표2[[#This Row],[공격성공횟수]]/(표2[[#This Row],[공격실패횟수]]+표2[[#This Row],[공격성공횟수]])</f>
        <v>0.33333333333333331</v>
      </c>
    </row>
    <row r="698" spans="1:8" x14ac:dyDescent="0.4">
      <c r="A698">
        <v>349</v>
      </c>
      <c r="B698" t="s">
        <v>0</v>
      </c>
      <c r="C698">
        <v>1</v>
      </c>
      <c r="D698">
        <v>4</v>
      </c>
      <c r="E698">
        <v>6</v>
      </c>
      <c r="F698">
        <v>3</v>
      </c>
      <c r="G698">
        <v>0</v>
      </c>
      <c r="H698">
        <f>표2[[#This Row],[공격성공횟수]]/(표2[[#This Row],[공격실패횟수]]+표2[[#This Row],[공격성공횟수]])</f>
        <v>0.4</v>
      </c>
    </row>
    <row r="699" spans="1:8" hidden="1" x14ac:dyDescent="0.4">
      <c r="A699">
        <v>349</v>
      </c>
      <c r="B699" t="s">
        <v>2</v>
      </c>
      <c r="C699">
        <v>0</v>
      </c>
      <c r="D699">
        <v>3</v>
      </c>
      <c r="E699">
        <v>6</v>
      </c>
      <c r="F699">
        <v>4</v>
      </c>
      <c r="G699">
        <v>1</v>
      </c>
      <c r="H699">
        <f>표2[[#This Row],[공격성공횟수]]/(표2[[#This Row],[공격실패횟수]]+표2[[#This Row],[공격성공횟수]])</f>
        <v>0.33333333333333331</v>
      </c>
    </row>
    <row r="700" spans="1:8" x14ac:dyDescent="0.4">
      <c r="A700">
        <v>350</v>
      </c>
      <c r="B700" t="s">
        <v>0</v>
      </c>
      <c r="C700">
        <v>0</v>
      </c>
      <c r="D700">
        <v>2</v>
      </c>
      <c r="E700">
        <v>11</v>
      </c>
      <c r="F700">
        <v>4</v>
      </c>
      <c r="G700">
        <v>1</v>
      </c>
      <c r="H700">
        <f>표2[[#This Row],[공격성공횟수]]/(표2[[#This Row],[공격실패횟수]]+표2[[#This Row],[공격성공횟수]])</f>
        <v>0.15384615384615385</v>
      </c>
    </row>
    <row r="701" spans="1:8" hidden="1" x14ac:dyDescent="0.4">
      <c r="A701">
        <v>350</v>
      </c>
      <c r="B701" t="s">
        <v>2</v>
      </c>
      <c r="C701">
        <v>1</v>
      </c>
      <c r="D701">
        <v>4</v>
      </c>
      <c r="E701">
        <v>11</v>
      </c>
      <c r="F701">
        <v>2</v>
      </c>
      <c r="G701">
        <v>0</v>
      </c>
      <c r="H701">
        <f>표2[[#This Row],[공격성공횟수]]/(표2[[#This Row],[공격실패횟수]]+표2[[#This Row],[공격성공횟수]])</f>
        <v>0.26666666666666666</v>
      </c>
    </row>
    <row r="702" spans="1:8" x14ac:dyDescent="0.4">
      <c r="A702">
        <v>351</v>
      </c>
      <c r="B702" t="s">
        <v>0</v>
      </c>
      <c r="C702">
        <v>0</v>
      </c>
      <c r="D702">
        <v>2</v>
      </c>
      <c r="E702">
        <v>3</v>
      </c>
      <c r="F702">
        <v>4</v>
      </c>
      <c r="G702">
        <v>1</v>
      </c>
      <c r="H702">
        <f>표2[[#This Row],[공격성공횟수]]/(표2[[#This Row],[공격실패횟수]]+표2[[#This Row],[공격성공횟수]])</f>
        <v>0.4</v>
      </c>
    </row>
    <row r="703" spans="1:8" hidden="1" x14ac:dyDescent="0.4">
      <c r="A703">
        <v>351</v>
      </c>
      <c r="B703" t="s">
        <v>2</v>
      </c>
      <c r="C703">
        <v>1</v>
      </c>
      <c r="D703">
        <v>4</v>
      </c>
      <c r="E703">
        <v>3</v>
      </c>
      <c r="F703">
        <v>2</v>
      </c>
      <c r="G703">
        <v>0</v>
      </c>
      <c r="H703">
        <f>표2[[#This Row],[공격성공횟수]]/(표2[[#This Row],[공격실패횟수]]+표2[[#This Row],[공격성공횟수]])</f>
        <v>0.5714285714285714</v>
      </c>
    </row>
    <row r="704" spans="1:8" x14ac:dyDescent="0.4">
      <c r="A704">
        <v>352</v>
      </c>
      <c r="B704" t="s">
        <v>0</v>
      </c>
      <c r="C704">
        <v>1</v>
      </c>
      <c r="D704">
        <v>4</v>
      </c>
      <c r="E704">
        <v>10</v>
      </c>
      <c r="F704">
        <v>0</v>
      </c>
      <c r="G704">
        <v>0</v>
      </c>
      <c r="H704">
        <f>표2[[#This Row],[공격성공횟수]]/(표2[[#This Row],[공격실패횟수]]+표2[[#This Row],[공격성공횟수]])</f>
        <v>0.2857142857142857</v>
      </c>
    </row>
    <row r="705" spans="1:8" hidden="1" x14ac:dyDescent="0.4">
      <c r="A705">
        <v>352</v>
      </c>
      <c r="B705" t="s">
        <v>2</v>
      </c>
      <c r="C705">
        <v>0</v>
      </c>
      <c r="D705">
        <v>0</v>
      </c>
      <c r="E705">
        <v>13</v>
      </c>
      <c r="F705">
        <v>4</v>
      </c>
      <c r="G705">
        <v>1</v>
      </c>
      <c r="H705">
        <f>표2[[#This Row],[공격성공횟수]]/(표2[[#This Row],[공격실패횟수]]+표2[[#This Row],[공격성공횟수]])</f>
        <v>0</v>
      </c>
    </row>
    <row r="706" spans="1:8" x14ac:dyDescent="0.4">
      <c r="A706">
        <v>353</v>
      </c>
      <c r="B706" t="s">
        <v>0</v>
      </c>
      <c r="C706">
        <v>1</v>
      </c>
      <c r="D706">
        <v>4</v>
      </c>
      <c r="E706">
        <v>5</v>
      </c>
      <c r="F706">
        <v>1</v>
      </c>
      <c r="G706">
        <v>0</v>
      </c>
      <c r="H706">
        <f>표2[[#This Row],[공격성공횟수]]/(표2[[#This Row],[공격실패횟수]]+표2[[#This Row],[공격성공횟수]])</f>
        <v>0.44444444444444442</v>
      </c>
    </row>
    <row r="707" spans="1:8" hidden="1" x14ac:dyDescent="0.4">
      <c r="A707">
        <v>353</v>
      </c>
      <c r="B707" t="s">
        <v>2</v>
      </c>
      <c r="C707">
        <v>0</v>
      </c>
      <c r="D707">
        <v>1</v>
      </c>
      <c r="E707">
        <v>8</v>
      </c>
      <c r="F707">
        <v>4</v>
      </c>
      <c r="G707">
        <v>1</v>
      </c>
      <c r="H707">
        <f>표2[[#This Row],[공격성공횟수]]/(표2[[#This Row],[공격실패횟수]]+표2[[#This Row],[공격성공횟수]])</f>
        <v>0.1111111111111111</v>
      </c>
    </row>
    <row r="708" spans="1:8" x14ac:dyDescent="0.4">
      <c r="A708">
        <v>354</v>
      </c>
      <c r="B708" t="s">
        <v>0</v>
      </c>
      <c r="C708">
        <v>1</v>
      </c>
      <c r="D708">
        <v>4</v>
      </c>
      <c r="E708">
        <v>16</v>
      </c>
      <c r="F708">
        <v>1</v>
      </c>
      <c r="G708">
        <v>0</v>
      </c>
      <c r="H708">
        <f>표2[[#This Row],[공격성공횟수]]/(표2[[#This Row],[공격실패횟수]]+표2[[#This Row],[공격성공횟수]])</f>
        <v>0.2</v>
      </c>
    </row>
    <row r="709" spans="1:8" hidden="1" x14ac:dyDescent="0.4">
      <c r="A709">
        <v>354</v>
      </c>
      <c r="B709" t="s">
        <v>2</v>
      </c>
      <c r="C709">
        <v>0</v>
      </c>
      <c r="D709">
        <v>1</v>
      </c>
      <c r="E709">
        <v>19</v>
      </c>
      <c r="F709">
        <v>4</v>
      </c>
      <c r="G709">
        <v>1</v>
      </c>
      <c r="H709">
        <f>표2[[#This Row],[공격성공횟수]]/(표2[[#This Row],[공격실패횟수]]+표2[[#This Row],[공격성공횟수]])</f>
        <v>0.05</v>
      </c>
    </row>
    <row r="710" spans="1:8" x14ac:dyDescent="0.4">
      <c r="A710">
        <v>355</v>
      </c>
      <c r="B710" t="s">
        <v>0</v>
      </c>
      <c r="C710">
        <v>0</v>
      </c>
      <c r="D710">
        <v>0</v>
      </c>
      <c r="E710">
        <v>13</v>
      </c>
      <c r="F710">
        <v>4</v>
      </c>
      <c r="G710">
        <v>1</v>
      </c>
      <c r="H710">
        <f>표2[[#This Row],[공격성공횟수]]/(표2[[#This Row],[공격실패횟수]]+표2[[#This Row],[공격성공횟수]])</f>
        <v>0</v>
      </c>
    </row>
    <row r="711" spans="1:8" hidden="1" x14ac:dyDescent="0.4">
      <c r="A711">
        <v>355</v>
      </c>
      <c r="B711" t="s">
        <v>2</v>
      </c>
      <c r="C711">
        <v>1</v>
      </c>
      <c r="D711">
        <v>4</v>
      </c>
      <c r="E711">
        <v>9</v>
      </c>
      <c r="F711">
        <v>0</v>
      </c>
      <c r="G711">
        <v>0</v>
      </c>
      <c r="H711">
        <f>표2[[#This Row],[공격성공횟수]]/(표2[[#This Row],[공격실패횟수]]+표2[[#This Row],[공격성공횟수]])</f>
        <v>0.30769230769230771</v>
      </c>
    </row>
    <row r="712" spans="1:8" x14ac:dyDescent="0.4">
      <c r="A712">
        <v>356</v>
      </c>
      <c r="B712" t="s">
        <v>0</v>
      </c>
      <c r="C712">
        <v>1</v>
      </c>
      <c r="D712">
        <v>4</v>
      </c>
      <c r="E712">
        <v>15</v>
      </c>
      <c r="F712">
        <v>2</v>
      </c>
      <c r="G712">
        <v>0</v>
      </c>
      <c r="H712">
        <f>표2[[#This Row],[공격성공횟수]]/(표2[[#This Row],[공격실패횟수]]+표2[[#This Row],[공격성공횟수]])</f>
        <v>0.21052631578947367</v>
      </c>
    </row>
    <row r="713" spans="1:8" hidden="1" x14ac:dyDescent="0.4">
      <c r="A713">
        <v>356</v>
      </c>
      <c r="B713" t="s">
        <v>2</v>
      </c>
      <c r="C713">
        <v>0</v>
      </c>
      <c r="D713">
        <v>2</v>
      </c>
      <c r="E713">
        <v>17</v>
      </c>
      <c r="F713">
        <v>4</v>
      </c>
      <c r="G713">
        <v>1</v>
      </c>
      <c r="H713">
        <f>표2[[#This Row],[공격성공횟수]]/(표2[[#This Row],[공격실패횟수]]+표2[[#This Row],[공격성공횟수]])</f>
        <v>0.10526315789473684</v>
      </c>
    </row>
    <row r="714" spans="1:8" x14ac:dyDescent="0.4">
      <c r="A714">
        <v>357</v>
      </c>
      <c r="B714" t="s">
        <v>0</v>
      </c>
      <c r="C714">
        <v>1</v>
      </c>
      <c r="D714">
        <v>4</v>
      </c>
      <c r="E714">
        <v>11</v>
      </c>
      <c r="F714">
        <v>1</v>
      </c>
      <c r="G714">
        <v>0</v>
      </c>
      <c r="H714">
        <f>표2[[#This Row],[공격성공횟수]]/(표2[[#This Row],[공격실패횟수]]+표2[[#This Row],[공격성공횟수]])</f>
        <v>0.26666666666666666</v>
      </c>
    </row>
    <row r="715" spans="1:8" hidden="1" x14ac:dyDescent="0.4">
      <c r="A715">
        <v>357</v>
      </c>
      <c r="B715" t="s">
        <v>2</v>
      </c>
      <c r="C715">
        <v>0</v>
      </c>
      <c r="D715">
        <v>1</v>
      </c>
      <c r="E715">
        <v>15</v>
      </c>
      <c r="F715">
        <v>4</v>
      </c>
      <c r="G715">
        <v>1</v>
      </c>
      <c r="H715">
        <f>표2[[#This Row],[공격성공횟수]]/(표2[[#This Row],[공격실패횟수]]+표2[[#This Row],[공격성공횟수]])</f>
        <v>6.25E-2</v>
      </c>
    </row>
    <row r="716" spans="1:8" x14ac:dyDescent="0.4">
      <c r="A716">
        <v>358</v>
      </c>
      <c r="B716" t="s">
        <v>0</v>
      </c>
      <c r="C716">
        <v>0</v>
      </c>
      <c r="D716">
        <v>2</v>
      </c>
      <c r="E716">
        <v>21</v>
      </c>
      <c r="F716">
        <v>4</v>
      </c>
      <c r="G716">
        <v>1</v>
      </c>
      <c r="H716">
        <f>표2[[#This Row],[공격성공횟수]]/(표2[[#This Row],[공격실패횟수]]+표2[[#This Row],[공격성공횟수]])</f>
        <v>8.6956521739130432E-2</v>
      </c>
    </row>
    <row r="717" spans="1:8" hidden="1" x14ac:dyDescent="0.4">
      <c r="A717">
        <v>358</v>
      </c>
      <c r="B717" t="s">
        <v>2</v>
      </c>
      <c r="C717">
        <v>1</v>
      </c>
      <c r="D717">
        <v>4</v>
      </c>
      <c r="E717">
        <v>20</v>
      </c>
      <c r="F717">
        <v>2</v>
      </c>
      <c r="G717">
        <v>0</v>
      </c>
      <c r="H717">
        <f>표2[[#This Row],[공격성공횟수]]/(표2[[#This Row],[공격실패횟수]]+표2[[#This Row],[공격성공횟수]])</f>
        <v>0.16666666666666666</v>
      </c>
    </row>
    <row r="718" spans="1:8" x14ac:dyDescent="0.4">
      <c r="A718">
        <v>359</v>
      </c>
      <c r="B718" t="s">
        <v>0</v>
      </c>
      <c r="C718">
        <v>0</v>
      </c>
      <c r="D718">
        <v>3</v>
      </c>
      <c r="E718">
        <v>11</v>
      </c>
      <c r="F718">
        <v>4</v>
      </c>
      <c r="G718">
        <v>1</v>
      </c>
      <c r="H718">
        <f>표2[[#This Row],[공격성공횟수]]/(표2[[#This Row],[공격실패횟수]]+표2[[#This Row],[공격성공횟수]])</f>
        <v>0.21428571428571427</v>
      </c>
    </row>
    <row r="719" spans="1:8" hidden="1" x14ac:dyDescent="0.4">
      <c r="A719">
        <v>359</v>
      </c>
      <c r="B719" t="s">
        <v>2</v>
      </c>
      <c r="C719">
        <v>1</v>
      </c>
      <c r="D719">
        <v>4</v>
      </c>
      <c r="E719">
        <v>11</v>
      </c>
      <c r="F719">
        <v>3</v>
      </c>
      <c r="G719">
        <v>0</v>
      </c>
      <c r="H719">
        <f>표2[[#This Row],[공격성공횟수]]/(표2[[#This Row],[공격실패횟수]]+표2[[#This Row],[공격성공횟수]])</f>
        <v>0.26666666666666666</v>
      </c>
    </row>
    <row r="720" spans="1:8" x14ac:dyDescent="0.4">
      <c r="A720">
        <v>360</v>
      </c>
      <c r="B720" t="s">
        <v>0</v>
      </c>
      <c r="C720">
        <v>1</v>
      </c>
      <c r="D720">
        <v>4</v>
      </c>
      <c r="E720">
        <v>18</v>
      </c>
      <c r="F720">
        <v>1</v>
      </c>
      <c r="G720">
        <v>0</v>
      </c>
      <c r="H720">
        <f>표2[[#This Row],[공격성공횟수]]/(표2[[#This Row],[공격실패횟수]]+표2[[#This Row],[공격성공횟수]])</f>
        <v>0.18181818181818182</v>
      </c>
    </row>
    <row r="721" spans="1:8" hidden="1" x14ac:dyDescent="0.4">
      <c r="A721">
        <v>360</v>
      </c>
      <c r="B721" t="s">
        <v>2</v>
      </c>
      <c r="C721">
        <v>0</v>
      </c>
      <c r="D721">
        <v>1</v>
      </c>
      <c r="E721">
        <v>20</v>
      </c>
      <c r="F721">
        <v>4</v>
      </c>
      <c r="G721">
        <v>1</v>
      </c>
      <c r="H721">
        <f>표2[[#This Row],[공격성공횟수]]/(표2[[#This Row],[공격실패횟수]]+표2[[#This Row],[공격성공횟수]])</f>
        <v>4.7619047619047616E-2</v>
      </c>
    </row>
    <row r="722" spans="1:8" x14ac:dyDescent="0.4">
      <c r="A722">
        <v>361</v>
      </c>
      <c r="B722" t="s">
        <v>0</v>
      </c>
      <c r="C722">
        <v>0</v>
      </c>
      <c r="D722">
        <v>3</v>
      </c>
      <c r="E722">
        <v>17</v>
      </c>
      <c r="F722">
        <v>4</v>
      </c>
      <c r="G722">
        <v>1</v>
      </c>
      <c r="H722">
        <f>표2[[#This Row],[공격성공횟수]]/(표2[[#This Row],[공격실패횟수]]+표2[[#This Row],[공격성공횟수]])</f>
        <v>0.15</v>
      </c>
    </row>
    <row r="723" spans="1:8" hidden="1" x14ac:dyDescent="0.4">
      <c r="A723">
        <v>361</v>
      </c>
      <c r="B723" t="s">
        <v>2</v>
      </c>
      <c r="C723">
        <v>1</v>
      </c>
      <c r="D723">
        <v>4</v>
      </c>
      <c r="E723">
        <v>18</v>
      </c>
      <c r="F723">
        <v>3</v>
      </c>
      <c r="G723">
        <v>0</v>
      </c>
      <c r="H723">
        <f>표2[[#This Row],[공격성공횟수]]/(표2[[#This Row],[공격실패횟수]]+표2[[#This Row],[공격성공횟수]])</f>
        <v>0.18181818181818182</v>
      </c>
    </row>
    <row r="724" spans="1:8" x14ac:dyDescent="0.4">
      <c r="A724">
        <v>362</v>
      </c>
      <c r="B724" t="s">
        <v>0</v>
      </c>
      <c r="C724">
        <v>1</v>
      </c>
      <c r="D724">
        <v>4</v>
      </c>
      <c r="E724">
        <v>2</v>
      </c>
      <c r="F724">
        <v>0</v>
      </c>
      <c r="G724">
        <v>0</v>
      </c>
      <c r="H724">
        <f>표2[[#This Row],[공격성공횟수]]/(표2[[#This Row],[공격실패횟수]]+표2[[#This Row],[공격성공횟수]])</f>
        <v>0.66666666666666663</v>
      </c>
    </row>
    <row r="725" spans="1:8" hidden="1" x14ac:dyDescent="0.4">
      <c r="A725">
        <v>362</v>
      </c>
      <c r="B725" t="s">
        <v>2</v>
      </c>
      <c r="C725">
        <v>0</v>
      </c>
      <c r="D725">
        <v>0</v>
      </c>
      <c r="E725">
        <v>5</v>
      </c>
      <c r="F725">
        <v>4</v>
      </c>
      <c r="G725">
        <v>1</v>
      </c>
      <c r="H725">
        <f>표2[[#This Row],[공격성공횟수]]/(표2[[#This Row],[공격실패횟수]]+표2[[#This Row],[공격성공횟수]])</f>
        <v>0</v>
      </c>
    </row>
    <row r="726" spans="1:8" x14ac:dyDescent="0.4">
      <c r="A726">
        <v>363</v>
      </c>
      <c r="B726" t="s">
        <v>0</v>
      </c>
      <c r="C726">
        <v>1</v>
      </c>
      <c r="D726">
        <v>4</v>
      </c>
      <c r="E726">
        <v>41</v>
      </c>
      <c r="F726">
        <v>1</v>
      </c>
      <c r="G726">
        <v>0</v>
      </c>
      <c r="H726">
        <f>표2[[#This Row],[공격성공횟수]]/(표2[[#This Row],[공격실패횟수]]+표2[[#This Row],[공격성공횟수]])</f>
        <v>8.8888888888888892E-2</v>
      </c>
    </row>
    <row r="727" spans="1:8" hidden="1" x14ac:dyDescent="0.4">
      <c r="A727">
        <v>363</v>
      </c>
      <c r="B727" t="s">
        <v>2</v>
      </c>
      <c r="C727">
        <v>0</v>
      </c>
      <c r="D727">
        <v>1</v>
      </c>
      <c r="E727">
        <v>45</v>
      </c>
      <c r="F727">
        <v>4</v>
      </c>
      <c r="G727">
        <v>1</v>
      </c>
      <c r="H727">
        <f>표2[[#This Row],[공격성공횟수]]/(표2[[#This Row],[공격실패횟수]]+표2[[#This Row],[공격성공횟수]])</f>
        <v>2.1739130434782608E-2</v>
      </c>
    </row>
    <row r="728" spans="1:8" x14ac:dyDescent="0.4">
      <c r="A728">
        <v>364</v>
      </c>
      <c r="B728" t="s">
        <v>0</v>
      </c>
      <c r="C728">
        <v>1</v>
      </c>
      <c r="D728">
        <v>4</v>
      </c>
      <c r="E728">
        <v>11</v>
      </c>
      <c r="F728">
        <v>3</v>
      </c>
      <c r="G728">
        <v>0</v>
      </c>
      <c r="H728">
        <f>표2[[#This Row],[공격성공횟수]]/(표2[[#This Row],[공격실패횟수]]+표2[[#This Row],[공격성공횟수]])</f>
        <v>0.26666666666666666</v>
      </c>
    </row>
    <row r="729" spans="1:8" hidden="1" x14ac:dyDescent="0.4">
      <c r="A729">
        <v>364</v>
      </c>
      <c r="B729" t="s">
        <v>2</v>
      </c>
      <c r="C729">
        <v>0</v>
      </c>
      <c r="D729">
        <v>3</v>
      </c>
      <c r="E729">
        <v>12</v>
      </c>
      <c r="F729">
        <v>4</v>
      </c>
      <c r="G729">
        <v>1</v>
      </c>
      <c r="H729">
        <f>표2[[#This Row],[공격성공횟수]]/(표2[[#This Row],[공격실패횟수]]+표2[[#This Row],[공격성공횟수]])</f>
        <v>0.2</v>
      </c>
    </row>
    <row r="730" spans="1:8" x14ac:dyDescent="0.4">
      <c r="A730">
        <v>365</v>
      </c>
      <c r="B730" t="s">
        <v>0</v>
      </c>
      <c r="C730">
        <v>1</v>
      </c>
      <c r="D730">
        <v>4</v>
      </c>
      <c r="E730">
        <v>90</v>
      </c>
      <c r="F730">
        <v>0</v>
      </c>
      <c r="G730">
        <v>0</v>
      </c>
      <c r="H730">
        <f>표2[[#This Row],[공격성공횟수]]/(표2[[#This Row],[공격실패횟수]]+표2[[#This Row],[공격성공횟수]])</f>
        <v>4.2553191489361701E-2</v>
      </c>
    </row>
    <row r="731" spans="1:8" hidden="1" x14ac:dyDescent="0.4">
      <c r="A731">
        <v>365</v>
      </c>
      <c r="B731" t="s">
        <v>2</v>
      </c>
      <c r="C731">
        <v>0</v>
      </c>
      <c r="D731">
        <v>0</v>
      </c>
      <c r="E731">
        <v>94</v>
      </c>
      <c r="F731">
        <v>4</v>
      </c>
      <c r="G731">
        <v>1</v>
      </c>
      <c r="H731">
        <f>표2[[#This Row],[공격성공횟수]]/(표2[[#This Row],[공격실패횟수]]+표2[[#This Row],[공격성공횟수]])</f>
        <v>0</v>
      </c>
    </row>
    <row r="732" spans="1:8" x14ac:dyDescent="0.4">
      <c r="A732">
        <v>366</v>
      </c>
      <c r="B732" t="s">
        <v>0</v>
      </c>
      <c r="C732">
        <v>0</v>
      </c>
      <c r="D732">
        <v>3</v>
      </c>
      <c r="E732">
        <v>14</v>
      </c>
      <c r="F732">
        <v>4</v>
      </c>
      <c r="G732">
        <v>1</v>
      </c>
      <c r="H732">
        <f>표2[[#This Row],[공격성공횟수]]/(표2[[#This Row],[공격실패횟수]]+표2[[#This Row],[공격성공횟수]])</f>
        <v>0.17647058823529413</v>
      </c>
    </row>
    <row r="733" spans="1:8" hidden="1" x14ac:dyDescent="0.4">
      <c r="A733">
        <v>366</v>
      </c>
      <c r="B733" t="s">
        <v>2</v>
      </c>
      <c r="C733">
        <v>1</v>
      </c>
      <c r="D733">
        <v>4</v>
      </c>
      <c r="E733">
        <v>14</v>
      </c>
      <c r="F733">
        <v>3</v>
      </c>
      <c r="G733">
        <v>0</v>
      </c>
      <c r="H733">
        <f>표2[[#This Row],[공격성공횟수]]/(표2[[#This Row],[공격실패횟수]]+표2[[#This Row],[공격성공횟수]])</f>
        <v>0.22222222222222221</v>
      </c>
    </row>
    <row r="734" spans="1:8" x14ac:dyDescent="0.4">
      <c r="A734">
        <v>367</v>
      </c>
      <c r="B734" t="s">
        <v>0</v>
      </c>
      <c r="C734">
        <v>1</v>
      </c>
      <c r="D734">
        <v>4</v>
      </c>
      <c r="E734">
        <v>22</v>
      </c>
      <c r="F734">
        <v>0</v>
      </c>
      <c r="G734">
        <v>0</v>
      </c>
      <c r="H734">
        <f>표2[[#This Row],[공격성공횟수]]/(표2[[#This Row],[공격실패횟수]]+표2[[#This Row],[공격성공횟수]])</f>
        <v>0.15384615384615385</v>
      </c>
    </row>
    <row r="735" spans="1:8" hidden="1" x14ac:dyDescent="0.4">
      <c r="A735">
        <v>367</v>
      </c>
      <c r="B735" t="s">
        <v>2</v>
      </c>
      <c r="C735">
        <v>0</v>
      </c>
      <c r="D735">
        <v>0</v>
      </c>
      <c r="E735">
        <v>25</v>
      </c>
      <c r="F735">
        <v>4</v>
      </c>
      <c r="G735">
        <v>1</v>
      </c>
      <c r="H735">
        <f>표2[[#This Row],[공격성공횟수]]/(표2[[#This Row],[공격실패횟수]]+표2[[#This Row],[공격성공횟수]])</f>
        <v>0</v>
      </c>
    </row>
    <row r="736" spans="1:8" x14ac:dyDescent="0.4">
      <c r="A736">
        <v>368</v>
      </c>
      <c r="B736" t="s">
        <v>0</v>
      </c>
      <c r="C736">
        <v>1</v>
      </c>
      <c r="D736">
        <v>4</v>
      </c>
      <c r="E736">
        <v>13</v>
      </c>
      <c r="F736">
        <v>1</v>
      </c>
      <c r="G736">
        <v>0</v>
      </c>
      <c r="H736">
        <f>표2[[#This Row],[공격성공횟수]]/(표2[[#This Row],[공격실패횟수]]+표2[[#This Row],[공격성공횟수]])</f>
        <v>0.23529411764705882</v>
      </c>
    </row>
    <row r="737" spans="1:8" hidden="1" x14ac:dyDescent="0.4">
      <c r="A737">
        <v>368</v>
      </c>
      <c r="B737" t="s">
        <v>2</v>
      </c>
      <c r="C737">
        <v>0</v>
      </c>
      <c r="D737">
        <v>1</v>
      </c>
      <c r="E737">
        <v>16</v>
      </c>
      <c r="F737">
        <v>4</v>
      </c>
      <c r="G737">
        <v>1</v>
      </c>
      <c r="H737">
        <f>표2[[#This Row],[공격성공횟수]]/(표2[[#This Row],[공격실패횟수]]+표2[[#This Row],[공격성공횟수]])</f>
        <v>5.8823529411764705E-2</v>
      </c>
    </row>
    <row r="738" spans="1:8" x14ac:dyDescent="0.4">
      <c r="A738">
        <v>369</v>
      </c>
      <c r="B738" t="s">
        <v>0</v>
      </c>
      <c r="C738">
        <v>1</v>
      </c>
      <c r="D738">
        <v>4</v>
      </c>
      <c r="E738">
        <v>10</v>
      </c>
      <c r="F738">
        <v>2</v>
      </c>
      <c r="G738">
        <v>0</v>
      </c>
      <c r="H738">
        <f>표2[[#This Row],[공격성공횟수]]/(표2[[#This Row],[공격실패횟수]]+표2[[#This Row],[공격성공횟수]])</f>
        <v>0.2857142857142857</v>
      </c>
    </row>
    <row r="739" spans="1:8" hidden="1" x14ac:dyDescent="0.4">
      <c r="A739">
        <v>369</v>
      </c>
      <c r="B739" t="s">
        <v>2</v>
      </c>
      <c r="C739">
        <v>0</v>
      </c>
      <c r="D739">
        <v>2</v>
      </c>
      <c r="E739">
        <v>12</v>
      </c>
      <c r="F739">
        <v>4</v>
      </c>
      <c r="G739">
        <v>1</v>
      </c>
      <c r="H739">
        <f>표2[[#This Row],[공격성공횟수]]/(표2[[#This Row],[공격실패횟수]]+표2[[#This Row],[공격성공횟수]])</f>
        <v>0.14285714285714285</v>
      </c>
    </row>
    <row r="740" spans="1:8" x14ac:dyDescent="0.4">
      <c r="A740">
        <v>370</v>
      </c>
      <c r="B740" t="s">
        <v>0</v>
      </c>
      <c r="C740">
        <v>1</v>
      </c>
      <c r="D740">
        <v>4</v>
      </c>
      <c r="E740">
        <v>46</v>
      </c>
      <c r="F740">
        <v>0</v>
      </c>
      <c r="G740">
        <v>0</v>
      </c>
      <c r="H740">
        <f>표2[[#This Row],[공격성공횟수]]/(표2[[#This Row],[공격실패횟수]]+표2[[#This Row],[공격성공횟수]])</f>
        <v>0.08</v>
      </c>
    </row>
    <row r="741" spans="1:8" hidden="1" x14ac:dyDescent="0.4">
      <c r="A741">
        <v>370</v>
      </c>
      <c r="B741" t="s">
        <v>2</v>
      </c>
      <c r="C741">
        <v>0</v>
      </c>
      <c r="D741">
        <v>0</v>
      </c>
      <c r="E741">
        <v>50</v>
      </c>
      <c r="F741">
        <v>4</v>
      </c>
      <c r="G741">
        <v>1</v>
      </c>
      <c r="H741">
        <f>표2[[#This Row],[공격성공횟수]]/(표2[[#This Row],[공격실패횟수]]+표2[[#This Row],[공격성공횟수]])</f>
        <v>0</v>
      </c>
    </row>
    <row r="742" spans="1:8" x14ac:dyDescent="0.4">
      <c r="A742">
        <v>371</v>
      </c>
      <c r="B742" t="s">
        <v>0</v>
      </c>
      <c r="C742">
        <v>1</v>
      </c>
      <c r="D742">
        <v>4</v>
      </c>
      <c r="E742">
        <v>7</v>
      </c>
      <c r="F742">
        <v>1</v>
      </c>
      <c r="G742">
        <v>0</v>
      </c>
      <c r="H742">
        <f>표2[[#This Row],[공격성공횟수]]/(표2[[#This Row],[공격실패횟수]]+표2[[#This Row],[공격성공횟수]])</f>
        <v>0.36363636363636365</v>
      </c>
    </row>
    <row r="743" spans="1:8" hidden="1" x14ac:dyDescent="0.4">
      <c r="A743">
        <v>371</v>
      </c>
      <c r="B743" t="s">
        <v>2</v>
      </c>
      <c r="C743">
        <v>0</v>
      </c>
      <c r="D743">
        <v>1</v>
      </c>
      <c r="E743">
        <v>10</v>
      </c>
      <c r="F743">
        <v>4</v>
      </c>
      <c r="G743">
        <v>1</v>
      </c>
      <c r="H743">
        <f>표2[[#This Row],[공격성공횟수]]/(표2[[#This Row],[공격실패횟수]]+표2[[#This Row],[공격성공횟수]])</f>
        <v>9.0909090909090912E-2</v>
      </c>
    </row>
    <row r="744" spans="1:8" x14ac:dyDescent="0.4">
      <c r="A744">
        <v>372</v>
      </c>
      <c r="B744" t="s">
        <v>0</v>
      </c>
      <c r="C744">
        <v>1</v>
      </c>
      <c r="D744">
        <v>4</v>
      </c>
      <c r="E744">
        <v>28</v>
      </c>
      <c r="F744">
        <v>3</v>
      </c>
      <c r="G744">
        <v>0</v>
      </c>
      <c r="H744">
        <f>표2[[#This Row],[공격성공횟수]]/(표2[[#This Row],[공격실패횟수]]+표2[[#This Row],[공격성공횟수]])</f>
        <v>0.125</v>
      </c>
    </row>
    <row r="745" spans="1:8" hidden="1" x14ac:dyDescent="0.4">
      <c r="A745">
        <v>372</v>
      </c>
      <c r="B745" t="s">
        <v>2</v>
      </c>
      <c r="C745">
        <v>0</v>
      </c>
      <c r="D745">
        <v>3</v>
      </c>
      <c r="E745">
        <v>30</v>
      </c>
      <c r="F745">
        <v>4</v>
      </c>
      <c r="G745">
        <v>1</v>
      </c>
      <c r="H745">
        <f>표2[[#This Row],[공격성공횟수]]/(표2[[#This Row],[공격실패횟수]]+표2[[#This Row],[공격성공횟수]])</f>
        <v>9.0909090909090912E-2</v>
      </c>
    </row>
    <row r="746" spans="1:8" x14ac:dyDescent="0.4">
      <c r="A746">
        <v>373</v>
      </c>
      <c r="B746" t="s">
        <v>0</v>
      </c>
      <c r="C746">
        <v>0</v>
      </c>
      <c r="D746">
        <v>1</v>
      </c>
      <c r="E746">
        <v>8</v>
      </c>
      <c r="F746">
        <v>4</v>
      </c>
      <c r="G746">
        <v>1</v>
      </c>
      <c r="H746">
        <f>표2[[#This Row],[공격성공횟수]]/(표2[[#This Row],[공격실패횟수]]+표2[[#This Row],[공격성공횟수]])</f>
        <v>0.1111111111111111</v>
      </c>
    </row>
    <row r="747" spans="1:8" hidden="1" x14ac:dyDescent="0.4">
      <c r="A747">
        <v>373</v>
      </c>
      <c r="B747" t="s">
        <v>2</v>
      </c>
      <c r="C747">
        <v>1</v>
      </c>
      <c r="D747">
        <v>4</v>
      </c>
      <c r="E747">
        <v>7</v>
      </c>
      <c r="F747">
        <v>1</v>
      </c>
      <c r="G747">
        <v>0</v>
      </c>
      <c r="H747">
        <f>표2[[#This Row],[공격성공횟수]]/(표2[[#This Row],[공격실패횟수]]+표2[[#This Row],[공격성공횟수]])</f>
        <v>0.36363636363636365</v>
      </c>
    </row>
    <row r="748" spans="1:8" x14ac:dyDescent="0.4">
      <c r="A748">
        <v>374</v>
      </c>
      <c r="B748" t="s">
        <v>0</v>
      </c>
      <c r="C748">
        <v>1</v>
      </c>
      <c r="D748">
        <v>4</v>
      </c>
      <c r="E748">
        <v>6</v>
      </c>
      <c r="F748">
        <v>2</v>
      </c>
      <c r="G748">
        <v>0</v>
      </c>
      <c r="H748">
        <f>표2[[#This Row],[공격성공횟수]]/(표2[[#This Row],[공격실패횟수]]+표2[[#This Row],[공격성공횟수]])</f>
        <v>0.4</v>
      </c>
    </row>
    <row r="749" spans="1:8" hidden="1" x14ac:dyDescent="0.4">
      <c r="A749">
        <v>374</v>
      </c>
      <c r="B749" t="s">
        <v>2</v>
      </c>
      <c r="C749">
        <v>0</v>
      </c>
      <c r="D749">
        <v>2</v>
      </c>
      <c r="E749">
        <v>7</v>
      </c>
      <c r="F749">
        <v>4</v>
      </c>
      <c r="G749">
        <v>1</v>
      </c>
      <c r="H749">
        <f>표2[[#This Row],[공격성공횟수]]/(표2[[#This Row],[공격실패횟수]]+표2[[#This Row],[공격성공횟수]])</f>
        <v>0.22222222222222221</v>
      </c>
    </row>
    <row r="750" spans="1:8" x14ac:dyDescent="0.4">
      <c r="A750">
        <v>375</v>
      </c>
      <c r="B750" t="s">
        <v>0</v>
      </c>
      <c r="C750">
        <v>1</v>
      </c>
      <c r="D750">
        <v>4</v>
      </c>
      <c r="E750">
        <v>3</v>
      </c>
      <c r="F750">
        <v>0</v>
      </c>
      <c r="G750">
        <v>0</v>
      </c>
      <c r="H750">
        <f>표2[[#This Row],[공격성공횟수]]/(표2[[#This Row],[공격실패횟수]]+표2[[#This Row],[공격성공횟수]])</f>
        <v>0.5714285714285714</v>
      </c>
    </row>
    <row r="751" spans="1:8" hidden="1" x14ac:dyDescent="0.4">
      <c r="A751">
        <v>375</v>
      </c>
      <c r="B751" t="s">
        <v>2</v>
      </c>
      <c r="C751">
        <v>0</v>
      </c>
      <c r="D751">
        <v>0</v>
      </c>
      <c r="E751">
        <v>7</v>
      </c>
      <c r="F751">
        <v>4</v>
      </c>
      <c r="G751">
        <v>1</v>
      </c>
      <c r="H751">
        <f>표2[[#This Row],[공격성공횟수]]/(표2[[#This Row],[공격실패횟수]]+표2[[#This Row],[공격성공횟수]])</f>
        <v>0</v>
      </c>
    </row>
    <row r="752" spans="1:8" x14ac:dyDescent="0.4">
      <c r="A752">
        <v>376</v>
      </c>
      <c r="B752" t="s">
        <v>0</v>
      </c>
      <c r="C752">
        <v>1</v>
      </c>
      <c r="D752">
        <v>4</v>
      </c>
      <c r="E752">
        <v>15</v>
      </c>
      <c r="F752">
        <v>0</v>
      </c>
      <c r="G752">
        <v>0</v>
      </c>
      <c r="H752">
        <f>표2[[#This Row],[공격성공횟수]]/(표2[[#This Row],[공격실패횟수]]+표2[[#This Row],[공격성공횟수]])</f>
        <v>0.21052631578947367</v>
      </c>
    </row>
    <row r="753" spans="1:8" hidden="1" x14ac:dyDescent="0.4">
      <c r="A753">
        <v>376</v>
      </c>
      <c r="B753" t="s">
        <v>2</v>
      </c>
      <c r="C753">
        <v>0</v>
      </c>
      <c r="D753">
        <v>0</v>
      </c>
      <c r="E753">
        <v>19</v>
      </c>
      <c r="F753">
        <v>4</v>
      </c>
      <c r="G753">
        <v>1</v>
      </c>
      <c r="H753">
        <f>표2[[#This Row],[공격성공횟수]]/(표2[[#This Row],[공격실패횟수]]+표2[[#This Row],[공격성공횟수]])</f>
        <v>0</v>
      </c>
    </row>
    <row r="754" spans="1:8" x14ac:dyDescent="0.4">
      <c r="A754">
        <v>377</v>
      </c>
      <c r="B754" t="s">
        <v>0</v>
      </c>
      <c r="C754">
        <v>1</v>
      </c>
      <c r="D754">
        <v>4</v>
      </c>
      <c r="E754">
        <v>53</v>
      </c>
      <c r="F754">
        <v>3</v>
      </c>
      <c r="G754">
        <v>0</v>
      </c>
      <c r="H754">
        <f>표2[[#This Row],[공격성공횟수]]/(표2[[#This Row],[공격실패횟수]]+표2[[#This Row],[공격성공횟수]])</f>
        <v>7.0175438596491224E-2</v>
      </c>
    </row>
    <row r="755" spans="1:8" hidden="1" x14ac:dyDescent="0.4">
      <c r="A755">
        <v>377</v>
      </c>
      <c r="B755" t="s">
        <v>2</v>
      </c>
      <c r="C755">
        <v>0</v>
      </c>
      <c r="D755">
        <v>3</v>
      </c>
      <c r="E755">
        <v>52</v>
      </c>
      <c r="F755">
        <v>4</v>
      </c>
      <c r="G755">
        <v>1</v>
      </c>
      <c r="H755">
        <f>표2[[#This Row],[공격성공횟수]]/(표2[[#This Row],[공격실패횟수]]+표2[[#This Row],[공격성공횟수]])</f>
        <v>5.4545454545454543E-2</v>
      </c>
    </row>
    <row r="756" spans="1:8" x14ac:dyDescent="0.4">
      <c r="A756">
        <v>378</v>
      </c>
      <c r="B756" t="s">
        <v>0</v>
      </c>
      <c r="C756">
        <v>1</v>
      </c>
      <c r="D756">
        <v>4</v>
      </c>
      <c r="E756">
        <v>26</v>
      </c>
      <c r="F756">
        <v>0</v>
      </c>
      <c r="G756">
        <v>0</v>
      </c>
      <c r="H756">
        <f>표2[[#This Row],[공격성공횟수]]/(표2[[#This Row],[공격실패횟수]]+표2[[#This Row],[공격성공횟수]])</f>
        <v>0.13333333333333333</v>
      </c>
    </row>
    <row r="757" spans="1:8" hidden="1" x14ac:dyDescent="0.4">
      <c r="A757">
        <v>378</v>
      </c>
      <c r="B757" t="s">
        <v>2</v>
      </c>
      <c r="C757">
        <v>0</v>
      </c>
      <c r="D757">
        <v>0</v>
      </c>
      <c r="E757">
        <v>30</v>
      </c>
      <c r="F757">
        <v>4</v>
      </c>
      <c r="G757">
        <v>1</v>
      </c>
      <c r="H757">
        <f>표2[[#This Row],[공격성공횟수]]/(표2[[#This Row],[공격실패횟수]]+표2[[#This Row],[공격성공횟수]])</f>
        <v>0</v>
      </c>
    </row>
    <row r="758" spans="1:8" x14ac:dyDescent="0.4">
      <c r="A758">
        <v>379</v>
      </c>
      <c r="B758" t="s">
        <v>0</v>
      </c>
      <c r="C758">
        <v>1</v>
      </c>
      <c r="D758">
        <v>4</v>
      </c>
      <c r="E758">
        <v>57</v>
      </c>
      <c r="F758">
        <v>1</v>
      </c>
      <c r="G758">
        <v>0</v>
      </c>
      <c r="H758">
        <f>표2[[#This Row],[공격성공횟수]]/(표2[[#This Row],[공격실패횟수]]+표2[[#This Row],[공격성공횟수]])</f>
        <v>6.5573770491803282E-2</v>
      </c>
    </row>
    <row r="759" spans="1:8" hidden="1" x14ac:dyDescent="0.4">
      <c r="A759">
        <v>379</v>
      </c>
      <c r="B759" t="s">
        <v>2</v>
      </c>
      <c r="C759">
        <v>0</v>
      </c>
      <c r="D759">
        <v>1</v>
      </c>
      <c r="E759">
        <v>60</v>
      </c>
      <c r="F759">
        <v>4</v>
      </c>
      <c r="G759">
        <v>1</v>
      </c>
      <c r="H759">
        <f>표2[[#This Row],[공격성공횟수]]/(표2[[#This Row],[공격실패횟수]]+표2[[#This Row],[공격성공횟수]])</f>
        <v>1.6393442622950821E-2</v>
      </c>
    </row>
    <row r="760" spans="1:8" x14ac:dyDescent="0.4">
      <c r="A760">
        <v>380</v>
      </c>
      <c r="B760" t="s">
        <v>0</v>
      </c>
      <c r="C760">
        <v>1</v>
      </c>
      <c r="D760">
        <v>4</v>
      </c>
      <c r="E760">
        <v>45</v>
      </c>
      <c r="F760">
        <v>0</v>
      </c>
      <c r="G760">
        <v>0</v>
      </c>
      <c r="H760">
        <f>표2[[#This Row],[공격성공횟수]]/(표2[[#This Row],[공격실패횟수]]+표2[[#This Row],[공격성공횟수]])</f>
        <v>8.1632653061224483E-2</v>
      </c>
    </row>
    <row r="761" spans="1:8" hidden="1" x14ac:dyDescent="0.4">
      <c r="A761">
        <v>380</v>
      </c>
      <c r="B761" t="s">
        <v>2</v>
      </c>
      <c r="C761">
        <v>0</v>
      </c>
      <c r="D761">
        <v>0</v>
      </c>
      <c r="E761">
        <v>49</v>
      </c>
      <c r="F761">
        <v>4</v>
      </c>
      <c r="G761">
        <v>1</v>
      </c>
      <c r="H761">
        <f>표2[[#This Row],[공격성공횟수]]/(표2[[#This Row],[공격실패횟수]]+표2[[#This Row],[공격성공횟수]])</f>
        <v>0</v>
      </c>
    </row>
    <row r="762" spans="1:8" x14ac:dyDescent="0.4">
      <c r="A762">
        <v>381</v>
      </c>
      <c r="B762" t="s">
        <v>0</v>
      </c>
      <c r="C762">
        <v>0</v>
      </c>
      <c r="D762">
        <v>1</v>
      </c>
      <c r="E762">
        <v>28</v>
      </c>
      <c r="F762">
        <v>4</v>
      </c>
      <c r="G762">
        <v>1</v>
      </c>
      <c r="H762">
        <f>표2[[#This Row],[공격성공횟수]]/(표2[[#This Row],[공격실패횟수]]+표2[[#This Row],[공격성공횟수]])</f>
        <v>3.4482758620689655E-2</v>
      </c>
    </row>
    <row r="763" spans="1:8" hidden="1" x14ac:dyDescent="0.4">
      <c r="A763">
        <v>381</v>
      </c>
      <c r="B763" t="s">
        <v>2</v>
      </c>
      <c r="C763">
        <v>1</v>
      </c>
      <c r="D763">
        <v>4</v>
      </c>
      <c r="E763">
        <v>26</v>
      </c>
      <c r="F763">
        <v>1</v>
      </c>
      <c r="G763">
        <v>0</v>
      </c>
      <c r="H763">
        <f>표2[[#This Row],[공격성공횟수]]/(표2[[#This Row],[공격실패횟수]]+표2[[#This Row],[공격성공횟수]])</f>
        <v>0.13333333333333333</v>
      </c>
    </row>
    <row r="764" spans="1:8" x14ac:dyDescent="0.4">
      <c r="A764">
        <v>382</v>
      </c>
      <c r="B764" t="s">
        <v>0</v>
      </c>
      <c r="C764">
        <v>1</v>
      </c>
      <c r="D764">
        <v>4</v>
      </c>
      <c r="E764">
        <v>7</v>
      </c>
      <c r="F764">
        <v>3</v>
      </c>
      <c r="G764">
        <v>0</v>
      </c>
      <c r="H764">
        <f>표2[[#This Row],[공격성공횟수]]/(표2[[#This Row],[공격실패횟수]]+표2[[#This Row],[공격성공횟수]])</f>
        <v>0.36363636363636365</v>
      </c>
    </row>
    <row r="765" spans="1:8" hidden="1" x14ac:dyDescent="0.4">
      <c r="A765">
        <v>382</v>
      </c>
      <c r="B765" t="s">
        <v>2</v>
      </c>
      <c r="C765">
        <v>0</v>
      </c>
      <c r="D765">
        <v>3</v>
      </c>
      <c r="E765">
        <v>8</v>
      </c>
      <c r="F765">
        <v>4</v>
      </c>
      <c r="G765">
        <v>1</v>
      </c>
      <c r="H765">
        <f>표2[[#This Row],[공격성공횟수]]/(표2[[#This Row],[공격실패횟수]]+표2[[#This Row],[공격성공횟수]])</f>
        <v>0.27272727272727271</v>
      </c>
    </row>
    <row r="766" spans="1:8" x14ac:dyDescent="0.4">
      <c r="A766">
        <v>383</v>
      </c>
      <c r="B766" t="s">
        <v>0</v>
      </c>
      <c r="C766">
        <v>1</v>
      </c>
      <c r="D766">
        <v>4</v>
      </c>
      <c r="E766">
        <v>6</v>
      </c>
      <c r="F766">
        <v>1</v>
      </c>
      <c r="G766">
        <v>0</v>
      </c>
      <c r="H766">
        <f>표2[[#This Row],[공격성공횟수]]/(표2[[#This Row],[공격실패횟수]]+표2[[#This Row],[공격성공횟수]])</f>
        <v>0.4</v>
      </c>
    </row>
    <row r="767" spans="1:8" hidden="1" x14ac:dyDescent="0.4">
      <c r="A767">
        <v>383</v>
      </c>
      <c r="B767" t="s">
        <v>2</v>
      </c>
      <c r="C767">
        <v>0</v>
      </c>
      <c r="D767">
        <v>1</v>
      </c>
      <c r="E767">
        <v>10</v>
      </c>
      <c r="F767">
        <v>4</v>
      </c>
      <c r="G767">
        <v>1</v>
      </c>
      <c r="H767">
        <f>표2[[#This Row],[공격성공횟수]]/(표2[[#This Row],[공격실패횟수]]+표2[[#This Row],[공격성공횟수]])</f>
        <v>9.0909090909090912E-2</v>
      </c>
    </row>
    <row r="768" spans="1:8" x14ac:dyDescent="0.4">
      <c r="A768">
        <v>384</v>
      </c>
      <c r="B768" t="s">
        <v>0</v>
      </c>
      <c r="C768">
        <v>1</v>
      </c>
      <c r="D768">
        <v>4</v>
      </c>
      <c r="E768">
        <v>11</v>
      </c>
      <c r="F768">
        <v>2</v>
      </c>
      <c r="G768">
        <v>0</v>
      </c>
      <c r="H768">
        <f>표2[[#This Row],[공격성공횟수]]/(표2[[#This Row],[공격실패횟수]]+표2[[#This Row],[공격성공횟수]])</f>
        <v>0.26666666666666666</v>
      </c>
    </row>
    <row r="769" spans="1:8" hidden="1" x14ac:dyDescent="0.4">
      <c r="A769">
        <v>384</v>
      </c>
      <c r="B769" t="s">
        <v>2</v>
      </c>
      <c r="C769">
        <v>0</v>
      </c>
      <c r="D769">
        <v>2</v>
      </c>
      <c r="E769">
        <v>13</v>
      </c>
      <c r="F769">
        <v>4</v>
      </c>
      <c r="G769">
        <v>1</v>
      </c>
      <c r="H769">
        <f>표2[[#This Row],[공격성공횟수]]/(표2[[#This Row],[공격실패횟수]]+표2[[#This Row],[공격성공횟수]])</f>
        <v>0.13333333333333333</v>
      </c>
    </row>
    <row r="770" spans="1:8" x14ac:dyDescent="0.4">
      <c r="A770">
        <v>385</v>
      </c>
      <c r="B770" t="s">
        <v>0</v>
      </c>
      <c r="C770">
        <v>1</v>
      </c>
      <c r="D770">
        <v>4</v>
      </c>
      <c r="E770">
        <v>6</v>
      </c>
      <c r="F770">
        <v>1</v>
      </c>
      <c r="G770">
        <v>0</v>
      </c>
      <c r="H770">
        <f>표2[[#This Row],[공격성공횟수]]/(표2[[#This Row],[공격실패횟수]]+표2[[#This Row],[공격성공횟수]])</f>
        <v>0.4</v>
      </c>
    </row>
    <row r="771" spans="1:8" hidden="1" x14ac:dyDescent="0.4">
      <c r="A771">
        <v>385</v>
      </c>
      <c r="B771" t="s">
        <v>2</v>
      </c>
      <c r="C771">
        <v>0</v>
      </c>
      <c r="D771">
        <v>1</v>
      </c>
      <c r="E771">
        <v>9</v>
      </c>
      <c r="F771">
        <v>4</v>
      </c>
      <c r="G771">
        <v>1</v>
      </c>
      <c r="H771">
        <f>표2[[#This Row],[공격성공횟수]]/(표2[[#This Row],[공격실패횟수]]+표2[[#This Row],[공격성공횟수]])</f>
        <v>0.1</v>
      </c>
    </row>
    <row r="772" spans="1:8" x14ac:dyDescent="0.4">
      <c r="A772">
        <v>386</v>
      </c>
      <c r="B772" t="s">
        <v>0</v>
      </c>
      <c r="C772">
        <v>1</v>
      </c>
      <c r="D772">
        <v>4</v>
      </c>
      <c r="E772">
        <v>17</v>
      </c>
      <c r="F772">
        <v>3</v>
      </c>
      <c r="G772">
        <v>0</v>
      </c>
      <c r="H772">
        <f>표2[[#This Row],[공격성공횟수]]/(표2[[#This Row],[공격실패횟수]]+표2[[#This Row],[공격성공횟수]])</f>
        <v>0.19047619047619047</v>
      </c>
    </row>
    <row r="773" spans="1:8" hidden="1" x14ac:dyDescent="0.4">
      <c r="A773">
        <v>386</v>
      </c>
      <c r="B773" t="s">
        <v>2</v>
      </c>
      <c r="C773">
        <v>0</v>
      </c>
      <c r="D773">
        <v>3</v>
      </c>
      <c r="E773">
        <v>18</v>
      </c>
      <c r="F773">
        <v>4</v>
      </c>
      <c r="G773">
        <v>1</v>
      </c>
      <c r="H773">
        <f>표2[[#This Row],[공격성공횟수]]/(표2[[#This Row],[공격실패횟수]]+표2[[#This Row],[공격성공횟수]])</f>
        <v>0.14285714285714285</v>
      </c>
    </row>
    <row r="774" spans="1:8" x14ac:dyDescent="0.4">
      <c r="A774">
        <v>387</v>
      </c>
      <c r="B774" t="s">
        <v>0</v>
      </c>
      <c r="C774">
        <v>0</v>
      </c>
      <c r="D774">
        <v>1</v>
      </c>
      <c r="E774">
        <v>11</v>
      </c>
      <c r="F774">
        <v>4</v>
      </c>
      <c r="G774">
        <v>1</v>
      </c>
      <c r="H774">
        <f>표2[[#This Row],[공격성공횟수]]/(표2[[#This Row],[공격실패횟수]]+표2[[#This Row],[공격성공횟수]])</f>
        <v>8.3333333333333329E-2</v>
      </c>
    </row>
    <row r="775" spans="1:8" hidden="1" x14ac:dyDescent="0.4">
      <c r="A775">
        <v>387</v>
      </c>
      <c r="B775" t="s">
        <v>2</v>
      </c>
      <c r="C775">
        <v>1</v>
      </c>
      <c r="D775">
        <v>4</v>
      </c>
      <c r="E775">
        <v>10</v>
      </c>
      <c r="F775">
        <v>1</v>
      </c>
      <c r="G775">
        <v>0</v>
      </c>
      <c r="H775">
        <f>표2[[#This Row],[공격성공횟수]]/(표2[[#This Row],[공격실패횟수]]+표2[[#This Row],[공격성공횟수]])</f>
        <v>0.2857142857142857</v>
      </c>
    </row>
    <row r="776" spans="1:8" x14ac:dyDescent="0.4">
      <c r="A776">
        <v>388</v>
      </c>
      <c r="B776" t="s">
        <v>0</v>
      </c>
      <c r="C776">
        <v>1</v>
      </c>
      <c r="D776">
        <v>4</v>
      </c>
      <c r="E776">
        <v>17</v>
      </c>
      <c r="F776">
        <v>1</v>
      </c>
      <c r="G776">
        <v>0</v>
      </c>
      <c r="H776">
        <f>표2[[#This Row],[공격성공횟수]]/(표2[[#This Row],[공격실패횟수]]+표2[[#This Row],[공격성공횟수]])</f>
        <v>0.19047619047619047</v>
      </c>
    </row>
    <row r="777" spans="1:8" hidden="1" x14ac:dyDescent="0.4">
      <c r="A777">
        <v>388</v>
      </c>
      <c r="B777" t="s">
        <v>2</v>
      </c>
      <c r="C777">
        <v>0</v>
      </c>
      <c r="D777">
        <v>1</v>
      </c>
      <c r="E777">
        <v>19</v>
      </c>
      <c r="F777">
        <v>4</v>
      </c>
      <c r="G777">
        <v>1</v>
      </c>
      <c r="H777">
        <f>표2[[#This Row],[공격성공횟수]]/(표2[[#This Row],[공격실패횟수]]+표2[[#This Row],[공격성공횟수]])</f>
        <v>0.05</v>
      </c>
    </row>
    <row r="778" spans="1:8" x14ac:dyDescent="0.4">
      <c r="A778">
        <v>389</v>
      </c>
      <c r="B778" t="s">
        <v>0</v>
      </c>
      <c r="C778">
        <v>1</v>
      </c>
      <c r="D778">
        <v>4</v>
      </c>
      <c r="E778">
        <v>9</v>
      </c>
      <c r="F778">
        <v>1</v>
      </c>
      <c r="G778">
        <v>0</v>
      </c>
      <c r="H778">
        <f>표2[[#This Row],[공격성공횟수]]/(표2[[#This Row],[공격실패횟수]]+표2[[#This Row],[공격성공횟수]])</f>
        <v>0.30769230769230771</v>
      </c>
    </row>
    <row r="779" spans="1:8" hidden="1" x14ac:dyDescent="0.4">
      <c r="A779">
        <v>389</v>
      </c>
      <c r="B779" t="s">
        <v>2</v>
      </c>
      <c r="C779">
        <v>0</v>
      </c>
      <c r="D779">
        <v>1</v>
      </c>
      <c r="E779">
        <v>12</v>
      </c>
      <c r="F779">
        <v>4</v>
      </c>
      <c r="G779">
        <v>1</v>
      </c>
      <c r="H779">
        <f>표2[[#This Row],[공격성공횟수]]/(표2[[#This Row],[공격실패횟수]]+표2[[#This Row],[공격성공횟수]])</f>
        <v>7.6923076923076927E-2</v>
      </c>
    </row>
    <row r="780" spans="1:8" x14ac:dyDescent="0.4">
      <c r="A780">
        <v>390</v>
      </c>
      <c r="B780" t="s">
        <v>0</v>
      </c>
      <c r="C780">
        <v>1</v>
      </c>
      <c r="D780">
        <v>4</v>
      </c>
      <c r="E780">
        <v>10</v>
      </c>
      <c r="F780">
        <v>0</v>
      </c>
      <c r="G780">
        <v>0</v>
      </c>
      <c r="H780">
        <f>표2[[#This Row],[공격성공횟수]]/(표2[[#This Row],[공격실패횟수]]+표2[[#This Row],[공격성공횟수]])</f>
        <v>0.2857142857142857</v>
      </c>
    </row>
    <row r="781" spans="1:8" hidden="1" x14ac:dyDescent="0.4">
      <c r="A781">
        <v>390</v>
      </c>
      <c r="B781" t="s">
        <v>2</v>
      </c>
      <c r="C781">
        <v>0</v>
      </c>
      <c r="D781">
        <v>0</v>
      </c>
      <c r="E781">
        <v>15</v>
      </c>
      <c r="F781">
        <v>4</v>
      </c>
      <c r="G781">
        <v>1</v>
      </c>
      <c r="H781">
        <f>표2[[#This Row],[공격성공횟수]]/(표2[[#This Row],[공격실패횟수]]+표2[[#This Row],[공격성공횟수]])</f>
        <v>0</v>
      </c>
    </row>
    <row r="782" spans="1:8" x14ac:dyDescent="0.4">
      <c r="A782">
        <v>391</v>
      </c>
      <c r="B782" t="s">
        <v>0</v>
      </c>
      <c r="C782">
        <v>1</v>
      </c>
      <c r="D782">
        <v>4</v>
      </c>
      <c r="E782">
        <v>8</v>
      </c>
      <c r="F782">
        <v>1</v>
      </c>
      <c r="G782">
        <v>0</v>
      </c>
      <c r="H782">
        <f>표2[[#This Row],[공격성공횟수]]/(표2[[#This Row],[공격실패횟수]]+표2[[#This Row],[공격성공횟수]])</f>
        <v>0.33333333333333331</v>
      </c>
    </row>
    <row r="783" spans="1:8" hidden="1" x14ac:dyDescent="0.4">
      <c r="A783">
        <v>391</v>
      </c>
      <c r="B783" t="s">
        <v>2</v>
      </c>
      <c r="C783">
        <v>0</v>
      </c>
      <c r="D783">
        <v>1</v>
      </c>
      <c r="E783">
        <v>10</v>
      </c>
      <c r="F783">
        <v>4</v>
      </c>
      <c r="G783">
        <v>1</v>
      </c>
      <c r="H783">
        <f>표2[[#This Row],[공격성공횟수]]/(표2[[#This Row],[공격실패횟수]]+표2[[#This Row],[공격성공횟수]])</f>
        <v>9.0909090909090912E-2</v>
      </c>
    </row>
    <row r="784" spans="1:8" x14ac:dyDescent="0.4">
      <c r="A784">
        <v>392</v>
      </c>
      <c r="B784" t="s">
        <v>0</v>
      </c>
      <c r="C784">
        <v>0</v>
      </c>
      <c r="D784">
        <v>2</v>
      </c>
      <c r="E784">
        <v>7</v>
      </c>
      <c r="F784">
        <v>4</v>
      </c>
      <c r="G784">
        <v>1</v>
      </c>
      <c r="H784">
        <f>표2[[#This Row],[공격성공횟수]]/(표2[[#This Row],[공격실패횟수]]+표2[[#This Row],[공격성공횟수]])</f>
        <v>0.22222222222222221</v>
      </c>
    </row>
    <row r="785" spans="1:8" hidden="1" x14ac:dyDescent="0.4">
      <c r="A785">
        <v>392</v>
      </c>
      <c r="B785" t="s">
        <v>2</v>
      </c>
      <c r="C785">
        <v>1</v>
      </c>
      <c r="D785">
        <v>4</v>
      </c>
      <c r="E785">
        <v>6</v>
      </c>
      <c r="F785">
        <v>2</v>
      </c>
      <c r="G785">
        <v>0</v>
      </c>
      <c r="H785">
        <f>표2[[#This Row],[공격성공횟수]]/(표2[[#This Row],[공격실패횟수]]+표2[[#This Row],[공격성공횟수]])</f>
        <v>0.4</v>
      </c>
    </row>
    <row r="786" spans="1:8" x14ac:dyDescent="0.4">
      <c r="A786">
        <v>393</v>
      </c>
      <c r="B786" t="s">
        <v>0</v>
      </c>
      <c r="C786">
        <v>1</v>
      </c>
      <c r="D786">
        <v>4</v>
      </c>
      <c r="E786">
        <v>3</v>
      </c>
      <c r="F786">
        <v>1</v>
      </c>
      <c r="G786">
        <v>0</v>
      </c>
      <c r="H786">
        <f>표2[[#This Row],[공격성공횟수]]/(표2[[#This Row],[공격실패횟수]]+표2[[#This Row],[공격성공횟수]])</f>
        <v>0.5714285714285714</v>
      </c>
    </row>
    <row r="787" spans="1:8" hidden="1" x14ac:dyDescent="0.4">
      <c r="A787">
        <v>393</v>
      </c>
      <c r="B787" t="s">
        <v>2</v>
      </c>
      <c r="C787">
        <v>0</v>
      </c>
      <c r="D787">
        <v>1</v>
      </c>
      <c r="E787">
        <v>5</v>
      </c>
      <c r="F787">
        <v>4</v>
      </c>
      <c r="G787">
        <v>1</v>
      </c>
      <c r="H787">
        <f>표2[[#This Row],[공격성공횟수]]/(표2[[#This Row],[공격실패횟수]]+표2[[#This Row],[공격성공횟수]])</f>
        <v>0.16666666666666666</v>
      </c>
    </row>
    <row r="788" spans="1:8" x14ac:dyDescent="0.4">
      <c r="A788">
        <v>394</v>
      </c>
      <c r="B788" t="s">
        <v>0</v>
      </c>
      <c r="C788">
        <v>1</v>
      </c>
      <c r="D788">
        <v>4</v>
      </c>
      <c r="E788">
        <v>8</v>
      </c>
      <c r="F788">
        <v>1</v>
      </c>
      <c r="G788">
        <v>0</v>
      </c>
      <c r="H788">
        <f>표2[[#This Row],[공격성공횟수]]/(표2[[#This Row],[공격실패횟수]]+표2[[#This Row],[공격성공횟수]])</f>
        <v>0.33333333333333331</v>
      </c>
    </row>
    <row r="789" spans="1:8" hidden="1" x14ac:dyDescent="0.4">
      <c r="A789">
        <v>394</v>
      </c>
      <c r="B789" t="s">
        <v>2</v>
      </c>
      <c r="C789">
        <v>0</v>
      </c>
      <c r="D789">
        <v>1</v>
      </c>
      <c r="E789">
        <v>11</v>
      </c>
      <c r="F789">
        <v>4</v>
      </c>
      <c r="G789">
        <v>1</v>
      </c>
      <c r="H789">
        <f>표2[[#This Row],[공격성공횟수]]/(표2[[#This Row],[공격실패횟수]]+표2[[#This Row],[공격성공횟수]])</f>
        <v>8.3333333333333329E-2</v>
      </c>
    </row>
    <row r="790" spans="1:8" x14ac:dyDescent="0.4">
      <c r="A790">
        <v>395</v>
      </c>
      <c r="B790" t="s">
        <v>0</v>
      </c>
      <c r="C790">
        <v>0</v>
      </c>
      <c r="D790">
        <v>3</v>
      </c>
      <c r="E790">
        <v>35</v>
      </c>
      <c r="F790">
        <v>4</v>
      </c>
      <c r="G790">
        <v>1</v>
      </c>
      <c r="H790">
        <f>표2[[#This Row],[공격성공횟수]]/(표2[[#This Row],[공격실패횟수]]+표2[[#This Row],[공격성공횟수]])</f>
        <v>7.8947368421052627E-2</v>
      </c>
    </row>
    <row r="791" spans="1:8" hidden="1" x14ac:dyDescent="0.4">
      <c r="A791">
        <v>395</v>
      </c>
      <c r="B791" t="s">
        <v>2</v>
      </c>
      <c r="C791">
        <v>1</v>
      </c>
      <c r="D791">
        <v>4</v>
      </c>
      <c r="E791">
        <v>35</v>
      </c>
      <c r="F791">
        <v>3</v>
      </c>
      <c r="G791">
        <v>0</v>
      </c>
      <c r="H791">
        <f>표2[[#This Row],[공격성공횟수]]/(표2[[#This Row],[공격실패횟수]]+표2[[#This Row],[공격성공횟수]])</f>
        <v>0.10256410256410256</v>
      </c>
    </row>
    <row r="792" spans="1:8" x14ac:dyDescent="0.4">
      <c r="A792">
        <v>396</v>
      </c>
      <c r="B792" t="s">
        <v>0</v>
      </c>
      <c r="C792">
        <v>1</v>
      </c>
      <c r="D792">
        <v>4</v>
      </c>
      <c r="E792">
        <v>6</v>
      </c>
      <c r="F792">
        <v>0</v>
      </c>
      <c r="G792">
        <v>0</v>
      </c>
      <c r="H792">
        <f>표2[[#This Row],[공격성공횟수]]/(표2[[#This Row],[공격실패횟수]]+표2[[#This Row],[공격성공횟수]])</f>
        <v>0.4</v>
      </c>
    </row>
    <row r="793" spans="1:8" hidden="1" x14ac:dyDescent="0.4">
      <c r="A793">
        <v>396</v>
      </c>
      <c r="B793" t="s">
        <v>2</v>
      </c>
      <c r="C793">
        <v>0</v>
      </c>
      <c r="D793">
        <v>0</v>
      </c>
      <c r="E793">
        <v>9</v>
      </c>
      <c r="F793">
        <v>4</v>
      </c>
      <c r="G793">
        <v>1</v>
      </c>
      <c r="H793">
        <f>표2[[#This Row],[공격성공횟수]]/(표2[[#This Row],[공격실패횟수]]+표2[[#This Row],[공격성공횟수]])</f>
        <v>0</v>
      </c>
    </row>
    <row r="794" spans="1:8" x14ac:dyDescent="0.4">
      <c r="A794">
        <v>397</v>
      </c>
      <c r="B794" t="s">
        <v>0</v>
      </c>
      <c r="C794">
        <v>1</v>
      </c>
      <c r="D794">
        <v>4</v>
      </c>
      <c r="E794">
        <v>5</v>
      </c>
      <c r="F794">
        <v>2</v>
      </c>
      <c r="G794">
        <v>0</v>
      </c>
      <c r="H794">
        <f>표2[[#This Row],[공격성공횟수]]/(표2[[#This Row],[공격실패횟수]]+표2[[#This Row],[공격성공횟수]])</f>
        <v>0.44444444444444442</v>
      </c>
    </row>
    <row r="795" spans="1:8" hidden="1" x14ac:dyDescent="0.4">
      <c r="A795">
        <v>397</v>
      </c>
      <c r="B795" t="s">
        <v>2</v>
      </c>
      <c r="C795">
        <v>0</v>
      </c>
      <c r="D795">
        <v>2</v>
      </c>
      <c r="E795">
        <v>7</v>
      </c>
      <c r="F795">
        <v>4</v>
      </c>
      <c r="G795">
        <v>1</v>
      </c>
      <c r="H795">
        <f>표2[[#This Row],[공격성공횟수]]/(표2[[#This Row],[공격실패횟수]]+표2[[#This Row],[공격성공횟수]])</f>
        <v>0.22222222222222221</v>
      </c>
    </row>
    <row r="796" spans="1:8" x14ac:dyDescent="0.4">
      <c r="A796">
        <v>398</v>
      </c>
      <c r="B796" t="s">
        <v>0</v>
      </c>
      <c r="C796">
        <v>1</v>
      </c>
      <c r="D796">
        <v>4</v>
      </c>
      <c r="E796">
        <v>3</v>
      </c>
      <c r="F796">
        <v>1</v>
      </c>
      <c r="G796">
        <v>0</v>
      </c>
      <c r="H796">
        <f>표2[[#This Row],[공격성공횟수]]/(표2[[#This Row],[공격실패횟수]]+표2[[#This Row],[공격성공횟수]])</f>
        <v>0.5714285714285714</v>
      </c>
    </row>
    <row r="797" spans="1:8" hidden="1" x14ac:dyDescent="0.4">
      <c r="A797">
        <v>398</v>
      </c>
      <c r="B797" t="s">
        <v>2</v>
      </c>
      <c r="C797">
        <v>0</v>
      </c>
      <c r="D797">
        <v>1</v>
      </c>
      <c r="E797">
        <v>8</v>
      </c>
      <c r="F797">
        <v>4</v>
      </c>
      <c r="G797">
        <v>1</v>
      </c>
      <c r="H797">
        <f>표2[[#This Row],[공격성공횟수]]/(표2[[#This Row],[공격실패횟수]]+표2[[#This Row],[공격성공횟수]])</f>
        <v>0.1111111111111111</v>
      </c>
    </row>
    <row r="798" spans="1:8" x14ac:dyDescent="0.4">
      <c r="A798">
        <v>399</v>
      </c>
      <c r="B798" t="s">
        <v>0</v>
      </c>
      <c r="C798">
        <v>1</v>
      </c>
      <c r="D798">
        <v>4</v>
      </c>
      <c r="E798">
        <v>57</v>
      </c>
      <c r="F798">
        <v>0</v>
      </c>
      <c r="G798">
        <v>0</v>
      </c>
      <c r="H798">
        <f>표2[[#This Row],[공격성공횟수]]/(표2[[#This Row],[공격실패횟수]]+표2[[#This Row],[공격성공횟수]])</f>
        <v>6.5573770491803282E-2</v>
      </c>
    </row>
    <row r="799" spans="1:8" hidden="1" x14ac:dyDescent="0.4">
      <c r="A799">
        <v>399</v>
      </c>
      <c r="B799" t="s">
        <v>2</v>
      </c>
      <c r="C799">
        <v>0</v>
      </c>
      <c r="D799">
        <v>0</v>
      </c>
      <c r="E799">
        <v>59</v>
      </c>
      <c r="F799">
        <v>4</v>
      </c>
      <c r="G799">
        <v>1</v>
      </c>
      <c r="H799">
        <f>표2[[#This Row],[공격성공횟수]]/(표2[[#This Row],[공격실패횟수]]+표2[[#This Row],[공격성공횟수]])</f>
        <v>0</v>
      </c>
    </row>
    <row r="800" spans="1:8" x14ac:dyDescent="0.4">
      <c r="A800">
        <v>400</v>
      </c>
      <c r="B800" t="s">
        <v>0</v>
      </c>
      <c r="C800">
        <v>0</v>
      </c>
      <c r="D800">
        <v>0</v>
      </c>
      <c r="E800">
        <v>30</v>
      </c>
      <c r="F800">
        <v>4</v>
      </c>
      <c r="G800">
        <v>1</v>
      </c>
      <c r="H800">
        <f>표2[[#This Row],[공격성공횟수]]/(표2[[#This Row],[공격실패횟수]]+표2[[#This Row],[공격성공횟수]])</f>
        <v>0</v>
      </c>
    </row>
    <row r="801" spans="1:8" hidden="1" x14ac:dyDescent="0.4">
      <c r="A801">
        <v>400</v>
      </c>
      <c r="B801" t="s">
        <v>2</v>
      </c>
      <c r="C801">
        <v>1</v>
      </c>
      <c r="D801">
        <v>4</v>
      </c>
      <c r="E801">
        <v>28</v>
      </c>
      <c r="F801">
        <v>0</v>
      </c>
      <c r="G801">
        <v>0</v>
      </c>
      <c r="H801">
        <f>표2[[#This Row],[공격성공횟수]]/(표2[[#This Row],[공격실패횟수]]+표2[[#This Row],[공격성공횟수]])</f>
        <v>0.125</v>
      </c>
    </row>
    <row r="802" spans="1:8" x14ac:dyDescent="0.4">
      <c r="A802">
        <v>401</v>
      </c>
      <c r="B802" t="s">
        <v>0</v>
      </c>
      <c r="C802">
        <v>0</v>
      </c>
      <c r="D802">
        <v>3</v>
      </c>
      <c r="E802">
        <v>100</v>
      </c>
      <c r="F802">
        <v>4</v>
      </c>
      <c r="G802">
        <v>1</v>
      </c>
      <c r="H802">
        <f>표2[[#This Row],[공격성공횟수]]/(표2[[#This Row],[공격실패횟수]]+표2[[#This Row],[공격성공횟수]])</f>
        <v>2.9126213592233011E-2</v>
      </c>
    </row>
    <row r="803" spans="1:8" hidden="1" x14ac:dyDescent="0.4">
      <c r="A803">
        <v>401</v>
      </c>
      <c r="B803" t="s">
        <v>2</v>
      </c>
      <c r="C803">
        <v>1</v>
      </c>
      <c r="D803">
        <v>4</v>
      </c>
      <c r="E803">
        <v>96</v>
      </c>
      <c r="F803">
        <v>3</v>
      </c>
      <c r="G803">
        <v>0</v>
      </c>
      <c r="H803">
        <f>표2[[#This Row],[공격성공횟수]]/(표2[[#This Row],[공격실패횟수]]+표2[[#This Row],[공격성공횟수]])</f>
        <v>0.04</v>
      </c>
    </row>
    <row r="804" spans="1:8" x14ac:dyDescent="0.4">
      <c r="A804">
        <v>402</v>
      </c>
      <c r="B804" t="s">
        <v>0</v>
      </c>
      <c r="C804">
        <v>1</v>
      </c>
      <c r="D804">
        <v>4</v>
      </c>
      <c r="E804">
        <v>25</v>
      </c>
      <c r="F804">
        <v>1</v>
      </c>
      <c r="G804">
        <v>0</v>
      </c>
      <c r="H804">
        <f>표2[[#This Row],[공격성공횟수]]/(표2[[#This Row],[공격실패횟수]]+표2[[#This Row],[공격성공횟수]])</f>
        <v>0.13793103448275862</v>
      </c>
    </row>
    <row r="805" spans="1:8" hidden="1" x14ac:dyDescent="0.4">
      <c r="A805">
        <v>402</v>
      </c>
      <c r="B805" t="s">
        <v>2</v>
      </c>
      <c r="C805">
        <v>0</v>
      </c>
      <c r="D805">
        <v>1</v>
      </c>
      <c r="E805">
        <v>27</v>
      </c>
      <c r="F805">
        <v>4</v>
      </c>
      <c r="G805">
        <v>1</v>
      </c>
      <c r="H805">
        <f>표2[[#This Row],[공격성공횟수]]/(표2[[#This Row],[공격실패횟수]]+표2[[#This Row],[공격성공횟수]])</f>
        <v>3.5714285714285712E-2</v>
      </c>
    </row>
    <row r="806" spans="1:8" x14ac:dyDescent="0.4">
      <c r="A806">
        <v>403</v>
      </c>
      <c r="B806" t="s">
        <v>0</v>
      </c>
      <c r="C806">
        <v>1</v>
      </c>
      <c r="D806">
        <v>4</v>
      </c>
      <c r="E806">
        <v>14</v>
      </c>
      <c r="F806">
        <v>0</v>
      </c>
      <c r="G806">
        <v>0</v>
      </c>
      <c r="H806">
        <f>표2[[#This Row],[공격성공횟수]]/(표2[[#This Row],[공격실패횟수]]+표2[[#This Row],[공격성공횟수]])</f>
        <v>0.22222222222222221</v>
      </c>
    </row>
    <row r="807" spans="1:8" hidden="1" x14ac:dyDescent="0.4">
      <c r="A807">
        <v>403</v>
      </c>
      <c r="B807" t="s">
        <v>2</v>
      </c>
      <c r="C807">
        <v>0</v>
      </c>
      <c r="D807">
        <v>0</v>
      </c>
      <c r="E807">
        <v>20</v>
      </c>
      <c r="F807">
        <v>4</v>
      </c>
      <c r="G807">
        <v>1</v>
      </c>
      <c r="H807">
        <f>표2[[#This Row],[공격성공횟수]]/(표2[[#This Row],[공격실패횟수]]+표2[[#This Row],[공격성공횟수]])</f>
        <v>0</v>
      </c>
    </row>
    <row r="808" spans="1:8" x14ac:dyDescent="0.4">
      <c r="A808">
        <v>404</v>
      </c>
      <c r="B808" t="s">
        <v>0</v>
      </c>
      <c r="C808">
        <v>1</v>
      </c>
      <c r="D808">
        <v>4</v>
      </c>
      <c r="E808">
        <v>7</v>
      </c>
      <c r="F808">
        <v>1</v>
      </c>
      <c r="G808">
        <v>0</v>
      </c>
      <c r="H808">
        <f>표2[[#This Row],[공격성공횟수]]/(표2[[#This Row],[공격실패횟수]]+표2[[#This Row],[공격성공횟수]])</f>
        <v>0.36363636363636365</v>
      </c>
    </row>
    <row r="809" spans="1:8" hidden="1" x14ac:dyDescent="0.4">
      <c r="A809">
        <v>404</v>
      </c>
      <c r="B809" t="s">
        <v>2</v>
      </c>
      <c r="C809">
        <v>0</v>
      </c>
      <c r="D809">
        <v>1</v>
      </c>
      <c r="E809">
        <v>9</v>
      </c>
      <c r="F809">
        <v>4</v>
      </c>
      <c r="G809">
        <v>1</v>
      </c>
      <c r="H809">
        <f>표2[[#This Row],[공격성공횟수]]/(표2[[#This Row],[공격실패횟수]]+표2[[#This Row],[공격성공횟수]])</f>
        <v>0.1</v>
      </c>
    </row>
    <row r="810" spans="1:8" x14ac:dyDescent="0.4">
      <c r="A810">
        <v>405</v>
      </c>
      <c r="B810" t="s">
        <v>0</v>
      </c>
      <c r="C810">
        <v>0</v>
      </c>
      <c r="D810">
        <v>3</v>
      </c>
      <c r="E810">
        <v>115</v>
      </c>
      <c r="F810">
        <v>2</v>
      </c>
      <c r="G810">
        <v>0</v>
      </c>
      <c r="H810">
        <f>표2[[#This Row],[공격성공횟수]]/(표2[[#This Row],[공격실패횟수]]+표2[[#This Row],[공격성공횟수]])</f>
        <v>2.5423728813559324E-2</v>
      </c>
    </row>
    <row r="811" spans="1:8" hidden="1" x14ac:dyDescent="0.4">
      <c r="A811">
        <v>405</v>
      </c>
      <c r="B811" t="s">
        <v>2</v>
      </c>
      <c r="C811">
        <v>0</v>
      </c>
      <c r="D811">
        <v>2</v>
      </c>
      <c r="E811">
        <v>114</v>
      </c>
      <c r="F811">
        <v>3</v>
      </c>
      <c r="G811">
        <v>0</v>
      </c>
      <c r="H811">
        <f>표2[[#This Row],[공격성공횟수]]/(표2[[#This Row],[공격실패횟수]]+표2[[#This Row],[공격성공횟수]])</f>
        <v>1.7241379310344827E-2</v>
      </c>
    </row>
    <row r="812" spans="1:8" x14ac:dyDescent="0.4">
      <c r="A812">
        <v>406</v>
      </c>
      <c r="B812" t="s">
        <v>0</v>
      </c>
      <c r="C812">
        <v>1</v>
      </c>
      <c r="D812">
        <v>4</v>
      </c>
      <c r="E812">
        <v>9</v>
      </c>
      <c r="F812">
        <v>0</v>
      </c>
      <c r="G812">
        <v>0</v>
      </c>
      <c r="H812">
        <f>표2[[#This Row],[공격성공횟수]]/(표2[[#This Row],[공격실패횟수]]+표2[[#This Row],[공격성공횟수]])</f>
        <v>0.30769230769230771</v>
      </c>
    </row>
    <row r="813" spans="1:8" hidden="1" x14ac:dyDescent="0.4">
      <c r="A813">
        <v>406</v>
      </c>
      <c r="B813" t="s">
        <v>2</v>
      </c>
      <c r="C813">
        <v>0</v>
      </c>
      <c r="D813">
        <v>0</v>
      </c>
      <c r="E813">
        <v>13</v>
      </c>
      <c r="F813">
        <v>4</v>
      </c>
      <c r="G813">
        <v>1</v>
      </c>
      <c r="H813">
        <f>표2[[#This Row],[공격성공횟수]]/(표2[[#This Row],[공격실패횟수]]+표2[[#This Row],[공격성공횟수]])</f>
        <v>0</v>
      </c>
    </row>
    <row r="814" spans="1:8" x14ac:dyDescent="0.4">
      <c r="A814">
        <v>407</v>
      </c>
      <c r="B814" t="s">
        <v>0</v>
      </c>
      <c r="C814">
        <v>1</v>
      </c>
      <c r="D814">
        <v>4</v>
      </c>
      <c r="E814">
        <v>43</v>
      </c>
      <c r="F814">
        <v>0</v>
      </c>
      <c r="G814">
        <v>0</v>
      </c>
      <c r="H814">
        <f>표2[[#This Row],[공격성공횟수]]/(표2[[#This Row],[공격실패횟수]]+표2[[#This Row],[공격성공횟수]])</f>
        <v>8.5106382978723402E-2</v>
      </c>
    </row>
    <row r="815" spans="1:8" hidden="1" x14ac:dyDescent="0.4">
      <c r="A815">
        <v>407</v>
      </c>
      <c r="B815" t="s">
        <v>2</v>
      </c>
      <c r="C815">
        <v>0</v>
      </c>
      <c r="D815">
        <v>0</v>
      </c>
      <c r="E815">
        <v>46</v>
      </c>
      <c r="F815">
        <v>4</v>
      </c>
      <c r="G815">
        <v>1</v>
      </c>
      <c r="H815">
        <f>표2[[#This Row],[공격성공횟수]]/(표2[[#This Row],[공격실패횟수]]+표2[[#This Row],[공격성공횟수]])</f>
        <v>0</v>
      </c>
    </row>
    <row r="816" spans="1:8" x14ac:dyDescent="0.4">
      <c r="A816">
        <v>408</v>
      </c>
      <c r="B816" t="s">
        <v>0</v>
      </c>
      <c r="C816">
        <v>1</v>
      </c>
      <c r="D816">
        <v>4</v>
      </c>
      <c r="E816">
        <v>14</v>
      </c>
      <c r="F816">
        <v>1</v>
      </c>
      <c r="G816">
        <v>0</v>
      </c>
      <c r="H816">
        <f>표2[[#This Row],[공격성공횟수]]/(표2[[#This Row],[공격실패횟수]]+표2[[#This Row],[공격성공횟수]])</f>
        <v>0.22222222222222221</v>
      </c>
    </row>
    <row r="817" spans="1:8" hidden="1" x14ac:dyDescent="0.4">
      <c r="A817">
        <v>408</v>
      </c>
      <c r="B817" t="s">
        <v>2</v>
      </c>
      <c r="C817">
        <v>0</v>
      </c>
      <c r="D817">
        <v>1</v>
      </c>
      <c r="E817">
        <v>18</v>
      </c>
      <c r="F817">
        <v>4</v>
      </c>
      <c r="G817">
        <v>1</v>
      </c>
      <c r="H817">
        <f>표2[[#This Row],[공격성공횟수]]/(표2[[#This Row],[공격실패횟수]]+표2[[#This Row],[공격성공횟수]])</f>
        <v>5.2631578947368418E-2</v>
      </c>
    </row>
    <row r="818" spans="1:8" x14ac:dyDescent="0.4">
      <c r="A818">
        <v>409</v>
      </c>
      <c r="B818" t="s">
        <v>0</v>
      </c>
      <c r="C818">
        <v>1</v>
      </c>
      <c r="D818">
        <v>4</v>
      </c>
      <c r="E818">
        <v>13</v>
      </c>
      <c r="F818">
        <v>0</v>
      </c>
      <c r="G818">
        <v>0</v>
      </c>
      <c r="H818">
        <f>표2[[#This Row],[공격성공횟수]]/(표2[[#This Row],[공격실패횟수]]+표2[[#This Row],[공격성공횟수]])</f>
        <v>0.23529411764705882</v>
      </c>
    </row>
    <row r="819" spans="1:8" hidden="1" x14ac:dyDescent="0.4">
      <c r="A819">
        <v>409</v>
      </c>
      <c r="B819" t="s">
        <v>2</v>
      </c>
      <c r="C819">
        <v>0</v>
      </c>
      <c r="D819">
        <v>0</v>
      </c>
      <c r="E819">
        <v>19</v>
      </c>
      <c r="F819">
        <v>4</v>
      </c>
      <c r="G819">
        <v>1</v>
      </c>
      <c r="H819">
        <f>표2[[#This Row],[공격성공횟수]]/(표2[[#This Row],[공격실패횟수]]+표2[[#This Row],[공격성공횟수]])</f>
        <v>0</v>
      </c>
    </row>
    <row r="820" spans="1:8" x14ac:dyDescent="0.4">
      <c r="A820">
        <v>410</v>
      </c>
      <c r="B820" t="s">
        <v>0</v>
      </c>
      <c r="C820">
        <v>1</v>
      </c>
      <c r="D820">
        <v>4</v>
      </c>
      <c r="E820">
        <v>5</v>
      </c>
      <c r="F820">
        <v>0</v>
      </c>
      <c r="G820">
        <v>0</v>
      </c>
      <c r="H820">
        <f>표2[[#This Row],[공격성공횟수]]/(표2[[#This Row],[공격실패횟수]]+표2[[#This Row],[공격성공횟수]])</f>
        <v>0.44444444444444442</v>
      </c>
    </row>
    <row r="821" spans="1:8" hidden="1" x14ac:dyDescent="0.4">
      <c r="A821">
        <v>410</v>
      </c>
      <c r="B821" t="s">
        <v>2</v>
      </c>
      <c r="C821">
        <v>0</v>
      </c>
      <c r="D821">
        <v>0</v>
      </c>
      <c r="E821">
        <v>9</v>
      </c>
      <c r="F821">
        <v>4</v>
      </c>
      <c r="G821">
        <v>1</v>
      </c>
      <c r="H821">
        <f>표2[[#This Row],[공격성공횟수]]/(표2[[#This Row],[공격실패횟수]]+표2[[#This Row],[공격성공횟수]])</f>
        <v>0</v>
      </c>
    </row>
    <row r="822" spans="1:8" x14ac:dyDescent="0.4">
      <c r="A822">
        <v>411</v>
      </c>
      <c r="B822" t="s">
        <v>0</v>
      </c>
      <c r="C822">
        <v>1</v>
      </c>
      <c r="D822">
        <v>4</v>
      </c>
      <c r="E822">
        <v>15</v>
      </c>
      <c r="F822">
        <v>2</v>
      </c>
      <c r="G822">
        <v>0</v>
      </c>
      <c r="H822">
        <f>표2[[#This Row],[공격성공횟수]]/(표2[[#This Row],[공격실패횟수]]+표2[[#This Row],[공격성공횟수]])</f>
        <v>0.21052631578947367</v>
      </c>
    </row>
    <row r="823" spans="1:8" hidden="1" x14ac:dyDescent="0.4">
      <c r="A823">
        <v>411</v>
      </c>
      <c r="B823" t="s">
        <v>2</v>
      </c>
      <c r="C823">
        <v>0</v>
      </c>
      <c r="D823">
        <v>2</v>
      </c>
      <c r="E823">
        <v>18</v>
      </c>
      <c r="F823">
        <v>4</v>
      </c>
      <c r="G823">
        <v>1</v>
      </c>
      <c r="H823">
        <f>표2[[#This Row],[공격성공횟수]]/(표2[[#This Row],[공격실패횟수]]+표2[[#This Row],[공격성공횟수]])</f>
        <v>0.1</v>
      </c>
    </row>
    <row r="824" spans="1:8" x14ac:dyDescent="0.4">
      <c r="A824">
        <v>412</v>
      </c>
      <c r="B824" t="s">
        <v>0</v>
      </c>
      <c r="C824">
        <v>1</v>
      </c>
      <c r="D824">
        <v>4</v>
      </c>
      <c r="E824">
        <v>7</v>
      </c>
      <c r="F824">
        <v>1</v>
      </c>
      <c r="G824">
        <v>0</v>
      </c>
      <c r="H824">
        <f>표2[[#This Row],[공격성공횟수]]/(표2[[#This Row],[공격실패횟수]]+표2[[#This Row],[공격성공횟수]])</f>
        <v>0.36363636363636365</v>
      </c>
    </row>
    <row r="825" spans="1:8" hidden="1" x14ac:dyDescent="0.4">
      <c r="A825">
        <v>412</v>
      </c>
      <c r="B825" t="s">
        <v>2</v>
      </c>
      <c r="C825">
        <v>0</v>
      </c>
      <c r="D825">
        <v>1</v>
      </c>
      <c r="E825">
        <v>11</v>
      </c>
      <c r="F825">
        <v>4</v>
      </c>
      <c r="G825">
        <v>1</v>
      </c>
      <c r="H825">
        <f>표2[[#This Row],[공격성공횟수]]/(표2[[#This Row],[공격실패횟수]]+표2[[#This Row],[공격성공횟수]])</f>
        <v>8.3333333333333329E-2</v>
      </c>
    </row>
    <row r="826" spans="1:8" x14ac:dyDescent="0.4">
      <c r="A826">
        <v>413</v>
      </c>
      <c r="B826" t="s">
        <v>0</v>
      </c>
      <c r="C826">
        <v>1</v>
      </c>
      <c r="D826">
        <v>4</v>
      </c>
      <c r="E826">
        <v>12</v>
      </c>
      <c r="F826">
        <v>0</v>
      </c>
      <c r="G826">
        <v>0</v>
      </c>
      <c r="H826">
        <f>표2[[#This Row],[공격성공횟수]]/(표2[[#This Row],[공격실패횟수]]+표2[[#This Row],[공격성공횟수]])</f>
        <v>0.25</v>
      </c>
    </row>
    <row r="827" spans="1:8" hidden="1" x14ac:dyDescent="0.4">
      <c r="A827">
        <v>413</v>
      </c>
      <c r="B827" t="s">
        <v>2</v>
      </c>
      <c r="C827">
        <v>0</v>
      </c>
      <c r="D827">
        <v>0</v>
      </c>
      <c r="E827">
        <v>16</v>
      </c>
      <c r="F827">
        <v>4</v>
      </c>
      <c r="G827">
        <v>1</v>
      </c>
      <c r="H827">
        <f>표2[[#This Row],[공격성공횟수]]/(표2[[#This Row],[공격실패횟수]]+표2[[#This Row],[공격성공횟수]])</f>
        <v>0</v>
      </c>
    </row>
    <row r="828" spans="1:8" x14ac:dyDescent="0.4">
      <c r="A828">
        <v>414</v>
      </c>
      <c r="B828" t="s">
        <v>0</v>
      </c>
      <c r="C828">
        <v>0</v>
      </c>
      <c r="D828">
        <v>1</v>
      </c>
      <c r="E828">
        <v>18</v>
      </c>
      <c r="F828">
        <v>4</v>
      </c>
      <c r="G828">
        <v>1</v>
      </c>
      <c r="H828">
        <f>표2[[#This Row],[공격성공횟수]]/(표2[[#This Row],[공격실패횟수]]+표2[[#This Row],[공격성공횟수]])</f>
        <v>5.2631578947368418E-2</v>
      </c>
    </row>
    <row r="829" spans="1:8" hidden="1" x14ac:dyDescent="0.4">
      <c r="A829">
        <v>414</v>
      </c>
      <c r="B829" t="s">
        <v>2</v>
      </c>
      <c r="C829">
        <v>1</v>
      </c>
      <c r="D829">
        <v>4</v>
      </c>
      <c r="E829">
        <v>16</v>
      </c>
      <c r="F829">
        <v>1</v>
      </c>
      <c r="G829">
        <v>0</v>
      </c>
      <c r="H829">
        <f>표2[[#This Row],[공격성공횟수]]/(표2[[#This Row],[공격실패횟수]]+표2[[#This Row],[공격성공횟수]])</f>
        <v>0.2</v>
      </c>
    </row>
    <row r="830" spans="1:8" x14ac:dyDescent="0.4">
      <c r="A830">
        <v>415</v>
      </c>
      <c r="B830" t="s">
        <v>0</v>
      </c>
      <c r="C830">
        <v>1</v>
      </c>
      <c r="D830">
        <v>4</v>
      </c>
      <c r="E830">
        <v>11</v>
      </c>
      <c r="F830">
        <v>0</v>
      </c>
      <c r="G830">
        <v>0</v>
      </c>
      <c r="H830">
        <f>표2[[#This Row],[공격성공횟수]]/(표2[[#This Row],[공격실패횟수]]+표2[[#This Row],[공격성공횟수]])</f>
        <v>0.26666666666666666</v>
      </c>
    </row>
    <row r="831" spans="1:8" hidden="1" x14ac:dyDescent="0.4">
      <c r="A831">
        <v>415</v>
      </c>
      <c r="B831" t="s">
        <v>2</v>
      </c>
      <c r="C831">
        <v>0</v>
      </c>
      <c r="D831">
        <v>0</v>
      </c>
      <c r="E831">
        <v>14</v>
      </c>
      <c r="F831">
        <v>4</v>
      </c>
      <c r="G831">
        <v>1</v>
      </c>
      <c r="H831">
        <f>표2[[#This Row],[공격성공횟수]]/(표2[[#This Row],[공격실패횟수]]+표2[[#This Row],[공격성공횟수]])</f>
        <v>0</v>
      </c>
    </row>
    <row r="832" spans="1:8" x14ac:dyDescent="0.4">
      <c r="A832">
        <v>416</v>
      </c>
      <c r="B832" t="s">
        <v>0</v>
      </c>
      <c r="C832">
        <v>1</v>
      </c>
      <c r="D832">
        <v>4</v>
      </c>
      <c r="E832">
        <v>11</v>
      </c>
      <c r="F832">
        <v>0</v>
      </c>
      <c r="G832">
        <v>0</v>
      </c>
      <c r="H832">
        <f>표2[[#This Row],[공격성공횟수]]/(표2[[#This Row],[공격실패횟수]]+표2[[#This Row],[공격성공횟수]])</f>
        <v>0.26666666666666666</v>
      </c>
    </row>
    <row r="833" spans="1:8" hidden="1" x14ac:dyDescent="0.4">
      <c r="A833">
        <v>416</v>
      </c>
      <c r="B833" t="s">
        <v>2</v>
      </c>
      <c r="C833">
        <v>0</v>
      </c>
      <c r="D833">
        <v>0</v>
      </c>
      <c r="E833">
        <v>16</v>
      </c>
      <c r="F833">
        <v>4</v>
      </c>
      <c r="G833">
        <v>1</v>
      </c>
      <c r="H833">
        <f>표2[[#This Row],[공격성공횟수]]/(표2[[#This Row],[공격실패횟수]]+표2[[#This Row],[공격성공횟수]])</f>
        <v>0</v>
      </c>
    </row>
    <row r="834" spans="1:8" x14ac:dyDescent="0.4">
      <c r="A834">
        <v>417</v>
      </c>
      <c r="B834" t="s">
        <v>0</v>
      </c>
      <c r="C834">
        <v>1</v>
      </c>
      <c r="D834">
        <v>4</v>
      </c>
      <c r="E834">
        <v>8</v>
      </c>
      <c r="F834">
        <v>0</v>
      </c>
      <c r="G834">
        <v>0</v>
      </c>
      <c r="H834">
        <f>표2[[#This Row],[공격성공횟수]]/(표2[[#This Row],[공격실패횟수]]+표2[[#This Row],[공격성공횟수]])</f>
        <v>0.33333333333333331</v>
      </c>
    </row>
    <row r="835" spans="1:8" hidden="1" x14ac:dyDescent="0.4">
      <c r="A835">
        <v>417</v>
      </c>
      <c r="B835" t="s">
        <v>2</v>
      </c>
      <c r="C835">
        <v>0</v>
      </c>
      <c r="D835">
        <v>0</v>
      </c>
      <c r="E835">
        <v>12</v>
      </c>
      <c r="F835">
        <v>4</v>
      </c>
      <c r="G835">
        <v>1</v>
      </c>
      <c r="H835">
        <f>표2[[#This Row],[공격성공횟수]]/(표2[[#This Row],[공격실패횟수]]+표2[[#This Row],[공격성공횟수]])</f>
        <v>0</v>
      </c>
    </row>
    <row r="836" spans="1:8" x14ac:dyDescent="0.4">
      <c r="A836">
        <v>418</v>
      </c>
      <c r="B836" t="s">
        <v>0</v>
      </c>
      <c r="C836">
        <v>1</v>
      </c>
      <c r="D836">
        <v>4</v>
      </c>
      <c r="E836">
        <v>4</v>
      </c>
      <c r="F836">
        <v>0</v>
      </c>
      <c r="G836">
        <v>0</v>
      </c>
      <c r="H836">
        <f>표2[[#This Row],[공격성공횟수]]/(표2[[#This Row],[공격실패횟수]]+표2[[#This Row],[공격성공횟수]])</f>
        <v>0.5</v>
      </c>
    </row>
    <row r="837" spans="1:8" hidden="1" x14ac:dyDescent="0.4">
      <c r="A837">
        <v>418</v>
      </c>
      <c r="B837" t="s">
        <v>2</v>
      </c>
      <c r="C837">
        <v>0</v>
      </c>
      <c r="D837">
        <v>0</v>
      </c>
      <c r="E837">
        <v>8</v>
      </c>
      <c r="F837">
        <v>4</v>
      </c>
      <c r="G837">
        <v>1</v>
      </c>
      <c r="H837">
        <f>표2[[#This Row],[공격성공횟수]]/(표2[[#This Row],[공격실패횟수]]+표2[[#This Row],[공격성공횟수]])</f>
        <v>0</v>
      </c>
    </row>
    <row r="838" spans="1:8" x14ac:dyDescent="0.4">
      <c r="A838">
        <v>419</v>
      </c>
      <c r="B838" t="s">
        <v>0</v>
      </c>
      <c r="C838">
        <v>1</v>
      </c>
      <c r="D838">
        <v>4</v>
      </c>
      <c r="E838">
        <v>5</v>
      </c>
      <c r="F838">
        <v>1</v>
      </c>
      <c r="G838">
        <v>0</v>
      </c>
      <c r="H838">
        <f>표2[[#This Row],[공격성공횟수]]/(표2[[#This Row],[공격실패횟수]]+표2[[#This Row],[공격성공횟수]])</f>
        <v>0.44444444444444442</v>
      </c>
    </row>
    <row r="839" spans="1:8" hidden="1" x14ac:dyDescent="0.4">
      <c r="A839">
        <v>419</v>
      </c>
      <c r="B839" t="s">
        <v>2</v>
      </c>
      <c r="C839">
        <v>0</v>
      </c>
      <c r="D839">
        <v>1</v>
      </c>
      <c r="E839">
        <v>8</v>
      </c>
      <c r="F839">
        <v>4</v>
      </c>
      <c r="G839">
        <v>1</v>
      </c>
      <c r="H839">
        <f>표2[[#This Row],[공격성공횟수]]/(표2[[#This Row],[공격실패횟수]]+표2[[#This Row],[공격성공횟수]])</f>
        <v>0.1111111111111111</v>
      </c>
    </row>
    <row r="840" spans="1:8" x14ac:dyDescent="0.4">
      <c r="A840">
        <v>420</v>
      </c>
      <c r="B840" t="s">
        <v>0</v>
      </c>
      <c r="C840">
        <v>1</v>
      </c>
      <c r="D840">
        <v>4</v>
      </c>
      <c r="E840">
        <v>13</v>
      </c>
      <c r="F840">
        <v>0</v>
      </c>
      <c r="G840">
        <v>0</v>
      </c>
      <c r="H840">
        <f>표2[[#This Row],[공격성공횟수]]/(표2[[#This Row],[공격실패횟수]]+표2[[#This Row],[공격성공횟수]])</f>
        <v>0.23529411764705882</v>
      </c>
    </row>
    <row r="841" spans="1:8" hidden="1" x14ac:dyDescent="0.4">
      <c r="A841">
        <v>420</v>
      </c>
      <c r="B841" t="s">
        <v>2</v>
      </c>
      <c r="C841">
        <v>0</v>
      </c>
      <c r="D841">
        <v>0</v>
      </c>
      <c r="E841">
        <v>17</v>
      </c>
      <c r="F841">
        <v>4</v>
      </c>
      <c r="G841">
        <v>1</v>
      </c>
      <c r="H841">
        <f>표2[[#This Row],[공격성공횟수]]/(표2[[#This Row],[공격실패횟수]]+표2[[#This Row],[공격성공횟수]])</f>
        <v>0</v>
      </c>
    </row>
    <row r="842" spans="1:8" x14ac:dyDescent="0.4">
      <c r="A842">
        <v>421</v>
      </c>
      <c r="B842" t="s">
        <v>0</v>
      </c>
      <c r="C842">
        <v>0</v>
      </c>
      <c r="D842">
        <v>1</v>
      </c>
      <c r="E842">
        <v>11</v>
      </c>
      <c r="F842">
        <v>4</v>
      </c>
      <c r="G842">
        <v>1</v>
      </c>
      <c r="H842">
        <f>표2[[#This Row],[공격성공횟수]]/(표2[[#This Row],[공격실패횟수]]+표2[[#This Row],[공격성공횟수]])</f>
        <v>8.3333333333333329E-2</v>
      </c>
    </row>
    <row r="843" spans="1:8" hidden="1" x14ac:dyDescent="0.4">
      <c r="A843">
        <v>421</v>
      </c>
      <c r="B843" t="s">
        <v>2</v>
      </c>
      <c r="C843">
        <v>1</v>
      </c>
      <c r="D843">
        <v>4</v>
      </c>
      <c r="E843">
        <v>10</v>
      </c>
      <c r="F843">
        <v>1</v>
      </c>
      <c r="G843">
        <v>0</v>
      </c>
      <c r="H843">
        <f>표2[[#This Row],[공격성공횟수]]/(표2[[#This Row],[공격실패횟수]]+표2[[#This Row],[공격성공횟수]])</f>
        <v>0.2857142857142857</v>
      </c>
    </row>
    <row r="844" spans="1:8" x14ac:dyDescent="0.4">
      <c r="A844">
        <v>422</v>
      </c>
      <c r="B844" t="s">
        <v>0</v>
      </c>
      <c r="C844">
        <v>0</v>
      </c>
      <c r="D844">
        <v>3</v>
      </c>
      <c r="E844">
        <v>10</v>
      </c>
      <c r="F844">
        <v>4</v>
      </c>
      <c r="G844">
        <v>1</v>
      </c>
      <c r="H844">
        <f>표2[[#This Row],[공격성공횟수]]/(표2[[#This Row],[공격실패횟수]]+표2[[#This Row],[공격성공횟수]])</f>
        <v>0.23076923076923078</v>
      </c>
    </row>
    <row r="845" spans="1:8" hidden="1" x14ac:dyDescent="0.4">
      <c r="A845">
        <v>422</v>
      </c>
      <c r="B845" t="s">
        <v>2</v>
      </c>
      <c r="C845">
        <v>1</v>
      </c>
      <c r="D845">
        <v>4</v>
      </c>
      <c r="E845">
        <v>10</v>
      </c>
      <c r="F845">
        <v>3</v>
      </c>
      <c r="G845">
        <v>0</v>
      </c>
      <c r="H845">
        <f>표2[[#This Row],[공격성공횟수]]/(표2[[#This Row],[공격실패횟수]]+표2[[#This Row],[공격성공횟수]])</f>
        <v>0.2857142857142857</v>
      </c>
    </row>
    <row r="846" spans="1:8" x14ac:dyDescent="0.4">
      <c r="A846">
        <v>423</v>
      </c>
      <c r="B846" t="s">
        <v>0</v>
      </c>
      <c r="C846">
        <v>0</v>
      </c>
      <c r="D846">
        <v>2</v>
      </c>
      <c r="E846">
        <v>44</v>
      </c>
      <c r="F846">
        <v>4</v>
      </c>
      <c r="G846">
        <v>1</v>
      </c>
      <c r="H846">
        <f>표2[[#This Row],[공격성공횟수]]/(표2[[#This Row],[공격실패횟수]]+표2[[#This Row],[공격성공횟수]])</f>
        <v>4.3478260869565216E-2</v>
      </c>
    </row>
    <row r="847" spans="1:8" hidden="1" x14ac:dyDescent="0.4">
      <c r="A847">
        <v>423</v>
      </c>
      <c r="B847" t="s">
        <v>2</v>
      </c>
      <c r="C847">
        <v>1</v>
      </c>
      <c r="D847">
        <v>4</v>
      </c>
      <c r="E847">
        <v>41</v>
      </c>
      <c r="F847">
        <v>2</v>
      </c>
      <c r="G847">
        <v>0</v>
      </c>
      <c r="H847">
        <f>표2[[#This Row],[공격성공횟수]]/(표2[[#This Row],[공격실패횟수]]+표2[[#This Row],[공격성공횟수]])</f>
        <v>8.8888888888888892E-2</v>
      </c>
    </row>
    <row r="848" spans="1:8" x14ac:dyDescent="0.4">
      <c r="A848">
        <v>424</v>
      </c>
      <c r="B848" t="s">
        <v>0</v>
      </c>
      <c r="C848">
        <v>0</v>
      </c>
      <c r="D848">
        <v>1</v>
      </c>
      <c r="E848">
        <v>7</v>
      </c>
      <c r="F848">
        <v>4</v>
      </c>
      <c r="G848">
        <v>1</v>
      </c>
      <c r="H848">
        <f>표2[[#This Row],[공격성공횟수]]/(표2[[#This Row],[공격실패횟수]]+표2[[#This Row],[공격성공횟수]])</f>
        <v>0.125</v>
      </c>
    </row>
    <row r="849" spans="1:8" hidden="1" x14ac:dyDescent="0.4">
      <c r="A849">
        <v>424</v>
      </c>
      <c r="B849" t="s">
        <v>2</v>
      </c>
      <c r="C849">
        <v>1</v>
      </c>
      <c r="D849">
        <v>4</v>
      </c>
      <c r="E849">
        <v>6</v>
      </c>
      <c r="F849">
        <v>1</v>
      </c>
      <c r="G849">
        <v>0</v>
      </c>
      <c r="H849">
        <f>표2[[#This Row],[공격성공횟수]]/(표2[[#This Row],[공격실패횟수]]+표2[[#This Row],[공격성공횟수]])</f>
        <v>0.4</v>
      </c>
    </row>
    <row r="850" spans="1:8" x14ac:dyDescent="0.4">
      <c r="A850">
        <v>425</v>
      </c>
      <c r="B850" t="s">
        <v>0</v>
      </c>
      <c r="C850">
        <v>1</v>
      </c>
      <c r="D850">
        <v>4</v>
      </c>
      <c r="E850">
        <v>31</v>
      </c>
      <c r="F850">
        <v>3</v>
      </c>
      <c r="G850">
        <v>0</v>
      </c>
      <c r="H850">
        <f>표2[[#This Row],[공격성공횟수]]/(표2[[#This Row],[공격실패횟수]]+표2[[#This Row],[공격성공횟수]])</f>
        <v>0.11428571428571428</v>
      </c>
    </row>
    <row r="851" spans="1:8" hidden="1" x14ac:dyDescent="0.4">
      <c r="A851">
        <v>425</v>
      </c>
      <c r="B851" t="s">
        <v>2</v>
      </c>
      <c r="C851">
        <v>0</v>
      </c>
      <c r="D851">
        <v>3</v>
      </c>
      <c r="E851">
        <v>31</v>
      </c>
      <c r="F851">
        <v>4</v>
      </c>
      <c r="G851">
        <v>1</v>
      </c>
      <c r="H851">
        <f>표2[[#This Row],[공격성공횟수]]/(표2[[#This Row],[공격실패횟수]]+표2[[#This Row],[공격성공횟수]])</f>
        <v>8.8235294117647065E-2</v>
      </c>
    </row>
    <row r="852" spans="1:8" x14ac:dyDescent="0.4">
      <c r="A852">
        <v>426</v>
      </c>
      <c r="B852" t="s">
        <v>0</v>
      </c>
      <c r="C852">
        <v>0</v>
      </c>
      <c r="D852">
        <v>1</v>
      </c>
      <c r="E852">
        <v>5</v>
      </c>
      <c r="F852">
        <v>4</v>
      </c>
      <c r="G852">
        <v>1</v>
      </c>
      <c r="H852">
        <f>표2[[#This Row],[공격성공횟수]]/(표2[[#This Row],[공격실패횟수]]+표2[[#This Row],[공격성공횟수]])</f>
        <v>0.16666666666666666</v>
      </c>
    </row>
    <row r="853" spans="1:8" hidden="1" x14ac:dyDescent="0.4">
      <c r="A853">
        <v>426</v>
      </c>
      <c r="B853" t="s">
        <v>2</v>
      </c>
      <c r="C853">
        <v>1</v>
      </c>
      <c r="D853">
        <v>4</v>
      </c>
      <c r="E853">
        <v>4</v>
      </c>
      <c r="F853">
        <v>1</v>
      </c>
      <c r="G853">
        <v>0</v>
      </c>
      <c r="H853">
        <f>표2[[#This Row],[공격성공횟수]]/(표2[[#This Row],[공격실패횟수]]+표2[[#This Row],[공격성공횟수]])</f>
        <v>0.5</v>
      </c>
    </row>
    <row r="854" spans="1:8" x14ac:dyDescent="0.4">
      <c r="A854">
        <v>427</v>
      </c>
      <c r="B854" t="s">
        <v>0</v>
      </c>
      <c r="C854">
        <v>1</v>
      </c>
      <c r="D854">
        <v>4</v>
      </c>
      <c r="E854">
        <v>21</v>
      </c>
      <c r="F854">
        <v>2</v>
      </c>
      <c r="G854">
        <v>0</v>
      </c>
      <c r="H854">
        <f>표2[[#This Row],[공격성공횟수]]/(표2[[#This Row],[공격실패횟수]]+표2[[#This Row],[공격성공횟수]])</f>
        <v>0.16</v>
      </c>
    </row>
    <row r="855" spans="1:8" hidden="1" x14ac:dyDescent="0.4">
      <c r="A855">
        <v>427</v>
      </c>
      <c r="B855" t="s">
        <v>2</v>
      </c>
      <c r="C855">
        <v>0</v>
      </c>
      <c r="D855">
        <v>2</v>
      </c>
      <c r="E855">
        <v>20</v>
      </c>
      <c r="F855">
        <v>4</v>
      </c>
      <c r="G855">
        <v>1</v>
      </c>
      <c r="H855">
        <f>표2[[#This Row],[공격성공횟수]]/(표2[[#This Row],[공격실패횟수]]+표2[[#This Row],[공격성공횟수]])</f>
        <v>9.0909090909090912E-2</v>
      </c>
    </row>
    <row r="856" spans="1:8" x14ac:dyDescent="0.4">
      <c r="A856">
        <v>428</v>
      </c>
      <c r="B856" t="s">
        <v>0</v>
      </c>
      <c r="C856">
        <v>1</v>
      </c>
      <c r="D856">
        <v>4</v>
      </c>
      <c r="E856">
        <v>46</v>
      </c>
      <c r="F856">
        <v>0</v>
      </c>
      <c r="G856">
        <v>0</v>
      </c>
      <c r="H856">
        <f>표2[[#This Row],[공격성공횟수]]/(표2[[#This Row],[공격실패횟수]]+표2[[#This Row],[공격성공횟수]])</f>
        <v>0.08</v>
      </c>
    </row>
    <row r="857" spans="1:8" hidden="1" x14ac:dyDescent="0.4">
      <c r="A857">
        <v>428</v>
      </c>
      <c r="B857" t="s">
        <v>2</v>
      </c>
      <c r="C857">
        <v>0</v>
      </c>
      <c r="D857">
        <v>0</v>
      </c>
      <c r="E857">
        <v>50</v>
      </c>
      <c r="F857">
        <v>4</v>
      </c>
      <c r="G857">
        <v>1</v>
      </c>
      <c r="H857">
        <f>표2[[#This Row],[공격성공횟수]]/(표2[[#This Row],[공격실패횟수]]+표2[[#This Row],[공격성공횟수]])</f>
        <v>0</v>
      </c>
    </row>
    <row r="858" spans="1:8" x14ac:dyDescent="0.4">
      <c r="A858">
        <v>429</v>
      </c>
      <c r="B858" t="s">
        <v>0</v>
      </c>
      <c r="C858">
        <v>1</v>
      </c>
      <c r="D858">
        <v>4</v>
      </c>
      <c r="E858">
        <v>16</v>
      </c>
      <c r="F858">
        <v>0</v>
      </c>
      <c r="G858">
        <v>0</v>
      </c>
      <c r="H858">
        <f>표2[[#This Row],[공격성공횟수]]/(표2[[#This Row],[공격실패횟수]]+표2[[#This Row],[공격성공횟수]])</f>
        <v>0.2</v>
      </c>
    </row>
    <row r="859" spans="1:8" hidden="1" x14ac:dyDescent="0.4">
      <c r="A859">
        <v>429</v>
      </c>
      <c r="B859" t="s">
        <v>2</v>
      </c>
      <c r="C859">
        <v>0</v>
      </c>
      <c r="D859">
        <v>0</v>
      </c>
      <c r="E859">
        <v>21</v>
      </c>
      <c r="F859">
        <v>4</v>
      </c>
      <c r="G859">
        <v>1</v>
      </c>
      <c r="H859">
        <f>표2[[#This Row],[공격성공횟수]]/(표2[[#This Row],[공격실패횟수]]+표2[[#This Row],[공격성공횟수]])</f>
        <v>0</v>
      </c>
    </row>
    <row r="860" spans="1:8" x14ac:dyDescent="0.4">
      <c r="A860">
        <v>430</v>
      </c>
      <c r="B860" t="s">
        <v>0</v>
      </c>
      <c r="C860">
        <v>1</v>
      </c>
      <c r="D860">
        <v>4</v>
      </c>
      <c r="E860">
        <v>9</v>
      </c>
      <c r="F860">
        <v>1</v>
      </c>
      <c r="G860">
        <v>0</v>
      </c>
      <c r="H860">
        <f>표2[[#This Row],[공격성공횟수]]/(표2[[#This Row],[공격실패횟수]]+표2[[#This Row],[공격성공횟수]])</f>
        <v>0.30769230769230771</v>
      </c>
    </row>
    <row r="861" spans="1:8" hidden="1" x14ac:dyDescent="0.4">
      <c r="A861">
        <v>430</v>
      </c>
      <c r="B861" t="s">
        <v>2</v>
      </c>
      <c r="C861">
        <v>0</v>
      </c>
      <c r="D861">
        <v>1</v>
      </c>
      <c r="E861">
        <v>12</v>
      </c>
      <c r="F861">
        <v>4</v>
      </c>
      <c r="G861">
        <v>1</v>
      </c>
      <c r="H861">
        <f>표2[[#This Row],[공격성공횟수]]/(표2[[#This Row],[공격실패횟수]]+표2[[#This Row],[공격성공횟수]])</f>
        <v>7.6923076923076927E-2</v>
      </c>
    </row>
    <row r="862" spans="1:8" x14ac:dyDescent="0.4">
      <c r="A862">
        <v>431</v>
      </c>
      <c r="B862" t="s">
        <v>0</v>
      </c>
      <c r="C862">
        <v>1</v>
      </c>
      <c r="D862">
        <v>4</v>
      </c>
      <c r="E862">
        <v>10</v>
      </c>
      <c r="F862">
        <v>1</v>
      </c>
      <c r="G862">
        <v>0</v>
      </c>
      <c r="H862">
        <f>표2[[#This Row],[공격성공횟수]]/(표2[[#This Row],[공격실패횟수]]+표2[[#This Row],[공격성공횟수]])</f>
        <v>0.2857142857142857</v>
      </c>
    </row>
    <row r="863" spans="1:8" hidden="1" x14ac:dyDescent="0.4">
      <c r="A863">
        <v>431</v>
      </c>
      <c r="B863" t="s">
        <v>2</v>
      </c>
      <c r="C863">
        <v>0</v>
      </c>
      <c r="D863">
        <v>1</v>
      </c>
      <c r="E863">
        <v>13</v>
      </c>
      <c r="F863">
        <v>4</v>
      </c>
      <c r="G863">
        <v>1</v>
      </c>
      <c r="H863">
        <f>표2[[#This Row],[공격성공횟수]]/(표2[[#This Row],[공격실패횟수]]+표2[[#This Row],[공격성공횟수]])</f>
        <v>7.1428571428571425E-2</v>
      </c>
    </row>
    <row r="864" spans="1:8" x14ac:dyDescent="0.4">
      <c r="A864">
        <v>432</v>
      </c>
      <c r="B864" t="s">
        <v>0</v>
      </c>
      <c r="C864">
        <v>1</v>
      </c>
      <c r="D864">
        <v>4</v>
      </c>
      <c r="E864">
        <v>2</v>
      </c>
      <c r="F864">
        <v>1</v>
      </c>
      <c r="G864">
        <v>0</v>
      </c>
      <c r="H864">
        <f>표2[[#This Row],[공격성공횟수]]/(표2[[#This Row],[공격실패횟수]]+표2[[#This Row],[공격성공횟수]])</f>
        <v>0.66666666666666663</v>
      </c>
    </row>
    <row r="865" spans="1:8" hidden="1" x14ac:dyDescent="0.4">
      <c r="A865">
        <v>432</v>
      </c>
      <c r="B865" t="s">
        <v>2</v>
      </c>
      <c r="C865">
        <v>0</v>
      </c>
      <c r="D865">
        <v>1</v>
      </c>
      <c r="E865">
        <v>5</v>
      </c>
      <c r="F865">
        <v>4</v>
      </c>
      <c r="G865">
        <v>1</v>
      </c>
      <c r="H865">
        <f>표2[[#This Row],[공격성공횟수]]/(표2[[#This Row],[공격실패횟수]]+표2[[#This Row],[공격성공횟수]])</f>
        <v>0.16666666666666666</v>
      </c>
    </row>
    <row r="866" spans="1:8" x14ac:dyDescent="0.4">
      <c r="A866">
        <v>433</v>
      </c>
      <c r="B866" t="s">
        <v>0</v>
      </c>
      <c r="C866">
        <v>1</v>
      </c>
      <c r="D866">
        <v>4</v>
      </c>
      <c r="E866">
        <v>4</v>
      </c>
      <c r="F866">
        <v>2</v>
      </c>
      <c r="G866">
        <v>0</v>
      </c>
      <c r="H866">
        <f>표2[[#This Row],[공격성공횟수]]/(표2[[#This Row],[공격실패횟수]]+표2[[#This Row],[공격성공횟수]])</f>
        <v>0.5</v>
      </c>
    </row>
    <row r="867" spans="1:8" hidden="1" x14ac:dyDescent="0.4">
      <c r="A867">
        <v>433</v>
      </c>
      <c r="B867" t="s">
        <v>2</v>
      </c>
      <c r="C867">
        <v>0</v>
      </c>
      <c r="D867">
        <v>2</v>
      </c>
      <c r="E867">
        <v>7</v>
      </c>
      <c r="F867">
        <v>4</v>
      </c>
      <c r="G867">
        <v>1</v>
      </c>
      <c r="H867">
        <f>표2[[#This Row],[공격성공횟수]]/(표2[[#This Row],[공격실패횟수]]+표2[[#This Row],[공격성공횟수]])</f>
        <v>0.22222222222222221</v>
      </c>
    </row>
    <row r="868" spans="1:8" x14ac:dyDescent="0.4">
      <c r="A868">
        <v>434</v>
      </c>
      <c r="B868" t="s">
        <v>0</v>
      </c>
      <c r="C868">
        <v>1</v>
      </c>
      <c r="D868">
        <v>4</v>
      </c>
      <c r="E868">
        <v>46</v>
      </c>
      <c r="F868">
        <v>0</v>
      </c>
      <c r="G868">
        <v>0</v>
      </c>
      <c r="H868">
        <f>표2[[#This Row],[공격성공횟수]]/(표2[[#This Row],[공격실패횟수]]+표2[[#This Row],[공격성공횟수]])</f>
        <v>0.08</v>
      </c>
    </row>
    <row r="869" spans="1:8" hidden="1" x14ac:dyDescent="0.4">
      <c r="A869">
        <v>434</v>
      </c>
      <c r="B869" t="s">
        <v>2</v>
      </c>
      <c r="C869">
        <v>0</v>
      </c>
      <c r="D869">
        <v>0</v>
      </c>
      <c r="E869">
        <v>50</v>
      </c>
      <c r="F869">
        <v>4</v>
      </c>
      <c r="G869">
        <v>1</v>
      </c>
      <c r="H869">
        <f>표2[[#This Row],[공격성공횟수]]/(표2[[#This Row],[공격실패횟수]]+표2[[#This Row],[공격성공횟수]])</f>
        <v>0</v>
      </c>
    </row>
    <row r="870" spans="1:8" x14ac:dyDescent="0.4">
      <c r="A870">
        <v>435</v>
      </c>
      <c r="B870" t="s">
        <v>0</v>
      </c>
      <c r="C870">
        <v>1</v>
      </c>
      <c r="D870">
        <v>4</v>
      </c>
      <c r="E870">
        <v>11</v>
      </c>
      <c r="F870">
        <v>2</v>
      </c>
      <c r="G870">
        <v>0</v>
      </c>
      <c r="H870">
        <f>표2[[#This Row],[공격성공횟수]]/(표2[[#This Row],[공격실패횟수]]+표2[[#This Row],[공격성공횟수]])</f>
        <v>0.26666666666666666</v>
      </c>
    </row>
    <row r="871" spans="1:8" hidden="1" x14ac:dyDescent="0.4">
      <c r="A871">
        <v>435</v>
      </c>
      <c r="B871" t="s">
        <v>2</v>
      </c>
      <c r="C871">
        <v>0</v>
      </c>
      <c r="D871">
        <v>2</v>
      </c>
      <c r="E871">
        <v>13</v>
      </c>
      <c r="F871">
        <v>4</v>
      </c>
      <c r="G871">
        <v>1</v>
      </c>
      <c r="H871">
        <f>표2[[#This Row],[공격성공횟수]]/(표2[[#This Row],[공격실패횟수]]+표2[[#This Row],[공격성공횟수]])</f>
        <v>0.13333333333333333</v>
      </c>
    </row>
    <row r="872" spans="1:8" x14ac:dyDescent="0.4">
      <c r="A872">
        <v>436</v>
      </c>
      <c r="B872" t="s">
        <v>0</v>
      </c>
      <c r="C872">
        <v>0</v>
      </c>
      <c r="D872">
        <v>3</v>
      </c>
      <c r="E872">
        <v>5</v>
      </c>
      <c r="F872">
        <v>4</v>
      </c>
      <c r="G872">
        <v>1</v>
      </c>
      <c r="H872">
        <f>표2[[#This Row],[공격성공횟수]]/(표2[[#This Row],[공격실패횟수]]+표2[[#This Row],[공격성공횟수]])</f>
        <v>0.375</v>
      </c>
    </row>
    <row r="873" spans="1:8" hidden="1" x14ac:dyDescent="0.4">
      <c r="A873">
        <v>436</v>
      </c>
      <c r="B873" t="s">
        <v>2</v>
      </c>
      <c r="C873">
        <v>1</v>
      </c>
      <c r="D873">
        <v>4</v>
      </c>
      <c r="E873">
        <v>6</v>
      </c>
      <c r="F873">
        <v>3</v>
      </c>
      <c r="G873">
        <v>0</v>
      </c>
      <c r="H873">
        <f>표2[[#This Row],[공격성공횟수]]/(표2[[#This Row],[공격실패횟수]]+표2[[#This Row],[공격성공횟수]])</f>
        <v>0.4</v>
      </c>
    </row>
    <row r="874" spans="1:8" x14ac:dyDescent="0.4">
      <c r="A874">
        <v>437</v>
      </c>
      <c r="B874" t="s">
        <v>0</v>
      </c>
      <c r="C874">
        <v>1</v>
      </c>
      <c r="D874">
        <v>4</v>
      </c>
      <c r="E874">
        <v>6</v>
      </c>
      <c r="F874">
        <v>1</v>
      </c>
      <c r="G874">
        <v>0</v>
      </c>
      <c r="H874">
        <f>표2[[#This Row],[공격성공횟수]]/(표2[[#This Row],[공격실패횟수]]+표2[[#This Row],[공격성공횟수]])</f>
        <v>0.4</v>
      </c>
    </row>
    <row r="875" spans="1:8" hidden="1" x14ac:dyDescent="0.4">
      <c r="A875">
        <v>437</v>
      </c>
      <c r="B875" t="s">
        <v>2</v>
      </c>
      <c r="C875">
        <v>0</v>
      </c>
      <c r="D875">
        <v>1</v>
      </c>
      <c r="E875">
        <v>8</v>
      </c>
      <c r="F875">
        <v>4</v>
      </c>
      <c r="G875">
        <v>1</v>
      </c>
      <c r="H875">
        <f>표2[[#This Row],[공격성공횟수]]/(표2[[#This Row],[공격실패횟수]]+표2[[#This Row],[공격성공횟수]])</f>
        <v>0.1111111111111111</v>
      </c>
    </row>
    <row r="876" spans="1:8" x14ac:dyDescent="0.4">
      <c r="A876">
        <v>438</v>
      </c>
      <c r="B876" t="s">
        <v>0</v>
      </c>
      <c r="C876">
        <v>1</v>
      </c>
      <c r="D876">
        <v>4</v>
      </c>
      <c r="E876">
        <v>18</v>
      </c>
      <c r="F876">
        <v>2</v>
      </c>
      <c r="G876">
        <v>0</v>
      </c>
      <c r="H876">
        <f>표2[[#This Row],[공격성공횟수]]/(표2[[#This Row],[공격실패횟수]]+표2[[#This Row],[공격성공횟수]])</f>
        <v>0.18181818181818182</v>
      </c>
    </row>
    <row r="877" spans="1:8" hidden="1" x14ac:dyDescent="0.4">
      <c r="A877">
        <v>438</v>
      </c>
      <c r="B877" t="s">
        <v>2</v>
      </c>
      <c r="C877">
        <v>0</v>
      </c>
      <c r="D877">
        <v>2</v>
      </c>
      <c r="E877">
        <v>19</v>
      </c>
      <c r="F877">
        <v>4</v>
      </c>
      <c r="G877">
        <v>1</v>
      </c>
      <c r="H877">
        <f>표2[[#This Row],[공격성공횟수]]/(표2[[#This Row],[공격실패횟수]]+표2[[#This Row],[공격성공횟수]])</f>
        <v>9.5238095238095233E-2</v>
      </c>
    </row>
    <row r="878" spans="1:8" x14ac:dyDescent="0.4">
      <c r="A878">
        <v>439</v>
      </c>
      <c r="B878" t="s">
        <v>0</v>
      </c>
      <c r="C878">
        <v>1</v>
      </c>
      <c r="D878">
        <v>4</v>
      </c>
      <c r="E878">
        <v>7</v>
      </c>
      <c r="F878">
        <v>2</v>
      </c>
      <c r="G878">
        <v>0</v>
      </c>
      <c r="H878">
        <f>표2[[#This Row],[공격성공횟수]]/(표2[[#This Row],[공격실패횟수]]+표2[[#This Row],[공격성공횟수]])</f>
        <v>0.36363636363636365</v>
      </c>
    </row>
    <row r="879" spans="1:8" hidden="1" x14ac:dyDescent="0.4">
      <c r="A879">
        <v>439</v>
      </c>
      <c r="B879" t="s">
        <v>2</v>
      </c>
      <c r="C879">
        <v>0</v>
      </c>
      <c r="D879">
        <v>2</v>
      </c>
      <c r="E879">
        <v>10</v>
      </c>
      <c r="F879">
        <v>4</v>
      </c>
      <c r="G879">
        <v>1</v>
      </c>
      <c r="H879">
        <f>표2[[#This Row],[공격성공횟수]]/(표2[[#This Row],[공격실패횟수]]+표2[[#This Row],[공격성공횟수]])</f>
        <v>0.16666666666666666</v>
      </c>
    </row>
    <row r="880" spans="1:8" x14ac:dyDescent="0.4">
      <c r="A880">
        <v>440</v>
      </c>
      <c r="B880" t="s">
        <v>0</v>
      </c>
      <c r="C880">
        <v>1</v>
      </c>
      <c r="D880">
        <v>4</v>
      </c>
      <c r="E880">
        <v>15</v>
      </c>
      <c r="F880">
        <v>1</v>
      </c>
      <c r="G880">
        <v>0</v>
      </c>
      <c r="H880">
        <f>표2[[#This Row],[공격성공횟수]]/(표2[[#This Row],[공격실패횟수]]+표2[[#This Row],[공격성공횟수]])</f>
        <v>0.21052631578947367</v>
      </c>
    </row>
    <row r="881" spans="1:8" hidden="1" x14ac:dyDescent="0.4">
      <c r="A881">
        <v>440</v>
      </c>
      <c r="B881" t="s">
        <v>2</v>
      </c>
      <c r="C881">
        <v>0</v>
      </c>
      <c r="D881">
        <v>1</v>
      </c>
      <c r="E881">
        <v>18</v>
      </c>
      <c r="F881">
        <v>4</v>
      </c>
      <c r="G881">
        <v>1</v>
      </c>
      <c r="H881">
        <f>표2[[#This Row],[공격성공횟수]]/(표2[[#This Row],[공격실패횟수]]+표2[[#This Row],[공격성공횟수]])</f>
        <v>5.2631578947368418E-2</v>
      </c>
    </row>
    <row r="882" spans="1:8" x14ac:dyDescent="0.4">
      <c r="A882">
        <v>441</v>
      </c>
      <c r="B882" t="s">
        <v>0</v>
      </c>
      <c r="C882">
        <v>1</v>
      </c>
      <c r="D882">
        <v>4</v>
      </c>
      <c r="E882">
        <v>16</v>
      </c>
      <c r="F882">
        <v>2</v>
      </c>
      <c r="G882">
        <v>0</v>
      </c>
      <c r="H882">
        <f>표2[[#This Row],[공격성공횟수]]/(표2[[#This Row],[공격실패횟수]]+표2[[#This Row],[공격성공횟수]])</f>
        <v>0.2</v>
      </c>
    </row>
    <row r="883" spans="1:8" hidden="1" x14ac:dyDescent="0.4">
      <c r="A883">
        <v>441</v>
      </c>
      <c r="B883" t="s">
        <v>2</v>
      </c>
      <c r="C883">
        <v>0</v>
      </c>
      <c r="D883">
        <v>2</v>
      </c>
      <c r="E883">
        <v>19</v>
      </c>
      <c r="F883">
        <v>4</v>
      </c>
      <c r="G883">
        <v>1</v>
      </c>
      <c r="H883">
        <f>표2[[#This Row],[공격성공횟수]]/(표2[[#This Row],[공격실패횟수]]+표2[[#This Row],[공격성공횟수]])</f>
        <v>9.5238095238095233E-2</v>
      </c>
    </row>
    <row r="884" spans="1:8" x14ac:dyDescent="0.4">
      <c r="A884">
        <v>442</v>
      </c>
      <c r="B884" t="s">
        <v>0</v>
      </c>
      <c r="C884">
        <v>0</v>
      </c>
      <c r="D884">
        <v>3</v>
      </c>
      <c r="E884">
        <v>37</v>
      </c>
      <c r="F884">
        <v>4</v>
      </c>
      <c r="G884">
        <v>1</v>
      </c>
      <c r="H884">
        <f>표2[[#This Row],[공격성공횟수]]/(표2[[#This Row],[공격실패횟수]]+표2[[#This Row],[공격성공횟수]])</f>
        <v>7.4999999999999997E-2</v>
      </c>
    </row>
    <row r="885" spans="1:8" hidden="1" x14ac:dyDescent="0.4">
      <c r="A885">
        <v>442</v>
      </c>
      <c r="B885" t="s">
        <v>2</v>
      </c>
      <c r="C885">
        <v>1</v>
      </c>
      <c r="D885">
        <v>4</v>
      </c>
      <c r="E885">
        <v>37</v>
      </c>
      <c r="F885">
        <v>3</v>
      </c>
      <c r="G885">
        <v>0</v>
      </c>
      <c r="H885">
        <f>표2[[#This Row],[공격성공횟수]]/(표2[[#This Row],[공격실패횟수]]+표2[[#This Row],[공격성공횟수]])</f>
        <v>9.7560975609756101E-2</v>
      </c>
    </row>
    <row r="886" spans="1:8" x14ac:dyDescent="0.4">
      <c r="A886">
        <v>443</v>
      </c>
      <c r="B886" t="s">
        <v>0</v>
      </c>
      <c r="C886">
        <v>0</v>
      </c>
      <c r="D886">
        <v>3</v>
      </c>
      <c r="E886">
        <v>9</v>
      </c>
      <c r="F886">
        <v>4</v>
      </c>
      <c r="G886">
        <v>1</v>
      </c>
      <c r="H886">
        <f>표2[[#This Row],[공격성공횟수]]/(표2[[#This Row],[공격실패횟수]]+표2[[#This Row],[공격성공횟수]])</f>
        <v>0.25</v>
      </c>
    </row>
    <row r="887" spans="1:8" hidden="1" x14ac:dyDescent="0.4">
      <c r="A887">
        <v>443</v>
      </c>
      <c r="B887" t="s">
        <v>2</v>
      </c>
      <c r="C887">
        <v>1</v>
      </c>
      <c r="D887">
        <v>4</v>
      </c>
      <c r="E887">
        <v>9</v>
      </c>
      <c r="F887">
        <v>3</v>
      </c>
      <c r="G887">
        <v>0</v>
      </c>
      <c r="H887">
        <f>표2[[#This Row],[공격성공횟수]]/(표2[[#This Row],[공격실패횟수]]+표2[[#This Row],[공격성공횟수]])</f>
        <v>0.30769230769230771</v>
      </c>
    </row>
    <row r="888" spans="1:8" x14ac:dyDescent="0.4">
      <c r="A888">
        <v>444</v>
      </c>
      <c r="B888" t="s">
        <v>0</v>
      </c>
      <c r="C888">
        <v>1</v>
      </c>
      <c r="D888">
        <v>4</v>
      </c>
      <c r="E888">
        <v>7</v>
      </c>
      <c r="F888">
        <v>0</v>
      </c>
      <c r="G888">
        <v>0</v>
      </c>
      <c r="H888">
        <f>표2[[#This Row],[공격성공횟수]]/(표2[[#This Row],[공격실패횟수]]+표2[[#This Row],[공격성공횟수]])</f>
        <v>0.36363636363636365</v>
      </c>
    </row>
    <row r="889" spans="1:8" hidden="1" x14ac:dyDescent="0.4">
      <c r="A889">
        <v>444</v>
      </c>
      <c r="B889" t="s">
        <v>2</v>
      </c>
      <c r="C889">
        <v>0</v>
      </c>
      <c r="D889">
        <v>0</v>
      </c>
      <c r="E889">
        <v>10</v>
      </c>
      <c r="F889">
        <v>4</v>
      </c>
      <c r="G889">
        <v>1</v>
      </c>
      <c r="H889">
        <f>표2[[#This Row],[공격성공횟수]]/(표2[[#This Row],[공격실패횟수]]+표2[[#This Row],[공격성공횟수]])</f>
        <v>0</v>
      </c>
    </row>
    <row r="890" spans="1:8" x14ac:dyDescent="0.4">
      <c r="A890">
        <v>445</v>
      </c>
      <c r="B890" t="s">
        <v>0</v>
      </c>
      <c r="C890">
        <v>1</v>
      </c>
      <c r="D890">
        <v>4</v>
      </c>
      <c r="E890">
        <v>16</v>
      </c>
      <c r="F890">
        <v>2</v>
      </c>
      <c r="G890">
        <v>0</v>
      </c>
      <c r="H890">
        <f>표2[[#This Row],[공격성공횟수]]/(표2[[#This Row],[공격실패횟수]]+표2[[#This Row],[공격성공횟수]])</f>
        <v>0.2</v>
      </c>
    </row>
    <row r="891" spans="1:8" hidden="1" x14ac:dyDescent="0.4">
      <c r="A891">
        <v>445</v>
      </c>
      <c r="B891" t="s">
        <v>2</v>
      </c>
      <c r="C891">
        <v>0</v>
      </c>
      <c r="D891">
        <v>2</v>
      </c>
      <c r="E891">
        <v>17</v>
      </c>
      <c r="F891">
        <v>4</v>
      </c>
      <c r="G891">
        <v>1</v>
      </c>
      <c r="H891">
        <f>표2[[#This Row],[공격성공횟수]]/(표2[[#This Row],[공격실패횟수]]+표2[[#This Row],[공격성공횟수]])</f>
        <v>0.10526315789473684</v>
      </c>
    </row>
    <row r="892" spans="1:8" x14ac:dyDescent="0.4">
      <c r="A892">
        <v>446</v>
      </c>
      <c r="B892" t="s">
        <v>0</v>
      </c>
      <c r="C892">
        <v>0</v>
      </c>
      <c r="D892">
        <v>2</v>
      </c>
      <c r="E892">
        <v>15</v>
      </c>
      <c r="F892">
        <v>4</v>
      </c>
      <c r="G892">
        <v>1</v>
      </c>
      <c r="H892">
        <f>표2[[#This Row],[공격성공횟수]]/(표2[[#This Row],[공격실패횟수]]+표2[[#This Row],[공격성공횟수]])</f>
        <v>0.11764705882352941</v>
      </c>
    </row>
    <row r="893" spans="1:8" hidden="1" x14ac:dyDescent="0.4">
      <c r="A893">
        <v>446</v>
      </c>
      <c r="B893" t="s">
        <v>2</v>
      </c>
      <c r="C893">
        <v>1</v>
      </c>
      <c r="D893">
        <v>4</v>
      </c>
      <c r="E893">
        <v>15</v>
      </c>
      <c r="F893">
        <v>2</v>
      </c>
      <c r="G893">
        <v>0</v>
      </c>
      <c r="H893">
        <f>표2[[#This Row],[공격성공횟수]]/(표2[[#This Row],[공격실패횟수]]+표2[[#This Row],[공격성공횟수]])</f>
        <v>0.21052631578947367</v>
      </c>
    </row>
    <row r="894" spans="1:8" x14ac:dyDescent="0.4">
      <c r="A894">
        <v>447</v>
      </c>
      <c r="B894" t="s">
        <v>0</v>
      </c>
      <c r="C894">
        <v>1</v>
      </c>
      <c r="D894">
        <v>4</v>
      </c>
      <c r="E894">
        <v>39</v>
      </c>
      <c r="F894">
        <v>1</v>
      </c>
      <c r="G894">
        <v>0</v>
      </c>
      <c r="H894">
        <f>표2[[#This Row],[공격성공횟수]]/(표2[[#This Row],[공격실패횟수]]+표2[[#This Row],[공격성공횟수]])</f>
        <v>9.3023255813953487E-2</v>
      </c>
    </row>
    <row r="895" spans="1:8" hidden="1" x14ac:dyDescent="0.4">
      <c r="A895">
        <v>447</v>
      </c>
      <c r="B895" t="s">
        <v>2</v>
      </c>
      <c r="C895">
        <v>0</v>
      </c>
      <c r="D895">
        <v>1</v>
      </c>
      <c r="E895">
        <v>41</v>
      </c>
      <c r="F895">
        <v>4</v>
      </c>
      <c r="G895">
        <v>1</v>
      </c>
      <c r="H895">
        <f>표2[[#This Row],[공격성공횟수]]/(표2[[#This Row],[공격실패횟수]]+표2[[#This Row],[공격성공횟수]])</f>
        <v>2.3809523809523808E-2</v>
      </c>
    </row>
    <row r="896" spans="1:8" x14ac:dyDescent="0.4">
      <c r="A896">
        <v>448</v>
      </c>
      <c r="B896" t="s">
        <v>0</v>
      </c>
      <c r="C896">
        <v>1</v>
      </c>
      <c r="D896">
        <v>4</v>
      </c>
      <c r="E896">
        <v>11</v>
      </c>
      <c r="F896">
        <v>1</v>
      </c>
      <c r="G896">
        <v>0</v>
      </c>
      <c r="H896">
        <f>표2[[#This Row],[공격성공횟수]]/(표2[[#This Row],[공격실패횟수]]+표2[[#This Row],[공격성공횟수]])</f>
        <v>0.26666666666666666</v>
      </c>
    </row>
    <row r="897" spans="1:8" hidden="1" x14ac:dyDescent="0.4">
      <c r="A897">
        <v>448</v>
      </c>
      <c r="B897" t="s">
        <v>2</v>
      </c>
      <c r="C897">
        <v>0</v>
      </c>
      <c r="D897">
        <v>1</v>
      </c>
      <c r="E897">
        <v>15</v>
      </c>
      <c r="F897">
        <v>4</v>
      </c>
      <c r="G897">
        <v>1</v>
      </c>
      <c r="H897">
        <f>표2[[#This Row],[공격성공횟수]]/(표2[[#This Row],[공격실패횟수]]+표2[[#This Row],[공격성공횟수]])</f>
        <v>6.25E-2</v>
      </c>
    </row>
    <row r="898" spans="1:8" x14ac:dyDescent="0.4">
      <c r="A898">
        <v>449</v>
      </c>
      <c r="B898" t="s">
        <v>0</v>
      </c>
      <c r="C898">
        <v>1</v>
      </c>
      <c r="D898">
        <v>4</v>
      </c>
      <c r="E898">
        <v>7</v>
      </c>
      <c r="F898">
        <v>0</v>
      </c>
      <c r="G898">
        <v>0</v>
      </c>
      <c r="H898">
        <f>표2[[#This Row],[공격성공횟수]]/(표2[[#This Row],[공격실패횟수]]+표2[[#This Row],[공격성공횟수]])</f>
        <v>0.36363636363636365</v>
      </c>
    </row>
    <row r="899" spans="1:8" hidden="1" x14ac:dyDescent="0.4">
      <c r="A899">
        <v>449</v>
      </c>
      <c r="B899" t="s">
        <v>2</v>
      </c>
      <c r="C899">
        <v>0</v>
      </c>
      <c r="D899">
        <v>0</v>
      </c>
      <c r="E899">
        <v>11</v>
      </c>
      <c r="F899">
        <v>4</v>
      </c>
      <c r="G899">
        <v>1</v>
      </c>
      <c r="H899">
        <f>표2[[#This Row],[공격성공횟수]]/(표2[[#This Row],[공격실패횟수]]+표2[[#This Row],[공격성공횟수]])</f>
        <v>0</v>
      </c>
    </row>
    <row r="900" spans="1:8" x14ac:dyDescent="0.4">
      <c r="A900">
        <v>450</v>
      </c>
      <c r="B900" t="s">
        <v>0</v>
      </c>
      <c r="C900">
        <v>1</v>
      </c>
      <c r="D900">
        <v>4</v>
      </c>
      <c r="E900">
        <v>11</v>
      </c>
      <c r="F900">
        <v>0</v>
      </c>
      <c r="G900">
        <v>0</v>
      </c>
      <c r="H900">
        <f>표2[[#This Row],[공격성공횟수]]/(표2[[#This Row],[공격실패횟수]]+표2[[#This Row],[공격성공횟수]])</f>
        <v>0.26666666666666666</v>
      </c>
    </row>
    <row r="901" spans="1:8" hidden="1" x14ac:dyDescent="0.4">
      <c r="A901">
        <v>450</v>
      </c>
      <c r="B901" t="s">
        <v>2</v>
      </c>
      <c r="C901">
        <v>0</v>
      </c>
      <c r="D901">
        <v>0</v>
      </c>
      <c r="E901">
        <v>15</v>
      </c>
      <c r="F901">
        <v>4</v>
      </c>
      <c r="G901">
        <v>1</v>
      </c>
      <c r="H901">
        <f>표2[[#This Row],[공격성공횟수]]/(표2[[#This Row],[공격실패횟수]]+표2[[#This Row],[공격성공횟수]])</f>
        <v>0</v>
      </c>
    </row>
    <row r="902" spans="1:8" x14ac:dyDescent="0.4">
      <c r="A902">
        <v>451</v>
      </c>
      <c r="B902" t="s">
        <v>0</v>
      </c>
      <c r="C902">
        <v>0</v>
      </c>
      <c r="D902">
        <v>1</v>
      </c>
      <c r="E902">
        <v>14</v>
      </c>
      <c r="F902">
        <v>4</v>
      </c>
      <c r="G902">
        <v>1</v>
      </c>
      <c r="H902">
        <f>표2[[#This Row],[공격성공횟수]]/(표2[[#This Row],[공격실패횟수]]+표2[[#This Row],[공격성공횟수]])</f>
        <v>6.6666666666666666E-2</v>
      </c>
    </row>
    <row r="903" spans="1:8" hidden="1" x14ac:dyDescent="0.4">
      <c r="A903">
        <v>451</v>
      </c>
      <c r="B903" t="s">
        <v>2</v>
      </c>
      <c r="C903">
        <v>1</v>
      </c>
      <c r="D903">
        <v>4</v>
      </c>
      <c r="E903">
        <v>13</v>
      </c>
      <c r="F903">
        <v>1</v>
      </c>
      <c r="G903">
        <v>0</v>
      </c>
      <c r="H903">
        <f>표2[[#This Row],[공격성공횟수]]/(표2[[#This Row],[공격실패횟수]]+표2[[#This Row],[공격성공횟수]])</f>
        <v>0.23529411764705882</v>
      </c>
    </row>
    <row r="904" spans="1:8" x14ac:dyDescent="0.4">
      <c r="A904">
        <v>452</v>
      </c>
      <c r="B904" t="s">
        <v>0</v>
      </c>
      <c r="C904">
        <v>1</v>
      </c>
      <c r="D904">
        <v>4</v>
      </c>
      <c r="E904">
        <v>9</v>
      </c>
      <c r="F904">
        <v>3</v>
      </c>
      <c r="G904">
        <v>0</v>
      </c>
      <c r="H904">
        <f>표2[[#This Row],[공격성공횟수]]/(표2[[#This Row],[공격실패횟수]]+표2[[#This Row],[공격성공횟수]])</f>
        <v>0.30769230769230771</v>
      </c>
    </row>
    <row r="905" spans="1:8" hidden="1" x14ac:dyDescent="0.4">
      <c r="A905">
        <v>452</v>
      </c>
      <c r="B905" t="s">
        <v>2</v>
      </c>
      <c r="C905">
        <v>0</v>
      </c>
      <c r="D905">
        <v>3</v>
      </c>
      <c r="E905">
        <v>10</v>
      </c>
      <c r="F905">
        <v>4</v>
      </c>
      <c r="G905">
        <v>1</v>
      </c>
      <c r="H905">
        <f>표2[[#This Row],[공격성공횟수]]/(표2[[#This Row],[공격실패횟수]]+표2[[#This Row],[공격성공횟수]])</f>
        <v>0.23076923076923078</v>
      </c>
    </row>
    <row r="906" spans="1:8" x14ac:dyDescent="0.4">
      <c r="A906">
        <v>453</v>
      </c>
      <c r="B906" t="s">
        <v>0</v>
      </c>
      <c r="C906">
        <v>1</v>
      </c>
      <c r="D906">
        <v>4</v>
      </c>
      <c r="E906">
        <v>14</v>
      </c>
      <c r="F906">
        <v>2</v>
      </c>
      <c r="G906">
        <v>0</v>
      </c>
      <c r="H906">
        <f>표2[[#This Row],[공격성공횟수]]/(표2[[#This Row],[공격실패횟수]]+표2[[#This Row],[공격성공횟수]])</f>
        <v>0.22222222222222221</v>
      </c>
    </row>
    <row r="907" spans="1:8" hidden="1" x14ac:dyDescent="0.4">
      <c r="A907">
        <v>453</v>
      </c>
      <c r="B907" t="s">
        <v>2</v>
      </c>
      <c r="C907">
        <v>0</v>
      </c>
      <c r="D907">
        <v>2</v>
      </c>
      <c r="E907">
        <v>16</v>
      </c>
      <c r="F907">
        <v>4</v>
      </c>
      <c r="G907">
        <v>1</v>
      </c>
      <c r="H907">
        <f>표2[[#This Row],[공격성공횟수]]/(표2[[#This Row],[공격실패횟수]]+표2[[#This Row],[공격성공횟수]])</f>
        <v>0.1111111111111111</v>
      </c>
    </row>
    <row r="908" spans="1:8" x14ac:dyDescent="0.4">
      <c r="A908">
        <v>454</v>
      </c>
      <c r="B908" t="s">
        <v>0</v>
      </c>
      <c r="C908">
        <v>1</v>
      </c>
      <c r="D908">
        <v>4</v>
      </c>
      <c r="E908">
        <v>44</v>
      </c>
      <c r="F908">
        <v>1</v>
      </c>
      <c r="G908">
        <v>0</v>
      </c>
      <c r="H908">
        <f>표2[[#This Row],[공격성공횟수]]/(표2[[#This Row],[공격실패횟수]]+표2[[#This Row],[공격성공횟수]])</f>
        <v>8.3333333333333329E-2</v>
      </c>
    </row>
    <row r="909" spans="1:8" hidden="1" x14ac:dyDescent="0.4">
      <c r="A909">
        <v>454</v>
      </c>
      <c r="B909" t="s">
        <v>2</v>
      </c>
      <c r="C909">
        <v>0</v>
      </c>
      <c r="D909">
        <v>1</v>
      </c>
      <c r="E909">
        <v>46</v>
      </c>
      <c r="F909">
        <v>4</v>
      </c>
      <c r="G909">
        <v>1</v>
      </c>
      <c r="H909">
        <f>표2[[#This Row],[공격성공횟수]]/(표2[[#This Row],[공격실패횟수]]+표2[[#This Row],[공격성공횟수]])</f>
        <v>2.1276595744680851E-2</v>
      </c>
    </row>
    <row r="910" spans="1:8" x14ac:dyDescent="0.4">
      <c r="A910">
        <v>455</v>
      </c>
      <c r="B910" t="s">
        <v>0</v>
      </c>
      <c r="C910">
        <v>1</v>
      </c>
      <c r="D910">
        <v>4</v>
      </c>
      <c r="E910">
        <v>4</v>
      </c>
      <c r="F910">
        <v>1</v>
      </c>
      <c r="G910">
        <v>0</v>
      </c>
      <c r="H910">
        <f>표2[[#This Row],[공격성공횟수]]/(표2[[#This Row],[공격실패횟수]]+표2[[#This Row],[공격성공횟수]])</f>
        <v>0.5</v>
      </c>
    </row>
    <row r="911" spans="1:8" hidden="1" x14ac:dyDescent="0.4">
      <c r="A911">
        <v>455</v>
      </c>
      <c r="B911" t="s">
        <v>2</v>
      </c>
      <c r="C911">
        <v>0</v>
      </c>
      <c r="D911">
        <v>1</v>
      </c>
      <c r="E911">
        <v>8</v>
      </c>
      <c r="F911">
        <v>4</v>
      </c>
      <c r="G911">
        <v>1</v>
      </c>
      <c r="H911">
        <f>표2[[#This Row],[공격성공횟수]]/(표2[[#This Row],[공격실패횟수]]+표2[[#This Row],[공격성공횟수]])</f>
        <v>0.1111111111111111</v>
      </c>
    </row>
    <row r="912" spans="1:8" x14ac:dyDescent="0.4">
      <c r="A912">
        <v>456</v>
      </c>
      <c r="B912" t="s">
        <v>0</v>
      </c>
      <c r="C912">
        <v>1</v>
      </c>
      <c r="D912">
        <v>4</v>
      </c>
      <c r="E912">
        <v>5</v>
      </c>
      <c r="F912">
        <v>1</v>
      </c>
      <c r="G912">
        <v>0</v>
      </c>
      <c r="H912">
        <f>표2[[#This Row],[공격성공횟수]]/(표2[[#This Row],[공격실패횟수]]+표2[[#This Row],[공격성공횟수]])</f>
        <v>0.44444444444444442</v>
      </c>
    </row>
    <row r="913" spans="1:8" hidden="1" x14ac:dyDescent="0.4">
      <c r="A913">
        <v>456</v>
      </c>
      <c r="B913" t="s">
        <v>2</v>
      </c>
      <c r="C913">
        <v>0</v>
      </c>
      <c r="D913">
        <v>1</v>
      </c>
      <c r="E913">
        <v>8</v>
      </c>
      <c r="F913">
        <v>4</v>
      </c>
      <c r="G913">
        <v>1</v>
      </c>
      <c r="H913">
        <f>표2[[#This Row],[공격성공횟수]]/(표2[[#This Row],[공격실패횟수]]+표2[[#This Row],[공격성공횟수]])</f>
        <v>0.1111111111111111</v>
      </c>
    </row>
    <row r="914" spans="1:8" x14ac:dyDescent="0.4">
      <c r="A914">
        <v>457</v>
      </c>
      <c r="B914" t="s">
        <v>0</v>
      </c>
      <c r="C914">
        <v>1</v>
      </c>
      <c r="D914">
        <v>4</v>
      </c>
      <c r="E914">
        <v>17</v>
      </c>
      <c r="F914">
        <v>3</v>
      </c>
      <c r="G914">
        <v>0</v>
      </c>
      <c r="H914">
        <f>표2[[#This Row],[공격성공횟수]]/(표2[[#This Row],[공격실패횟수]]+표2[[#This Row],[공격성공횟수]])</f>
        <v>0.19047619047619047</v>
      </c>
    </row>
    <row r="915" spans="1:8" hidden="1" x14ac:dyDescent="0.4">
      <c r="A915">
        <v>457</v>
      </c>
      <c r="B915" t="s">
        <v>2</v>
      </c>
      <c r="C915">
        <v>0</v>
      </c>
      <c r="D915">
        <v>3</v>
      </c>
      <c r="E915">
        <v>16</v>
      </c>
      <c r="F915">
        <v>4</v>
      </c>
      <c r="G915">
        <v>1</v>
      </c>
      <c r="H915">
        <f>표2[[#This Row],[공격성공횟수]]/(표2[[#This Row],[공격실패횟수]]+표2[[#This Row],[공격성공횟수]])</f>
        <v>0.15789473684210525</v>
      </c>
    </row>
    <row r="916" spans="1:8" x14ac:dyDescent="0.4">
      <c r="A916">
        <v>458</v>
      </c>
      <c r="B916" t="s">
        <v>0</v>
      </c>
      <c r="C916">
        <v>0</v>
      </c>
      <c r="D916">
        <v>0</v>
      </c>
      <c r="E916">
        <v>8</v>
      </c>
      <c r="F916">
        <v>4</v>
      </c>
      <c r="G916">
        <v>1</v>
      </c>
      <c r="H916">
        <f>표2[[#This Row],[공격성공횟수]]/(표2[[#This Row],[공격실패횟수]]+표2[[#This Row],[공격성공횟수]])</f>
        <v>0</v>
      </c>
    </row>
    <row r="917" spans="1:8" hidden="1" x14ac:dyDescent="0.4">
      <c r="A917">
        <v>458</v>
      </c>
      <c r="B917" t="s">
        <v>2</v>
      </c>
      <c r="C917">
        <v>1</v>
      </c>
      <c r="D917">
        <v>4</v>
      </c>
      <c r="E917">
        <v>6</v>
      </c>
      <c r="F917">
        <v>0</v>
      </c>
      <c r="G917">
        <v>0</v>
      </c>
      <c r="H917">
        <f>표2[[#This Row],[공격성공횟수]]/(표2[[#This Row],[공격실패횟수]]+표2[[#This Row],[공격성공횟수]])</f>
        <v>0.4</v>
      </c>
    </row>
    <row r="918" spans="1:8" x14ac:dyDescent="0.4">
      <c r="A918">
        <v>459</v>
      </c>
      <c r="B918" t="s">
        <v>0</v>
      </c>
      <c r="C918">
        <v>0</v>
      </c>
      <c r="D918">
        <v>1</v>
      </c>
      <c r="E918">
        <v>11</v>
      </c>
      <c r="F918">
        <v>4</v>
      </c>
      <c r="G918">
        <v>1</v>
      </c>
      <c r="H918">
        <f>표2[[#This Row],[공격성공횟수]]/(표2[[#This Row],[공격실패횟수]]+표2[[#This Row],[공격성공횟수]])</f>
        <v>8.3333333333333329E-2</v>
      </c>
    </row>
    <row r="919" spans="1:8" hidden="1" x14ac:dyDescent="0.4">
      <c r="A919">
        <v>459</v>
      </c>
      <c r="B919" t="s">
        <v>2</v>
      </c>
      <c r="C919">
        <v>1</v>
      </c>
      <c r="D919">
        <v>4</v>
      </c>
      <c r="E919">
        <v>8</v>
      </c>
      <c r="F919">
        <v>1</v>
      </c>
      <c r="G919">
        <v>0</v>
      </c>
      <c r="H919">
        <f>표2[[#This Row],[공격성공횟수]]/(표2[[#This Row],[공격실패횟수]]+표2[[#This Row],[공격성공횟수]])</f>
        <v>0.33333333333333331</v>
      </c>
    </row>
    <row r="920" spans="1:8" x14ac:dyDescent="0.4">
      <c r="A920">
        <v>460</v>
      </c>
      <c r="B920" t="s">
        <v>0</v>
      </c>
      <c r="C920">
        <v>1</v>
      </c>
      <c r="D920">
        <v>4</v>
      </c>
      <c r="E920">
        <v>13</v>
      </c>
      <c r="F920">
        <v>3</v>
      </c>
      <c r="G920">
        <v>0</v>
      </c>
      <c r="H920">
        <f>표2[[#This Row],[공격성공횟수]]/(표2[[#This Row],[공격실패횟수]]+표2[[#This Row],[공격성공횟수]])</f>
        <v>0.23529411764705882</v>
      </c>
    </row>
    <row r="921" spans="1:8" hidden="1" x14ac:dyDescent="0.4">
      <c r="A921">
        <v>460</v>
      </c>
      <c r="B921" t="s">
        <v>2</v>
      </c>
      <c r="C921">
        <v>0</v>
      </c>
      <c r="D921">
        <v>3</v>
      </c>
      <c r="E921">
        <v>17</v>
      </c>
      <c r="F921">
        <v>4</v>
      </c>
      <c r="G921">
        <v>1</v>
      </c>
      <c r="H921">
        <f>표2[[#This Row],[공격성공횟수]]/(표2[[#This Row],[공격실패횟수]]+표2[[#This Row],[공격성공횟수]])</f>
        <v>0.15</v>
      </c>
    </row>
    <row r="922" spans="1:8" x14ac:dyDescent="0.4">
      <c r="A922">
        <v>461</v>
      </c>
      <c r="B922" t="s">
        <v>0</v>
      </c>
      <c r="C922">
        <v>1</v>
      </c>
      <c r="D922">
        <v>4</v>
      </c>
      <c r="E922">
        <v>14</v>
      </c>
      <c r="F922">
        <v>1</v>
      </c>
      <c r="G922">
        <v>0</v>
      </c>
      <c r="H922">
        <f>표2[[#This Row],[공격성공횟수]]/(표2[[#This Row],[공격실패횟수]]+표2[[#This Row],[공격성공횟수]])</f>
        <v>0.22222222222222221</v>
      </c>
    </row>
    <row r="923" spans="1:8" hidden="1" x14ac:dyDescent="0.4">
      <c r="A923">
        <v>461</v>
      </c>
      <c r="B923" t="s">
        <v>2</v>
      </c>
      <c r="C923">
        <v>0</v>
      </c>
      <c r="D923">
        <v>1</v>
      </c>
      <c r="E923">
        <v>17</v>
      </c>
      <c r="F923">
        <v>4</v>
      </c>
      <c r="G923">
        <v>1</v>
      </c>
      <c r="H923">
        <f>표2[[#This Row],[공격성공횟수]]/(표2[[#This Row],[공격실패횟수]]+표2[[#This Row],[공격성공횟수]])</f>
        <v>5.5555555555555552E-2</v>
      </c>
    </row>
    <row r="924" spans="1:8" x14ac:dyDescent="0.4">
      <c r="A924">
        <v>462</v>
      </c>
      <c r="B924" t="s">
        <v>0</v>
      </c>
      <c r="C924">
        <v>1</v>
      </c>
      <c r="D924">
        <v>4</v>
      </c>
      <c r="E924">
        <v>7</v>
      </c>
      <c r="F924">
        <v>2</v>
      </c>
      <c r="G924">
        <v>0</v>
      </c>
      <c r="H924">
        <f>표2[[#This Row],[공격성공횟수]]/(표2[[#This Row],[공격실패횟수]]+표2[[#This Row],[공격성공횟수]])</f>
        <v>0.36363636363636365</v>
      </c>
    </row>
    <row r="925" spans="1:8" hidden="1" x14ac:dyDescent="0.4">
      <c r="A925">
        <v>462</v>
      </c>
      <c r="B925" t="s">
        <v>2</v>
      </c>
      <c r="C925">
        <v>0</v>
      </c>
      <c r="D925">
        <v>2</v>
      </c>
      <c r="E925">
        <v>9</v>
      </c>
      <c r="F925">
        <v>4</v>
      </c>
      <c r="G925">
        <v>1</v>
      </c>
      <c r="H925">
        <f>표2[[#This Row],[공격성공횟수]]/(표2[[#This Row],[공격실패횟수]]+표2[[#This Row],[공격성공횟수]])</f>
        <v>0.18181818181818182</v>
      </c>
    </row>
    <row r="926" spans="1:8" x14ac:dyDescent="0.4">
      <c r="A926">
        <v>463</v>
      </c>
      <c r="B926" t="s">
        <v>0</v>
      </c>
      <c r="C926">
        <v>0</v>
      </c>
      <c r="D926">
        <v>3</v>
      </c>
      <c r="E926">
        <v>8</v>
      </c>
      <c r="F926">
        <v>4</v>
      </c>
      <c r="G926">
        <v>1</v>
      </c>
      <c r="H926">
        <f>표2[[#This Row],[공격성공횟수]]/(표2[[#This Row],[공격실패횟수]]+표2[[#This Row],[공격성공횟수]])</f>
        <v>0.27272727272727271</v>
      </c>
    </row>
    <row r="927" spans="1:8" hidden="1" x14ac:dyDescent="0.4">
      <c r="A927">
        <v>463</v>
      </c>
      <c r="B927" t="s">
        <v>2</v>
      </c>
      <c r="C927">
        <v>1</v>
      </c>
      <c r="D927">
        <v>4</v>
      </c>
      <c r="E927">
        <v>8</v>
      </c>
      <c r="F927">
        <v>3</v>
      </c>
      <c r="G927">
        <v>0</v>
      </c>
      <c r="H927">
        <f>표2[[#This Row],[공격성공횟수]]/(표2[[#This Row],[공격실패횟수]]+표2[[#This Row],[공격성공횟수]])</f>
        <v>0.33333333333333331</v>
      </c>
    </row>
    <row r="928" spans="1:8" x14ac:dyDescent="0.4">
      <c r="A928">
        <v>464</v>
      </c>
      <c r="B928" t="s">
        <v>0</v>
      </c>
      <c r="C928">
        <v>0</v>
      </c>
      <c r="D928">
        <v>3</v>
      </c>
      <c r="E928">
        <v>8</v>
      </c>
      <c r="F928">
        <v>4</v>
      </c>
      <c r="G928">
        <v>1</v>
      </c>
      <c r="H928">
        <f>표2[[#This Row],[공격성공횟수]]/(표2[[#This Row],[공격실패횟수]]+표2[[#This Row],[공격성공횟수]])</f>
        <v>0.27272727272727271</v>
      </c>
    </row>
    <row r="929" spans="1:8" hidden="1" x14ac:dyDescent="0.4">
      <c r="A929">
        <v>464</v>
      </c>
      <c r="B929" t="s">
        <v>2</v>
      </c>
      <c r="C929">
        <v>1</v>
      </c>
      <c r="D929">
        <v>4</v>
      </c>
      <c r="E929">
        <v>8</v>
      </c>
      <c r="F929">
        <v>3</v>
      </c>
      <c r="G929">
        <v>0</v>
      </c>
      <c r="H929">
        <f>표2[[#This Row],[공격성공횟수]]/(표2[[#This Row],[공격실패횟수]]+표2[[#This Row],[공격성공횟수]])</f>
        <v>0.33333333333333331</v>
      </c>
    </row>
    <row r="930" spans="1:8" x14ac:dyDescent="0.4">
      <c r="A930">
        <v>465</v>
      </c>
      <c r="B930" t="s">
        <v>0</v>
      </c>
      <c r="C930">
        <v>1</v>
      </c>
      <c r="D930">
        <v>4</v>
      </c>
      <c r="E930">
        <v>20</v>
      </c>
      <c r="F930">
        <v>1</v>
      </c>
      <c r="G930">
        <v>0</v>
      </c>
      <c r="H930">
        <f>표2[[#This Row],[공격성공횟수]]/(표2[[#This Row],[공격실패횟수]]+표2[[#This Row],[공격성공횟수]])</f>
        <v>0.16666666666666666</v>
      </c>
    </row>
    <row r="931" spans="1:8" hidden="1" x14ac:dyDescent="0.4">
      <c r="A931">
        <v>465</v>
      </c>
      <c r="B931" t="s">
        <v>2</v>
      </c>
      <c r="C931">
        <v>0</v>
      </c>
      <c r="D931">
        <v>1</v>
      </c>
      <c r="E931">
        <v>24</v>
      </c>
      <c r="F931">
        <v>4</v>
      </c>
      <c r="G931">
        <v>1</v>
      </c>
      <c r="H931">
        <f>표2[[#This Row],[공격성공횟수]]/(표2[[#This Row],[공격실패횟수]]+표2[[#This Row],[공격성공횟수]])</f>
        <v>0.04</v>
      </c>
    </row>
    <row r="932" spans="1:8" x14ac:dyDescent="0.4">
      <c r="A932">
        <v>466</v>
      </c>
      <c r="B932" t="s">
        <v>0</v>
      </c>
      <c r="C932">
        <v>1</v>
      </c>
      <c r="D932">
        <v>4</v>
      </c>
      <c r="E932">
        <v>14</v>
      </c>
      <c r="F932">
        <v>3</v>
      </c>
      <c r="G932">
        <v>0</v>
      </c>
      <c r="H932">
        <f>표2[[#This Row],[공격성공횟수]]/(표2[[#This Row],[공격실패횟수]]+표2[[#This Row],[공격성공횟수]])</f>
        <v>0.22222222222222221</v>
      </c>
    </row>
    <row r="933" spans="1:8" hidden="1" x14ac:dyDescent="0.4">
      <c r="A933">
        <v>466</v>
      </c>
      <c r="B933" t="s">
        <v>2</v>
      </c>
      <c r="C933">
        <v>0</v>
      </c>
      <c r="D933">
        <v>3</v>
      </c>
      <c r="E933">
        <v>15</v>
      </c>
      <c r="F933">
        <v>4</v>
      </c>
      <c r="G933">
        <v>1</v>
      </c>
      <c r="H933">
        <f>표2[[#This Row],[공격성공횟수]]/(표2[[#This Row],[공격실패횟수]]+표2[[#This Row],[공격성공횟수]])</f>
        <v>0.16666666666666666</v>
      </c>
    </row>
    <row r="934" spans="1:8" x14ac:dyDescent="0.4">
      <c r="A934">
        <v>467</v>
      </c>
      <c r="B934" t="s">
        <v>0</v>
      </c>
      <c r="C934">
        <v>1</v>
      </c>
      <c r="D934">
        <v>4</v>
      </c>
      <c r="E934">
        <v>2</v>
      </c>
      <c r="F934">
        <v>1</v>
      </c>
      <c r="G934">
        <v>0</v>
      </c>
      <c r="H934">
        <f>표2[[#This Row],[공격성공횟수]]/(표2[[#This Row],[공격실패횟수]]+표2[[#This Row],[공격성공횟수]])</f>
        <v>0.66666666666666663</v>
      </c>
    </row>
    <row r="935" spans="1:8" hidden="1" x14ac:dyDescent="0.4">
      <c r="A935">
        <v>467</v>
      </c>
      <c r="B935" t="s">
        <v>2</v>
      </c>
      <c r="C935">
        <v>0</v>
      </c>
      <c r="D935">
        <v>1</v>
      </c>
      <c r="E935">
        <v>5</v>
      </c>
      <c r="F935">
        <v>4</v>
      </c>
      <c r="G935">
        <v>1</v>
      </c>
      <c r="H935">
        <f>표2[[#This Row],[공격성공횟수]]/(표2[[#This Row],[공격실패횟수]]+표2[[#This Row],[공격성공횟수]])</f>
        <v>0.16666666666666666</v>
      </c>
    </row>
    <row r="936" spans="1:8" x14ac:dyDescent="0.4">
      <c r="A936">
        <v>468</v>
      </c>
      <c r="B936" t="s">
        <v>0</v>
      </c>
      <c r="C936">
        <v>1</v>
      </c>
      <c r="D936">
        <v>4</v>
      </c>
      <c r="E936">
        <v>5</v>
      </c>
      <c r="F936">
        <v>2</v>
      </c>
      <c r="G936">
        <v>0</v>
      </c>
      <c r="H936">
        <f>표2[[#This Row],[공격성공횟수]]/(표2[[#This Row],[공격실패횟수]]+표2[[#This Row],[공격성공횟수]])</f>
        <v>0.44444444444444442</v>
      </c>
    </row>
    <row r="937" spans="1:8" hidden="1" x14ac:dyDescent="0.4">
      <c r="A937">
        <v>468</v>
      </c>
      <c r="B937" t="s">
        <v>2</v>
      </c>
      <c r="C937">
        <v>0</v>
      </c>
      <c r="D937">
        <v>2</v>
      </c>
      <c r="E937">
        <v>8</v>
      </c>
      <c r="F937">
        <v>4</v>
      </c>
      <c r="G937">
        <v>1</v>
      </c>
      <c r="H937">
        <f>표2[[#This Row],[공격성공횟수]]/(표2[[#This Row],[공격실패횟수]]+표2[[#This Row],[공격성공횟수]])</f>
        <v>0.2</v>
      </c>
    </row>
    <row r="938" spans="1:8" x14ac:dyDescent="0.4">
      <c r="A938">
        <v>469</v>
      </c>
      <c r="B938" t="s">
        <v>0</v>
      </c>
      <c r="C938">
        <v>1</v>
      </c>
      <c r="D938">
        <v>4</v>
      </c>
      <c r="E938">
        <v>28</v>
      </c>
      <c r="F938">
        <v>3</v>
      </c>
      <c r="G938">
        <v>0</v>
      </c>
      <c r="H938">
        <f>표2[[#This Row],[공격성공횟수]]/(표2[[#This Row],[공격실패횟수]]+표2[[#This Row],[공격성공횟수]])</f>
        <v>0.125</v>
      </c>
    </row>
    <row r="939" spans="1:8" hidden="1" x14ac:dyDescent="0.4">
      <c r="A939">
        <v>469</v>
      </c>
      <c r="B939" t="s">
        <v>2</v>
      </c>
      <c r="C939">
        <v>0</v>
      </c>
      <c r="D939">
        <v>3</v>
      </c>
      <c r="E939">
        <v>28</v>
      </c>
      <c r="F939">
        <v>4</v>
      </c>
      <c r="G939">
        <v>1</v>
      </c>
      <c r="H939">
        <f>표2[[#This Row],[공격성공횟수]]/(표2[[#This Row],[공격실패횟수]]+표2[[#This Row],[공격성공횟수]])</f>
        <v>9.6774193548387094E-2</v>
      </c>
    </row>
    <row r="940" spans="1:8" x14ac:dyDescent="0.4">
      <c r="A940">
        <v>470</v>
      </c>
      <c r="B940" t="s">
        <v>0</v>
      </c>
      <c r="C940">
        <v>0</v>
      </c>
      <c r="D940">
        <v>1</v>
      </c>
      <c r="E940">
        <v>82</v>
      </c>
      <c r="F940">
        <v>4</v>
      </c>
      <c r="G940">
        <v>1</v>
      </c>
      <c r="H940">
        <f>표2[[#This Row],[공격성공횟수]]/(표2[[#This Row],[공격실패횟수]]+표2[[#This Row],[공격성공횟수]])</f>
        <v>1.2048192771084338E-2</v>
      </c>
    </row>
    <row r="941" spans="1:8" hidden="1" x14ac:dyDescent="0.4">
      <c r="A941">
        <v>470</v>
      </c>
      <c r="B941" t="s">
        <v>2</v>
      </c>
      <c r="C941">
        <v>1</v>
      </c>
      <c r="D941">
        <v>4</v>
      </c>
      <c r="E941">
        <v>78</v>
      </c>
      <c r="F941">
        <v>1</v>
      </c>
      <c r="G941">
        <v>0</v>
      </c>
      <c r="H941">
        <f>표2[[#This Row],[공격성공횟수]]/(표2[[#This Row],[공격실패횟수]]+표2[[#This Row],[공격성공횟수]])</f>
        <v>4.878048780487805E-2</v>
      </c>
    </row>
    <row r="942" spans="1:8" x14ac:dyDescent="0.4">
      <c r="A942">
        <v>471</v>
      </c>
      <c r="B942" t="s">
        <v>0</v>
      </c>
      <c r="C942">
        <v>1</v>
      </c>
      <c r="D942">
        <v>4</v>
      </c>
      <c r="E942">
        <v>16</v>
      </c>
      <c r="F942">
        <v>2</v>
      </c>
      <c r="G942">
        <v>0</v>
      </c>
      <c r="H942">
        <f>표2[[#This Row],[공격성공횟수]]/(표2[[#This Row],[공격실패횟수]]+표2[[#This Row],[공격성공횟수]])</f>
        <v>0.2</v>
      </c>
    </row>
    <row r="943" spans="1:8" hidden="1" x14ac:dyDescent="0.4">
      <c r="A943">
        <v>471</v>
      </c>
      <c r="B943" t="s">
        <v>2</v>
      </c>
      <c r="C943">
        <v>0</v>
      </c>
      <c r="D943">
        <v>2</v>
      </c>
      <c r="E943">
        <v>17</v>
      </c>
      <c r="F943">
        <v>4</v>
      </c>
      <c r="G943">
        <v>1</v>
      </c>
      <c r="H943">
        <f>표2[[#This Row],[공격성공횟수]]/(표2[[#This Row],[공격실패횟수]]+표2[[#This Row],[공격성공횟수]])</f>
        <v>0.10526315789473684</v>
      </c>
    </row>
    <row r="944" spans="1:8" x14ac:dyDescent="0.4">
      <c r="A944">
        <v>472</v>
      </c>
      <c r="B944" t="s">
        <v>0</v>
      </c>
      <c r="C944">
        <v>1</v>
      </c>
      <c r="D944">
        <v>4</v>
      </c>
      <c r="E944">
        <v>16</v>
      </c>
      <c r="F944">
        <v>3</v>
      </c>
      <c r="G944">
        <v>0</v>
      </c>
      <c r="H944">
        <f>표2[[#This Row],[공격성공횟수]]/(표2[[#This Row],[공격실패횟수]]+표2[[#This Row],[공격성공횟수]])</f>
        <v>0.2</v>
      </c>
    </row>
    <row r="945" spans="1:8" hidden="1" x14ac:dyDescent="0.4">
      <c r="A945">
        <v>472</v>
      </c>
      <c r="B945" t="s">
        <v>2</v>
      </c>
      <c r="C945">
        <v>0</v>
      </c>
      <c r="D945">
        <v>3</v>
      </c>
      <c r="E945">
        <v>17</v>
      </c>
      <c r="F945">
        <v>4</v>
      </c>
      <c r="G945">
        <v>1</v>
      </c>
      <c r="H945">
        <f>표2[[#This Row],[공격성공횟수]]/(표2[[#This Row],[공격실패횟수]]+표2[[#This Row],[공격성공횟수]])</f>
        <v>0.15</v>
      </c>
    </row>
    <row r="946" spans="1:8" x14ac:dyDescent="0.4">
      <c r="A946">
        <v>473</v>
      </c>
      <c r="B946" t="s">
        <v>0</v>
      </c>
      <c r="C946">
        <v>1</v>
      </c>
      <c r="D946">
        <v>4</v>
      </c>
      <c r="E946">
        <v>15</v>
      </c>
      <c r="F946">
        <v>2</v>
      </c>
      <c r="G946">
        <v>0</v>
      </c>
      <c r="H946">
        <f>표2[[#This Row],[공격성공횟수]]/(표2[[#This Row],[공격실패횟수]]+표2[[#This Row],[공격성공횟수]])</f>
        <v>0.21052631578947367</v>
      </c>
    </row>
    <row r="947" spans="1:8" hidden="1" x14ac:dyDescent="0.4">
      <c r="A947">
        <v>473</v>
      </c>
      <c r="B947" t="s">
        <v>2</v>
      </c>
      <c r="C947">
        <v>0</v>
      </c>
      <c r="D947">
        <v>2</v>
      </c>
      <c r="E947">
        <v>18</v>
      </c>
      <c r="F947">
        <v>4</v>
      </c>
      <c r="G947">
        <v>1</v>
      </c>
      <c r="H947">
        <f>표2[[#This Row],[공격성공횟수]]/(표2[[#This Row],[공격실패횟수]]+표2[[#This Row],[공격성공횟수]])</f>
        <v>0.1</v>
      </c>
    </row>
    <row r="948" spans="1:8" x14ac:dyDescent="0.4">
      <c r="A948">
        <v>474</v>
      </c>
      <c r="B948" t="s">
        <v>0</v>
      </c>
      <c r="C948">
        <v>1</v>
      </c>
      <c r="D948">
        <v>4</v>
      </c>
      <c r="E948">
        <v>8</v>
      </c>
      <c r="F948">
        <v>2</v>
      </c>
      <c r="G948">
        <v>0</v>
      </c>
      <c r="H948">
        <f>표2[[#This Row],[공격성공횟수]]/(표2[[#This Row],[공격실패횟수]]+표2[[#This Row],[공격성공횟수]])</f>
        <v>0.33333333333333331</v>
      </c>
    </row>
    <row r="949" spans="1:8" hidden="1" x14ac:dyDescent="0.4">
      <c r="A949">
        <v>474</v>
      </c>
      <c r="B949" t="s">
        <v>2</v>
      </c>
      <c r="C949">
        <v>0</v>
      </c>
      <c r="D949">
        <v>2</v>
      </c>
      <c r="E949">
        <v>9</v>
      </c>
      <c r="F949">
        <v>4</v>
      </c>
      <c r="G949">
        <v>1</v>
      </c>
      <c r="H949">
        <f>표2[[#This Row],[공격성공횟수]]/(표2[[#This Row],[공격실패횟수]]+표2[[#This Row],[공격성공횟수]])</f>
        <v>0.18181818181818182</v>
      </c>
    </row>
    <row r="950" spans="1:8" x14ac:dyDescent="0.4">
      <c r="A950">
        <v>475</v>
      </c>
      <c r="B950" t="s">
        <v>0</v>
      </c>
      <c r="C950">
        <v>0</v>
      </c>
      <c r="D950">
        <v>1</v>
      </c>
      <c r="E950">
        <v>5</v>
      </c>
      <c r="F950">
        <v>4</v>
      </c>
      <c r="G950">
        <v>1</v>
      </c>
      <c r="H950">
        <f>표2[[#This Row],[공격성공횟수]]/(표2[[#This Row],[공격실패횟수]]+표2[[#This Row],[공격성공횟수]])</f>
        <v>0.16666666666666666</v>
      </c>
    </row>
    <row r="951" spans="1:8" hidden="1" x14ac:dyDescent="0.4">
      <c r="A951">
        <v>475</v>
      </c>
      <c r="B951" t="s">
        <v>2</v>
      </c>
      <c r="C951">
        <v>1</v>
      </c>
      <c r="D951">
        <v>4</v>
      </c>
      <c r="E951">
        <v>4</v>
      </c>
      <c r="F951">
        <v>1</v>
      </c>
      <c r="G951">
        <v>0</v>
      </c>
      <c r="H951">
        <f>표2[[#This Row],[공격성공횟수]]/(표2[[#This Row],[공격실패횟수]]+표2[[#This Row],[공격성공횟수]])</f>
        <v>0.5</v>
      </c>
    </row>
    <row r="952" spans="1:8" x14ac:dyDescent="0.4">
      <c r="A952">
        <v>476</v>
      </c>
      <c r="B952" t="s">
        <v>0</v>
      </c>
      <c r="C952">
        <v>1</v>
      </c>
      <c r="D952">
        <v>4</v>
      </c>
      <c r="E952">
        <v>24</v>
      </c>
      <c r="F952">
        <v>3</v>
      </c>
      <c r="G952">
        <v>0</v>
      </c>
      <c r="H952">
        <f>표2[[#This Row],[공격성공횟수]]/(표2[[#This Row],[공격실패횟수]]+표2[[#This Row],[공격성공횟수]])</f>
        <v>0.14285714285714285</v>
      </c>
    </row>
    <row r="953" spans="1:8" hidden="1" x14ac:dyDescent="0.4">
      <c r="A953">
        <v>476</v>
      </c>
      <c r="B953" t="s">
        <v>2</v>
      </c>
      <c r="C953">
        <v>0</v>
      </c>
      <c r="D953">
        <v>3</v>
      </c>
      <c r="E953">
        <v>23</v>
      </c>
      <c r="F953">
        <v>4</v>
      </c>
      <c r="G953">
        <v>1</v>
      </c>
      <c r="H953">
        <f>표2[[#This Row],[공격성공횟수]]/(표2[[#This Row],[공격실패횟수]]+표2[[#This Row],[공격성공횟수]])</f>
        <v>0.11538461538461539</v>
      </c>
    </row>
    <row r="954" spans="1:8" x14ac:dyDescent="0.4">
      <c r="A954">
        <v>477</v>
      </c>
      <c r="B954" t="s">
        <v>0</v>
      </c>
      <c r="C954">
        <v>1</v>
      </c>
      <c r="D954">
        <v>4</v>
      </c>
      <c r="E954">
        <v>7</v>
      </c>
      <c r="F954">
        <v>0</v>
      </c>
      <c r="G954">
        <v>0</v>
      </c>
      <c r="H954">
        <f>표2[[#This Row],[공격성공횟수]]/(표2[[#This Row],[공격실패횟수]]+표2[[#This Row],[공격성공횟수]])</f>
        <v>0.36363636363636365</v>
      </c>
    </row>
    <row r="955" spans="1:8" hidden="1" x14ac:dyDescent="0.4">
      <c r="A955">
        <v>477</v>
      </c>
      <c r="B955" t="s">
        <v>2</v>
      </c>
      <c r="C955">
        <v>0</v>
      </c>
      <c r="D955">
        <v>0</v>
      </c>
      <c r="E955">
        <v>11</v>
      </c>
      <c r="F955">
        <v>4</v>
      </c>
      <c r="G955">
        <v>1</v>
      </c>
      <c r="H955">
        <f>표2[[#This Row],[공격성공횟수]]/(표2[[#This Row],[공격실패횟수]]+표2[[#This Row],[공격성공횟수]])</f>
        <v>0</v>
      </c>
    </row>
    <row r="956" spans="1:8" x14ac:dyDescent="0.4">
      <c r="A956">
        <v>478</v>
      </c>
      <c r="B956" t="s">
        <v>0</v>
      </c>
      <c r="C956">
        <v>1</v>
      </c>
      <c r="D956">
        <v>4</v>
      </c>
      <c r="E956">
        <v>6</v>
      </c>
      <c r="F956">
        <v>2</v>
      </c>
      <c r="G956">
        <v>0</v>
      </c>
      <c r="H956">
        <f>표2[[#This Row],[공격성공횟수]]/(표2[[#This Row],[공격실패횟수]]+표2[[#This Row],[공격성공횟수]])</f>
        <v>0.4</v>
      </c>
    </row>
    <row r="957" spans="1:8" hidden="1" x14ac:dyDescent="0.4">
      <c r="A957">
        <v>478</v>
      </c>
      <c r="B957" t="s">
        <v>2</v>
      </c>
      <c r="C957">
        <v>0</v>
      </c>
      <c r="D957">
        <v>2</v>
      </c>
      <c r="E957">
        <v>9</v>
      </c>
      <c r="F957">
        <v>4</v>
      </c>
      <c r="G957">
        <v>1</v>
      </c>
      <c r="H957">
        <f>표2[[#This Row],[공격성공횟수]]/(표2[[#This Row],[공격실패횟수]]+표2[[#This Row],[공격성공횟수]])</f>
        <v>0.18181818181818182</v>
      </c>
    </row>
    <row r="958" spans="1:8" x14ac:dyDescent="0.4">
      <c r="A958">
        <v>479</v>
      </c>
      <c r="B958" t="s">
        <v>0</v>
      </c>
      <c r="C958">
        <v>1</v>
      </c>
      <c r="D958">
        <v>4</v>
      </c>
      <c r="E958">
        <v>5</v>
      </c>
      <c r="F958">
        <v>1</v>
      </c>
      <c r="G958">
        <v>0</v>
      </c>
      <c r="H958">
        <f>표2[[#This Row],[공격성공횟수]]/(표2[[#This Row],[공격실패횟수]]+표2[[#This Row],[공격성공횟수]])</f>
        <v>0.44444444444444442</v>
      </c>
    </row>
    <row r="959" spans="1:8" hidden="1" x14ac:dyDescent="0.4">
      <c r="A959">
        <v>479</v>
      </c>
      <c r="B959" t="s">
        <v>2</v>
      </c>
      <c r="C959">
        <v>0</v>
      </c>
      <c r="D959">
        <v>1</v>
      </c>
      <c r="E959">
        <v>9</v>
      </c>
      <c r="F959">
        <v>4</v>
      </c>
      <c r="G959">
        <v>1</v>
      </c>
      <c r="H959">
        <f>표2[[#This Row],[공격성공횟수]]/(표2[[#This Row],[공격실패횟수]]+표2[[#This Row],[공격성공횟수]])</f>
        <v>0.1</v>
      </c>
    </row>
    <row r="960" spans="1:8" x14ac:dyDescent="0.4">
      <c r="A960">
        <v>480</v>
      </c>
      <c r="B960" t="s">
        <v>0</v>
      </c>
      <c r="C960">
        <v>1</v>
      </c>
      <c r="D960">
        <v>4</v>
      </c>
      <c r="E960">
        <v>9</v>
      </c>
      <c r="F960">
        <v>3</v>
      </c>
      <c r="G960">
        <v>0</v>
      </c>
      <c r="H960">
        <f>표2[[#This Row],[공격성공횟수]]/(표2[[#This Row],[공격실패횟수]]+표2[[#This Row],[공격성공횟수]])</f>
        <v>0.30769230769230771</v>
      </c>
    </row>
    <row r="961" spans="1:8" hidden="1" x14ac:dyDescent="0.4">
      <c r="A961">
        <v>480</v>
      </c>
      <c r="B961" t="s">
        <v>2</v>
      </c>
      <c r="C961">
        <v>0</v>
      </c>
      <c r="D961">
        <v>3</v>
      </c>
      <c r="E961">
        <v>10</v>
      </c>
      <c r="F961">
        <v>4</v>
      </c>
      <c r="G961">
        <v>1</v>
      </c>
      <c r="H961">
        <f>표2[[#This Row],[공격성공횟수]]/(표2[[#This Row],[공격실패횟수]]+표2[[#This Row],[공격성공횟수]])</f>
        <v>0.23076923076923078</v>
      </c>
    </row>
    <row r="962" spans="1:8" x14ac:dyDescent="0.4">
      <c r="A962">
        <v>481</v>
      </c>
      <c r="B962" t="s">
        <v>0</v>
      </c>
      <c r="C962">
        <v>0</v>
      </c>
      <c r="D962">
        <v>2</v>
      </c>
      <c r="E962">
        <v>8</v>
      </c>
      <c r="F962">
        <v>4</v>
      </c>
      <c r="G962">
        <v>1</v>
      </c>
      <c r="H962">
        <f>표2[[#This Row],[공격성공횟수]]/(표2[[#This Row],[공격실패횟수]]+표2[[#This Row],[공격성공횟수]])</f>
        <v>0.2</v>
      </c>
    </row>
    <row r="963" spans="1:8" hidden="1" x14ac:dyDescent="0.4">
      <c r="A963">
        <v>481</v>
      </c>
      <c r="B963" t="s">
        <v>2</v>
      </c>
      <c r="C963">
        <v>1</v>
      </c>
      <c r="D963">
        <v>4</v>
      </c>
      <c r="E963">
        <v>7</v>
      </c>
      <c r="F963">
        <v>2</v>
      </c>
      <c r="G963">
        <v>0</v>
      </c>
      <c r="H963">
        <f>표2[[#This Row],[공격성공횟수]]/(표2[[#This Row],[공격실패횟수]]+표2[[#This Row],[공격성공횟수]])</f>
        <v>0.36363636363636365</v>
      </c>
    </row>
    <row r="964" spans="1:8" x14ac:dyDescent="0.4">
      <c r="A964">
        <v>482</v>
      </c>
      <c r="B964" t="s">
        <v>0</v>
      </c>
      <c r="C964">
        <v>1</v>
      </c>
      <c r="D964">
        <v>4</v>
      </c>
      <c r="E964">
        <v>5</v>
      </c>
      <c r="F964">
        <v>3</v>
      </c>
      <c r="G964">
        <v>0</v>
      </c>
      <c r="H964">
        <f>표2[[#This Row],[공격성공횟수]]/(표2[[#This Row],[공격실패횟수]]+표2[[#This Row],[공격성공횟수]])</f>
        <v>0.44444444444444442</v>
      </c>
    </row>
    <row r="965" spans="1:8" hidden="1" x14ac:dyDescent="0.4">
      <c r="A965">
        <v>482</v>
      </c>
      <c r="B965" t="s">
        <v>2</v>
      </c>
      <c r="C965">
        <v>0</v>
      </c>
      <c r="D965">
        <v>3</v>
      </c>
      <c r="E965">
        <v>6</v>
      </c>
      <c r="F965">
        <v>4</v>
      </c>
      <c r="G965">
        <v>1</v>
      </c>
      <c r="H965">
        <f>표2[[#This Row],[공격성공횟수]]/(표2[[#This Row],[공격실패횟수]]+표2[[#This Row],[공격성공횟수]])</f>
        <v>0.33333333333333331</v>
      </c>
    </row>
    <row r="966" spans="1:8" x14ac:dyDescent="0.4">
      <c r="A966">
        <v>483</v>
      </c>
      <c r="B966" t="s">
        <v>0</v>
      </c>
      <c r="C966">
        <v>0</v>
      </c>
      <c r="D966">
        <v>2</v>
      </c>
      <c r="E966">
        <v>16</v>
      </c>
      <c r="F966">
        <v>4</v>
      </c>
      <c r="G966">
        <v>1</v>
      </c>
      <c r="H966">
        <f>표2[[#This Row],[공격성공횟수]]/(표2[[#This Row],[공격실패횟수]]+표2[[#This Row],[공격성공횟수]])</f>
        <v>0.1111111111111111</v>
      </c>
    </row>
    <row r="967" spans="1:8" hidden="1" x14ac:dyDescent="0.4">
      <c r="A967">
        <v>483</v>
      </c>
      <c r="B967" t="s">
        <v>2</v>
      </c>
      <c r="C967">
        <v>1</v>
      </c>
      <c r="D967">
        <v>4</v>
      </c>
      <c r="E967">
        <v>16</v>
      </c>
      <c r="F967">
        <v>2</v>
      </c>
      <c r="G967">
        <v>0</v>
      </c>
      <c r="H967">
        <f>표2[[#This Row],[공격성공횟수]]/(표2[[#This Row],[공격실패횟수]]+표2[[#This Row],[공격성공횟수]])</f>
        <v>0.2</v>
      </c>
    </row>
    <row r="968" spans="1:8" x14ac:dyDescent="0.4">
      <c r="A968">
        <v>484</v>
      </c>
      <c r="B968" t="s">
        <v>0</v>
      </c>
      <c r="C968">
        <v>1</v>
      </c>
      <c r="D968">
        <v>4</v>
      </c>
      <c r="E968">
        <v>9</v>
      </c>
      <c r="F968">
        <v>3</v>
      </c>
      <c r="G968">
        <v>0</v>
      </c>
      <c r="H968">
        <f>표2[[#This Row],[공격성공횟수]]/(표2[[#This Row],[공격실패횟수]]+표2[[#This Row],[공격성공횟수]])</f>
        <v>0.30769230769230771</v>
      </c>
    </row>
    <row r="969" spans="1:8" hidden="1" x14ac:dyDescent="0.4">
      <c r="A969">
        <v>484</v>
      </c>
      <c r="B969" t="s">
        <v>2</v>
      </c>
      <c r="C969">
        <v>0</v>
      </c>
      <c r="D969">
        <v>3</v>
      </c>
      <c r="E969">
        <v>9</v>
      </c>
      <c r="F969">
        <v>4</v>
      </c>
      <c r="G969">
        <v>1</v>
      </c>
      <c r="H969">
        <f>표2[[#This Row],[공격성공횟수]]/(표2[[#This Row],[공격실패횟수]]+표2[[#This Row],[공격성공횟수]])</f>
        <v>0.25</v>
      </c>
    </row>
    <row r="970" spans="1:8" x14ac:dyDescent="0.4">
      <c r="A970">
        <v>485</v>
      </c>
      <c r="B970" t="s">
        <v>0</v>
      </c>
      <c r="C970">
        <v>1</v>
      </c>
      <c r="D970">
        <v>4</v>
      </c>
      <c r="E970">
        <v>5</v>
      </c>
      <c r="F970">
        <v>2</v>
      </c>
      <c r="G970">
        <v>0</v>
      </c>
      <c r="H970">
        <f>표2[[#This Row],[공격성공횟수]]/(표2[[#This Row],[공격실패횟수]]+표2[[#This Row],[공격성공횟수]])</f>
        <v>0.44444444444444442</v>
      </c>
    </row>
    <row r="971" spans="1:8" hidden="1" x14ac:dyDescent="0.4">
      <c r="A971">
        <v>485</v>
      </c>
      <c r="B971" t="s">
        <v>2</v>
      </c>
      <c r="C971">
        <v>0</v>
      </c>
      <c r="D971">
        <v>2</v>
      </c>
      <c r="E971">
        <v>7</v>
      </c>
      <c r="F971">
        <v>4</v>
      </c>
      <c r="G971">
        <v>1</v>
      </c>
      <c r="H971">
        <f>표2[[#This Row],[공격성공횟수]]/(표2[[#This Row],[공격실패횟수]]+표2[[#This Row],[공격성공횟수]])</f>
        <v>0.22222222222222221</v>
      </c>
    </row>
    <row r="972" spans="1:8" x14ac:dyDescent="0.4">
      <c r="A972">
        <v>486</v>
      </c>
      <c r="B972" t="s">
        <v>0</v>
      </c>
      <c r="C972">
        <v>1</v>
      </c>
      <c r="D972">
        <v>4</v>
      </c>
      <c r="E972">
        <v>8</v>
      </c>
      <c r="F972">
        <v>0</v>
      </c>
      <c r="G972">
        <v>0</v>
      </c>
      <c r="H972">
        <f>표2[[#This Row],[공격성공횟수]]/(표2[[#This Row],[공격실패횟수]]+표2[[#This Row],[공격성공횟수]])</f>
        <v>0.33333333333333331</v>
      </c>
    </row>
    <row r="973" spans="1:8" hidden="1" x14ac:dyDescent="0.4">
      <c r="A973">
        <v>486</v>
      </c>
      <c r="B973" t="s">
        <v>2</v>
      </c>
      <c r="C973">
        <v>0</v>
      </c>
      <c r="D973">
        <v>0</v>
      </c>
      <c r="E973">
        <v>11</v>
      </c>
      <c r="F973">
        <v>4</v>
      </c>
      <c r="G973">
        <v>1</v>
      </c>
      <c r="H973">
        <f>표2[[#This Row],[공격성공횟수]]/(표2[[#This Row],[공격실패횟수]]+표2[[#This Row],[공격성공횟수]])</f>
        <v>0</v>
      </c>
    </row>
    <row r="974" spans="1:8" x14ac:dyDescent="0.4">
      <c r="A974">
        <v>487</v>
      </c>
      <c r="B974" t="s">
        <v>0</v>
      </c>
      <c r="C974">
        <v>1</v>
      </c>
      <c r="D974">
        <v>4</v>
      </c>
      <c r="E974">
        <v>30</v>
      </c>
      <c r="F974">
        <v>1</v>
      </c>
      <c r="G974">
        <v>0</v>
      </c>
      <c r="H974">
        <f>표2[[#This Row],[공격성공횟수]]/(표2[[#This Row],[공격실패횟수]]+표2[[#This Row],[공격성공횟수]])</f>
        <v>0.11764705882352941</v>
      </c>
    </row>
    <row r="975" spans="1:8" hidden="1" x14ac:dyDescent="0.4">
      <c r="A975">
        <v>487</v>
      </c>
      <c r="B975" t="s">
        <v>2</v>
      </c>
      <c r="C975">
        <v>0</v>
      </c>
      <c r="D975">
        <v>1</v>
      </c>
      <c r="E975">
        <v>33</v>
      </c>
      <c r="F975">
        <v>4</v>
      </c>
      <c r="G975">
        <v>1</v>
      </c>
      <c r="H975">
        <f>표2[[#This Row],[공격성공횟수]]/(표2[[#This Row],[공격실패횟수]]+표2[[#This Row],[공격성공횟수]])</f>
        <v>2.9411764705882353E-2</v>
      </c>
    </row>
    <row r="976" spans="1:8" x14ac:dyDescent="0.4">
      <c r="A976">
        <v>488</v>
      </c>
      <c r="B976" t="s">
        <v>0</v>
      </c>
      <c r="C976">
        <v>0</v>
      </c>
      <c r="D976">
        <v>1</v>
      </c>
      <c r="E976">
        <v>8</v>
      </c>
      <c r="F976">
        <v>4</v>
      </c>
      <c r="G976">
        <v>1</v>
      </c>
      <c r="H976">
        <f>표2[[#This Row],[공격성공횟수]]/(표2[[#This Row],[공격실패횟수]]+표2[[#This Row],[공격성공횟수]])</f>
        <v>0.1111111111111111</v>
      </c>
    </row>
    <row r="977" spans="1:8" hidden="1" x14ac:dyDescent="0.4">
      <c r="A977">
        <v>488</v>
      </c>
      <c r="B977" t="s">
        <v>2</v>
      </c>
      <c r="C977">
        <v>1</v>
      </c>
      <c r="D977">
        <v>4</v>
      </c>
      <c r="E977">
        <v>6</v>
      </c>
      <c r="F977">
        <v>1</v>
      </c>
      <c r="G977">
        <v>0</v>
      </c>
      <c r="H977">
        <f>표2[[#This Row],[공격성공횟수]]/(표2[[#This Row],[공격실패횟수]]+표2[[#This Row],[공격성공횟수]])</f>
        <v>0.4</v>
      </c>
    </row>
    <row r="978" spans="1:8" x14ac:dyDescent="0.4">
      <c r="A978">
        <v>489</v>
      </c>
      <c r="B978" t="s">
        <v>0</v>
      </c>
      <c r="C978">
        <v>0</v>
      </c>
      <c r="D978">
        <v>0</v>
      </c>
      <c r="E978">
        <v>10</v>
      </c>
      <c r="F978">
        <v>4</v>
      </c>
      <c r="G978">
        <v>1</v>
      </c>
      <c r="H978">
        <f>표2[[#This Row],[공격성공횟수]]/(표2[[#This Row],[공격실패횟수]]+표2[[#This Row],[공격성공횟수]])</f>
        <v>0</v>
      </c>
    </row>
    <row r="979" spans="1:8" hidden="1" x14ac:dyDescent="0.4">
      <c r="A979">
        <v>489</v>
      </c>
      <c r="B979" t="s">
        <v>2</v>
      </c>
      <c r="C979">
        <v>1</v>
      </c>
      <c r="D979">
        <v>4</v>
      </c>
      <c r="E979">
        <v>6</v>
      </c>
      <c r="F979">
        <v>0</v>
      </c>
      <c r="G979">
        <v>0</v>
      </c>
      <c r="H979">
        <f>표2[[#This Row],[공격성공횟수]]/(표2[[#This Row],[공격실패횟수]]+표2[[#This Row],[공격성공횟수]])</f>
        <v>0.4</v>
      </c>
    </row>
    <row r="980" spans="1:8" x14ac:dyDescent="0.4">
      <c r="A980">
        <v>490</v>
      </c>
      <c r="B980" t="s">
        <v>0</v>
      </c>
      <c r="C980">
        <v>1</v>
      </c>
      <c r="D980">
        <v>4</v>
      </c>
      <c r="E980">
        <v>34</v>
      </c>
      <c r="F980">
        <v>1</v>
      </c>
      <c r="G980">
        <v>0</v>
      </c>
      <c r="H980">
        <f>표2[[#This Row],[공격성공횟수]]/(표2[[#This Row],[공격실패횟수]]+표2[[#This Row],[공격성공횟수]])</f>
        <v>0.10526315789473684</v>
      </c>
    </row>
    <row r="981" spans="1:8" hidden="1" x14ac:dyDescent="0.4">
      <c r="A981">
        <v>490</v>
      </c>
      <c r="B981" t="s">
        <v>2</v>
      </c>
      <c r="C981">
        <v>0</v>
      </c>
      <c r="D981">
        <v>1</v>
      </c>
      <c r="E981">
        <v>38</v>
      </c>
      <c r="F981">
        <v>4</v>
      </c>
      <c r="G981">
        <v>1</v>
      </c>
      <c r="H981">
        <f>표2[[#This Row],[공격성공횟수]]/(표2[[#This Row],[공격실패횟수]]+표2[[#This Row],[공격성공횟수]])</f>
        <v>2.564102564102564E-2</v>
      </c>
    </row>
    <row r="982" spans="1:8" x14ac:dyDescent="0.4">
      <c r="A982">
        <v>491</v>
      </c>
      <c r="B982" t="s">
        <v>0</v>
      </c>
      <c r="C982">
        <v>1</v>
      </c>
      <c r="D982">
        <v>4</v>
      </c>
      <c r="E982">
        <v>1</v>
      </c>
      <c r="F982">
        <v>0</v>
      </c>
      <c r="G982">
        <v>0</v>
      </c>
      <c r="H982">
        <f>표2[[#This Row],[공격성공횟수]]/(표2[[#This Row],[공격실패횟수]]+표2[[#This Row],[공격성공횟수]])</f>
        <v>0.8</v>
      </c>
    </row>
    <row r="983" spans="1:8" hidden="1" x14ac:dyDescent="0.4">
      <c r="A983">
        <v>491</v>
      </c>
      <c r="B983" t="s">
        <v>2</v>
      </c>
      <c r="C983">
        <v>0</v>
      </c>
      <c r="D983">
        <v>0</v>
      </c>
      <c r="E983">
        <v>5</v>
      </c>
      <c r="F983">
        <v>4</v>
      </c>
      <c r="G983">
        <v>1</v>
      </c>
      <c r="H983">
        <f>표2[[#This Row],[공격성공횟수]]/(표2[[#This Row],[공격실패횟수]]+표2[[#This Row],[공격성공횟수]])</f>
        <v>0</v>
      </c>
    </row>
    <row r="984" spans="1:8" x14ac:dyDescent="0.4">
      <c r="A984">
        <v>492</v>
      </c>
      <c r="B984" t="s">
        <v>0</v>
      </c>
      <c r="C984">
        <v>0</v>
      </c>
      <c r="D984">
        <v>0</v>
      </c>
      <c r="E984">
        <v>12</v>
      </c>
      <c r="F984">
        <v>4</v>
      </c>
      <c r="G984">
        <v>1</v>
      </c>
      <c r="H984">
        <f>표2[[#This Row],[공격성공횟수]]/(표2[[#This Row],[공격실패횟수]]+표2[[#This Row],[공격성공횟수]])</f>
        <v>0</v>
      </c>
    </row>
    <row r="985" spans="1:8" hidden="1" x14ac:dyDescent="0.4">
      <c r="A985">
        <v>492</v>
      </c>
      <c r="B985" t="s">
        <v>2</v>
      </c>
      <c r="C985">
        <v>1</v>
      </c>
      <c r="D985">
        <v>4</v>
      </c>
      <c r="E985">
        <v>10</v>
      </c>
      <c r="F985">
        <v>0</v>
      </c>
      <c r="G985">
        <v>0</v>
      </c>
      <c r="H985">
        <f>표2[[#This Row],[공격성공횟수]]/(표2[[#This Row],[공격실패횟수]]+표2[[#This Row],[공격성공횟수]])</f>
        <v>0.2857142857142857</v>
      </c>
    </row>
    <row r="986" spans="1:8" x14ac:dyDescent="0.4">
      <c r="A986">
        <v>493</v>
      </c>
      <c r="B986" t="s">
        <v>0</v>
      </c>
      <c r="C986">
        <v>1</v>
      </c>
      <c r="D986">
        <v>4</v>
      </c>
      <c r="E986">
        <v>7</v>
      </c>
      <c r="F986">
        <v>2</v>
      </c>
      <c r="G986">
        <v>0</v>
      </c>
      <c r="H986">
        <f>표2[[#This Row],[공격성공횟수]]/(표2[[#This Row],[공격실패횟수]]+표2[[#This Row],[공격성공횟수]])</f>
        <v>0.36363636363636365</v>
      </c>
    </row>
    <row r="987" spans="1:8" hidden="1" x14ac:dyDescent="0.4">
      <c r="A987">
        <v>493</v>
      </c>
      <c r="B987" t="s">
        <v>2</v>
      </c>
      <c r="C987">
        <v>0</v>
      </c>
      <c r="D987">
        <v>2</v>
      </c>
      <c r="E987">
        <v>8</v>
      </c>
      <c r="F987">
        <v>4</v>
      </c>
      <c r="G987">
        <v>1</v>
      </c>
      <c r="H987">
        <f>표2[[#This Row],[공격성공횟수]]/(표2[[#This Row],[공격실패횟수]]+표2[[#This Row],[공격성공횟수]])</f>
        <v>0.2</v>
      </c>
    </row>
    <row r="988" spans="1:8" x14ac:dyDescent="0.4">
      <c r="A988">
        <v>494</v>
      </c>
      <c r="B988" t="s">
        <v>0</v>
      </c>
      <c r="C988">
        <v>1</v>
      </c>
      <c r="D988">
        <v>4</v>
      </c>
      <c r="E988">
        <v>9</v>
      </c>
      <c r="F988">
        <v>3</v>
      </c>
      <c r="G988">
        <v>0</v>
      </c>
      <c r="H988">
        <f>표2[[#This Row],[공격성공횟수]]/(표2[[#This Row],[공격실패횟수]]+표2[[#This Row],[공격성공횟수]])</f>
        <v>0.30769230769230771</v>
      </c>
    </row>
    <row r="989" spans="1:8" hidden="1" x14ac:dyDescent="0.4">
      <c r="A989">
        <v>494</v>
      </c>
      <c r="B989" t="s">
        <v>2</v>
      </c>
      <c r="C989">
        <v>0</v>
      </c>
      <c r="D989">
        <v>3</v>
      </c>
      <c r="E989">
        <v>8</v>
      </c>
      <c r="F989">
        <v>4</v>
      </c>
      <c r="G989">
        <v>1</v>
      </c>
      <c r="H989">
        <f>표2[[#This Row],[공격성공횟수]]/(표2[[#This Row],[공격실패횟수]]+표2[[#This Row],[공격성공횟수]])</f>
        <v>0.27272727272727271</v>
      </c>
    </row>
    <row r="990" spans="1:8" x14ac:dyDescent="0.4">
      <c r="A990">
        <v>495</v>
      </c>
      <c r="B990" t="s">
        <v>0</v>
      </c>
      <c r="C990">
        <v>1</v>
      </c>
      <c r="D990">
        <v>4</v>
      </c>
      <c r="E990">
        <v>8</v>
      </c>
      <c r="F990">
        <v>0</v>
      </c>
      <c r="G990">
        <v>0</v>
      </c>
      <c r="H990">
        <f>표2[[#This Row],[공격성공횟수]]/(표2[[#This Row],[공격실패횟수]]+표2[[#This Row],[공격성공횟수]])</f>
        <v>0.33333333333333331</v>
      </c>
    </row>
    <row r="991" spans="1:8" hidden="1" x14ac:dyDescent="0.4">
      <c r="A991">
        <v>495</v>
      </c>
      <c r="B991" t="s">
        <v>2</v>
      </c>
      <c r="C991">
        <v>0</v>
      </c>
      <c r="D991">
        <v>0</v>
      </c>
      <c r="E991">
        <v>13</v>
      </c>
      <c r="F991">
        <v>4</v>
      </c>
      <c r="G991">
        <v>1</v>
      </c>
      <c r="H991">
        <f>표2[[#This Row],[공격성공횟수]]/(표2[[#This Row],[공격실패횟수]]+표2[[#This Row],[공격성공횟수]])</f>
        <v>0</v>
      </c>
    </row>
    <row r="992" spans="1:8" x14ac:dyDescent="0.4">
      <c r="A992">
        <v>496</v>
      </c>
      <c r="B992" t="s">
        <v>0</v>
      </c>
      <c r="C992">
        <v>1</v>
      </c>
      <c r="D992">
        <v>4</v>
      </c>
      <c r="E992">
        <v>32</v>
      </c>
      <c r="F992">
        <v>0</v>
      </c>
      <c r="G992">
        <v>0</v>
      </c>
      <c r="H992">
        <f>표2[[#This Row],[공격성공횟수]]/(표2[[#This Row],[공격실패횟수]]+표2[[#This Row],[공격성공횟수]])</f>
        <v>0.1111111111111111</v>
      </c>
    </row>
    <row r="993" spans="1:8" hidden="1" x14ac:dyDescent="0.4">
      <c r="A993">
        <v>496</v>
      </c>
      <c r="B993" t="s">
        <v>2</v>
      </c>
      <c r="C993">
        <v>0</v>
      </c>
      <c r="D993">
        <v>0</v>
      </c>
      <c r="E993">
        <v>35</v>
      </c>
      <c r="F993">
        <v>4</v>
      </c>
      <c r="G993">
        <v>1</v>
      </c>
      <c r="H993">
        <f>표2[[#This Row],[공격성공횟수]]/(표2[[#This Row],[공격실패횟수]]+표2[[#This Row],[공격성공횟수]])</f>
        <v>0</v>
      </c>
    </row>
    <row r="994" spans="1:8" x14ac:dyDescent="0.4">
      <c r="A994">
        <v>497</v>
      </c>
      <c r="B994" t="s">
        <v>0</v>
      </c>
      <c r="C994">
        <v>1</v>
      </c>
      <c r="D994">
        <v>4</v>
      </c>
      <c r="E994">
        <v>10</v>
      </c>
      <c r="F994">
        <v>0</v>
      </c>
      <c r="G994">
        <v>0</v>
      </c>
      <c r="H994">
        <f>표2[[#This Row],[공격성공횟수]]/(표2[[#This Row],[공격실패횟수]]+표2[[#This Row],[공격성공횟수]])</f>
        <v>0.2857142857142857</v>
      </c>
    </row>
    <row r="995" spans="1:8" hidden="1" x14ac:dyDescent="0.4">
      <c r="A995">
        <v>497</v>
      </c>
      <c r="B995" t="s">
        <v>2</v>
      </c>
      <c r="C995">
        <v>0</v>
      </c>
      <c r="D995">
        <v>0</v>
      </c>
      <c r="E995">
        <v>14</v>
      </c>
      <c r="F995">
        <v>4</v>
      </c>
      <c r="G995">
        <v>1</v>
      </c>
      <c r="H995">
        <f>표2[[#This Row],[공격성공횟수]]/(표2[[#This Row],[공격실패횟수]]+표2[[#This Row],[공격성공횟수]])</f>
        <v>0</v>
      </c>
    </row>
    <row r="996" spans="1:8" x14ac:dyDescent="0.4">
      <c r="A996">
        <v>498</v>
      </c>
      <c r="B996" t="s">
        <v>0</v>
      </c>
      <c r="C996">
        <v>1</v>
      </c>
      <c r="D996">
        <v>4</v>
      </c>
      <c r="E996">
        <v>2</v>
      </c>
      <c r="F996">
        <v>2</v>
      </c>
      <c r="G996">
        <v>0</v>
      </c>
      <c r="H996">
        <f>표2[[#This Row],[공격성공횟수]]/(표2[[#This Row],[공격실패횟수]]+표2[[#This Row],[공격성공횟수]])</f>
        <v>0.66666666666666663</v>
      </c>
    </row>
    <row r="997" spans="1:8" hidden="1" x14ac:dyDescent="0.4">
      <c r="A997">
        <v>498</v>
      </c>
      <c r="B997" t="s">
        <v>2</v>
      </c>
      <c r="C997">
        <v>0</v>
      </c>
      <c r="D997">
        <v>2</v>
      </c>
      <c r="E997">
        <v>4</v>
      </c>
      <c r="F997">
        <v>4</v>
      </c>
      <c r="G997">
        <v>1</v>
      </c>
      <c r="H997">
        <f>표2[[#This Row],[공격성공횟수]]/(표2[[#This Row],[공격실패횟수]]+표2[[#This Row],[공격성공횟수]])</f>
        <v>0.33333333333333331</v>
      </c>
    </row>
    <row r="998" spans="1:8" x14ac:dyDescent="0.4">
      <c r="A998">
        <v>499</v>
      </c>
      <c r="B998" t="s">
        <v>0</v>
      </c>
      <c r="C998">
        <v>0</v>
      </c>
      <c r="D998">
        <v>2</v>
      </c>
      <c r="E998">
        <v>16</v>
      </c>
      <c r="F998">
        <v>4</v>
      </c>
      <c r="G998">
        <v>1</v>
      </c>
      <c r="H998">
        <f>표2[[#This Row],[공격성공횟수]]/(표2[[#This Row],[공격실패횟수]]+표2[[#This Row],[공격성공횟수]])</f>
        <v>0.1111111111111111</v>
      </c>
    </row>
    <row r="999" spans="1:8" hidden="1" x14ac:dyDescent="0.4">
      <c r="A999">
        <v>499</v>
      </c>
      <c r="B999" t="s">
        <v>2</v>
      </c>
      <c r="C999">
        <v>1</v>
      </c>
      <c r="D999">
        <v>4</v>
      </c>
      <c r="E999">
        <v>16</v>
      </c>
      <c r="F999">
        <v>2</v>
      </c>
      <c r="G999">
        <v>0</v>
      </c>
      <c r="H999">
        <f>표2[[#This Row],[공격성공횟수]]/(표2[[#This Row],[공격실패횟수]]+표2[[#This Row],[공격성공횟수]])</f>
        <v>0.2</v>
      </c>
    </row>
    <row r="1000" spans="1:8" x14ac:dyDescent="0.4">
      <c r="A1000">
        <v>500</v>
      </c>
      <c r="B1000" t="s">
        <v>0</v>
      </c>
      <c r="C1000">
        <v>1</v>
      </c>
      <c r="D1000">
        <v>4</v>
      </c>
      <c r="E1000">
        <v>18</v>
      </c>
      <c r="F1000">
        <v>1</v>
      </c>
      <c r="G1000">
        <v>0</v>
      </c>
      <c r="H1000">
        <f>표2[[#This Row],[공격성공횟수]]/(표2[[#This Row],[공격실패횟수]]+표2[[#This Row],[공격성공횟수]])</f>
        <v>0.18181818181818182</v>
      </c>
    </row>
    <row r="1001" spans="1:8" hidden="1" x14ac:dyDescent="0.4">
      <c r="A1001">
        <v>500</v>
      </c>
      <c r="B1001" t="s">
        <v>2</v>
      </c>
      <c r="C1001">
        <v>0</v>
      </c>
      <c r="D1001">
        <v>1</v>
      </c>
      <c r="E1001">
        <v>21</v>
      </c>
      <c r="F1001">
        <v>4</v>
      </c>
      <c r="G1001">
        <v>1</v>
      </c>
      <c r="H1001">
        <f>표2[[#This Row],[공격성공횟수]]/(표2[[#This Row],[공격실패횟수]]+표2[[#This Row],[공격성공횟수]])</f>
        <v>4.5454545454545456E-2</v>
      </c>
    </row>
    <row r="1002" spans="1:8" x14ac:dyDescent="0.4">
      <c r="A1002">
        <v>501</v>
      </c>
      <c r="B1002" t="s">
        <v>0</v>
      </c>
      <c r="C1002">
        <v>1</v>
      </c>
      <c r="D1002">
        <v>4</v>
      </c>
      <c r="E1002">
        <v>22</v>
      </c>
      <c r="F1002">
        <v>3</v>
      </c>
      <c r="G1002">
        <v>0</v>
      </c>
      <c r="H1002">
        <f>표2[[#This Row],[공격성공횟수]]/(표2[[#This Row],[공격실패횟수]]+표2[[#This Row],[공격성공횟수]])</f>
        <v>0.15384615384615385</v>
      </c>
    </row>
    <row r="1003" spans="1:8" hidden="1" x14ac:dyDescent="0.4">
      <c r="A1003">
        <v>501</v>
      </c>
      <c r="B1003" t="s">
        <v>2</v>
      </c>
      <c r="C1003">
        <v>0</v>
      </c>
      <c r="D1003">
        <v>3</v>
      </c>
      <c r="E1003">
        <v>23</v>
      </c>
      <c r="F1003">
        <v>4</v>
      </c>
      <c r="G1003">
        <v>1</v>
      </c>
      <c r="H1003">
        <f>표2[[#This Row],[공격성공횟수]]/(표2[[#This Row],[공격실패횟수]]+표2[[#This Row],[공격성공횟수]])</f>
        <v>0.11538461538461539</v>
      </c>
    </row>
    <row r="1004" spans="1:8" x14ac:dyDescent="0.4">
      <c r="A1004">
        <v>502</v>
      </c>
      <c r="B1004" t="s">
        <v>0</v>
      </c>
      <c r="C1004">
        <v>1</v>
      </c>
      <c r="D1004">
        <v>4</v>
      </c>
      <c r="E1004">
        <v>3</v>
      </c>
      <c r="F1004">
        <v>3</v>
      </c>
      <c r="G1004">
        <v>0</v>
      </c>
      <c r="H1004">
        <f>표2[[#This Row],[공격성공횟수]]/(표2[[#This Row],[공격실패횟수]]+표2[[#This Row],[공격성공횟수]])</f>
        <v>0.5714285714285714</v>
      </c>
    </row>
    <row r="1005" spans="1:8" hidden="1" x14ac:dyDescent="0.4">
      <c r="A1005">
        <v>502</v>
      </c>
      <c r="B1005" t="s">
        <v>2</v>
      </c>
      <c r="C1005">
        <v>0</v>
      </c>
      <c r="D1005">
        <v>3</v>
      </c>
      <c r="E1005">
        <v>4</v>
      </c>
      <c r="F1005">
        <v>4</v>
      </c>
      <c r="G1005">
        <v>1</v>
      </c>
      <c r="H1005">
        <f>표2[[#This Row],[공격성공횟수]]/(표2[[#This Row],[공격실패횟수]]+표2[[#This Row],[공격성공횟수]])</f>
        <v>0.42857142857142855</v>
      </c>
    </row>
    <row r="1006" spans="1:8" x14ac:dyDescent="0.4">
      <c r="A1006">
        <v>503</v>
      </c>
      <c r="B1006" t="s">
        <v>0</v>
      </c>
      <c r="C1006">
        <v>1</v>
      </c>
      <c r="D1006">
        <v>4</v>
      </c>
      <c r="E1006">
        <v>59</v>
      </c>
      <c r="F1006">
        <v>3</v>
      </c>
      <c r="G1006">
        <v>0</v>
      </c>
      <c r="H1006">
        <f>표2[[#This Row],[공격성공횟수]]/(표2[[#This Row],[공격실패횟수]]+표2[[#This Row],[공격성공횟수]])</f>
        <v>6.3492063492063489E-2</v>
      </c>
    </row>
    <row r="1007" spans="1:8" hidden="1" x14ac:dyDescent="0.4">
      <c r="A1007">
        <v>503</v>
      </c>
      <c r="B1007" t="s">
        <v>2</v>
      </c>
      <c r="C1007">
        <v>0</v>
      </c>
      <c r="D1007">
        <v>3</v>
      </c>
      <c r="E1007">
        <v>59</v>
      </c>
      <c r="F1007">
        <v>4</v>
      </c>
      <c r="G1007">
        <v>1</v>
      </c>
      <c r="H1007">
        <f>표2[[#This Row],[공격성공횟수]]/(표2[[#This Row],[공격실패횟수]]+표2[[#This Row],[공격성공횟수]])</f>
        <v>4.8387096774193547E-2</v>
      </c>
    </row>
    <row r="1008" spans="1:8" x14ac:dyDescent="0.4">
      <c r="A1008">
        <v>504</v>
      </c>
      <c r="B1008" t="s">
        <v>0</v>
      </c>
      <c r="C1008">
        <v>1</v>
      </c>
      <c r="D1008">
        <v>4</v>
      </c>
      <c r="E1008">
        <v>34</v>
      </c>
      <c r="F1008">
        <v>0</v>
      </c>
      <c r="G1008">
        <v>0</v>
      </c>
      <c r="H1008">
        <f>표2[[#This Row],[공격성공횟수]]/(표2[[#This Row],[공격실패횟수]]+표2[[#This Row],[공격성공횟수]])</f>
        <v>0.10526315789473684</v>
      </c>
    </row>
    <row r="1009" spans="1:8" hidden="1" x14ac:dyDescent="0.4">
      <c r="A1009">
        <v>504</v>
      </c>
      <c r="B1009" t="s">
        <v>2</v>
      </c>
      <c r="C1009">
        <v>0</v>
      </c>
      <c r="D1009">
        <v>0</v>
      </c>
      <c r="E1009">
        <v>35</v>
      </c>
      <c r="F1009">
        <v>4</v>
      </c>
      <c r="G1009">
        <v>1</v>
      </c>
      <c r="H1009">
        <f>표2[[#This Row],[공격성공횟수]]/(표2[[#This Row],[공격실패횟수]]+표2[[#This Row],[공격성공횟수]])</f>
        <v>0</v>
      </c>
    </row>
    <row r="1010" spans="1:8" x14ac:dyDescent="0.4">
      <c r="A1010">
        <v>505</v>
      </c>
      <c r="B1010" t="s">
        <v>0</v>
      </c>
      <c r="C1010">
        <v>1</v>
      </c>
      <c r="D1010">
        <v>4</v>
      </c>
      <c r="E1010">
        <v>10</v>
      </c>
      <c r="F1010">
        <v>2</v>
      </c>
      <c r="G1010">
        <v>0</v>
      </c>
      <c r="H1010">
        <f>표2[[#This Row],[공격성공횟수]]/(표2[[#This Row],[공격실패횟수]]+표2[[#This Row],[공격성공횟수]])</f>
        <v>0.2857142857142857</v>
      </c>
    </row>
    <row r="1011" spans="1:8" hidden="1" x14ac:dyDescent="0.4">
      <c r="A1011">
        <v>505</v>
      </c>
      <c r="B1011" t="s">
        <v>2</v>
      </c>
      <c r="C1011">
        <v>0</v>
      </c>
      <c r="D1011">
        <v>2</v>
      </c>
      <c r="E1011">
        <v>12</v>
      </c>
      <c r="F1011">
        <v>4</v>
      </c>
      <c r="G1011">
        <v>1</v>
      </c>
      <c r="H1011">
        <f>표2[[#This Row],[공격성공횟수]]/(표2[[#This Row],[공격실패횟수]]+표2[[#This Row],[공격성공횟수]])</f>
        <v>0.14285714285714285</v>
      </c>
    </row>
    <row r="1012" spans="1:8" x14ac:dyDescent="0.4">
      <c r="A1012">
        <v>506</v>
      </c>
      <c r="B1012" t="s">
        <v>0</v>
      </c>
      <c r="C1012">
        <v>1</v>
      </c>
      <c r="D1012">
        <v>4</v>
      </c>
      <c r="E1012">
        <v>54</v>
      </c>
      <c r="F1012">
        <v>3</v>
      </c>
      <c r="G1012">
        <v>0</v>
      </c>
      <c r="H1012">
        <f>표2[[#This Row],[공격성공횟수]]/(표2[[#This Row],[공격실패횟수]]+표2[[#This Row],[공격성공횟수]])</f>
        <v>6.8965517241379309E-2</v>
      </c>
    </row>
    <row r="1013" spans="1:8" hidden="1" x14ac:dyDescent="0.4">
      <c r="A1013">
        <v>506</v>
      </c>
      <c r="B1013" t="s">
        <v>2</v>
      </c>
      <c r="C1013">
        <v>0</v>
      </c>
      <c r="D1013">
        <v>3</v>
      </c>
      <c r="E1013">
        <v>55</v>
      </c>
      <c r="F1013">
        <v>4</v>
      </c>
      <c r="G1013">
        <v>1</v>
      </c>
      <c r="H1013">
        <f>표2[[#This Row],[공격성공횟수]]/(표2[[#This Row],[공격실패횟수]]+표2[[#This Row],[공격성공횟수]])</f>
        <v>5.1724137931034482E-2</v>
      </c>
    </row>
    <row r="1014" spans="1:8" x14ac:dyDescent="0.4">
      <c r="A1014">
        <v>507</v>
      </c>
      <c r="B1014" t="s">
        <v>0</v>
      </c>
      <c r="C1014">
        <v>0</v>
      </c>
      <c r="D1014">
        <v>1</v>
      </c>
      <c r="E1014">
        <v>60</v>
      </c>
      <c r="F1014">
        <v>4</v>
      </c>
      <c r="G1014">
        <v>1</v>
      </c>
      <c r="H1014">
        <f>표2[[#This Row],[공격성공횟수]]/(표2[[#This Row],[공격실패횟수]]+표2[[#This Row],[공격성공횟수]])</f>
        <v>1.6393442622950821E-2</v>
      </c>
    </row>
    <row r="1015" spans="1:8" hidden="1" x14ac:dyDescent="0.4">
      <c r="A1015">
        <v>507</v>
      </c>
      <c r="B1015" t="s">
        <v>2</v>
      </c>
      <c r="C1015">
        <v>1</v>
      </c>
      <c r="D1015">
        <v>4</v>
      </c>
      <c r="E1015">
        <v>57</v>
      </c>
      <c r="F1015">
        <v>1</v>
      </c>
      <c r="G1015">
        <v>0</v>
      </c>
      <c r="H1015">
        <f>표2[[#This Row],[공격성공횟수]]/(표2[[#This Row],[공격실패횟수]]+표2[[#This Row],[공격성공횟수]])</f>
        <v>6.5573770491803282E-2</v>
      </c>
    </row>
    <row r="1016" spans="1:8" x14ac:dyDescent="0.4">
      <c r="A1016">
        <v>508</v>
      </c>
      <c r="B1016" t="s">
        <v>0</v>
      </c>
      <c r="C1016">
        <v>1</v>
      </c>
      <c r="D1016">
        <v>4</v>
      </c>
      <c r="E1016">
        <v>13</v>
      </c>
      <c r="F1016">
        <v>2</v>
      </c>
      <c r="G1016">
        <v>0</v>
      </c>
      <c r="H1016">
        <f>표2[[#This Row],[공격성공횟수]]/(표2[[#This Row],[공격실패횟수]]+표2[[#This Row],[공격성공횟수]])</f>
        <v>0.23529411764705882</v>
      </c>
    </row>
    <row r="1017" spans="1:8" hidden="1" x14ac:dyDescent="0.4">
      <c r="A1017">
        <v>508</v>
      </c>
      <c r="B1017" t="s">
        <v>2</v>
      </c>
      <c r="C1017">
        <v>0</v>
      </c>
      <c r="D1017">
        <v>2</v>
      </c>
      <c r="E1017">
        <v>15</v>
      </c>
      <c r="F1017">
        <v>4</v>
      </c>
      <c r="G1017">
        <v>1</v>
      </c>
      <c r="H1017">
        <f>표2[[#This Row],[공격성공횟수]]/(표2[[#This Row],[공격실패횟수]]+표2[[#This Row],[공격성공횟수]])</f>
        <v>0.11764705882352941</v>
      </c>
    </row>
    <row r="1018" spans="1:8" x14ac:dyDescent="0.4">
      <c r="A1018">
        <v>509</v>
      </c>
      <c r="B1018" t="s">
        <v>0</v>
      </c>
      <c r="C1018">
        <v>1</v>
      </c>
      <c r="D1018">
        <v>4</v>
      </c>
      <c r="E1018">
        <v>8</v>
      </c>
      <c r="F1018">
        <v>3</v>
      </c>
      <c r="G1018">
        <v>0</v>
      </c>
      <c r="H1018">
        <f>표2[[#This Row],[공격성공횟수]]/(표2[[#This Row],[공격실패횟수]]+표2[[#This Row],[공격성공횟수]])</f>
        <v>0.33333333333333331</v>
      </c>
    </row>
    <row r="1019" spans="1:8" hidden="1" x14ac:dyDescent="0.4">
      <c r="A1019">
        <v>509</v>
      </c>
      <c r="B1019" t="s">
        <v>2</v>
      </c>
      <c r="C1019">
        <v>0</v>
      </c>
      <c r="D1019">
        <v>3</v>
      </c>
      <c r="E1019">
        <v>9</v>
      </c>
      <c r="F1019">
        <v>4</v>
      </c>
      <c r="G1019">
        <v>1</v>
      </c>
      <c r="H1019">
        <f>표2[[#This Row],[공격성공횟수]]/(표2[[#This Row],[공격실패횟수]]+표2[[#This Row],[공격성공횟수]])</f>
        <v>0.25</v>
      </c>
    </row>
    <row r="1020" spans="1:8" x14ac:dyDescent="0.4">
      <c r="A1020">
        <v>510</v>
      </c>
      <c r="B1020" t="s">
        <v>0</v>
      </c>
      <c r="C1020">
        <v>1</v>
      </c>
      <c r="D1020">
        <v>4</v>
      </c>
      <c r="E1020">
        <v>54</v>
      </c>
      <c r="F1020">
        <v>3</v>
      </c>
      <c r="G1020">
        <v>0</v>
      </c>
      <c r="H1020">
        <f>표2[[#This Row],[공격성공횟수]]/(표2[[#This Row],[공격실패횟수]]+표2[[#This Row],[공격성공횟수]])</f>
        <v>6.8965517241379309E-2</v>
      </c>
    </row>
    <row r="1021" spans="1:8" hidden="1" x14ac:dyDescent="0.4">
      <c r="A1021">
        <v>510</v>
      </c>
      <c r="B1021" t="s">
        <v>2</v>
      </c>
      <c r="C1021">
        <v>0</v>
      </c>
      <c r="D1021">
        <v>3</v>
      </c>
      <c r="E1021">
        <v>55</v>
      </c>
      <c r="F1021">
        <v>4</v>
      </c>
      <c r="G1021">
        <v>1</v>
      </c>
      <c r="H1021">
        <f>표2[[#This Row],[공격성공횟수]]/(표2[[#This Row],[공격실패횟수]]+표2[[#This Row],[공격성공횟수]])</f>
        <v>5.1724137931034482E-2</v>
      </c>
    </row>
    <row r="1022" spans="1:8" x14ac:dyDescent="0.4">
      <c r="A1022">
        <v>511</v>
      </c>
      <c r="B1022" t="s">
        <v>0</v>
      </c>
      <c r="C1022">
        <v>0</v>
      </c>
      <c r="D1022">
        <v>3</v>
      </c>
      <c r="E1022">
        <v>3</v>
      </c>
      <c r="F1022">
        <v>4</v>
      </c>
      <c r="G1022">
        <v>1</v>
      </c>
      <c r="H1022">
        <f>표2[[#This Row],[공격성공횟수]]/(표2[[#This Row],[공격실패횟수]]+표2[[#This Row],[공격성공횟수]])</f>
        <v>0.5</v>
      </c>
    </row>
    <row r="1023" spans="1:8" hidden="1" x14ac:dyDescent="0.4">
      <c r="A1023">
        <v>511</v>
      </c>
      <c r="B1023" t="s">
        <v>2</v>
      </c>
      <c r="C1023">
        <v>1</v>
      </c>
      <c r="D1023">
        <v>4</v>
      </c>
      <c r="E1023">
        <v>2</v>
      </c>
      <c r="F1023">
        <v>3</v>
      </c>
      <c r="G1023">
        <v>0</v>
      </c>
      <c r="H1023">
        <f>표2[[#This Row],[공격성공횟수]]/(표2[[#This Row],[공격실패횟수]]+표2[[#This Row],[공격성공횟수]])</f>
        <v>0.66666666666666663</v>
      </c>
    </row>
    <row r="1024" spans="1:8" x14ac:dyDescent="0.4">
      <c r="A1024">
        <v>512</v>
      </c>
      <c r="B1024" t="s">
        <v>0</v>
      </c>
      <c r="C1024">
        <v>1</v>
      </c>
      <c r="D1024">
        <v>4</v>
      </c>
      <c r="E1024">
        <v>40</v>
      </c>
      <c r="F1024">
        <v>0</v>
      </c>
      <c r="G1024">
        <v>0</v>
      </c>
      <c r="H1024">
        <f>표2[[#This Row],[공격성공횟수]]/(표2[[#This Row],[공격실패횟수]]+표2[[#This Row],[공격성공횟수]])</f>
        <v>9.0909090909090912E-2</v>
      </c>
    </row>
    <row r="1025" spans="1:8" hidden="1" x14ac:dyDescent="0.4">
      <c r="A1025">
        <v>512</v>
      </c>
      <c r="B1025" t="s">
        <v>2</v>
      </c>
      <c r="C1025">
        <v>0</v>
      </c>
      <c r="D1025">
        <v>0</v>
      </c>
      <c r="E1025">
        <v>42</v>
      </c>
      <c r="F1025">
        <v>4</v>
      </c>
      <c r="G1025">
        <v>1</v>
      </c>
      <c r="H1025">
        <f>표2[[#This Row],[공격성공횟수]]/(표2[[#This Row],[공격실패횟수]]+표2[[#This Row],[공격성공횟수]])</f>
        <v>0</v>
      </c>
    </row>
    <row r="1026" spans="1:8" x14ac:dyDescent="0.4">
      <c r="A1026">
        <v>513</v>
      </c>
      <c r="B1026" t="s">
        <v>0</v>
      </c>
      <c r="C1026">
        <v>1</v>
      </c>
      <c r="D1026">
        <v>4</v>
      </c>
      <c r="E1026">
        <v>7</v>
      </c>
      <c r="F1026">
        <v>0</v>
      </c>
      <c r="G1026">
        <v>0</v>
      </c>
      <c r="H1026">
        <f>표2[[#This Row],[공격성공횟수]]/(표2[[#This Row],[공격실패횟수]]+표2[[#This Row],[공격성공횟수]])</f>
        <v>0.36363636363636365</v>
      </c>
    </row>
    <row r="1027" spans="1:8" hidden="1" x14ac:dyDescent="0.4">
      <c r="A1027">
        <v>513</v>
      </c>
      <c r="B1027" t="s">
        <v>2</v>
      </c>
      <c r="C1027">
        <v>0</v>
      </c>
      <c r="D1027">
        <v>0</v>
      </c>
      <c r="E1027">
        <v>11</v>
      </c>
      <c r="F1027">
        <v>4</v>
      </c>
      <c r="G1027">
        <v>1</v>
      </c>
      <c r="H1027">
        <f>표2[[#This Row],[공격성공횟수]]/(표2[[#This Row],[공격실패횟수]]+표2[[#This Row],[공격성공횟수]])</f>
        <v>0</v>
      </c>
    </row>
    <row r="1028" spans="1:8" x14ac:dyDescent="0.4">
      <c r="A1028">
        <v>514</v>
      </c>
      <c r="B1028" t="s">
        <v>0</v>
      </c>
      <c r="C1028">
        <v>1</v>
      </c>
      <c r="D1028">
        <v>4</v>
      </c>
      <c r="E1028">
        <v>8</v>
      </c>
      <c r="F1028">
        <v>1</v>
      </c>
      <c r="G1028">
        <v>0</v>
      </c>
      <c r="H1028">
        <f>표2[[#This Row],[공격성공횟수]]/(표2[[#This Row],[공격실패횟수]]+표2[[#This Row],[공격성공횟수]])</f>
        <v>0.33333333333333331</v>
      </c>
    </row>
    <row r="1029" spans="1:8" hidden="1" x14ac:dyDescent="0.4">
      <c r="A1029">
        <v>514</v>
      </c>
      <c r="B1029" t="s">
        <v>2</v>
      </c>
      <c r="C1029">
        <v>0</v>
      </c>
      <c r="D1029">
        <v>1</v>
      </c>
      <c r="E1029">
        <v>11</v>
      </c>
      <c r="F1029">
        <v>4</v>
      </c>
      <c r="G1029">
        <v>1</v>
      </c>
      <c r="H1029">
        <f>표2[[#This Row],[공격성공횟수]]/(표2[[#This Row],[공격실패횟수]]+표2[[#This Row],[공격성공횟수]])</f>
        <v>8.3333333333333329E-2</v>
      </c>
    </row>
    <row r="1030" spans="1:8" x14ac:dyDescent="0.4">
      <c r="A1030">
        <v>515</v>
      </c>
      <c r="B1030" t="s">
        <v>0</v>
      </c>
      <c r="C1030">
        <v>1</v>
      </c>
      <c r="D1030">
        <v>4</v>
      </c>
      <c r="E1030">
        <v>15</v>
      </c>
      <c r="F1030">
        <v>0</v>
      </c>
      <c r="G1030">
        <v>0</v>
      </c>
      <c r="H1030">
        <f>표2[[#This Row],[공격성공횟수]]/(표2[[#This Row],[공격실패횟수]]+표2[[#This Row],[공격성공횟수]])</f>
        <v>0.21052631578947367</v>
      </c>
    </row>
    <row r="1031" spans="1:8" hidden="1" x14ac:dyDescent="0.4">
      <c r="A1031">
        <v>515</v>
      </c>
      <c r="B1031" t="s">
        <v>2</v>
      </c>
      <c r="C1031">
        <v>0</v>
      </c>
      <c r="D1031">
        <v>0</v>
      </c>
      <c r="E1031">
        <v>19</v>
      </c>
      <c r="F1031">
        <v>4</v>
      </c>
      <c r="G1031">
        <v>1</v>
      </c>
      <c r="H1031">
        <f>표2[[#This Row],[공격성공횟수]]/(표2[[#This Row],[공격실패횟수]]+표2[[#This Row],[공격성공횟수]])</f>
        <v>0</v>
      </c>
    </row>
    <row r="1032" spans="1:8" x14ac:dyDescent="0.4">
      <c r="A1032">
        <v>516</v>
      </c>
      <c r="B1032" t="s">
        <v>0</v>
      </c>
      <c r="C1032">
        <v>1</v>
      </c>
      <c r="D1032">
        <v>4</v>
      </c>
      <c r="E1032">
        <v>7</v>
      </c>
      <c r="F1032">
        <v>3</v>
      </c>
      <c r="G1032">
        <v>0</v>
      </c>
      <c r="H1032">
        <f>표2[[#This Row],[공격성공횟수]]/(표2[[#This Row],[공격실패횟수]]+표2[[#This Row],[공격성공횟수]])</f>
        <v>0.36363636363636365</v>
      </c>
    </row>
    <row r="1033" spans="1:8" hidden="1" x14ac:dyDescent="0.4">
      <c r="A1033">
        <v>516</v>
      </c>
      <c r="B1033" t="s">
        <v>2</v>
      </c>
      <c r="C1033">
        <v>0</v>
      </c>
      <c r="D1033">
        <v>3</v>
      </c>
      <c r="E1033">
        <v>8</v>
      </c>
      <c r="F1033">
        <v>4</v>
      </c>
      <c r="G1033">
        <v>1</v>
      </c>
      <c r="H1033">
        <f>표2[[#This Row],[공격성공횟수]]/(표2[[#This Row],[공격실패횟수]]+표2[[#This Row],[공격성공횟수]])</f>
        <v>0.27272727272727271</v>
      </c>
    </row>
    <row r="1034" spans="1:8" x14ac:dyDescent="0.4">
      <c r="A1034">
        <v>517</v>
      </c>
      <c r="B1034" t="s">
        <v>0</v>
      </c>
      <c r="C1034">
        <v>1</v>
      </c>
      <c r="D1034">
        <v>4</v>
      </c>
      <c r="E1034">
        <v>12</v>
      </c>
      <c r="F1034">
        <v>1</v>
      </c>
      <c r="G1034">
        <v>0</v>
      </c>
      <c r="H1034">
        <f>표2[[#This Row],[공격성공횟수]]/(표2[[#This Row],[공격실패횟수]]+표2[[#This Row],[공격성공횟수]])</f>
        <v>0.25</v>
      </c>
    </row>
    <row r="1035" spans="1:8" hidden="1" x14ac:dyDescent="0.4">
      <c r="A1035">
        <v>517</v>
      </c>
      <c r="B1035" t="s">
        <v>2</v>
      </c>
      <c r="C1035">
        <v>0</v>
      </c>
      <c r="D1035">
        <v>1</v>
      </c>
      <c r="E1035">
        <v>15</v>
      </c>
      <c r="F1035">
        <v>4</v>
      </c>
      <c r="G1035">
        <v>1</v>
      </c>
      <c r="H1035">
        <f>표2[[#This Row],[공격성공횟수]]/(표2[[#This Row],[공격실패횟수]]+표2[[#This Row],[공격성공횟수]])</f>
        <v>6.25E-2</v>
      </c>
    </row>
    <row r="1036" spans="1:8" x14ac:dyDescent="0.4">
      <c r="A1036">
        <v>518</v>
      </c>
      <c r="B1036" t="s">
        <v>0</v>
      </c>
      <c r="C1036">
        <v>1</v>
      </c>
      <c r="D1036">
        <v>4</v>
      </c>
      <c r="E1036">
        <v>23</v>
      </c>
      <c r="F1036">
        <v>2</v>
      </c>
      <c r="G1036">
        <v>0</v>
      </c>
      <c r="H1036">
        <f>표2[[#This Row],[공격성공횟수]]/(표2[[#This Row],[공격실패횟수]]+표2[[#This Row],[공격성공횟수]])</f>
        <v>0.14814814814814814</v>
      </c>
    </row>
    <row r="1037" spans="1:8" hidden="1" x14ac:dyDescent="0.4">
      <c r="A1037">
        <v>518</v>
      </c>
      <c r="B1037" t="s">
        <v>2</v>
      </c>
      <c r="C1037">
        <v>0</v>
      </c>
      <c r="D1037">
        <v>2</v>
      </c>
      <c r="E1037">
        <v>24</v>
      </c>
      <c r="F1037">
        <v>4</v>
      </c>
      <c r="G1037">
        <v>1</v>
      </c>
      <c r="H1037">
        <f>표2[[#This Row],[공격성공횟수]]/(표2[[#This Row],[공격실패횟수]]+표2[[#This Row],[공격성공횟수]])</f>
        <v>7.6923076923076927E-2</v>
      </c>
    </row>
    <row r="1038" spans="1:8" x14ac:dyDescent="0.4">
      <c r="A1038">
        <v>519</v>
      </c>
      <c r="B1038" t="s">
        <v>0</v>
      </c>
      <c r="C1038">
        <v>1</v>
      </c>
      <c r="D1038">
        <v>4</v>
      </c>
      <c r="E1038">
        <v>18</v>
      </c>
      <c r="F1038">
        <v>0</v>
      </c>
      <c r="G1038">
        <v>0</v>
      </c>
      <c r="H1038">
        <f>표2[[#This Row],[공격성공횟수]]/(표2[[#This Row],[공격실패횟수]]+표2[[#This Row],[공격성공횟수]])</f>
        <v>0.18181818181818182</v>
      </c>
    </row>
    <row r="1039" spans="1:8" hidden="1" x14ac:dyDescent="0.4">
      <c r="A1039">
        <v>519</v>
      </c>
      <c r="B1039" t="s">
        <v>2</v>
      </c>
      <c r="C1039">
        <v>0</v>
      </c>
      <c r="D1039">
        <v>0</v>
      </c>
      <c r="E1039">
        <v>23</v>
      </c>
      <c r="F1039">
        <v>4</v>
      </c>
      <c r="G1039">
        <v>1</v>
      </c>
      <c r="H1039">
        <f>표2[[#This Row],[공격성공횟수]]/(표2[[#This Row],[공격실패횟수]]+표2[[#This Row],[공격성공횟수]])</f>
        <v>0</v>
      </c>
    </row>
    <row r="1040" spans="1:8" x14ac:dyDescent="0.4">
      <c r="A1040">
        <v>520</v>
      </c>
      <c r="B1040" t="s">
        <v>0</v>
      </c>
      <c r="C1040">
        <v>1</v>
      </c>
      <c r="D1040">
        <v>4</v>
      </c>
      <c r="E1040">
        <v>12</v>
      </c>
      <c r="F1040">
        <v>0</v>
      </c>
      <c r="G1040">
        <v>0</v>
      </c>
      <c r="H1040">
        <f>표2[[#This Row],[공격성공횟수]]/(표2[[#This Row],[공격실패횟수]]+표2[[#This Row],[공격성공횟수]])</f>
        <v>0.25</v>
      </c>
    </row>
    <row r="1041" spans="1:8" hidden="1" x14ac:dyDescent="0.4">
      <c r="A1041">
        <v>520</v>
      </c>
      <c r="B1041" t="s">
        <v>2</v>
      </c>
      <c r="C1041">
        <v>0</v>
      </c>
      <c r="D1041">
        <v>0</v>
      </c>
      <c r="E1041">
        <v>14</v>
      </c>
      <c r="F1041">
        <v>4</v>
      </c>
      <c r="G1041">
        <v>1</v>
      </c>
      <c r="H1041">
        <f>표2[[#This Row],[공격성공횟수]]/(표2[[#This Row],[공격실패횟수]]+표2[[#This Row],[공격성공횟수]])</f>
        <v>0</v>
      </c>
    </row>
    <row r="1042" spans="1:8" x14ac:dyDescent="0.4">
      <c r="A1042">
        <v>521</v>
      </c>
      <c r="B1042" t="s">
        <v>0</v>
      </c>
      <c r="C1042">
        <v>0</v>
      </c>
      <c r="D1042">
        <v>3</v>
      </c>
      <c r="E1042">
        <v>25</v>
      </c>
      <c r="F1042">
        <v>4</v>
      </c>
      <c r="G1042">
        <v>1</v>
      </c>
      <c r="H1042">
        <f>표2[[#This Row],[공격성공횟수]]/(표2[[#This Row],[공격실패횟수]]+표2[[#This Row],[공격성공횟수]])</f>
        <v>0.10714285714285714</v>
      </c>
    </row>
    <row r="1043" spans="1:8" hidden="1" x14ac:dyDescent="0.4">
      <c r="A1043">
        <v>521</v>
      </c>
      <c r="B1043" t="s">
        <v>2</v>
      </c>
      <c r="C1043">
        <v>1</v>
      </c>
      <c r="D1043">
        <v>4</v>
      </c>
      <c r="E1043">
        <v>25</v>
      </c>
      <c r="F1043">
        <v>3</v>
      </c>
      <c r="G1043">
        <v>0</v>
      </c>
      <c r="H1043">
        <f>표2[[#This Row],[공격성공횟수]]/(표2[[#This Row],[공격실패횟수]]+표2[[#This Row],[공격성공횟수]])</f>
        <v>0.13793103448275862</v>
      </c>
    </row>
    <row r="1044" spans="1:8" x14ac:dyDescent="0.4">
      <c r="A1044">
        <v>522</v>
      </c>
      <c r="B1044" t="s">
        <v>0</v>
      </c>
      <c r="C1044">
        <v>1</v>
      </c>
      <c r="D1044">
        <v>4</v>
      </c>
      <c r="E1044">
        <v>15</v>
      </c>
      <c r="F1044">
        <v>2</v>
      </c>
      <c r="G1044">
        <v>0</v>
      </c>
      <c r="H1044">
        <f>표2[[#This Row],[공격성공횟수]]/(표2[[#This Row],[공격실패횟수]]+표2[[#This Row],[공격성공횟수]])</f>
        <v>0.21052631578947367</v>
      </c>
    </row>
    <row r="1045" spans="1:8" hidden="1" x14ac:dyDescent="0.4">
      <c r="A1045">
        <v>522</v>
      </c>
      <c r="B1045" t="s">
        <v>2</v>
      </c>
      <c r="C1045">
        <v>0</v>
      </c>
      <c r="D1045">
        <v>2</v>
      </c>
      <c r="E1045">
        <v>17</v>
      </c>
      <c r="F1045">
        <v>4</v>
      </c>
      <c r="G1045">
        <v>1</v>
      </c>
      <c r="H1045">
        <f>표2[[#This Row],[공격성공횟수]]/(표2[[#This Row],[공격실패횟수]]+표2[[#This Row],[공격성공횟수]])</f>
        <v>0.10526315789473684</v>
      </c>
    </row>
    <row r="1046" spans="1:8" x14ac:dyDescent="0.4">
      <c r="A1046">
        <v>523</v>
      </c>
      <c r="B1046" t="s">
        <v>0</v>
      </c>
      <c r="C1046">
        <v>0</v>
      </c>
      <c r="D1046">
        <v>3</v>
      </c>
      <c r="E1046">
        <v>10</v>
      </c>
      <c r="F1046">
        <v>4</v>
      </c>
      <c r="G1046">
        <v>1</v>
      </c>
      <c r="H1046">
        <f>표2[[#This Row],[공격성공횟수]]/(표2[[#This Row],[공격실패횟수]]+표2[[#This Row],[공격성공횟수]])</f>
        <v>0.23076923076923078</v>
      </c>
    </row>
    <row r="1047" spans="1:8" hidden="1" x14ac:dyDescent="0.4">
      <c r="A1047">
        <v>523</v>
      </c>
      <c r="B1047" t="s">
        <v>2</v>
      </c>
      <c r="C1047">
        <v>1</v>
      </c>
      <c r="D1047">
        <v>4</v>
      </c>
      <c r="E1047">
        <v>11</v>
      </c>
      <c r="F1047">
        <v>3</v>
      </c>
      <c r="G1047">
        <v>0</v>
      </c>
      <c r="H1047">
        <f>표2[[#This Row],[공격성공횟수]]/(표2[[#This Row],[공격실패횟수]]+표2[[#This Row],[공격성공횟수]])</f>
        <v>0.26666666666666666</v>
      </c>
    </row>
    <row r="1048" spans="1:8" x14ac:dyDescent="0.4">
      <c r="A1048">
        <v>524</v>
      </c>
      <c r="B1048" t="s">
        <v>0</v>
      </c>
      <c r="C1048">
        <v>0</v>
      </c>
      <c r="D1048">
        <v>2</v>
      </c>
      <c r="E1048">
        <v>6</v>
      </c>
      <c r="F1048">
        <v>4</v>
      </c>
      <c r="G1048">
        <v>1</v>
      </c>
      <c r="H1048">
        <f>표2[[#This Row],[공격성공횟수]]/(표2[[#This Row],[공격실패횟수]]+표2[[#This Row],[공격성공횟수]])</f>
        <v>0.25</v>
      </c>
    </row>
    <row r="1049" spans="1:8" hidden="1" x14ac:dyDescent="0.4">
      <c r="A1049">
        <v>524</v>
      </c>
      <c r="B1049" t="s">
        <v>2</v>
      </c>
      <c r="C1049">
        <v>1</v>
      </c>
      <c r="D1049">
        <v>4</v>
      </c>
      <c r="E1049">
        <v>4</v>
      </c>
      <c r="F1049">
        <v>2</v>
      </c>
      <c r="G1049">
        <v>0</v>
      </c>
      <c r="H1049">
        <f>표2[[#This Row],[공격성공횟수]]/(표2[[#This Row],[공격실패횟수]]+표2[[#This Row],[공격성공횟수]])</f>
        <v>0.5</v>
      </c>
    </row>
    <row r="1050" spans="1:8" x14ac:dyDescent="0.4">
      <c r="A1050">
        <v>525</v>
      </c>
      <c r="B1050" t="s">
        <v>0</v>
      </c>
      <c r="C1050">
        <v>1</v>
      </c>
      <c r="D1050">
        <v>4</v>
      </c>
      <c r="E1050">
        <v>13</v>
      </c>
      <c r="F1050">
        <v>3</v>
      </c>
      <c r="G1050">
        <v>0</v>
      </c>
      <c r="H1050">
        <f>표2[[#This Row],[공격성공횟수]]/(표2[[#This Row],[공격실패횟수]]+표2[[#This Row],[공격성공횟수]])</f>
        <v>0.23529411764705882</v>
      </c>
    </row>
    <row r="1051" spans="1:8" hidden="1" x14ac:dyDescent="0.4">
      <c r="A1051">
        <v>525</v>
      </c>
      <c r="B1051" t="s">
        <v>2</v>
      </c>
      <c r="C1051">
        <v>0</v>
      </c>
      <c r="D1051">
        <v>3</v>
      </c>
      <c r="E1051">
        <v>13</v>
      </c>
      <c r="F1051">
        <v>4</v>
      </c>
      <c r="G1051">
        <v>1</v>
      </c>
      <c r="H1051">
        <f>표2[[#This Row],[공격성공횟수]]/(표2[[#This Row],[공격실패횟수]]+표2[[#This Row],[공격성공횟수]])</f>
        <v>0.1875</v>
      </c>
    </row>
    <row r="1052" spans="1:8" x14ac:dyDescent="0.4">
      <c r="A1052">
        <v>526</v>
      </c>
      <c r="B1052" t="s">
        <v>0</v>
      </c>
      <c r="C1052">
        <v>1</v>
      </c>
      <c r="D1052">
        <v>4</v>
      </c>
      <c r="E1052">
        <v>84</v>
      </c>
      <c r="F1052">
        <v>3</v>
      </c>
      <c r="G1052">
        <v>0</v>
      </c>
      <c r="H1052">
        <f>표2[[#This Row],[공격성공횟수]]/(표2[[#This Row],[공격실패횟수]]+표2[[#This Row],[공격성공횟수]])</f>
        <v>4.5454545454545456E-2</v>
      </c>
    </row>
    <row r="1053" spans="1:8" hidden="1" x14ac:dyDescent="0.4">
      <c r="A1053">
        <v>526</v>
      </c>
      <c r="B1053" t="s">
        <v>2</v>
      </c>
      <c r="C1053">
        <v>0</v>
      </c>
      <c r="D1053">
        <v>3</v>
      </c>
      <c r="E1053">
        <v>83</v>
      </c>
      <c r="F1053">
        <v>4</v>
      </c>
      <c r="G1053">
        <v>1</v>
      </c>
      <c r="H1053">
        <f>표2[[#This Row],[공격성공횟수]]/(표2[[#This Row],[공격실패횟수]]+표2[[#This Row],[공격성공횟수]])</f>
        <v>3.4883720930232558E-2</v>
      </c>
    </row>
    <row r="1054" spans="1:8" x14ac:dyDescent="0.4">
      <c r="A1054">
        <v>527</v>
      </c>
      <c r="B1054" t="s">
        <v>0</v>
      </c>
      <c r="C1054">
        <v>1</v>
      </c>
      <c r="D1054">
        <v>4</v>
      </c>
      <c r="E1054">
        <v>3</v>
      </c>
      <c r="F1054">
        <v>1</v>
      </c>
      <c r="G1054">
        <v>0</v>
      </c>
      <c r="H1054">
        <f>표2[[#This Row],[공격성공횟수]]/(표2[[#This Row],[공격실패횟수]]+표2[[#This Row],[공격성공횟수]])</f>
        <v>0.5714285714285714</v>
      </c>
    </row>
    <row r="1055" spans="1:8" hidden="1" x14ac:dyDescent="0.4">
      <c r="A1055">
        <v>527</v>
      </c>
      <c r="B1055" t="s">
        <v>2</v>
      </c>
      <c r="C1055">
        <v>0</v>
      </c>
      <c r="D1055">
        <v>1</v>
      </c>
      <c r="E1055">
        <v>6</v>
      </c>
      <c r="F1055">
        <v>4</v>
      </c>
      <c r="G1055">
        <v>1</v>
      </c>
      <c r="H1055">
        <f>표2[[#This Row],[공격성공횟수]]/(표2[[#This Row],[공격실패횟수]]+표2[[#This Row],[공격성공횟수]])</f>
        <v>0.14285714285714285</v>
      </c>
    </row>
    <row r="1056" spans="1:8" x14ac:dyDescent="0.4">
      <c r="A1056">
        <v>528</v>
      </c>
      <c r="B1056" t="s">
        <v>0</v>
      </c>
      <c r="C1056">
        <v>1</v>
      </c>
      <c r="D1056">
        <v>4</v>
      </c>
      <c r="E1056">
        <v>4</v>
      </c>
      <c r="F1056">
        <v>2</v>
      </c>
      <c r="G1056">
        <v>0</v>
      </c>
      <c r="H1056">
        <f>표2[[#This Row],[공격성공횟수]]/(표2[[#This Row],[공격실패횟수]]+표2[[#This Row],[공격성공횟수]])</f>
        <v>0.5</v>
      </c>
    </row>
    <row r="1057" spans="1:8" hidden="1" x14ac:dyDescent="0.4">
      <c r="A1057">
        <v>528</v>
      </c>
      <c r="B1057" t="s">
        <v>2</v>
      </c>
      <c r="C1057">
        <v>0</v>
      </c>
      <c r="D1057">
        <v>2</v>
      </c>
      <c r="E1057">
        <v>7</v>
      </c>
      <c r="F1057">
        <v>4</v>
      </c>
      <c r="G1057">
        <v>1</v>
      </c>
      <c r="H1057">
        <f>표2[[#This Row],[공격성공횟수]]/(표2[[#This Row],[공격실패횟수]]+표2[[#This Row],[공격성공횟수]])</f>
        <v>0.22222222222222221</v>
      </c>
    </row>
    <row r="1058" spans="1:8" x14ac:dyDescent="0.4">
      <c r="A1058">
        <v>529</v>
      </c>
      <c r="B1058" t="s">
        <v>0</v>
      </c>
      <c r="C1058">
        <v>1</v>
      </c>
      <c r="D1058">
        <v>4</v>
      </c>
      <c r="E1058">
        <v>6</v>
      </c>
      <c r="F1058">
        <v>1</v>
      </c>
      <c r="G1058">
        <v>0</v>
      </c>
      <c r="H1058">
        <f>표2[[#This Row],[공격성공횟수]]/(표2[[#This Row],[공격실패횟수]]+표2[[#This Row],[공격성공횟수]])</f>
        <v>0.4</v>
      </c>
    </row>
    <row r="1059" spans="1:8" hidden="1" x14ac:dyDescent="0.4">
      <c r="A1059">
        <v>529</v>
      </c>
      <c r="B1059" t="s">
        <v>2</v>
      </c>
      <c r="C1059">
        <v>0</v>
      </c>
      <c r="D1059">
        <v>1</v>
      </c>
      <c r="E1059">
        <v>9</v>
      </c>
      <c r="F1059">
        <v>4</v>
      </c>
      <c r="G1059">
        <v>1</v>
      </c>
      <c r="H1059">
        <f>표2[[#This Row],[공격성공횟수]]/(표2[[#This Row],[공격실패횟수]]+표2[[#This Row],[공격성공횟수]])</f>
        <v>0.1</v>
      </c>
    </row>
    <row r="1060" spans="1:8" x14ac:dyDescent="0.4">
      <c r="A1060">
        <v>530</v>
      </c>
      <c r="B1060" t="s">
        <v>0</v>
      </c>
      <c r="C1060">
        <v>1</v>
      </c>
      <c r="D1060">
        <v>4</v>
      </c>
      <c r="E1060">
        <v>5</v>
      </c>
      <c r="F1060">
        <v>3</v>
      </c>
      <c r="G1060">
        <v>0</v>
      </c>
      <c r="H1060">
        <f>표2[[#This Row],[공격성공횟수]]/(표2[[#This Row],[공격실패횟수]]+표2[[#This Row],[공격성공횟수]])</f>
        <v>0.44444444444444442</v>
      </c>
    </row>
    <row r="1061" spans="1:8" hidden="1" x14ac:dyDescent="0.4">
      <c r="A1061">
        <v>530</v>
      </c>
      <c r="B1061" t="s">
        <v>2</v>
      </c>
      <c r="C1061">
        <v>0</v>
      </c>
      <c r="D1061">
        <v>3</v>
      </c>
      <c r="E1061">
        <v>8</v>
      </c>
      <c r="F1061">
        <v>4</v>
      </c>
      <c r="G1061">
        <v>1</v>
      </c>
      <c r="H1061">
        <f>표2[[#This Row],[공격성공횟수]]/(표2[[#This Row],[공격실패횟수]]+표2[[#This Row],[공격성공횟수]])</f>
        <v>0.27272727272727271</v>
      </c>
    </row>
    <row r="1062" spans="1:8" x14ac:dyDescent="0.4">
      <c r="A1062">
        <v>531</v>
      </c>
      <c r="B1062" t="s">
        <v>0</v>
      </c>
      <c r="C1062">
        <v>1</v>
      </c>
      <c r="D1062">
        <v>4</v>
      </c>
      <c r="E1062">
        <v>15</v>
      </c>
      <c r="F1062">
        <v>1</v>
      </c>
      <c r="G1062">
        <v>0</v>
      </c>
      <c r="H1062">
        <f>표2[[#This Row],[공격성공횟수]]/(표2[[#This Row],[공격실패횟수]]+표2[[#This Row],[공격성공횟수]])</f>
        <v>0.21052631578947367</v>
      </c>
    </row>
    <row r="1063" spans="1:8" hidden="1" x14ac:dyDescent="0.4">
      <c r="A1063">
        <v>531</v>
      </c>
      <c r="B1063" t="s">
        <v>2</v>
      </c>
      <c r="C1063">
        <v>0</v>
      </c>
      <c r="D1063">
        <v>1</v>
      </c>
      <c r="E1063">
        <v>20</v>
      </c>
      <c r="F1063">
        <v>4</v>
      </c>
      <c r="G1063">
        <v>1</v>
      </c>
      <c r="H1063">
        <f>표2[[#This Row],[공격성공횟수]]/(표2[[#This Row],[공격실패횟수]]+표2[[#This Row],[공격성공횟수]])</f>
        <v>4.7619047619047616E-2</v>
      </c>
    </row>
    <row r="1064" spans="1:8" x14ac:dyDescent="0.4">
      <c r="A1064">
        <v>532</v>
      </c>
      <c r="B1064" t="s">
        <v>0</v>
      </c>
      <c r="C1064">
        <v>1</v>
      </c>
      <c r="D1064">
        <v>4</v>
      </c>
      <c r="E1064">
        <v>15</v>
      </c>
      <c r="F1064">
        <v>0</v>
      </c>
      <c r="G1064">
        <v>0</v>
      </c>
      <c r="H1064">
        <f>표2[[#This Row],[공격성공횟수]]/(표2[[#This Row],[공격실패횟수]]+표2[[#This Row],[공격성공횟수]])</f>
        <v>0.21052631578947367</v>
      </c>
    </row>
    <row r="1065" spans="1:8" hidden="1" x14ac:dyDescent="0.4">
      <c r="A1065">
        <v>532</v>
      </c>
      <c r="B1065" t="s">
        <v>2</v>
      </c>
      <c r="C1065">
        <v>0</v>
      </c>
      <c r="D1065">
        <v>0</v>
      </c>
      <c r="E1065">
        <v>18</v>
      </c>
      <c r="F1065">
        <v>4</v>
      </c>
      <c r="G1065">
        <v>1</v>
      </c>
      <c r="H1065">
        <f>표2[[#This Row],[공격성공횟수]]/(표2[[#This Row],[공격실패횟수]]+표2[[#This Row],[공격성공횟수]])</f>
        <v>0</v>
      </c>
    </row>
    <row r="1066" spans="1:8" x14ac:dyDescent="0.4">
      <c r="A1066">
        <v>533</v>
      </c>
      <c r="B1066" t="s">
        <v>0</v>
      </c>
      <c r="C1066">
        <v>1</v>
      </c>
      <c r="D1066">
        <v>4</v>
      </c>
      <c r="E1066">
        <v>25</v>
      </c>
      <c r="F1066">
        <v>0</v>
      </c>
      <c r="G1066">
        <v>0</v>
      </c>
      <c r="H1066">
        <f>표2[[#This Row],[공격성공횟수]]/(표2[[#This Row],[공격실패횟수]]+표2[[#This Row],[공격성공횟수]])</f>
        <v>0.13793103448275862</v>
      </c>
    </row>
    <row r="1067" spans="1:8" hidden="1" x14ac:dyDescent="0.4">
      <c r="A1067">
        <v>533</v>
      </c>
      <c r="B1067" t="s">
        <v>2</v>
      </c>
      <c r="C1067">
        <v>0</v>
      </c>
      <c r="D1067">
        <v>0</v>
      </c>
      <c r="E1067">
        <v>29</v>
      </c>
      <c r="F1067">
        <v>4</v>
      </c>
      <c r="G1067">
        <v>1</v>
      </c>
      <c r="H1067">
        <f>표2[[#This Row],[공격성공횟수]]/(표2[[#This Row],[공격실패횟수]]+표2[[#This Row],[공격성공횟수]])</f>
        <v>0</v>
      </c>
    </row>
    <row r="1068" spans="1:8" x14ac:dyDescent="0.4">
      <c r="A1068">
        <v>534</v>
      </c>
      <c r="B1068" t="s">
        <v>0</v>
      </c>
      <c r="C1068">
        <v>1</v>
      </c>
      <c r="D1068">
        <v>4</v>
      </c>
      <c r="E1068">
        <v>92</v>
      </c>
      <c r="F1068">
        <v>1</v>
      </c>
      <c r="G1068">
        <v>0</v>
      </c>
      <c r="H1068">
        <f>표2[[#This Row],[공격성공횟수]]/(표2[[#This Row],[공격실패횟수]]+표2[[#This Row],[공격성공횟수]])</f>
        <v>4.1666666666666664E-2</v>
      </c>
    </row>
    <row r="1069" spans="1:8" hidden="1" x14ac:dyDescent="0.4">
      <c r="A1069">
        <v>534</v>
      </c>
      <c r="B1069" t="s">
        <v>2</v>
      </c>
      <c r="C1069">
        <v>0</v>
      </c>
      <c r="D1069">
        <v>1</v>
      </c>
      <c r="E1069">
        <v>94</v>
      </c>
      <c r="F1069">
        <v>4</v>
      </c>
      <c r="G1069">
        <v>1</v>
      </c>
      <c r="H1069">
        <f>표2[[#This Row],[공격성공횟수]]/(표2[[#This Row],[공격실패횟수]]+표2[[#This Row],[공격성공횟수]])</f>
        <v>1.0526315789473684E-2</v>
      </c>
    </row>
    <row r="1070" spans="1:8" x14ac:dyDescent="0.4">
      <c r="A1070">
        <v>535</v>
      </c>
      <c r="B1070" t="s">
        <v>0</v>
      </c>
      <c r="C1070">
        <v>1</v>
      </c>
      <c r="D1070">
        <v>4</v>
      </c>
      <c r="E1070">
        <v>19</v>
      </c>
      <c r="F1070">
        <v>3</v>
      </c>
      <c r="G1070">
        <v>0</v>
      </c>
      <c r="H1070">
        <f>표2[[#This Row],[공격성공횟수]]/(표2[[#This Row],[공격실패횟수]]+표2[[#This Row],[공격성공횟수]])</f>
        <v>0.17391304347826086</v>
      </c>
    </row>
    <row r="1071" spans="1:8" hidden="1" x14ac:dyDescent="0.4">
      <c r="A1071">
        <v>535</v>
      </c>
      <c r="B1071" t="s">
        <v>2</v>
      </c>
      <c r="C1071">
        <v>0</v>
      </c>
      <c r="D1071">
        <v>3</v>
      </c>
      <c r="E1071">
        <v>20</v>
      </c>
      <c r="F1071">
        <v>4</v>
      </c>
      <c r="G1071">
        <v>1</v>
      </c>
      <c r="H1071">
        <f>표2[[#This Row],[공격성공횟수]]/(표2[[#This Row],[공격실패횟수]]+표2[[#This Row],[공격성공횟수]])</f>
        <v>0.13043478260869565</v>
      </c>
    </row>
    <row r="1072" spans="1:8" x14ac:dyDescent="0.4">
      <c r="A1072">
        <v>536</v>
      </c>
      <c r="B1072" t="s">
        <v>0</v>
      </c>
      <c r="C1072">
        <v>1</v>
      </c>
      <c r="D1072">
        <v>4</v>
      </c>
      <c r="E1072">
        <v>1</v>
      </c>
      <c r="F1072">
        <v>1</v>
      </c>
      <c r="G1072">
        <v>0</v>
      </c>
      <c r="H1072">
        <f>표2[[#This Row],[공격성공횟수]]/(표2[[#This Row],[공격실패횟수]]+표2[[#This Row],[공격성공횟수]])</f>
        <v>0.8</v>
      </c>
    </row>
    <row r="1073" spans="1:8" hidden="1" x14ac:dyDescent="0.4">
      <c r="A1073">
        <v>536</v>
      </c>
      <c r="B1073" t="s">
        <v>2</v>
      </c>
      <c r="C1073">
        <v>0</v>
      </c>
      <c r="D1073">
        <v>1</v>
      </c>
      <c r="E1073">
        <v>4</v>
      </c>
      <c r="F1073">
        <v>4</v>
      </c>
      <c r="G1073">
        <v>1</v>
      </c>
      <c r="H1073">
        <f>표2[[#This Row],[공격성공횟수]]/(표2[[#This Row],[공격실패횟수]]+표2[[#This Row],[공격성공횟수]])</f>
        <v>0.2</v>
      </c>
    </row>
    <row r="1074" spans="1:8" x14ac:dyDescent="0.4">
      <c r="A1074">
        <v>537</v>
      </c>
      <c r="B1074" t="s">
        <v>0</v>
      </c>
      <c r="C1074">
        <v>1</v>
      </c>
      <c r="D1074">
        <v>4</v>
      </c>
      <c r="E1074">
        <v>5</v>
      </c>
      <c r="F1074">
        <v>3</v>
      </c>
      <c r="G1074">
        <v>0</v>
      </c>
      <c r="H1074">
        <f>표2[[#This Row],[공격성공횟수]]/(표2[[#This Row],[공격실패횟수]]+표2[[#This Row],[공격성공횟수]])</f>
        <v>0.44444444444444442</v>
      </c>
    </row>
    <row r="1075" spans="1:8" hidden="1" x14ac:dyDescent="0.4">
      <c r="A1075">
        <v>537</v>
      </c>
      <c r="B1075" t="s">
        <v>2</v>
      </c>
      <c r="C1075">
        <v>0</v>
      </c>
      <c r="D1075">
        <v>3</v>
      </c>
      <c r="E1075">
        <v>7</v>
      </c>
      <c r="F1075">
        <v>4</v>
      </c>
      <c r="G1075">
        <v>1</v>
      </c>
      <c r="H1075">
        <f>표2[[#This Row],[공격성공횟수]]/(표2[[#This Row],[공격실패횟수]]+표2[[#This Row],[공격성공횟수]])</f>
        <v>0.3</v>
      </c>
    </row>
    <row r="1076" spans="1:8" x14ac:dyDescent="0.4">
      <c r="A1076">
        <v>538</v>
      </c>
      <c r="B1076" t="s">
        <v>0</v>
      </c>
      <c r="C1076">
        <v>1</v>
      </c>
      <c r="D1076">
        <v>4</v>
      </c>
      <c r="E1076">
        <v>65</v>
      </c>
      <c r="F1076">
        <v>2</v>
      </c>
      <c r="G1076">
        <v>0</v>
      </c>
      <c r="H1076">
        <f>표2[[#This Row],[공격성공횟수]]/(표2[[#This Row],[공격실패횟수]]+표2[[#This Row],[공격성공횟수]])</f>
        <v>5.7971014492753624E-2</v>
      </c>
    </row>
    <row r="1077" spans="1:8" hidden="1" x14ac:dyDescent="0.4">
      <c r="A1077">
        <v>538</v>
      </c>
      <c r="B1077" t="s">
        <v>2</v>
      </c>
      <c r="C1077">
        <v>0</v>
      </c>
      <c r="D1077">
        <v>2</v>
      </c>
      <c r="E1077">
        <v>68</v>
      </c>
      <c r="F1077">
        <v>4</v>
      </c>
      <c r="G1077">
        <v>1</v>
      </c>
      <c r="H1077">
        <f>표2[[#This Row],[공격성공횟수]]/(표2[[#This Row],[공격실패횟수]]+표2[[#This Row],[공격성공횟수]])</f>
        <v>2.8571428571428571E-2</v>
      </c>
    </row>
    <row r="1078" spans="1:8" x14ac:dyDescent="0.4">
      <c r="A1078">
        <v>539</v>
      </c>
      <c r="B1078" t="s">
        <v>0</v>
      </c>
      <c r="C1078">
        <v>1</v>
      </c>
      <c r="D1078">
        <v>4</v>
      </c>
      <c r="E1078">
        <v>9</v>
      </c>
      <c r="F1078">
        <v>0</v>
      </c>
      <c r="G1078">
        <v>0</v>
      </c>
      <c r="H1078">
        <f>표2[[#This Row],[공격성공횟수]]/(표2[[#This Row],[공격실패횟수]]+표2[[#This Row],[공격성공횟수]])</f>
        <v>0.30769230769230771</v>
      </c>
    </row>
    <row r="1079" spans="1:8" hidden="1" x14ac:dyDescent="0.4">
      <c r="A1079">
        <v>539</v>
      </c>
      <c r="B1079" t="s">
        <v>2</v>
      </c>
      <c r="C1079">
        <v>0</v>
      </c>
      <c r="D1079">
        <v>0</v>
      </c>
      <c r="E1079">
        <v>13</v>
      </c>
      <c r="F1079">
        <v>4</v>
      </c>
      <c r="G1079">
        <v>1</v>
      </c>
      <c r="H1079">
        <f>표2[[#This Row],[공격성공횟수]]/(표2[[#This Row],[공격실패횟수]]+표2[[#This Row],[공격성공횟수]])</f>
        <v>0</v>
      </c>
    </row>
    <row r="1080" spans="1:8" x14ac:dyDescent="0.4">
      <c r="A1080">
        <v>540</v>
      </c>
      <c r="B1080" t="s">
        <v>0</v>
      </c>
      <c r="C1080">
        <v>1</v>
      </c>
      <c r="D1080">
        <v>4</v>
      </c>
      <c r="E1080">
        <v>6</v>
      </c>
      <c r="F1080">
        <v>3</v>
      </c>
      <c r="G1080">
        <v>0</v>
      </c>
      <c r="H1080">
        <f>표2[[#This Row],[공격성공횟수]]/(표2[[#This Row],[공격실패횟수]]+표2[[#This Row],[공격성공횟수]])</f>
        <v>0.4</v>
      </c>
    </row>
    <row r="1081" spans="1:8" hidden="1" x14ac:dyDescent="0.4">
      <c r="A1081">
        <v>540</v>
      </c>
      <c r="B1081" t="s">
        <v>2</v>
      </c>
      <c r="C1081">
        <v>0</v>
      </c>
      <c r="D1081">
        <v>3</v>
      </c>
      <c r="E1081">
        <v>8</v>
      </c>
      <c r="F1081">
        <v>4</v>
      </c>
      <c r="G1081">
        <v>1</v>
      </c>
      <c r="H1081">
        <f>표2[[#This Row],[공격성공횟수]]/(표2[[#This Row],[공격실패횟수]]+표2[[#This Row],[공격성공횟수]])</f>
        <v>0.27272727272727271</v>
      </c>
    </row>
    <row r="1082" spans="1:8" x14ac:dyDescent="0.4">
      <c r="A1082">
        <v>541</v>
      </c>
      <c r="B1082" t="s">
        <v>0</v>
      </c>
      <c r="C1082">
        <v>1</v>
      </c>
      <c r="D1082">
        <v>4</v>
      </c>
      <c r="E1082">
        <v>9</v>
      </c>
      <c r="F1082">
        <v>1</v>
      </c>
      <c r="G1082">
        <v>0</v>
      </c>
      <c r="H1082">
        <f>표2[[#This Row],[공격성공횟수]]/(표2[[#This Row],[공격실패횟수]]+표2[[#This Row],[공격성공횟수]])</f>
        <v>0.30769230769230771</v>
      </c>
    </row>
    <row r="1083" spans="1:8" hidden="1" x14ac:dyDescent="0.4">
      <c r="A1083">
        <v>541</v>
      </c>
      <c r="B1083" t="s">
        <v>2</v>
      </c>
      <c r="C1083">
        <v>0</v>
      </c>
      <c r="D1083">
        <v>1</v>
      </c>
      <c r="E1083">
        <v>12</v>
      </c>
      <c r="F1083">
        <v>4</v>
      </c>
      <c r="G1083">
        <v>1</v>
      </c>
      <c r="H1083">
        <f>표2[[#This Row],[공격성공횟수]]/(표2[[#This Row],[공격실패횟수]]+표2[[#This Row],[공격성공횟수]])</f>
        <v>7.6923076923076927E-2</v>
      </c>
    </row>
    <row r="1084" spans="1:8" x14ac:dyDescent="0.4">
      <c r="A1084">
        <v>542</v>
      </c>
      <c r="B1084" t="s">
        <v>0</v>
      </c>
      <c r="C1084">
        <v>1</v>
      </c>
      <c r="D1084">
        <v>4</v>
      </c>
      <c r="E1084">
        <v>28</v>
      </c>
      <c r="F1084">
        <v>2</v>
      </c>
      <c r="G1084">
        <v>0</v>
      </c>
      <c r="H1084">
        <f>표2[[#This Row],[공격성공횟수]]/(표2[[#This Row],[공격실패횟수]]+표2[[#This Row],[공격성공횟수]])</f>
        <v>0.125</v>
      </c>
    </row>
    <row r="1085" spans="1:8" hidden="1" x14ac:dyDescent="0.4">
      <c r="A1085">
        <v>542</v>
      </c>
      <c r="B1085" t="s">
        <v>2</v>
      </c>
      <c r="C1085">
        <v>0</v>
      </c>
      <c r="D1085">
        <v>2</v>
      </c>
      <c r="E1085">
        <v>30</v>
      </c>
      <c r="F1085">
        <v>4</v>
      </c>
      <c r="G1085">
        <v>1</v>
      </c>
      <c r="H1085">
        <f>표2[[#This Row],[공격성공횟수]]/(표2[[#This Row],[공격실패횟수]]+표2[[#This Row],[공격성공횟수]])</f>
        <v>6.25E-2</v>
      </c>
    </row>
    <row r="1086" spans="1:8" x14ac:dyDescent="0.4">
      <c r="A1086">
        <v>543</v>
      </c>
      <c r="B1086" t="s">
        <v>0</v>
      </c>
      <c r="C1086">
        <v>1</v>
      </c>
      <c r="D1086">
        <v>4</v>
      </c>
      <c r="E1086">
        <v>12</v>
      </c>
      <c r="F1086">
        <v>1</v>
      </c>
      <c r="G1086">
        <v>0</v>
      </c>
      <c r="H1086">
        <f>표2[[#This Row],[공격성공횟수]]/(표2[[#This Row],[공격실패횟수]]+표2[[#This Row],[공격성공횟수]])</f>
        <v>0.25</v>
      </c>
    </row>
    <row r="1087" spans="1:8" hidden="1" x14ac:dyDescent="0.4">
      <c r="A1087">
        <v>543</v>
      </c>
      <c r="B1087" t="s">
        <v>2</v>
      </c>
      <c r="C1087">
        <v>0</v>
      </c>
      <c r="D1087">
        <v>1</v>
      </c>
      <c r="E1087">
        <v>16</v>
      </c>
      <c r="F1087">
        <v>4</v>
      </c>
      <c r="G1087">
        <v>1</v>
      </c>
      <c r="H1087">
        <f>표2[[#This Row],[공격성공횟수]]/(표2[[#This Row],[공격실패횟수]]+표2[[#This Row],[공격성공횟수]])</f>
        <v>5.8823529411764705E-2</v>
      </c>
    </row>
    <row r="1088" spans="1:8" x14ac:dyDescent="0.4">
      <c r="A1088">
        <v>544</v>
      </c>
      <c r="B1088" t="s">
        <v>0</v>
      </c>
      <c r="C1088">
        <v>1</v>
      </c>
      <c r="D1088">
        <v>4</v>
      </c>
      <c r="E1088">
        <v>15</v>
      </c>
      <c r="F1088">
        <v>0</v>
      </c>
      <c r="G1088">
        <v>0</v>
      </c>
      <c r="H1088">
        <f>표2[[#This Row],[공격성공횟수]]/(표2[[#This Row],[공격실패횟수]]+표2[[#This Row],[공격성공횟수]])</f>
        <v>0.21052631578947367</v>
      </c>
    </row>
    <row r="1089" spans="1:8" hidden="1" x14ac:dyDescent="0.4">
      <c r="A1089">
        <v>544</v>
      </c>
      <c r="B1089" t="s">
        <v>2</v>
      </c>
      <c r="C1089">
        <v>0</v>
      </c>
      <c r="D1089">
        <v>0</v>
      </c>
      <c r="E1089">
        <v>19</v>
      </c>
      <c r="F1089">
        <v>4</v>
      </c>
      <c r="G1089">
        <v>1</v>
      </c>
      <c r="H1089">
        <f>표2[[#This Row],[공격성공횟수]]/(표2[[#This Row],[공격실패횟수]]+표2[[#This Row],[공격성공횟수]])</f>
        <v>0</v>
      </c>
    </row>
    <row r="1090" spans="1:8" x14ac:dyDescent="0.4">
      <c r="A1090">
        <v>545</v>
      </c>
      <c r="B1090" t="s">
        <v>0</v>
      </c>
      <c r="C1090">
        <v>1</v>
      </c>
      <c r="D1090">
        <v>4</v>
      </c>
      <c r="E1090">
        <v>8</v>
      </c>
      <c r="F1090">
        <v>1</v>
      </c>
      <c r="G1090">
        <v>0</v>
      </c>
      <c r="H1090">
        <f>표2[[#This Row],[공격성공횟수]]/(표2[[#This Row],[공격실패횟수]]+표2[[#This Row],[공격성공횟수]])</f>
        <v>0.33333333333333331</v>
      </c>
    </row>
    <row r="1091" spans="1:8" hidden="1" x14ac:dyDescent="0.4">
      <c r="A1091">
        <v>545</v>
      </c>
      <c r="B1091" t="s">
        <v>2</v>
      </c>
      <c r="C1091">
        <v>0</v>
      </c>
      <c r="D1091">
        <v>1</v>
      </c>
      <c r="E1091">
        <v>11</v>
      </c>
      <c r="F1091">
        <v>4</v>
      </c>
      <c r="G1091">
        <v>1</v>
      </c>
      <c r="H1091">
        <f>표2[[#This Row],[공격성공횟수]]/(표2[[#This Row],[공격실패횟수]]+표2[[#This Row],[공격성공횟수]])</f>
        <v>8.3333333333333329E-2</v>
      </c>
    </row>
    <row r="1092" spans="1:8" x14ac:dyDescent="0.4">
      <c r="A1092">
        <v>546</v>
      </c>
      <c r="B1092" t="s">
        <v>0</v>
      </c>
      <c r="C1092">
        <v>1</v>
      </c>
      <c r="D1092">
        <v>4</v>
      </c>
      <c r="E1092">
        <v>32</v>
      </c>
      <c r="F1092">
        <v>0</v>
      </c>
      <c r="G1092">
        <v>0</v>
      </c>
      <c r="H1092">
        <f>표2[[#This Row],[공격성공횟수]]/(표2[[#This Row],[공격실패횟수]]+표2[[#This Row],[공격성공횟수]])</f>
        <v>0.1111111111111111</v>
      </c>
    </row>
    <row r="1093" spans="1:8" hidden="1" x14ac:dyDescent="0.4">
      <c r="A1093">
        <v>546</v>
      </c>
      <c r="B1093" t="s">
        <v>2</v>
      </c>
      <c r="C1093">
        <v>0</v>
      </c>
      <c r="D1093">
        <v>0</v>
      </c>
      <c r="E1093">
        <v>36</v>
      </c>
      <c r="F1093">
        <v>4</v>
      </c>
      <c r="G1093">
        <v>1</v>
      </c>
      <c r="H1093">
        <f>표2[[#This Row],[공격성공횟수]]/(표2[[#This Row],[공격실패횟수]]+표2[[#This Row],[공격성공횟수]])</f>
        <v>0</v>
      </c>
    </row>
    <row r="1094" spans="1:8" x14ac:dyDescent="0.4">
      <c r="A1094">
        <v>547</v>
      </c>
      <c r="B1094" t="s">
        <v>0</v>
      </c>
      <c r="C1094">
        <v>0</v>
      </c>
      <c r="D1094">
        <v>0</v>
      </c>
      <c r="E1094">
        <v>10</v>
      </c>
      <c r="F1094">
        <v>4</v>
      </c>
      <c r="G1094">
        <v>1</v>
      </c>
      <c r="H1094">
        <f>표2[[#This Row],[공격성공횟수]]/(표2[[#This Row],[공격실패횟수]]+표2[[#This Row],[공격성공횟수]])</f>
        <v>0</v>
      </c>
    </row>
    <row r="1095" spans="1:8" hidden="1" x14ac:dyDescent="0.4">
      <c r="A1095">
        <v>547</v>
      </c>
      <c r="B1095" t="s">
        <v>2</v>
      </c>
      <c r="C1095">
        <v>1</v>
      </c>
      <c r="D1095">
        <v>4</v>
      </c>
      <c r="E1095">
        <v>8</v>
      </c>
      <c r="F1095">
        <v>0</v>
      </c>
      <c r="G1095">
        <v>0</v>
      </c>
      <c r="H1095">
        <f>표2[[#This Row],[공격성공횟수]]/(표2[[#This Row],[공격실패횟수]]+표2[[#This Row],[공격성공횟수]])</f>
        <v>0.33333333333333331</v>
      </c>
    </row>
    <row r="1096" spans="1:8" x14ac:dyDescent="0.4">
      <c r="A1096">
        <v>548</v>
      </c>
      <c r="B1096" t="s">
        <v>0</v>
      </c>
      <c r="C1096">
        <v>1</v>
      </c>
      <c r="D1096">
        <v>4</v>
      </c>
      <c r="E1096">
        <v>22</v>
      </c>
      <c r="F1096">
        <v>0</v>
      </c>
      <c r="G1096">
        <v>0</v>
      </c>
      <c r="H1096">
        <f>표2[[#This Row],[공격성공횟수]]/(표2[[#This Row],[공격실패횟수]]+표2[[#This Row],[공격성공횟수]])</f>
        <v>0.15384615384615385</v>
      </c>
    </row>
    <row r="1097" spans="1:8" hidden="1" x14ac:dyDescent="0.4">
      <c r="A1097">
        <v>548</v>
      </c>
      <c r="B1097" t="s">
        <v>2</v>
      </c>
      <c r="C1097">
        <v>0</v>
      </c>
      <c r="D1097">
        <v>0</v>
      </c>
      <c r="E1097">
        <v>26</v>
      </c>
      <c r="F1097">
        <v>4</v>
      </c>
      <c r="G1097">
        <v>1</v>
      </c>
      <c r="H1097">
        <f>표2[[#This Row],[공격성공횟수]]/(표2[[#This Row],[공격실패횟수]]+표2[[#This Row],[공격성공횟수]])</f>
        <v>0</v>
      </c>
    </row>
    <row r="1098" spans="1:8" x14ac:dyDescent="0.4">
      <c r="A1098">
        <v>549</v>
      </c>
      <c r="B1098" t="s">
        <v>0</v>
      </c>
      <c r="C1098">
        <v>1</v>
      </c>
      <c r="D1098">
        <v>4</v>
      </c>
      <c r="E1098">
        <v>25</v>
      </c>
      <c r="F1098">
        <v>1</v>
      </c>
      <c r="G1098">
        <v>0</v>
      </c>
      <c r="H1098">
        <f>표2[[#This Row],[공격성공횟수]]/(표2[[#This Row],[공격실패횟수]]+표2[[#This Row],[공격성공횟수]])</f>
        <v>0.13793103448275862</v>
      </c>
    </row>
    <row r="1099" spans="1:8" hidden="1" x14ac:dyDescent="0.4">
      <c r="A1099">
        <v>549</v>
      </c>
      <c r="B1099" t="s">
        <v>2</v>
      </c>
      <c r="C1099">
        <v>0</v>
      </c>
      <c r="D1099">
        <v>1</v>
      </c>
      <c r="E1099">
        <v>26</v>
      </c>
      <c r="F1099">
        <v>4</v>
      </c>
      <c r="G1099">
        <v>1</v>
      </c>
      <c r="H1099">
        <f>표2[[#This Row],[공격성공횟수]]/(표2[[#This Row],[공격실패횟수]]+표2[[#This Row],[공격성공횟수]])</f>
        <v>3.7037037037037035E-2</v>
      </c>
    </row>
    <row r="1100" spans="1:8" x14ac:dyDescent="0.4">
      <c r="A1100">
        <v>550</v>
      </c>
      <c r="B1100" t="s">
        <v>0</v>
      </c>
      <c r="C1100">
        <v>0</v>
      </c>
      <c r="D1100">
        <v>3</v>
      </c>
      <c r="E1100">
        <v>70</v>
      </c>
      <c r="F1100">
        <v>4</v>
      </c>
      <c r="G1100">
        <v>1</v>
      </c>
      <c r="H1100">
        <f>표2[[#This Row],[공격성공횟수]]/(표2[[#This Row],[공격실패횟수]]+표2[[#This Row],[공격성공횟수]])</f>
        <v>4.1095890410958902E-2</v>
      </c>
    </row>
    <row r="1101" spans="1:8" hidden="1" x14ac:dyDescent="0.4">
      <c r="A1101">
        <v>550</v>
      </c>
      <c r="B1101" t="s">
        <v>2</v>
      </c>
      <c r="C1101">
        <v>1</v>
      </c>
      <c r="D1101">
        <v>4</v>
      </c>
      <c r="E1101">
        <v>69</v>
      </c>
      <c r="F1101">
        <v>3</v>
      </c>
      <c r="G1101">
        <v>0</v>
      </c>
      <c r="H1101">
        <f>표2[[#This Row],[공격성공횟수]]/(표2[[#This Row],[공격실패횟수]]+표2[[#This Row],[공격성공횟수]])</f>
        <v>5.4794520547945202E-2</v>
      </c>
    </row>
    <row r="1102" spans="1:8" x14ac:dyDescent="0.4">
      <c r="A1102">
        <v>551</v>
      </c>
      <c r="B1102" t="s">
        <v>0</v>
      </c>
      <c r="C1102">
        <v>0</v>
      </c>
      <c r="D1102">
        <v>3</v>
      </c>
      <c r="E1102">
        <v>19</v>
      </c>
      <c r="F1102">
        <v>4</v>
      </c>
      <c r="G1102">
        <v>1</v>
      </c>
      <c r="H1102">
        <f>표2[[#This Row],[공격성공횟수]]/(표2[[#This Row],[공격실패횟수]]+표2[[#This Row],[공격성공횟수]])</f>
        <v>0.13636363636363635</v>
      </c>
    </row>
    <row r="1103" spans="1:8" hidden="1" x14ac:dyDescent="0.4">
      <c r="A1103">
        <v>551</v>
      </c>
      <c r="B1103" t="s">
        <v>2</v>
      </c>
      <c r="C1103">
        <v>1</v>
      </c>
      <c r="D1103">
        <v>4</v>
      </c>
      <c r="E1103">
        <v>19</v>
      </c>
      <c r="F1103">
        <v>3</v>
      </c>
      <c r="G1103">
        <v>0</v>
      </c>
      <c r="H1103">
        <f>표2[[#This Row],[공격성공횟수]]/(표2[[#This Row],[공격실패횟수]]+표2[[#This Row],[공격성공횟수]])</f>
        <v>0.17391304347826086</v>
      </c>
    </row>
    <row r="1104" spans="1:8" x14ac:dyDescent="0.4">
      <c r="A1104">
        <v>552</v>
      </c>
      <c r="B1104" t="s">
        <v>0</v>
      </c>
      <c r="C1104">
        <v>1</v>
      </c>
      <c r="D1104">
        <v>4</v>
      </c>
      <c r="E1104">
        <v>5</v>
      </c>
      <c r="F1104">
        <v>1</v>
      </c>
      <c r="G1104">
        <v>0</v>
      </c>
      <c r="H1104">
        <f>표2[[#This Row],[공격성공횟수]]/(표2[[#This Row],[공격실패횟수]]+표2[[#This Row],[공격성공횟수]])</f>
        <v>0.44444444444444442</v>
      </c>
    </row>
    <row r="1105" spans="1:8" hidden="1" x14ac:dyDescent="0.4">
      <c r="A1105">
        <v>552</v>
      </c>
      <c r="B1105" t="s">
        <v>2</v>
      </c>
      <c r="C1105">
        <v>0</v>
      </c>
      <c r="D1105">
        <v>1</v>
      </c>
      <c r="E1105">
        <v>7</v>
      </c>
      <c r="F1105">
        <v>4</v>
      </c>
      <c r="G1105">
        <v>1</v>
      </c>
      <c r="H1105">
        <f>표2[[#This Row],[공격성공횟수]]/(표2[[#This Row],[공격실패횟수]]+표2[[#This Row],[공격성공횟수]])</f>
        <v>0.125</v>
      </c>
    </row>
    <row r="1106" spans="1:8" x14ac:dyDescent="0.4">
      <c r="A1106">
        <v>553</v>
      </c>
      <c r="B1106" t="s">
        <v>0</v>
      </c>
      <c r="C1106">
        <v>0</v>
      </c>
      <c r="D1106">
        <v>2</v>
      </c>
      <c r="E1106">
        <v>114</v>
      </c>
      <c r="F1106">
        <v>2</v>
      </c>
      <c r="G1106">
        <v>0</v>
      </c>
      <c r="H1106">
        <f>표2[[#This Row],[공격성공횟수]]/(표2[[#This Row],[공격실패횟수]]+표2[[#This Row],[공격성공횟수]])</f>
        <v>1.7241379310344827E-2</v>
      </c>
    </row>
    <row r="1107" spans="1:8" hidden="1" x14ac:dyDescent="0.4">
      <c r="A1107">
        <v>553</v>
      </c>
      <c r="B1107" t="s">
        <v>2</v>
      </c>
      <c r="C1107">
        <v>0</v>
      </c>
      <c r="D1107">
        <v>2</v>
      </c>
      <c r="E1107">
        <v>115</v>
      </c>
      <c r="F1107">
        <v>2</v>
      </c>
      <c r="G1107">
        <v>0</v>
      </c>
      <c r="H1107">
        <f>표2[[#This Row],[공격성공횟수]]/(표2[[#This Row],[공격실패횟수]]+표2[[#This Row],[공격성공횟수]])</f>
        <v>1.7094017094017096E-2</v>
      </c>
    </row>
    <row r="1108" spans="1:8" x14ac:dyDescent="0.4">
      <c r="A1108">
        <v>554</v>
      </c>
      <c r="B1108" t="s">
        <v>0</v>
      </c>
      <c r="C1108">
        <v>0</v>
      </c>
      <c r="D1108">
        <v>3</v>
      </c>
      <c r="E1108">
        <v>10</v>
      </c>
      <c r="F1108">
        <v>4</v>
      </c>
      <c r="G1108">
        <v>1</v>
      </c>
      <c r="H1108">
        <f>표2[[#This Row],[공격성공횟수]]/(표2[[#This Row],[공격실패횟수]]+표2[[#This Row],[공격성공횟수]])</f>
        <v>0.23076923076923078</v>
      </c>
    </row>
    <row r="1109" spans="1:8" hidden="1" x14ac:dyDescent="0.4">
      <c r="A1109">
        <v>554</v>
      </c>
      <c r="B1109" t="s">
        <v>2</v>
      </c>
      <c r="C1109">
        <v>1</v>
      </c>
      <c r="D1109">
        <v>4</v>
      </c>
      <c r="E1109">
        <v>10</v>
      </c>
      <c r="F1109">
        <v>3</v>
      </c>
      <c r="G1109">
        <v>0</v>
      </c>
      <c r="H1109">
        <f>표2[[#This Row],[공격성공횟수]]/(표2[[#This Row],[공격실패횟수]]+표2[[#This Row],[공격성공횟수]])</f>
        <v>0.2857142857142857</v>
      </c>
    </row>
    <row r="1110" spans="1:8" x14ac:dyDescent="0.4">
      <c r="A1110">
        <v>555</v>
      </c>
      <c r="B1110" t="s">
        <v>0</v>
      </c>
      <c r="C1110">
        <v>1</v>
      </c>
      <c r="D1110">
        <v>4</v>
      </c>
      <c r="E1110">
        <v>1</v>
      </c>
      <c r="F1110">
        <v>0</v>
      </c>
      <c r="G1110">
        <v>0</v>
      </c>
      <c r="H1110">
        <f>표2[[#This Row],[공격성공횟수]]/(표2[[#This Row],[공격실패횟수]]+표2[[#This Row],[공격성공횟수]])</f>
        <v>0.8</v>
      </c>
    </row>
    <row r="1111" spans="1:8" hidden="1" x14ac:dyDescent="0.4">
      <c r="A1111">
        <v>555</v>
      </c>
      <c r="B1111" t="s">
        <v>2</v>
      </c>
      <c r="C1111">
        <v>0</v>
      </c>
      <c r="D1111">
        <v>0</v>
      </c>
      <c r="E1111">
        <v>4</v>
      </c>
      <c r="F1111">
        <v>4</v>
      </c>
      <c r="G1111">
        <v>1</v>
      </c>
      <c r="H1111">
        <f>표2[[#This Row],[공격성공횟수]]/(표2[[#This Row],[공격실패횟수]]+표2[[#This Row],[공격성공횟수]])</f>
        <v>0</v>
      </c>
    </row>
    <row r="1112" spans="1:8" x14ac:dyDescent="0.4">
      <c r="A1112">
        <v>556</v>
      </c>
      <c r="B1112" t="s">
        <v>0</v>
      </c>
      <c r="C1112">
        <v>0</v>
      </c>
      <c r="D1112">
        <v>3</v>
      </c>
      <c r="E1112">
        <v>31</v>
      </c>
      <c r="F1112">
        <v>4</v>
      </c>
      <c r="G1112">
        <v>1</v>
      </c>
      <c r="H1112">
        <f>표2[[#This Row],[공격성공횟수]]/(표2[[#This Row],[공격실패횟수]]+표2[[#This Row],[공격성공횟수]])</f>
        <v>8.8235294117647065E-2</v>
      </c>
    </row>
    <row r="1113" spans="1:8" hidden="1" x14ac:dyDescent="0.4">
      <c r="A1113">
        <v>556</v>
      </c>
      <c r="B1113" t="s">
        <v>2</v>
      </c>
      <c r="C1113">
        <v>1</v>
      </c>
      <c r="D1113">
        <v>4</v>
      </c>
      <c r="E1113">
        <v>33</v>
      </c>
      <c r="F1113">
        <v>3</v>
      </c>
      <c r="G1113">
        <v>0</v>
      </c>
      <c r="H1113">
        <f>표2[[#This Row],[공격성공횟수]]/(표2[[#This Row],[공격실패횟수]]+표2[[#This Row],[공격성공횟수]])</f>
        <v>0.10810810810810811</v>
      </c>
    </row>
    <row r="1114" spans="1:8" x14ac:dyDescent="0.4">
      <c r="A1114">
        <v>557</v>
      </c>
      <c r="B1114" t="s">
        <v>0</v>
      </c>
      <c r="C1114">
        <v>0</v>
      </c>
      <c r="D1114">
        <v>3</v>
      </c>
      <c r="E1114">
        <v>4</v>
      </c>
      <c r="F1114">
        <v>4</v>
      </c>
      <c r="G1114">
        <v>1</v>
      </c>
      <c r="H1114">
        <f>표2[[#This Row],[공격성공횟수]]/(표2[[#This Row],[공격실패횟수]]+표2[[#This Row],[공격성공횟수]])</f>
        <v>0.42857142857142855</v>
      </c>
    </row>
    <row r="1115" spans="1:8" hidden="1" x14ac:dyDescent="0.4">
      <c r="A1115">
        <v>557</v>
      </c>
      <c r="B1115" t="s">
        <v>2</v>
      </c>
      <c r="C1115">
        <v>1</v>
      </c>
      <c r="D1115">
        <v>4</v>
      </c>
      <c r="E1115">
        <v>3</v>
      </c>
      <c r="F1115">
        <v>3</v>
      </c>
      <c r="G1115">
        <v>0</v>
      </c>
      <c r="H1115">
        <f>표2[[#This Row],[공격성공횟수]]/(표2[[#This Row],[공격실패횟수]]+표2[[#This Row],[공격성공횟수]])</f>
        <v>0.5714285714285714</v>
      </c>
    </row>
    <row r="1116" spans="1:8" x14ac:dyDescent="0.4">
      <c r="A1116">
        <v>558</v>
      </c>
      <c r="B1116" t="s">
        <v>0</v>
      </c>
      <c r="C1116">
        <v>1</v>
      </c>
      <c r="D1116">
        <v>4</v>
      </c>
      <c r="E1116">
        <v>77</v>
      </c>
      <c r="F1116">
        <v>2</v>
      </c>
      <c r="G1116">
        <v>0</v>
      </c>
      <c r="H1116">
        <f>표2[[#This Row],[공격성공횟수]]/(표2[[#This Row],[공격실패횟수]]+표2[[#This Row],[공격성공횟수]])</f>
        <v>4.9382716049382713E-2</v>
      </c>
    </row>
    <row r="1117" spans="1:8" hidden="1" x14ac:dyDescent="0.4">
      <c r="A1117">
        <v>558</v>
      </c>
      <c r="B1117" t="s">
        <v>2</v>
      </c>
      <c r="C1117">
        <v>0</v>
      </c>
      <c r="D1117">
        <v>2</v>
      </c>
      <c r="E1117">
        <v>78</v>
      </c>
      <c r="F1117">
        <v>4</v>
      </c>
      <c r="G1117">
        <v>1</v>
      </c>
      <c r="H1117">
        <f>표2[[#This Row],[공격성공횟수]]/(표2[[#This Row],[공격실패횟수]]+표2[[#This Row],[공격성공횟수]])</f>
        <v>2.5000000000000001E-2</v>
      </c>
    </row>
    <row r="1118" spans="1:8" x14ac:dyDescent="0.4">
      <c r="A1118">
        <v>559</v>
      </c>
      <c r="B1118" t="s">
        <v>0</v>
      </c>
      <c r="C1118">
        <v>1</v>
      </c>
      <c r="D1118">
        <v>4</v>
      </c>
      <c r="E1118">
        <v>65</v>
      </c>
      <c r="F1118">
        <v>0</v>
      </c>
      <c r="G1118">
        <v>0</v>
      </c>
      <c r="H1118">
        <f>표2[[#This Row],[공격성공횟수]]/(표2[[#This Row],[공격실패횟수]]+표2[[#This Row],[공격성공횟수]])</f>
        <v>5.7971014492753624E-2</v>
      </c>
    </row>
    <row r="1119" spans="1:8" hidden="1" x14ac:dyDescent="0.4">
      <c r="A1119">
        <v>559</v>
      </c>
      <c r="B1119" t="s">
        <v>2</v>
      </c>
      <c r="C1119">
        <v>0</v>
      </c>
      <c r="D1119">
        <v>0</v>
      </c>
      <c r="E1119">
        <v>67</v>
      </c>
      <c r="F1119">
        <v>4</v>
      </c>
      <c r="G1119">
        <v>1</v>
      </c>
      <c r="H1119">
        <f>표2[[#This Row],[공격성공횟수]]/(표2[[#This Row],[공격실패횟수]]+표2[[#This Row],[공격성공횟수]])</f>
        <v>0</v>
      </c>
    </row>
    <row r="1120" spans="1:8" x14ac:dyDescent="0.4">
      <c r="A1120">
        <v>560</v>
      </c>
      <c r="B1120" t="s">
        <v>0</v>
      </c>
      <c r="C1120">
        <v>1</v>
      </c>
      <c r="D1120">
        <v>4</v>
      </c>
      <c r="E1120">
        <v>43</v>
      </c>
      <c r="F1120">
        <v>2</v>
      </c>
      <c r="G1120">
        <v>0</v>
      </c>
      <c r="H1120">
        <f>표2[[#This Row],[공격성공횟수]]/(표2[[#This Row],[공격실패횟수]]+표2[[#This Row],[공격성공횟수]])</f>
        <v>8.5106382978723402E-2</v>
      </c>
    </row>
    <row r="1121" spans="1:8" hidden="1" x14ac:dyDescent="0.4">
      <c r="A1121">
        <v>560</v>
      </c>
      <c r="B1121" t="s">
        <v>2</v>
      </c>
      <c r="C1121">
        <v>0</v>
      </c>
      <c r="D1121">
        <v>2</v>
      </c>
      <c r="E1121">
        <v>45</v>
      </c>
      <c r="F1121">
        <v>4</v>
      </c>
      <c r="G1121">
        <v>1</v>
      </c>
      <c r="H1121">
        <f>표2[[#This Row],[공격성공횟수]]/(표2[[#This Row],[공격실패횟수]]+표2[[#This Row],[공격성공횟수]])</f>
        <v>4.2553191489361701E-2</v>
      </c>
    </row>
    <row r="1122" spans="1:8" x14ac:dyDescent="0.4">
      <c r="A1122">
        <v>561</v>
      </c>
      <c r="B1122" t="s">
        <v>0</v>
      </c>
      <c r="C1122">
        <v>0</v>
      </c>
      <c r="D1122">
        <v>0</v>
      </c>
      <c r="E1122">
        <v>9</v>
      </c>
      <c r="F1122">
        <v>4</v>
      </c>
      <c r="G1122">
        <v>1</v>
      </c>
      <c r="H1122">
        <f>표2[[#This Row],[공격성공횟수]]/(표2[[#This Row],[공격실패횟수]]+표2[[#This Row],[공격성공횟수]])</f>
        <v>0</v>
      </c>
    </row>
    <row r="1123" spans="1:8" hidden="1" x14ac:dyDescent="0.4">
      <c r="A1123">
        <v>561</v>
      </c>
      <c r="B1123" t="s">
        <v>2</v>
      </c>
      <c r="C1123">
        <v>1</v>
      </c>
      <c r="D1123">
        <v>4</v>
      </c>
      <c r="E1123">
        <v>6</v>
      </c>
      <c r="F1123">
        <v>0</v>
      </c>
      <c r="G1123">
        <v>0</v>
      </c>
      <c r="H1123">
        <f>표2[[#This Row],[공격성공횟수]]/(표2[[#This Row],[공격실패횟수]]+표2[[#This Row],[공격성공횟수]])</f>
        <v>0.4</v>
      </c>
    </row>
    <row r="1124" spans="1:8" x14ac:dyDescent="0.4">
      <c r="A1124">
        <v>562</v>
      </c>
      <c r="B1124" t="s">
        <v>0</v>
      </c>
      <c r="C1124">
        <v>1</v>
      </c>
      <c r="D1124">
        <v>4</v>
      </c>
      <c r="E1124">
        <v>35</v>
      </c>
      <c r="F1124">
        <v>0</v>
      </c>
      <c r="G1124">
        <v>0</v>
      </c>
      <c r="H1124">
        <f>표2[[#This Row],[공격성공횟수]]/(표2[[#This Row],[공격실패횟수]]+표2[[#This Row],[공격성공횟수]])</f>
        <v>0.10256410256410256</v>
      </c>
    </row>
    <row r="1125" spans="1:8" hidden="1" x14ac:dyDescent="0.4">
      <c r="A1125">
        <v>562</v>
      </c>
      <c r="B1125" t="s">
        <v>2</v>
      </c>
      <c r="C1125">
        <v>0</v>
      </c>
      <c r="D1125">
        <v>0</v>
      </c>
      <c r="E1125">
        <v>38</v>
      </c>
      <c r="F1125">
        <v>4</v>
      </c>
      <c r="G1125">
        <v>1</v>
      </c>
      <c r="H1125">
        <f>표2[[#This Row],[공격성공횟수]]/(표2[[#This Row],[공격실패횟수]]+표2[[#This Row],[공격성공횟수]])</f>
        <v>0</v>
      </c>
    </row>
    <row r="1126" spans="1:8" x14ac:dyDescent="0.4">
      <c r="A1126">
        <v>563</v>
      </c>
      <c r="B1126" t="s">
        <v>0</v>
      </c>
      <c r="C1126">
        <v>1</v>
      </c>
      <c r="D1126">
        <v>4</v>
      </c>
      <c r="E1126">
        <v>15</v>
      </c>
      <c r="F1126">
        <v>3</v>
      </c>
      <c r="G1126">
        <v>0</v>
      </c>
      <c r="H1126">
        <f>표2[[#This Row],[공격성공횟수]]/(표2[[#This Row],[공격실패횟수]]+표2[[#This Row],[공격성공횟수]])</f>
        <v>0.21052631578947367</v>
      </c>
    </row>
    <row r="1127" spans="1:8" hidden="1" x14ac:dyDescent="0.4">
      <c r="A1127">
        <v>563</v>
      </c>
      <c r="B1127" t="s">
        <v>2</v>
      </c>
      <c r="C1127">
        <v>0</v>
      </c>
      <c r="D1127">
        <v>3</v>
      </c>
      <c r="E1127">
        <v>16</v>
      </c>
      <c r="F1127">
        <v>4</v>
      </c>
      <c r="G1127">
        <v>1</v>
      </c>
      <c r="H1127">
        <f>표2[[#This Row],[공격성공횟수]]/(표2[[#This Row],[공격실패횟수]]+표2[[#This Row],[공격성공횟수]])</f>
        <v>0.15789473684210525</v>
      </c>
    </row>
    <row r="1128" spans="1:8" x14ac:dyDescent="0.4">
      <c r="A1128">
        <v>564</v>
      </c>
      <c r="B1128" t="s">
        <v>0</v>
      </c>
      <c r="C1128">
        <v>1</v>
      </c>
      <c r="D1128">
        <v>4</v>
      </c>
      <c r="E1128">
        <v>5</v>
      </c>
      <c r="F1128">
        <v>1</v>
      </c>
      <c r="G1128">
        <v>0</v>
      </c>
      <c r="H1128">
        <f>표2[[#This Row],[공격성공횟수]]/(표2[[#This Row],[공격실패횟수]]+표2[[#This Row],[공격성공횟수]])</f>
        <v>0.44444444444444442</v>
      </c>
    </row>
    <row r="1129" spans="1:8" hidden="1" x14ac:dyDescent="0.4">
      <c r="A1129">
        <v>564</v>
      </c>
      <c r="B1129" t="s">
        <v>2</v>
      </c>
      <c r="C1129">
        <v>0</v>
      </c>
      <c r="D1129">
        <v>1</v>
      </c>
      <c r="E1129">
        <v>9</v>
      </c>
      <c r="F1129">
        <v>4</v>
      </c>
      <c r="G1129">
        <v>1</v>
      </c>
      <c r="H1129">
        <f>표2[[#This Row],[공격성공횟수]]/(표2[[#This Row],[공격실패횟수]]+표2[[#This Row],[공격성공횟수]])</f>
        <v>0.1</v>
      </c>
    </row>
    <row r="1130" spans="1:8" x14ac:dyDescent="0.4">
      <c r="A1130">
        <v>565</v>
      </c>
      <c r="B1130" t="s">
        <v>0</v>
      </c>
      <c r="C1130">
        <v>1</v>
      </c>
      <c r="D1130">
        <v>4</v>
      </c>
      <c r="E1130">
        <v>51</v>
      </c>
      <c r="F1130">
        <v>3</v>
      </c>
      <c r="G1130">
        <v>0</v>
      </c>
      <c r="H1130">
        <f>표2[[#This Row],[공격성공횟수]]/(표2[[#This Row],[공격실패횟수]]+표2[[#This Row],[공격성공횟수]])</f>
        <v>7.2727272727272724E-2</v>
      </c>
    </row>
    <row r="1131" spans="1:8" hidden="1" x14ac:dyDescent="0.4">
      <c r="A1131">
        <v>565</v>
      </c>
      <c r="B1131" t="s">
        <v>2</v>
      </c>
      <c r="C1131">
        <v>0</v>
      </c>
      <c r="D1131">
        <v>3</v>
      </c>
      <c r="E1131">
        <v>51</v>
      </c>
      <c r="F1131">
        <v>4</v>
      </c>
      <c r="G1131">
        <v>1</v>
      </c>
      <c r="H1131">
        <f>표2[[#This Row],[공격성공횟수]]/(표2[[#This Row],[공격실패횟수]]+표2[[#This Row],[공격성공횟수]])</f>
        <v>5.5555555555555552E-2</v>
      </c>
    </row>
    <row r="1132" spans="1:8" x14ac:dyDescent="0.4">
      <c r="A1132">
        <v>566</v>
      </c>
      <c r="B1132" t="s">
        <v>0</v>
      </c>
      <c r="C1132">
        <v>1</v>
      </c>
      <c r="D1132">
        <v>4</v>
      </c>
      <c r="E1132">
        <v>2</v>
      </c>
      <c r="F1132">
        <v>3</v>
      </c>
      <c r="G1132">
        <v>0</v>
      </c>
      <c r="H1132">
        <f>표2[[#This Row],[공격성공횟수]]/(표2[[#This Row],[공격실패횟수]]+표2[[#This Row],[공격성공횟수]])</f>
        <v>0.66666666666666663</v>
      </c>
    </row>
    <row r="1133" spans="1:8" hidden="1" x14ac:dyDescent="0.4">
      <c r="A1133">
        <v>566</v>
      </c>
      <c r="B1133" t="s">
        <v>2</v>
      </c>
      <c r="C1133">
        <v>0</v>
      </c>
      <c r="D1133">
        <v>3</v>
      </c>
      <c r="E1133">
        <v>2</v>
      </c>
      <c r="F1133">
        <v>4</v>
      </c>
      <c r="G1133">
        <v>1</v>
      </c>
      <c r="H1133">
        <f>표2[[#This Row],[공격성공횟수]]/(표2[[#This Row],[공격실패횟수]]+표2[[#This Row],[공격성공횟수]])</f>
        <v>0.6</v>
      </c>
    </row>
    <row r="1134" spans="1:8" x14ac:dyDescent="0.4">
      <c r="A1134">
        <v>567</v>
      </c>
      <c r="B1134" t="s">
        <v>0</v>
      </c>
      <c r="C1134">
        <v>1</v>
      </c>
      <c r="D1134">
        <v>4</v>
      </c>
      <c r="E1134">
        <v>5</v>
      </c>
      <c r="F1134">
        <v>1</v>
      </c>
      <c r="G1134">
        <v>0</v>
      </c>
      <c r="H1134">
        <f>표2[[#This Row],[공격성공횟수]]/(표2[[#This Row],[공격실패횟수]]+표2[[#This Row],[공격성공횟수]])</f>
        <v>0.44444444444444442</v>
      </c>
    </row>
    <row r="1135" spans="1:8" hidden="1" x14ac:dyDescent="0.4">
      <c r="A1135">
        <v>567</v>
      </c>
      <c r="B1135" t="s">
        <v>2</v>
      </c>
      <c r="C1135">
        <v>0</v>
      </c>
      <c r="D1135">
        <v>1</v>
      </c>
      <c r="E1135">
        <v>9</v>
      </c>
      <c r="F1135">
        <v>4</v>
      </c>
      <c r="G1135">
        <v>1</v>
      </c>
      <c r="H1135">
        <f>표2[[#This Row],[공격성공횟수]]/(표2[[#This Row],[공격실패횟수]]+표2[[#This Row],[공격성공횟수]])</f>
        <v>0.1</v>
      </c>
    </row>
    <row r="1136" spans="1:8" x14ac:dyDescent="0.4">
      <c r="A1136">
        <v>568</v>
      </c>
      <c r="B1136" t="s">
        <v>0</v>
      </c>
      <c r="C1136">
        <v>1</v>
      </c>
      <c r="D1136">
        <v>4</v>
      </c>
      <c r="E1136">
        <v>56</v>
      </c>
      <c r="F1136">
        <v>1</v>
      </c>
      <c r="G1136">
        <v>0</v>
      </c>
      <c r="H1136">
        <f>표2[[#This Row],[공격성공횟수]]/(표2[[#This Row],[공격실패횟수]]+표2[[#This Row],[공격성공횟수]])</f>
        <v>6.6666666666666666E-2</v>
      </c>
    </row>
    <row r="1137" spans="1:8" hidden="1" x14ac:dyDescent="0.4">
      <c r="A1137">
        <v>568</v>
      </c>
      <c r="B1137" t="s">
        <v>2</v>
      </c>
      <c r="C1137">
        <v>0</v>
      </c>
      <c r="D1137">
        <v>1</v>
      </c>
      <c r="E1137">
        <v>57</v>
      </c>
      <c r="F1137">
        <v>4</v>
      </c>
      <c r="G1137">
        <v>1</v>
      </c>
      <c r="H1137">
        <f>표2[[#This Row],[공격성공횟수]]/(표2[[#This Row],[공격실패횟수]]+표2[[#This Row],[공격성공횟수]])</f>
        <v>1.7241379310344827E-2</v>
      </c>
    </row>
    <row r="1138" spans="1:8" x14ac:dyDescent="0.4">
      <c r="A1138">
        <v>569</v>
      </c>
      <c r="B1138" t="s">
        <v>0</v>
      </c>
      <c r="C1138">
        <v>0</v>
      </c>
      <c r="D1138">
        <v>1</v>
      </c>
      <c r="E1138">
        <v>5</v>
      </c>
      <c r="F1138">
        <v>4</v>
      </c>
      <c r="G1138">
        <v>1</v>
      </c>
      <c r="H1138">
        <f>표2[[#This Row],[공격성공횟수]]/(표2[[#This Row],[공격실패횟수]]+표2[[#This Row],[공격성공횟수]])</f>
        <v>0.16666666666666666</v>
      </c>
    </row>
    <row r="1139" spans="1:8" hidden="1" x14ac:dyDescent="0.4">
      <c r="A1139">
        <v>569</v>
      </c>
      <c r="B1139" t="s">
        <v>2</v>
      </c>
      <c r="C1139">
        <v>1</v>
      </c>
      <c r="D1139">
        <v>4</v>
      </c>
      <c r="E1139">
        <v>3</v>
      </c>
      <c r="F1139">
        <v>1</v>
      </c>
      <c r="G1139">
        <v>0</v>
      </c>
      <c r="H1139">
        <f>표2[[#This Row],[공격성공횟수]]/(표2[[#This Row],[공격실패횟수]]+표2[[#This Row],[공격성공횟수]])</f>
        <v>0.5714285714285714</v>
      </c>
    </row>
    <row r="1140" spans="1:8" x14ac:dyDescent="0.4">
      <c r="A1140">
        <v>570</v>
      </c>
      <c r="B1140" t="s">
        <v>0</v>
      </c>
      <c r="C1140">
        <v>1</v>
      </c>
      <c r="D1140">
        <v>4</v>
      </c>
      <c r="E1140">
        <v>80</v>
      </c>
      <c r="F1140">
        <v>1</v>
      </c>
      <c r="G1140">
        <v>0</v>
      </c>
      <c r="H1140">
        <f>표2[[#This Row],[공격성공횟수]]/(표2[[#This Row],[공격실패횟수]]+표2[[#This Row],[공격성공횟수]])</f>
        <v>4.7619047619047616E-2</v>
      </c>
    </row>
    <row r="1141" spans="1:8" hidden="1" x14ac:dyDescent="0.4">
      <c r="A1141">
        <v>570</v>
      </c>
      <c r="B1141" t="s">
        <v>2</v>
      </c>
      <c r="C1141">
        <v>0</v>
      </c>
      <c r="D1141">
        <v>1</v>
      </c>
      <c r="E1141">
        <v>80</v>
      </c>
      <c r="F1141">
        <v>4</v>
      </c>
      <c r="G1141">
        <v>1</v>
      </c>
      <c r="H1141">
        <f>표2[[#This Row],[공격성공횟수]]/(표2[[#This Row],[공격실패횟수]]+표2[[#This Row],[공격성공횟수]])</f>
        <v>1.2345679012345678E-2</v>
      </c>
    </row>
    <row r="1142" spans="1:8" x14ac:dyDescent="0.4">
      <c r="A1142">
        <v>571</v>
      </c>
      <c r="B1142" t="s">
        <v>0</v>
      </c>
      <c r="C1142">
        <v>0</v>
      </c>
      <c r="D1142">
        <v>2</v>
      </c>
      <c r="E1142">
        <v>10</v>
      </c>
      <c r="F1142">
        <v>4</v>
      </c>
      <c r="G1142">
        <v>1</v>
      </c>
      <c r="H1142">
        <f>표2[[#This Row],[공격성공횟수]]/(표2[[#This Row],[공격실패횟수]]+표2[[#This Row],[공격성공횟수]])</f>
        <v>0.16666666666666666</v>
      </c>
    </row>
    <row r="1143" spans="1:8" hidden="1" x14ac:dyDescent="0.4">
      <c r="A1143">
        <v>571</v>
      </c>
      <c r="B1143" t="s">
        <v>2</v>
      </c>
      <c r="C1143">
        <v>1</v>
      </c>
      <c r="D1143">
        <v>4</v>
      </c>
      <c r="E1143">
        <v>10</v>
      </c>
      <c r="F1143">
        <v>2</v>
      </c>
      <c r="G1143">
        <v>0</v>
      </c>
      <c r="H1143">
        <f>표2[[#This Row],[공격성공횟수]]/(표2[[#This Row],[공격실패횟수]]+표2[[#This Row],[공격성공횟수]])</f>
        <v>0.2857142857142857</v>
      </c>
    </row>
    <row r="1144" spans="1:8" x14ac:dyDescent="0.4">
      <c r="A1144">
        <v>572</v>
      </c>
      <c r="B1144" t="s">
        <v>0</v>
      </c>
      <c r="C1144">
        <v>0</v>
      </c>
      <c r="D1144">
        <v>2</v>
      </c>
      <c r="E1144">
        <v>17</v>
      </c>
      <c r="F1144">
        <v>4</v>
      </c>
      <c r="G1144">
        <v>1</v>
      </c>
      <c r="H1144">
        <f>표2[[#This Row],[공격성공횟수]]/(표2[[#This Row],[공격실패횟수]]+표2[[#This Row],[공격성공횟수]])</f>
        <v>0.10526315789473684</v>
      </c>
    </row>
    <row r="1145" spans="1:8" hidden="1" x14ac:dyDescent="0.4">
      <c r="A1145">
        <v>572</v>
      </c>
      <c r="B1145" t="s">
        <v>2</v>
      </c>
      <c r="C1145">
        <v>1</v>
      </c>
      <c r="D1145">
        <v>4</v>
      </c>
      <c r="E1145">
        <v>15</v>
      </c>
      <c r="F1145">
        <v>2</v>
      </c>
      <c r="G1145">
        <v>0</v>
      </c>
      <c r="H1145">
        <f>표2[[#This Row],[공격성공횟수]]/(표2[[#This Row],[공격실패횟수]]+표2[[#This Row],[공격성공횟수]])</f>
        <v>0.21052631578947367</v>
      </c>
    </row>
    <row r="1146" spans="1:8" x14ac:dyDescent="0.4">
      <c r="A1146">
        <v>573</v>
      </c>
      <c r="B1146" t="s">
        <v>0</v>
      </c>
      <c r="C1146">
        <v>0</v>
      </c>
      <c r="D1146">
        <v>2</v>
      </c>
      <c r="E1146">
        <v>10</v>
      </c>
      <c r="F1146">
        <v>4</v>
      </c>
      <c r="G1146">
        <v>1</v>
      </c>
      <c r="H1146">
        <f>표2[[#This Row],[공격성공횟수]]/(표2[[#This Row],[공격실패횟수]]+표2[[#This Row],[공격성공횟수]])</f>
        <v>0.16666666666666666</v>
      </c>
    </row>
    <row r="1147" spans="1:8" hidden="1" x14ac:dyDescent="0.4">
      <c r="A1147">
        <v>573</v>
      </c>
      <c r="B1147" t="s">
        <v>2</v>
      </c>
      <c r="C1147">
        <v>1</v>
      </c>
      <c r="D1147">
        <v>4</v>
      </c>
      <c r="E1147">
        <v>8</v>
      </c>
      <c r="F1147">
        <v>2</v>
      </c>
      <c r="G1147">
        <v>0</v>
      </c>
      <c r="H1147">
        <f>표2[[#This Row],[공격성공횟수]]/(표2[[#This Row],[공격실패횟수]]+표2[[#This Row],[공격성공횟수]])</f>
        <v>0.33333333333333331</v>
      </c>
    </row>
    <row r="1148" spans="1:8" x14ac:dyDescent="0.4">
      <c r="A1148">
        <v>574</v>
      </c>
      <c r="B1148" t="s">
        <v>0</v>
      </c>
      <c r="C1148">
        <v>1</v>
      </c>
      <c r="D1148">
        <v>4</v>
      </c>
      <c r="E1148">
        <v>7</v>
      </c>
      <c r="F1148">
        <v>1</v>
      </c>
      <c r="G1148">
        <v>0</v>
      </c>
      <c r="H1148">
        <f>표2[[#This Row],[공격성공횟수]]/(표2[[#This Row],[공격실패횟수]]+표2[[#This Row],[공격성공횟수]])</f>
        <v>0.36363636363636365</v>
      </c>
    </row>
    <row r="1149" spans="1:8" hidden="1" x14ac:dyDescent="0.4">
      <c r="A1149">
        <v>574</v>
      </c>
      <c r="B1149" t="s">
        <v>2</v>
      </c>
      <c r="C1149">
        <v>0</v>
      </c>
      <c r="D1149">
        <v>1</v>
      </c>
      <c r="E1149">
        <v>9</v>
      </c>
      <c r="F1149">
        <v>4</v>
      </c>
      <c r="G1149">
        <v>1</v>
      </c>
      <c r="H1149">
        <f>표2[[#This Row],[공격성공횟수]]/(표2[[#This Row],[공격실패횟수]]+표2[[#This Row],[공격성공횟수]])</f>
        <v>0.1</v>
      </c>
    </row>
    <row r="1150" spans="1:8" x14ac:dyDescent="0.4">
      <c r="A1150">
        <v>575</v>
      </c>
      <c r="B1150" t="s">
        <v>0</v>
      </c>
      <c r="C1150">
        <v>0</v>
      </c>
      <c r="D1150">
        <v>2</v>
      </c>
      <c r="E1150">
        <v>22</v>
      </c>
      <c r="F1150">
        <v>4</v>
      </c>
      <c r="G1150">
        <v>1</v>
      </c>
      <c r="H1150">
        <f>표2[[#This Row],[공격성공횟수]]/(표2[[#This Row],[공격실패횟수]]+표2[[#This Row],[공격성공횟수]])</f>
        <v>8.3333333333333329E-2</v>
      </c>
    </row>
    <row r="1151" spans="1:8" hidden="1" x14ac:dyDescent="0.4">
      <c r="A1151">
        <v>575</v>
      </c>
      <c r="B1151" t="s">
        <v>2</v>
      </c>
      <c r="C1151">
        <v>1</v>
      </c>
      <c r="D1151">
        <v>4</v>
      </c>
      <c r="E1151">
        <v>21</v>
      </c>
      <c r="F1151">
        <v>2</v>
      </c>
      <c r="G1151">
        <v>0</v>
      </c>
      <c r="H1151">
        <f>표2[[#This Row],[공격성공횟수]]/(표2[[#This Row],[공격실패횟수]]+표2[[#This Row],[공격성공횟수]])</f>
        <v>0.16</v>
      </c>
    </row>
    <row r="1152" spans="1:8" x14ac:dyDescent="0.4">
      <c r="A1152">
        <v>576</v>
      </c>
      <c r="B1152" t="s">
        <v>0</v>
      </c>
      <c r="C1152">
        <v>1</v>
      </c>
      <c r="D1152">
        <v>4</v>
      </c>
      <c r="E1152">
        <v>9</v>
      </c>
      <c r="F1152">
        <v>0</v>
      </c>
      <c r="G1152">
        <v>0</v>
      </c>
      <c r="H1152">
        <f>표2[[#This Row],[공격성공횟수]]/(표2[[#This Row],[공격실패횟수]]+표2[[#This Row],[공격성공횟수]])</f>
        <v>0.30769230769230771</v>
      </c>
    </row>
    <row r="1153" spans="1:8" hidden="1" x14ac:dyDescent="0.4">
      <c r="A1153">
        <v>576</v>
      </c>
      <c r="B1153" t="s">
        <v>2</v>
      </c>
      <c r="C1153">
        <v>0</v>
      </c>
      <c r="D1153">
        <v>0</v>
      </c>
      <c r="E1153">
        <v>12</v>
      </c>
      <c r="F1153">
        <v>4</v>
      </c>
      <c r="G1153">
        <v>1</v>
      </c>
      <c r="H1153">
        <f>표2[[#This Row],[공격성공횟수]]/(표2[[#This Row],[공격실패횟수]]+표2[[#This Row],[공격성공횟수]])</f>
        <v>0</v>
      </c>
    </row>
    <row r="1154" spans="1:8" x14ac:dyDescent="0.4">
      <c r="A1154">
        <v>577</v>
      </c>
      <c r="B1154" t="s">
        <v>0</v>
      </c>
      <c r="C1154">
        <v>1</v>
      </c>
      <c r="D1154">
        <v>4</v>
      </c>
      <c r="E1154">
        <v>7</v>
      </c>
      <c r="F1154">
        <v>3</v>
      </c>
      <c r="G1154">
        <v>0</v>
      </c>
      <c r="H1154">
        <f>표2[[#This Row],[공격성공횟수]]/(표2[[#This Row],[공격실패횟수]]+표2[[#This Row],[공격성공횟수]])</f>
        <v>0.36363636363636365</v>
      </c>
    </row>
    <row r="1155" spans="1:8" hidden="1" x14ac:dyDescent="0.4">
      <c r="A1155">
        <v>577</v>
      </c>
      <c r="B1155" t="s">
        <v>2</v>
      </c>
      <c r="C1155">
        <v>0</v>
      </c>
      <c r="D1155">
        <v>3</v>
      </c>
      <c r="E1155">
        <v>9</v>
      </c>
      <c r="F1155">
        <v>4</v>
      </c>
      <c r="G1155">
        <v>1</v>
      </c>
      <c r="H1155">
        <f>표2[[#This Row],[공격성공횟수]]/(표2[[#This Row],[공격실패횟수]]+표2[[#This Row],[공격성공횟수]])</f>
        <v>0.25</v>
      </c>
    </row>
    <row r="1156" spans="1:8" x14ac:dyDescent="0.4">
      <c r="A1156">
        <v>578</v>
      </c>
      <c r="B1156" t="s">
        <v>0</v>
      </c>
      <c r="C1156">
        <v>1</v>
      </c>
      <c r="D1156">
        <v>4</v>
      </c>
      <c r="E1156">
        <v>11</v>
      </c>
      <c r="F1156">
        <v>2</v>
      </c>
      <c r="G1156">
        <v>0</v>
      </c>
      <c r="H1156">
        <f>표2[[#This Row],[공격성공횟수]]/(표2[[#This Row],[공격실패횟수]]+표2[[#This Row],[공격성공횟수]])</f>
        <v>0.26666666666666666</v>
      </c>
    </row>
    <row r="1157" spans="1:8" hidden="1" x14ac:dyDescent="0.4">
      <c r="A1157">
        <v>578</v>
      </c>
      <c r="B1157" t="s">
        <v>2</v>
      </c>
      <c r="C1157">
        <v>0</v>
      </c>
      <c r="D1157">
        <v>2</v>
      </c>
      <c r="E1157">
        <v>13</v>
      </c>
      <c r="F1157">
        <v>4</v>
      </c>
      <c r="G1157">
        <v>1</v>
      </c>
      <c r="H1157">
        <f>표2[[#This Row],[공격성공횟수]]/(표2[[#This Row],[공격실패횟수]]+표2[[#This Row],[공격성공횟수]])</f>
        <v>0.13333333333333333</v>
      </c>
    </row>
    <row r="1158" spans="1:8" x14ac:dyDescent="0.4">
      <c r="A1158">
        <v>579</v>
      </c>
      <c r="B1158" t="s">
        <v>0</v>
      </c>
      <c r="C1158">
        <v>1</v>
      </c>
      <c r="D1158">
        <v>4</v>
      </c>
      <c r="E1158">
        <v>5</v>
      </c>
      <c r="F1158">
        <v>0</v>
      </c>
      <c r="G1158">
        <v>0</v>
      </c>
      <c r="H1158">
        <f>표2[[#This Row],[공격성공횟수]]/(표2[[#This Row],[공격실패횟수]]+표2[[#This Row],[공격성공횟수]])</f>
        <v>0.44444444444444442</v>
      </c>
    </row>
    <row r="1159" spans="1:8" hidden="1" x14ac:dyDescent="0.4">
      <c r="A1159">
        <v>579</v>
      </c>
      <c r="B1159" t="s">
        <v>2</v>
      </c>
      <c r="C1159">
        <v>0</v>
      </c>
      <c r="D1159">
        <v>0</v>
      </c>
      <c r="E1159">
        <v>9</v>
      </c>
      <c r="F1159">
        <v>4</v>
      </c>
      <c r="G1159">
        <v>1</v>
      </c>
      <c r="H1159">
        <f>표2[[#This Row],[공격성공횟수]]/(표2[[#This Row],[공격실패횟수]]+표2[[#This Row],[공격성공횟수]])</f>
        <v>0</v>
      </c>
    </row>
    <row r="1160" spans="1:8" x14ac:dyDescent="0.4">
      <c r="A1160">
        <v>580</v>
      </c>
      <c r="B1160" t="s">
        <v>0</v>
      </c>
      <c r="C1160">
        <v>1</v>
      </c>
      <c r="D1160">
        <v>4</v>
      </c>
      <c r="E1160">
        <v>18</v>
      </c>
      <c r="F1160">
        <v>3</v>
      </c>
      <c r="G1160">
        <v>0</v>
      </c>
      <c r="H1160">
        <f>표2[[#This Row],[공격성공횟수]]/(표2[[#This Row],[공격실패횟수]]+표2[[#This Row],[공격성공횟수]])</f>
        <v>0.18181818181818182</v>
      </c>
    </row>
    <row r="1161" spans="1:8" hidden="1" x14ac:dyDescent="0.4">
      <c r="A1161">
        <v>580</v>
      </c>
      <c r="B1161" t="s">
        <v>2</v>
      </c>
      <c r="C1161">
        <v>0</v>
      </c>
      <c r="D1161">
        <v>3</v>
      </c>
      <c r="E1161">
        <v>20</v>
      </c>
      <c r="F1161">
        <v>4</v>
      </c>
      <c r="G1161">
        <v>1</v>
      </c>
      <c r="H1161">
        <f>표2[[#This Row],[공격성공횟수]]/(표2[[#This Row],[공격실패횟수]]+표2[[#This Row],[공격성공횟수]])</f>
        <v>0.13043478260869565</v>
      </c>
    </row>
    <row r="1162" spans="1:8" x14ac:dyDescent="0.4">
      <c r="A1162">
        <v>581</v>
      </c>
      <c r="B1162" t="s">
        <v>0</v>
      </c>
      <c r="C1162">
        <v>1</v>
      </c>
      <c r="D1162">
        <v>4</v>
      </c>
      <c r="E1162">
        <v>64</v>
      </c>
      <c r="F1162">
        <v>0</v>
      </c>
      <c r="G1162">
        <v>0</v>
      </c>
      <c r="H1162">
        <f>표2[[#This Row],[공격성공횟수]]/(표2[[#This Row],[공격실패횟수]]+표2[[#This Row],[공격성공횟수]])</f>
        <v>5.8823529411764705E-2</v>
      </c>
    </row>
    <row r="1163" spans="1:8" hidden="1" x14ac:dyDescent="0.4">
      <c r="A1163">
        <v>581</v>
      </c>
      <c r="B1163" t="s">
        <v>2</v>
      </c>
      <c r="C1163">
        <v>0</v>
      </c>
      <c r="D1163">
        <v>0</v>
      </c>
      <c r="E1163">
        <v>66</v>
      </c>
      <c r="F1163">
        <v>4</v>
      </c>
      <c r="G1163">
        <v>1</v>
      </c>
      <c r="H1163">
        <f>표2[[#This Row],[공격성공횟수]]/(표2[[#This Row],[공격실패횟수]]+표2[[#This Row],[공격성공횟수]])</f>
        <v>0</v>
      </c>
    </row>
    <row r="1164" spans="1:8" x14ac:dyDescent="0.4">
      <c r="A1164">
        <v>582</v>
      </c>
      <c r="B1164" t="s">
        <v>0</v>
      </c>
      <c r="C1164">
        <v>1</v>
      </c>
      <c r="D1164">
        <v>4</v>
      </c>
      <c r="E1164">
        <v>18</v>
      </c>
      <c r="F1164">
        <v>2</v>
      </c>
      <c r="G1164">
        <v>0</v>
      </c>
      <c r="H1164">
        <f>표2[[#This Row],[공격성공횟수]]/(표2[[#This Row],[공격실패횟수]]+표2[[#This Row],[공격성공횟수]])</f>
        <v>0.18181818181818182</v>
      </c>
    </row>
    <row r="1165" spans="1:8" hidden="1" x14ac:dyDescent="0.4">
      <c r="A1165">
        <v>582</v>
      </c>
      <c r="B1165" t="s">
        <v>2</v>
      </c>
      <c r="C1165">
        <v>0</v>
      </c>
      <c r="D1165">
        <v>2</v>
      </c>
      <c r="E1165">
        <v>21</v>
      </c>
      <c r="F1165">
        <v>4</v>
      </c>
      <c r="G1165">
        <v>1</v>
      </c>
      <c r="H1165">
        <f>표2[[#This Row],[공격성공횟수]]/(표2[[#This Row],[공격실패횟수]]+표2[[#This Row],[공격성공횟수]])</f>
        <v>8.6956521739130432E-2</v>
      </c>
    </row>
    <row r="1166" spans="1:8" x14ac:dyDescent="0.4">
      <c r="A1166">
        <v>583</v>
      </c>
      <c r="B1166" t="s">
        <v>0</v>
      </c>
      <c r="C1166">
        <v>1</v>
      </c>
      <c r="D1166">
        <v>4</v>
      </c>
      <c r="E1166">
        <v>39</v>
      </c>
      <c r="F1166">
        <v>1</v>
      </c>
      <c r="G1166">
        <v>0</v>
      </c>
      <c r="H1166">
        <f>표2[[#This Row],[공격성공횟수]]/(표2[[#This Row],[공격실패횟수]]+표2[[#This Row],[공격성공횟수]])</f>
        <v>9.3023255813953487E-2</v>
      </c>
    </row>
    <row r="1167" spans="1:8" hidden="1" x14ac:dyDescent="0.4">
      <c r="A1167">
        <v>583</v>
      </c>
      <c r="B1167" t="s">
        <v>2</v>
      </c>
      <c r="C1167">
        <v>0</v>
      </c>
      <c r="D1167">
        <v>1</v>
      </c>
      <c r="E1167">
        <v>43</v>
      </c>
      <c r="F1167">
        <v>4</v>
      </c>
      <c r="G1167">
        <v>1</v>
      </c>
      <c r="H1167">
        <f>표2[[#This Row],[공격성공횟수]]/(표2[[#This Row],[공격실패횟수]]+표2[[#This Row],[공격성공횟수]])</f>
        <v>2.2727272727272728E-2</v>
      </c>
    </row>
    <row r="1168" spans="1:8" x14ac:dyDescent="0.4">
      <c r="A1168">
        <v>584</v>
      </c>
      <c r="B1168" t="s">
        <v>0</v>
      </c>
      <c r="C1168">
        <v>1</v>
      </c>
      <c r="D1168">
        <v>4</v>
      </c>
      <c r="E1168">
        <v>2</v>
      </c>
      <c r="F1168">
        <v>0</v>
      </c>
      <c r="G1168">
        <v>0</v>
      </c>
      <c r="H1168">
        <f>표2[[#This Row],[공격성공횟수]]/(표2[[#This Row],[공격실패횟수]]+표2[[#This Row],[공격성공횟수]])</f>
        <v>0.66666666666666663</v>
      </c>
    </row>
    <row r="1169" spans="1:8" hidden="1" x14ac:dyDescent="0.4">
      <c r="A1169">
        <v>584</v>
      </c>
      <c r="B1169" t="s">
        <v>2</v>
      </c>
      <c r="C1169">
        <v>0</v>
      </c>
      <c r="D1169">
        <v>0</v>
      </c>
      <c r="E1169">
        <v>5</v>
      </c>
      <c r="F1169">
        <v>4</v>
      </c>
      <c r="G1169">
        <v>1</v>
      </c>
      <c r="H1169">
        <f>표2[[#This Row],[공격성공횟수]]/(표2[[#This Row],[공격실패횟수]]+표2[[#This Row],[공격성공횟수]])</f>
        <v>0</v>
      </c>
    </row>
    <row r="1170" spans="1:8" x14ac:dyDescent="0.4">
      <c r="A1170">
        <v>585</v>
      </c>
      <c r="B1170" t="s">
        <v>0</v>
      </c>
      <c r="C1170">
        <v>1</v>
      </c>
      <c r="D1170">
        <v>4</v>
      </c>
      <c r="E1170">
        <v>19</v>
      </c>
      <c r="F1170">
        <v>2</v>
      </c>
      <c r="G1170">
        <v>0</v>
      </c>
      <c r="H1170">
        <f>표2[[#This Row],[공격성공횟수]]/(표2[[#This Row],[공격실패횟수]]+표2[[#This Row],[공격성공횟수]])</f>
        <v>0.17391304347826086</v>
      </c>
    </row>
    <row r="1171" spans="1:8" hidden="1" x14ac:dyDescent="0.4">
      <c r="A1171">
        <v>585</v>
      </c>
      <c r="B1171" t="s">
        <v>2</v>
      </c>
      <c r="C1171">
        <v>0</v>
      </c>
      <c r="D1171">
        <v>2</v>
      </c>
      <c r="E1171">
        <v>22</v>
      </c>
      <c r="F1171">
        <v>4</v>
      </c>
      <c r="G1171">
        <v>1</v>
      </c>
      <c r="H1171">
        <f>표2[[#This Row],[공격성공횟수]]/(표2[[#This Row],[공격실패횟수]]+표2[[#This Row],[공격성공횟수]])</f>
        <v>8.3333333333333329E-2</v>
      </c>
    </row>
    <row r="1172" spans="1:8" x14ac:dyDescent="0.4">
      <c r="A1172">
        <v>586</v>
      </c>
      <c r="B1172" t="s">
        <v>0</v>
      </c>
      <c r="C1172">
        <v>1</v>
      </c>
      <c r="D1172">
        <v>4</v>
      </c>
      <c r="E1172">
        <v>15</v>
      </c>
      <c r="F1172">
        <v>1</v>
      </c>
      <c r="G1172">
        <v>0</v>
      </c>
      <c r="H1172">
        <f>표2[[#This Row],[공격성공횟수]]/(표2[[#This Row],[공격실패횟수]]+표2[[#This Row],[공격성공횟수]])</f>
        <v>0.21052631578947367</v>
      </c>
    </row>
    <row r="1173" spans="1:8" hidden="1" x14ac:dyDescent="0.4">
      <c r="A1173">
        <v>586</v>
      </c>
      <c r="B1173" t="s">
        <v>2</v>
      </c>
      <c r="C1173">
        <v>0</v>
      </c>
      <c r="D1173">
        <v>1</v>
      </c>
      <c r="E1173">
        <v>18</v>
      </c>
      <c r="F1173">
        <v>4</v>
      </c>
      <c r="G1173">
        <v>1</v>
      </c>
      <c r="H1173">
        <f>표2[[#This Row],[공격성공횟수]]/(표2[[#This Row],[공격실패횟수]]+표2[[#This Row],[공격성공횟수]])</f>
        <v>5.2631578947368418E-2</v>
      </c>
    </row>
    <row r="1174" spans="1:8" x14ac:dyDescent="0.4">
      <c r="A1174">
        <v>587</v>
      </c>
      <c r="B1174" t="s">
        <v>0</v>
      </c>
      <c r="C1174">
        <v>1</v>
      </c>
      <c r="D1174">
        <v>4</v>
      </c>
      <c r="E1174">
        <v>11</v>
      </c>
      <c r="F1174">
        <v>1</v>
      </c>
      <c r="G1174">
        <v>0</v>
      </c>
      <c r="H1174">
        <f>표2[[#This Row],[공격성공횟수]]/(표2[[#This Row],[공격실패횟수]]+표2[[#This Row],[공격성공횟수]])</f>
        <v>0.26666666666666666</v>
      </c>
    </row>
    <row r="1175" spans="1:8" hidden="1" x14ac:dyDescent="0.4">
      <c r="A1175">
        <v>587</v>
      </c>
      <c r="B1175" t="s">
        <v>2</v>
      </c>
      <c r="C1175">
        <v>0</v>
      </c>
      <c r="D1175">
        <v>1</v>
      </c>
      <c r="E1175">
        <v>14</v>
      </c>
      <c r="F1175">
        <v>4</v>
      </c>
      <c r="G1175">
        <v>1</v>
      </c>
      <c r="H1175">
        <f>표2[[#This Row],[공격성공횟수]]/(표2[[#This Row],[공격실패횟수]]+표2[[#This Row],[공격성공횟수]])</f>
        <v>6.6666666666666666E-2</v>
      </c>
    </row>
    <row r="1176" spans="1:8" x14ac:dyDescent="0.4">
      <c r="A1176">
        <v>588</v>
      </c>
      <c r="B1176" t="s">
        <v>0</v>
      </c>
      <c r="C1176">
        <v>0</v>
      </c>
      <c r="D1176">
        <v>2</v>
      </c>
      <c r="E1176">
        <v>7</v>
      </c>
      <c r="F1176">
        <v>4</v>
      </c>
      <c r="G1176">
        <v>1</v>
      </c>
      <c r="H1176">
        <f>표2[[#This Row],[공격성공횟수]]/(표2[[#This Row],[공격실패횟수]]+표2[[#This Row],[공격성공횟수]])</f>
        <v>0.22222222222222221</v>
      </c>
    </row>
    <row r="1177" spans="1:8" hidden="1" x14ac:dyDescent="0.4">
      <c r="A1177">
        <v>588</v>
      </c>
      <c r="B1177" t="s">
        <v>2</v>
      </c>
      <c r="C1177">
        <v>1</v>
      </c>
      <c r="D1177">
        <v>4</v>
      </c>
      <c r="E1177">
        <v>6</v>
      </c>
      <c r="F1177">
        <v>2</v>
      </c>
      <c r="G1177">
        <v>0</v>
      </c>
      <c r="H1177">
        <f>표2[[#This Row],[공격성공횟수]]/(표2[[#This Row],[공격실패횟수]]+표2[[#This Row],[공격성공횟수]])</f>
        <v>0.4</v>
      </c>
    </row>
    <row r="1178" spans="1:8" x14ac:dyDescent="0.4">
      <c r="A1178">
        <v>589</v>
      </c>
      <c r="B1178" t="s">
        <v>0</v>
      </c>
      <c r="C1178">
        <v>0</v>
      </c>
      <c r="D1178">
        <v>2</v>
      </c>
      <c r="E1178">
        <v>7</v>
      </c>
      <c r="F1178">
        <v>4</v>
      </c>
      <c r="G1178">
        <v>1</v>
      </c>
      <c r="H1178">
        <f>표2[[#This Row],[공격성공횟수]]/(표2[[#This Row],[공격실패횟수]]+표2[[#This Row],[공격성공횟수]])</f>
        <v>0.22222222222222221</v>
      </c>
    </row>
    <row r="1179" spans="1:8" hidden="1" x14ac:dyDescent="0.4">
      <c r="A1179">
        <v>589</v>
      </c>
      <c r="B1179" t="s">
        <v>2</v>
      </c>
      <c r="C1179">
        <v>1</v>
      </c>
      <c r="D1179">
        <v>4</v>
      </c>
      <c r="E1179">
        <v>6</v>
      </c>
      <c r="F1179">
        <v>2</v>
      </c>
      <c r="G1179">
        <v>0</v>
      </c>
      <c r="H1179">
        <f>표2[[#This Row],[공격성공횟수]]/(표2[[#This Row],[공격실패횟수]]+표2[[#This Row],[공격성공횟수]])</f>
        <v>0.4</v>
      </c>
    </row>
    <row r="1180" spans="1:8" x14ac:dyDescent="0.4">
      <c r="A1180">
        <v>590</v>
      </c>
      <c r="B1180" t="s">
        <v>0</v>
      </c>
      <c r="C1180">
        <v>0</v>
      </c>
      <c r="D1180">
        <v>1</v>
      </c>
      <c r="E1180">
        <v>11</v>
      </c>
      <c r="F1180">
        <v>4</v>
      </c>
      <c r="G1180">
        <v>1</v>
      </c>
      <c r="H1180">
        <f>표2[[#This Row],[공격성공횟수]]/(표2[[#This Row],[공격실패횟수]]+표2[[#This Row],[공격성공횟수]])</f>
        <v>8.3333333333333329E-2</v>
      </c>
    </row>
    <row r="1181" spans="1:8" hidden="1" x14ac:dyDescent="0.4">
      <c r="A1181">
        <v>590</v>
      </c>
      <c r="B1181" t="s">
        <v>2</v>
      </c>
      <c r="C1181">
        <v>1</v>
      </c>
      <c r="D1181">
        <v>4</v>
      </c>
      <c r="E1181">
        <v>9</v>
      </c>
      <c r="F1181">
        <v>1</v>
      </c>
      <c r="G1181">
        <v>0</v>
      </c>
      <c r="H1181">
        <f>표2[[#This Row],[공격성공횟수]]/(표2[[#This Row],[공격실패횟수]]+표2[[#This Row],[공격성공횟수]])</f>
        <v>0.30769230769230771</v>
      </c>
    </row>
    <row r="1182" spans="1:8" x14ac:dyDescent="0.4">
      <c r="A1182">
        <v>591</v>
      </c>
      <c r="B1182" t="s">
        <v>0</v>
      </c>
      <c r="C1182">
        <v>1</v>
      </c>
      <c r="D1182">
        <v>4</v>
      </c>
      <c r="E1182">
        <v>8</v>
      </c>
      <c r="F1182">
        <v>1</v>
      </c>
      <c r="G1182">
        <v>0</v>
      </c>
      <c r="H1182">
        <f>표2[[#This Row],[공격성공횟수]]/(표2[[#This Row],[공격실패횟수]]+표2[[#This Row],[공격성공횟수]])</f>
        <v>0.33333333333333331</v>
      </c>
    </row>
    <row r="1183" spans="1:8" hidden="1" x14ac:dyDescent="0.4">
      <c r="A1183">
        <v>591</v>
      </c>
      <c r="B1183" t="s">
        <v>2</v>
      </c>
      <c r="C1183">
        <v>0</v>
      </c>
      <c r="D1183">
        <v>1</v>
      </c>
      <c r="E1183">
        <v>10</v>
      </c>
      <c r="F1183">
        <v>4</v>
      </c>
      <c r="G1183">
        <v>1</v>
      </c>
      <c r="H1183">
        <f>표2[[#This Row],[공격성공횟수]]/(표2[[#This Row],[공격실패횟수]]+표2[[#This Row],[공격성공횟수]])</f>
        <v>9.0909090909090912E-2</v>
      </c>
    </row>
    <row r="1184" spans="1:8" x14ac:dyDescent="0.4">
      <c r="A1184">
        <v>592</v>
      </c>
      <c r="B1184" t="s">
        <v>0</v>
      </c>
      <c r="C1184">
        <v>1</v>
      </c>
      <c r="D1184">
        <v>4</v>
      </c>
      <c r="E1184">
        <v>9</v>
      </c>
      <c r="F1184">
        <v>1</v>
      </c>
      <c r="G1184">
        <v>0</v>
      </c>
      <c r="H1184">
        <f>표2[[#This Row],[공격성공횟수]]/(표2[[#This Row],[공격실패횟수]]+표2[[#This Row],[공격성공횟수]])</f>
        <v>0.30769230769230771</v>
      </c>
    </row>
    <row r="1185" spans="1:8" hidden="1" x14ac:dyDescent="0.4">
      <c r="A1185">
        <v>592</v>
      </c>
      <c r="B1185" t="s">
        <v>2</v>
      </c>
      <c r="C1185">
        <v>0</v>
      </c>
      <c r="D1185">
        <v>1</v>
      </c>
      <c r="E1185">
        <v>12</v>
      </c>
      <c r="F1185">
        <v>4</v>
      </c>
      <c r="G1185">
        <v>1</v>
      </c>
      <c r="H1185">
        <f>표2[[#This Row],[공격성공횟수]]/(표2[[#This Row],[공격실패횟수]]+표2[[#This Row],[공격성공횟수]])</f>
        <v>7.6923076923076927E-2</v>
      </c>
    </row>
    <row r="1186" spans="1:8" x14ac:dyDescent="0.4">
      <c r="A1186">
        <v>593</v>
      </c>
      <c r="B1186" t="s">
        <v>0</v>
      </c>
      <c r="C1186">
        <v>1</v>
      </c>
      <c r="D1186">
        <v>4</v>
      </c>
      <c r="E1186">
        <v>10</v>
      </c>
      <c r="F1186">
        <v>3</v>
      </c>
      <c r="G1186">
        <v>0</v>
      </c>
      <c r="H1186">
        <f>표2[[#This Row],[공격성공횟수]]/(표2[[#This Row],[공격실패횟수]]+표2[[#This Row],[공격성공횟수]])</f>
        <v>0.2857142857142857</v>
      </c>
    </row>
    <row r="1187" spans="1:8" hidden="1" x14ac:dyDescent="0.4">
      <c r="A1187">
        <v>593</v>
      </c>
      <c r="B1187" t="s">
        <v>2</v>
      </c>
      <c r="C1187">
        <v>0</v>
      </c>
      <c r="D1187">
        <v>3</v>
      </c>
      <c r="E1187">
        <v>11</v>
      </c>
      <c r="F1187">
        <v>4</v>
      </c>
      <c r="G1187">
        <v>1</v>
      </c>
      <c r="H1187">
        <f>표2[[#This Row],[공격성공횟수]]/(표2[[#This Row],[공격실패횟수]]+표2[[#This Row],[공격성공횟수]])</f>
        <v>0.21428571428571427</v>
      </c>
    </row>
    <row r="1188" spans="1:8" x14ac:dyDescent="0.4">
      <c r="A1188">
        <v>594</v>
      </c>
      <c r="B1188" t="s">
        <v>0</v>
      </c>
      <c r="C1188">
        <v>0</v>
      </c>
      <c r="D1188">
        <v>1</v>
      </c>
      <c r="E1188">
        <v>17</v>
      </c>
      <c r="F1188">
        <v>4</v>
      </c>
      <c r="G1188">
        <v>1</v>
      </c>
      <c r="H1188">
        <f>표2[[#This Row],[공격성공횟수]]/(표2[[#This Row],[공격실패횟수]]+표2[[#This Row],[공격성공횟수]])</f>
        <v>5.5555555555555552E-2</v>
      </c>
    </row>
    <row r="1189" spans="1:8" hidden="1" x14ac:dyDescent="0.4">
      <c r="A1189">
        <v>594</v>
      </c>
      <c r="B1189" t="s">
        <v>2</v>
      </c>
      <c r="C1189">
        <v>1</v>
      </c>
      <c r="D1189">
        <v>4</v>
      </c>
      <c r="E1189">
        <v>14</v>
      </c>
      <c r="F1189">
        <v>1</v>
      </c>
      <c r="G1189">
        <v>0</v>
      </c>
      <c r="H1189">
        <f>표2[[#This Row],[공격성공횟수]]/(표2[[#This Row],[공격실패횟수]]+표2[[#This Row],[공격성공횟수]])</f>
        <v>0.22222222222222221</v>
      </c>
    </row>
    <row r="1190" spans="1:8" x14ac:dyDescent="0.4">
      <c r="A1190">
        <v>595</v>
      </c>
      <c r="B1190" t="s">
        <v>0</v>
      </c>
      <c r="C1190">
        <v>1</v>
      </c>
      <c r="D1190">
        <v>4</v>
      </c>
      <c r="E1190">
        <v>16</v>
      </c>
      <c r="F1190">
        <v>3</v>
      </c>
      <c r="G1190">
        <v>0</v>
      </c>
      <c r="H1190">
        <f>표2[[#This Row],[공격성공횟수]]/(표2[[#This Row],[공격실패횟수]]+표2[[#This Row],[공격성공횟수]])</f>
        <v>0.2</v>
      </c>
    </row>
    <row r="1191" spans="1:8" hidden="1" x14ac:dyDescent="0.4">
      <c r="A1191">
        <v>595</v>
      </c>
      <c r="B1191" t="s">
        <v>2</v>
      </c>
      <c r="C1191">
        <v>0</v>
      </c>
      <c r="D1191">
        <v>3</v>
      </c>
      <c r="E1191">
        <v>17</v>
      </c>
      <c r="F1191">
        <v>4</v>
      </c>
      <c r="G1191">
        <v>1</v>
      </c>
      <c r="H1191">
        <f>표2[[#This Row],[공격성공횟수]]/(표2[[#This Row],[공격실패횟수]]+표2[[#This Row],[공격성공횟수]])</f>
        <v>0.15</v>
      </c>
    </row>
    <row r="1192" spans="1:8" x14ac:dyDescent="0.4">
      <c r="A1192">
        <v>596</v>
      </c>
      <c r="B1192" t="s">
        <v>0</v>
      </c>
      <c r="C1192">
        <v>1</v>
      </c>
      <c r="D1192">
        <v>4</v>
      </c>
      <c r="E1192">
        <v>10</v>
      </c>
      <c r="F1192">
        <v>3</v>
      </c>
      <c r="G1192">
        <v>0</v>
      </c>
      <c r="H1192">
        <f>표2[[#This Row],[공격성공횟수]]/(표2[[#This Row],[공격실패횟수]]+표2[[#This Row],[공격성공횟수]])</f>
        <v>0.2857142857142857</v>
      </c>
    </row>
    <row r="1193" spans="1:8" hidden="1" x14ac:dyDescent="0.4">
      <c r="A1193">
        <v>596</v>
      </c>
      <c r="B1193" t="s">
        <v>2</v>
      </c>
      <c r="C1193">
        <v>0</v>
      </c>
      <c r="D1193">
        <v>3</v>
      </c>
      <c r="E1193">
        <v>11</v>
      </c>
      <c r="F1193">
        <v>4</v>
      </c>
      <c r="G1193">
        <v>1</v>
      </c>
      <c r="H1193">
        <f>표2[[#This Row],[공격성공횟수]]/(표2[[#This Row],[공격실패횟수]]+표2[[#This Row],[공격성공횟수]])</f>
        <v>0.21428571428571427</v>
      </c>
    </row>
    <row r="1194" spans="1:8" x14ac:dyDescent="0.4">
      <c r="A1194">
        <v>597</v>
      </c>
      <c r="B1194" t="s">
        <v>0</v>
      </c>
      <c r="C1194">
        <v>1</v>
      </c>
      <c r="D1194">
        <v>4</v>
      </c>
      <c r="E1194">
        <v>19</v>
      </c>
      <c r="F1194">
        <v>2</v>
      </c>
      <c r="G1194">
        <v>0</v>
      </c>
      <c r="H1194">
        <f>표2[[#This Row],[공격성공횟수]]/(표2[[#This Row],[공격실패횟수]]+표2[[#This Row],[공격성공횟수]])</f>
        <v>0.17391304347826086</v>
      </c>
    </row>
    <row r="1195" spans="1:8" hidden="1" x14ac:dyDescent="0.4">
      <c r="A1195">
        <v>597</v>
      </c>
      <c r="B1195" t="s">
        <v>2</v>
      </c>
      <c r="C1195">
        <v>0</v>
      </c>
      <c r="D1195">
        <v>2</v>
      </c>
      <c r="E1195">
        <v>21</v>
      </c>
      <c r="F1195">
        <v>4</v>
      </c>
      <c r="G1195">
        <v>1</v>
      </c>
      <c r="H1195">
        <f>표2[[#This Row],[공격성공횟수]]/(표2[[#This Row],[공격실패횟수]]+표2[[#This Row],[공격성공횟수]])</f>
        <v>8.6956521739130432E-2</v>
      </c>
    </row>
    <row r="1196" spans="1:8" x14ac:dyDescent="0.4">
      <c r="A1196">
        <v>598</v>
      </c>
      <c r="B1196" t="s">
        <v>0</v>
      </c>
      <c r="C1196">
        <v>1</v>
      </c>
      <c r="D1196">
        <v>4</v>
      </c>
      <c r="E1196">
        <v>4</v>
      </c>
      <c r="F1196">
        <v>1</v>
      </c>
      <c r="G1196">
        <v>0</v>
      </c>
      <c r="H1196">
        <f>표2[[#This Row],[공격성공횟수]]/(표2[[#This Row],[공격실패횟수]]+표2[[#This Row],[공격성공횟수]])</f>
        <v>0.5</v>
      </c>
    </row>
    <row r="1197" spans="1:8" hidden="1" x14ac:dyDescent="0.4">
      <c r="A1197">
        <v>598</v>
      </c>
      <c r="B1197" t="s">
        <v>2</v>
      </c>
      <c r="C1197">
        <v>0</v>
      </c>
      <c r="D1197">
        <v>1</v>
      </c>
      <c r="E1197">
        <v>7</v>
      </c>
      <c r="F1197">
        <v>4</v>
      </c>
      <c r="G1197">
        <v>1</v>
      </c>
      <c r="H1197">
        <f>표2[[#This Row],[공격성공횟수]]/(표2[[#This Row],[공격실패횟수]]+표2[[#This Row],[공격성공횟수]])</f>
        <v>0.125</v>
      </c>
    </row>
    <row r="1198" spans="1:8" x14ac:dyDescent="0.4">
      <c r="A1198">
        <v>599</v>
      </c>
      <c r="B1198" t="s">
        <v>0</v>
      </c>
      <c r="C1198">
        <v>0</v>
      </c>
      <c r="D1198">
        <v>0</v>
      </c>
      <c r="E1198">
        <v>12</v>
      </c>
      <c r="F1198">
        <v>4</v>
      </c>
      <c r="G1198">
        <v>1</v>
      </c>
      <c r="H1198">
        <f>표2[[#This Row],[공격성공횟수]]/(표2[[#This Row],[공격실패횟수]]+표2[[#This Row],[공격성공횟수]])</f>
        <v>0</v>
      </c>
    </row>
    <row r="1199" spans="1:8" hidden="1" x14ac:dyDescent="0.4">
      <c r="A1199">
        <v>599</v>
      </c>
      <c r="B1199" t="s">
        <v>2</v>
      </c>
      <c r="C1199">
        <v>1</v>
      </c>
      <c r="D1199">
        <v>4</v>
      </c>
      <c r="E1199">
        <v>10</v>
      </c>
      <c r="F1199">
        <v>0</v>
      </c>
      <c r="G1199">
        <v>0</v>
      </c>
      <c r="H1199">
        <f>표2[[#This Row],[공격성공횟수]]/(표2[[#This Row],[공격실패횟수]]+표2[[#This Row],[공격성공횟수]])</f>
        <v>0.2857142857142857</v>
      </c>
    </row>
    <row r="1200" spans="1:8" x14ac:dyDescent="0.4">
      <c r="A1200">
        <v>600</v>
      </c>
      <c r="B1200" t="s">
        <v>0</v>
      </c>
      <c r="C1200">
        <v>0</v>
      </c>
      <c r="D1200">
        <v>2</v>
      </c>
      <c r="E1200">
        <v>21</v>
      </c>
      <c r="F1200">
        <v>4</v>
      </c>
      <c r="G1200">
        <v>1</v>
      </c>
      <c r="H1200">
        <f>표2[[#This Row],[공격성공횟수]]/(표2[[#This Row],[공격실패횟수]]+표2[[#This Row],[공격성공횟수]])</f>
        <v>8.6956521739130432E-2</v>
      </c>
    </row>
    <row r="1201" spans="1:8" hidden="1" x14ac:dyDescent="0.4">
      <c r="A1201">
        <v>600</v>
      </c>
      <c r="B1201" t="s">
        <v>2</v>
      </c>
      <c r="C1201">
        <v>1</v>
      </c>
      <c r="D1201">
        <v>4</v>
      </c>
      <c r="E1201">
        <v>19</v>
      </c>
      <c r="F1201">
        <v>2</v>
      </c>
      <c r="G1201">
        <v>0</v>
      </c>
      <c r="H1201">
        <f>표2[[#This Row],[공격성공횟수]]/(표2[[#This Row],[공격실패횟수]]+표2[[#This Row],[공격성공횟수]])</f>
        <v>0.17391304347826086</v>
      </c>
    </row>
    <row r="1202" spans="1:8" x14ac:dyDescent="0.4">
      <c r="A1202">
        <v>601</v>
      </c>
      <c r="B1202" t="s">
        <v>0</v>
      </c>
      <c r="C1202">
        <v>0</v>
      </c>
      <c r="D1202">
        <v>0</v>
      </c>
      <c r="E1202">
        <v>28</v>
      </c>
      <c r="F1202">
        <v>4</v>
      </c>
      <c r="G1202">
        <v>1</v>
      </c>
      <c r="H1202">
        <f>표2[[#This Row],[공격성공횟수]]/(표2[[#This Row],[공격실패횟수]]+표2[[#This Row],[공격성공횟수]])</f>
        <v>0</v>
      </c>
    </row>
    <row r="1203" spans="1:8" hidden="1" x14ac:dyDescent="0.4">
      <c r="A1203">
        <v>601</v>
      </c>
      <c r="B1203" t="s">
        <v>2</v>
      </c>
      <c r="C1203">
        <v>1</v>
      </c>
      <c r="D1203">
        <v>4</v>
      </c>
      <c r="E1203">
        <v>26</v>
      </c>
      <c r="F1203">
        <v>0</v>
      </c>
      <c r="G1203">
        <v>0</v>
      </c>
      <c r="H1203">
        <f>표2[[#This Row],[공격성공횟수]]/(표2[[#This Row],[공격실패횟수]]+표2[[#This Row],[공격성공횟수]])</f>
        <v>0.13333333333333333</v>
      </c>
    </row>
    <row r="1204" spans="1:8" x14ac:dyDescent="0.4">
      <c r="A1204">
        <v>602</v>
      </c>
      <c r="B1204" t="s">
        <v>0</v>
      </c>
      <c r="C1204">
        <v>1</v>
      </c>
      <c r="D1204">
        <v>4</v>
      </c>
      <c r="E1204">
        <v>8</v>
      </c>
      <c r="F1204">
        <v>0</v>
      </c>
      <c r="G1204">
        <v>0</v>
      </c>
      <c r="H1204">
        <f>표2[[#This Row],[공격성공횟수]]/(표2[[#This Row],[공격실패횟수]]+표2[[#This Row],[공격성공횟수]])</f>
        <v>0.33333333333333331</v>
      </c>
    </row>
    <row r="1205" spans="1:8" hidden="1" x14ac:dyDescent="0.4">
      <c r="A1205">
        <v>602</v>
      </c>
      <c r="B1205" t="s">
        <v>2</v>
      </c>
      <c r="C1205">
        <v>0</v>
      </c>
      <c r="D1205">
        <v>0</v>
      </c>
      <c r="E1205">
        <v>11</v>
      </c>
      <c r="F1205">
        <v>4</v>
      </c>
      <c r="G1205">
        <v>1</v>
      </c>
      <c r="H1205">
        <f>표2[[#This Row],[공격성공횟수]]/(표2[[#This Row],[공격실패횟수]]+표2[[#This Row],[공격성공횟수]])</f>
        <v>0</v>
      </c>
    </row>
    <row r="1206" spans="1:8" x14ac:dyDescent="0.4">
      <c r="A1206">
        <v>603</v>
      </c>
      <c r="B1206" t="s">
        <v>0</v>
      </c>
      <c r="C1206">
        <v>0</v>
      </c>
      <c r="D1206">
        <v>2</v>
      </c>
      <c r="E1206">
        <v>11</v>
      </c>
      <c r="F1206">
        <v>4</v>
      </c>
      <c r="G1206">
        <v>1</v>
      </c>
      <c r="H1206">
        <f>표2[[#This Row],[공격성공횟수]]/(표2[[#This Row],[공격실패횟수]]+표2[[#This Row],[공격성공횟수]])</f>
        <v>0.15384615384615385</v>
      </c>
    </row>
    <row r="1207" spans="1:8" hidden="1" x14ac:dyDescent="0.4">
      <c r="A1207">
        <v>603</v>
      </c>
      <c r="B1207" t="s">
        <v>2</v>
      </c>
      <c r="C1207">
        <v>1</v>
      </c>
      <c r="D1207">
        <v>4</v>
      </c>
      <c r="E1207">
        <v>11</v>
      </c>
      <c r="F1207">
        <v>2</v>
      </c>
      <c r="G1207">
        <v>0</v>
      </c>
      <c r="H1207">
        <f>표2[[#This Row],[공격성공횟수]]/(표2[[#This Row],[공격실패횟수]]+표2[[#This Row],[공격성공횟수]])</f>
        <v>0.26666666666666666</v>
      </c>
    </row>
    <row r="1208" spans="1:8" x14ac:dyDescent="0.4">
      <c r="A1208">
        <v>604</v>
      </c>
      <c r="B1208" t="s">
        <v>0</v>
      </c>
      <c r="C1208">
        <v>0</v>
      </c>
      <c r="D1208">
        <v>3</v>
      </c>
      <c r="E1208">
        <v>15</v>
      </c>
      <c r="F1208">
        <v>4</v>
      </c>
      <c r="G1208">
        <v>1</v>
      </c>
      <c r="H1208">
        <f>표2[[#This Row],[공격성공횟수]]/(표2[[#This Row],[공격실패횟수]]+표2[[#This Row],[공격성공횟수]])</f>
        <v>0.16666666666666666</v>
      </c>
    </row>
    <row r="1209" spans="1:8" hidden="1" x14ac:dyDescent="0.4">
      <c r="A1209">
        <v>604</v>
      </c>
      <c r="B1209" t="s">
        <v>2</v>
      </c>
      <c r="C1209">
        <v>1</v>
      </c>
      <c r="D1209">
        <v>4</v>
      </c>
      <c r="E1209">
        <v>15</v>
      </c>
      <c r="F1209">
        <v>3</v>
      </c>
      <c r="G1209">
        <v>0</v>
      </c>
      <c r="H1209">
        <f>표2[[#This Row],[공격성공횟수]]/(표2[[#This Row],[공격실패횟수]]+표2[[#This Row],[공격성공횟수]])</f>
        <v>0.21052631578947367</v>
      </c>
    </row>
    <row r="1210" spans="1:8" x14ac:dyDescent="0.4">
      <c r="A1210">
        <v>605</v>
      </c>
      <c r="B1210" t="s">
        <v>0</v>
      </c>
      <c r="C1210">
        <v>1</v>
      </c>
      <c r="D1210">
        <v>4</v>
      </c>
      <c r="E1210">
        <v>28</v>
      </c>
      <c r="F1210">
        <v>3</v>
      </c>
      <c r="G1210">
        <v>0</v>
      </c>
      <c r="H1210">
        <f>표2[[#This Row],[공격성공횟수]]/(표2[[#This Row],[공격실패횟수]]+표2[[#This Row],[공격성공횟수]])</f>
        <v>0.125</v>
      </c>
    </row>
    <row r="1211" spans="1:8" hidden="1" x14ac:dyDescent="0.4">
      <c r="A1211">
        <v>605</v>
      </c>
      <c r="B1211" t="s">
        <v>2</v>
      </c>
      <c r="C1211">
        <v>0</v>
      </c>
      <c r="D1211">
        <v>3</v>
      </c>
      <c r="E1211">
        <v>24</v>
      </c>
      <c r="F1211">
        <v>4</v>
      </c>
      <c r="G1211">
        <v>1</v>
      </c>
      <c r="H1211">
        <f>표2[[#This Row],[공격성공횟수]]/(표2[[#This Row],[공격실패횟수]]+표2[[#This Row],[공격성공횟수]])</f>
        <v>0.1111111111111111</v>
      </c>
    </row>
    <row r="1212" spans="1:8" x14ac:dyDescent="0.4">
      <c r="A1212">
        <v>606</v>
      </c>
      <c r="B1212" t="s">
        <v>0</v>
      </c>
      <c r="C1212">
        <v>1</v>
      </c>
      <c r="D1212">
        <v>4</v>
      </c>
      <c r="E1212">
        <v>2</v>
      </c>
      <c r="F1212">
        <v>1</v>
      </c>
      <c r="G1212">
        <v>0</v>
      </c>
      <c r="H1212">
        <f>표2[[#This Row],[공격성공횟수]]/(표2[[#This Row],[공격실패횟수]]+표2[[#This Row],[공격성공횟수]])</f>
        <v>0.66666666666666663</v>
      </c>
    </row>
    <row r="1213" spans="1:8" hidden="1" x14ac:dyDescent="0.4">
      <c r="A1213">
        <v>606</v>
      </c>
      <c r="B1213" t="s">
        <v>2</v>
      </c>
      <c r="C1213">
        <v>0</v>
      </c>
      <c r="D1213">
        <v>1</v>
      </c>
      <c r="E1213">
        <v>5</v>
      </c>
      <c r="F1213">
        <v>4</v>
      </c>
      <c r="G1213">
        <v>1</v>
      </c>
      <c r="H1213">
        <f>표2[[#This Row],[공격성공횟수]]/(표2[[#This Row],[공격실패횟수]]+표2[[#This Row],[공격성공횟수]])</f>
        <v>0.16666666666666666</v>
      </c>
    </row>
    <row r="1214" spans="1:8" x14ac:dyDescent="0.4">
      <c r="A1214">
        <v>607</v>
      </c>
      <c r="B1214" t="s">
        <v>0</v>
      </c>
      <c r="C1214">
        <v>0</v>
      </c>
      <c r="D1214">
        <v>3</v>
      </c>
      <c r="E1214">
        <v>32</v>
      </c>
      <c r="F1214">
        <v>4</v>
      </c>
      <c r="G1214">
        <v>1</v>
      </c>
      <c r="H1214">
        <f>표2[[#This Row],[공격성공횟수]]/(표2[[#This Row],[공격실패횟수]]+표2[[#This Row],[공격성공횟수]])</f>
        <v>8.5714285714285715E-2</v>
      </c>
    </row>
    <row r="1215" spans="1:8" hidden="1" x14ac:dyDescent="0.4">
      <c r="A1215">
        <v>607</v>
      </c>
      <c r="B1215" t="s">
        <v>2</v>
      </c>
      <c r="C1215">
        <v>1</v>
      </c>
      <c r="D1215">
        <v>4</v>
      </c>
      <c r="E1215">
        <v>32</v>
      </c>
      <c r="F1215">
        <v>3</v>
      </c>
      <c r="G1215">
        <v>0</v>
      </c>
      <c r="H1215">
        <f>표2[[#This Row],[공격성공횟수]]/(표2[[#This Row],[공격실패횟수]]+표2[[#This Row],[공격성공횟수]])</f>
        <v>0.1111111111111111</v>
      </c>
    </row>
    <row r="1216" spans="1:8" x14ac:dyDescent="0.4">
      <c r="A1216">
        <v>608</v>
      </c>
      <c r="B1216" t="s">
        <v>0</v>
      </c>
      <c r="C1216">
        <v>0</v>
      </c>
      <c r="D1216">
        <v>3</v>
      </c>
      <c r="E1216">
        <v>7</v>
      </c>
      <c r="F1216">
        <v>4</v>
      </c>
      <c r="G1216">
        <v>1</v>
      </c>
      <c r="H1216">
        <f>표2[[#This Row],[공격성공횟수]]/(표2[[#This Row],[공격실패횟수]]+표2[[#This Row],[공격성공횟수]])</f>
        <v>0.3</v>
      </c>
    </row>
    <row r="1217" spans="1:8" hidden="1" x14ac:dyDescent="0.4">
      <c r="A1217">
        <v>608</v>
      </c>
      <c r="B1217" t="s">
        <v>2</v>
      </c>
      <c r="C1217">
        <v>1</v>
      </c>
      <c r="D1217">
        <v>4</v>
      </c>
      <c r="E1217">
        <v>7</v>
      </c>
      <c r="F1217">
        <v>3</v>
      </c>
      <c r="G1217">
        <v>0</v>
      </c>
      <c r="H1217">
        <f>표2[[#This Row],[공격성공횟수]]/(표2[[#This Row],[공격실패횟수]]+표2[[#This Row],[공격성공횟수]])</f>
        <v>0.36363636363636365</v>
      </c>
    </row>
    <row r="1218" spans="1:8" x14ac:dyDescent="0.4">
      <c r="A1218">
        <v>609</v>
      </c>
      <c r="B1218" t="s">
        <v>0</v>
      </c>
      <c r="C1218">
        <v>1</v>
      </c>
      <c r="D1218">
        <v>4</v>
      </c>
      <c r="E1218">
        <v>5</v>
      </c>
      <c r="F1218">
        <v>1</v>
      </c>
      <c r="G1218">
        <v>0</v>
      </c>
      <c r="H1218">
        <f>표2[[#This Row],[공격성공횟수]]/(표2[[#This Row],[공격실패횟수]]+표2[[#This Row],[공격성공횟수]])</f>
        <v>0.44444444444444442</v>
      </c>
    </row>
    <row r="1219" spans="1:8" hidden="1" x14ac:dyDescent="0.4">
      <c r="A1219">
        <v>609</v>
      </c>
      <c r="B1219" t="s">
        <v>2</v>
      </c>
      <c r="C1219">
        <v>0</v>
      </c>
      <c r="D1219">
        <v>1</v>
      </c>
      <c r="E1219">
        <v>7</v>
      </c>
      <c r="F1219">
        <v>4</v>
      </c>
      <c r="G1219">
        <v>1</v>
      </c>
      <c r="H1219">
        <f>표2[[#This Row],[공격성공횟수]]/(표2[[#This Row],[공격실패횟수]]+표2[[#This Row],[공격성공횟수]])</f>
        <v>0.125</v>
      </c>
    </row>
    <row r="1220" spans="1:8" x14ac:dyDescent="0.4">
      <c r="A1220">
        <v>610</v>
      </c>
      <c r="B1220" t="s">
        <v>0</v>
      </c>
      <c r="C1220">
        <v>0</v>
      </c>
      <c r="D1220">
        <v>2</v>
      </c>
      <c r="E1220">
        <v>3</v>
      </c>
      <c r="F1220">
        <v>4</v>
      </c>
      <c r="G1220">
        <v>1</v>
      </c>
      <c r="H1220">
        <f>표2[[#This Row],[공격성공횟수]]/(표2[[#This Row],[공격실패횟수]]+표2[[#This Row],[공격성공횟수]])</f>
        <v>0.4</v>
      </c>
    </row>
    <row r="1221" spans="1:8" hidden="1" x14ac:dyDescent="0.4">
      <c r="A1221">
        <v>610</v>
      </c>
      <c r="B1221" t="s">
        <v>2</v>
      </c>
      <c r="C1221">
        <v>1</v>
      </c>
      <c r="D1221">
        <v>4</v>
      </c>
      <c r="E1221">
        <v>2</v>
      </c>
      <c r="F1221">
        <v>2</v>
      </c>
      <c r="G1221">
        <v>0</v>
      </c>
      <c r="H1221">
        <f>표2[[#This Row],[공격성공횟수]]/(표2[[#This Row],[공격실패횟수]]+표2[[#This Row],[공격성공횟수]])</f>
        <v>0.66666666666666663</v>
      </c>
    </row>
    <row r="1222" spans="1:8" x14ac:dyDescent="0.4">
      <c r="A1222">
        <v>611</v>
      </c>
      <c r="B1222" t="s">
        <v>0</v>
      </c>
      <c r="C1222">
        <v>0</v>
      </c>
      <c r="D1222">
        <v>2</v>
      </c>
      <c r="E1222">
        <v>27</v>
      </c>
      <c r="F1222">
        <v>4</v>
      </c>
      <c r="G1222">
        <v>1</v>
      </c>
      <c r="H1222">
        <f>표2[[#This Row],[공격성공횟수]]/(표2[[#This Row],[공격실패횟수]]+표2[[#This Row],[공격성공횟수]])</f>
        <v>6.8965517241379309E-2</v>
      </c>
    </row>
    <row r="1223" spans="1:8" hidden="1" x14ac:dyDescent="0.4">
      <c r="A1223">
        <v>611</v>
      </c>
      <c r="B1223" t="s">
        <v>2</v>
      </c>
      <c r="C1223">
        <v>1</v>
      </c>
      <c r="D1223">
        <v>4</v>
      </c>
      <c r="E1223">
        <v>25</v>
      </c>
      <c r="F1223">
        <v>2</v>
      </c>
      <c r="G1223">
        <v>0</v>
      </c>
      <c r="H1223">
        <f>표2[[#This Row],[공격성공횟수]]/(표2[[#This Row],[공격실패횟수]]+표2[[#This Row],[공격성공횟수]])</f>
        <v>0.13793103448275862</v>
      </c>
    </row>
    <row r="1224" spans="1:8" x14ac:dyDescent="0.4">
      <c r="A1224">
        <v>612</v>
      </c>
      <c r="B1224" t="s">
        <v>0</v>
      </c>
      <c r="C1224">
        <v>1</v>
      </c>
      <c r="D1224">
        <v>4</v>
      </c>
      <c r="E1224">
        <v>37</v>
      </c>
      <c r="F1224">
        <v>2</v>
      </c>
      <c r="G1224">
        <v>0</v>
      </c>
      <c r="H1224">
        <f>표2[[#This Row],[공격성공횟수]]/(표2[[#This Row],[공격실패횟수]]+표2[[#This Row],[공격성공횟수]])</f>
        <v>9.7560975609756101E-2</v>
      </c>
    </row>
    <row r="1225" spans="1:8" hidden="1" x14ac:dyDescent="0.4">
      <c r="A1225">
        <v>612</v>
      </c>
      <c r="B1225" t="s">
        <v>2</v>
      </c>
      <c r="C1225">
        <v>0</v>
      </c>
      <c r="D1225">
        <v>2</v>
      </c>
      <c r="E1225">
        <v>38</v>
      </c>
      <c r="F1225">
        <v>4</v>
      </c>
      <c r="G1225">
        <v>1</v>
      </c>
      <c r="H1225">
        <f>표2[[#This Row],[공격성공횟수]]/(표2[[#This Row],[공격실패횟수]]+표2[[#This Row],[공격성공횟수]])</f>
        <v>0.05</v>
      </c>
    </row>
    <row r="1226" spans="1:8" x14ac:dyDescent="0.4">
      <c r="A1226">
        <v>613</v>
      </c>
      <c r="B1226" t="s">
        <v>0</v>
      </c>
      <c r="C1226">
        <v>1</v>
      </c>
      <c r="D1226">
        <v>4</v>
      </c>
      <c r="E1226">
        <v>13</v>
      </c>
      <c r="F1226">
        <v>0</v>
      </c>
      <c r="G1226">
        <v>0</v>
      </c>
      <c r="H1226">
        <f>표2[[#This Row],[공격성공횟수]]/(표2[[#This Row],[공격실패횟수]]+표2[[#This Row],[공격성공횟수]])</f>
        <v>0.23529411764705882</v>
      </c>
    </row>
    <row r="1227" spans="1:8" hidden="1" x14ac:dyDescent="0.4">
      <c r="A1227">
        <v>613</v>
      </c>
      <c r="B1227" t="s">
        <v>2</v>
      </c>
      <c r="C1227">
        <v>0</v>
      </c>
      <c r="D1227">
        <v>0</v>
      </c>
      <c r="E1227">
        <v>17</v>
      </c>
      <c r="F1227">
        <v>4</v>
      </c>
      <c r="G1227">
        <v>1</v>
      </c>
      <c r="H1227">
        <f>표2[[#This Row],[공격성공횟수]]/(표2[[#This Row],[공격실패횟수]]+표2[[#This Row],[공격성공횟수]])</f>
        <v>0</v>
      </c>
    </row>
    <row r="1228" spans="1:8" x14ac:dyDescent="0.4">
      <c r="A1228">
        <v>614</v>
      </c>
      <c r="B1228" t="s">
        <v>0</v>
      </c>
      <c r="C1228">
        <v>1</v>
      </c>
      <c r="D1228">
        <v>4</v>
      </c>
      <c r="E1228">
        <v>12</v>
      </c>
      <c r="F1228">
        <v>0</v>
      </c>
      <c r="G1228">
        <v>0</v>
      </c>
      <c r="H1228">
        <f>표2[[#This Row],[공격성공횟수]]/(표2[[#This Row],[공격실패횟수]]+표2[[#This Row],[공격성공횟수]])</f>
        <v>0.25</v>
      </c>
    </row>
    <row r="1229" spans="1:8" hidden="1" x14ac:dyDescent="0.4">
      <c r="A1229">
        <v>614</v>
      </c>
      <c r="B1229" t="s">
        <v>2</v>
      </c>
      <c r="C1229">
        <v>0</v>
      </c>
      <c r="D1229">
        <v>0</v>
      </c>
      <c r="E1229">
        <v>16</v>
      </c>
      <c r="F1229">
        <v>4</v>
      </c>
      <c r="G1229">
        <v>1</v>
      </c>
      <c r="H1229">
        <f>표2[[#This Row],[공격성공횟수]]/(표2[[#This Row],[공격실패횟수]]+표2[[#This Row],[공격성공횟수]])</f>
        <v>0</v>
      </c>
    </row>
    <row r="1230" spans="1:8" x14ac:dyDescent="0.4">
      <c r="A1230">
        <v>615</v>
      </c>
      <c r="B1230" t="s">
        <v>0</v>
      </c>
      <c r="C1230">
        <v>1</v>
      </c>
      <c r="D1230">
        <v>4</v>
      </c>
      <c r="E1230">
        <v>10</v>
      </c>
      <c r="F1230">
        <v>2</v>
      </c>
      <c r="G1230">
        <v>0</v>
      </c>
      <c r="H1230">
        <f>표2[[#This Row],[공격성공횟수]]/(표2[[#This Row],[공격실패횟수]]+표2[[#This Row],[공격성공횟수]])</f>
        <v>0.2857142857142857</v>
      </c>
    </row>
    <row r="1231" spans="1:8" hidden="1" x14ac:dyDescent="0.4">
      <c r="A1231">
        <v>615</v>
      </c>
      <c r="B1231" t="s">
        <v>2</v>
      </c>
      <c r="C1231">
        <v>0</v>
      </c>
      <c r="D1231">
        <v>2</v>
      </c>
      <c r="E1231">
        <v>14</v>
      </c>
      <c r="F1231">
        <v>4</v>
      </c>
      <c r="G1231">
        <v>1</v>
      </c>
      <c r="H1231">
        <f>표2[[#This Row],[공격성공횟수]]/(표2[[#This Row],[공격실패횟수]]+표2[[#This Row],[공격성공횟수]])</f>
        <v>0.125</v>
      </c>
    </row>
    <row r="1232" spans="1:8" x14ac:dyDescent="0.4">
      <c r="A1232">
        <v>616</v>
      </c>
      <c r="B1232" t="s">
        <v>0</v>
      </c>
      <c r="C1232">
        <v>1</v>
      </c>
      <c r="D1232">
        <v>4</v>
      </c>
      <c r="E1232">
        <v>15</v>
      </c>
      <c r="F1232">
        <v>0</v>
      </c>
      <c r="G1232">
        <v>0</v>
      </c>
      <c r="H1232">
        <f>표2[[#This Row],[공격성공횟수]]/(표2[[#This Row],[공격실패횟수]]+표2[[#This Row],[공격성공횟수]])</f>
        <v>0.21052631578947367</v>
      </c>
    </row>
    <row r="1233" spans="1:8" hidden="1" x14ac:dyDescent="0.4">
      <c r="A1233">
        <v>616</v>
      </c>
      <c r="B1233" t="s">
        <v>2</v>
      </c>
      <c r="C1233">
        <v>0</v>
      </c>
      <c r="D1233">
        <v>0</v>
      </c>
      <c r="E1233">
        <v>18</v>
      </c>
      <c r="F1233">
        <v>4</v>
      </c>
      <c r="G1233">
        <v>1</v>
      </c>
      <c r="H1233">
        <f>표2[[#This Row],[공격성공횟수]]/(표2[[#This Row],[공격실패횟수]]+표2[[#This Row],[공격성공횟수]])</f>
        <v>0</v>
      </c>
    </row>
    <row r="1234" spans="1:8" x14ac:dyDescent="0.4">
      <c r="A1234">
        <v>617</v>
      </c>
      <c r="B1234" t="s">
        <v>0</v>
      </c>
      <c r="C1234">
        <v>1</v>
      </c>
      <c r="D1234">
        <v>4</v>
      </c>
      <c r="E1234">
        <v>27</v>
      </c>
      <c r="F1234">
        <v>1</v>
      </c>
      <c r="G1234">
        <v>0</v>
      </c>
      <c r="H1234">
        <f>표2[[#This Row],[공격성공횟수]]/(표2[[#This Row],[공격실패횟수]]+표2[[#This Row],[공격성공횟수]])</f>
        <v>0.12903225806451613</v>
      </c>
    </row>
    <row r="1235" spans="1:8" hidden="1" x14ac:dyDescent="0.4">
      <c r="A1235">
        <v>617</v>
      </c>
      <c r="B1235" t="s">
        <v>2</v>
      </c>
      <c r="C1235">
        <v>0</v>
      </c>
      <c r="D1235">
        <v>1</v>
      </c>
      <c r="E1235">
        <v>30</v>
      </c>
      <c r="F1235">
        <v>4</v>
      </c>
      <c r="G1235">
        <v>1</v>
      </c>
      <c r="H1235">
        <f>표2[[#This Row],[공격성공횟수]]/(표2[[#This Row],[공격실패횟수]]+표2[[#This Row],[공격성공횟수]])</f>
        <v>3.2258064516129031E-2</v>
      </c>
    </row>
    <row r="1236" spans="1:8" x14ac:dyDescent="0.4">
      <c r="A1236">
        <v>618</v>
      </c>
      <c r="B1236" t="s">
        <v>0</v>
      </c>
      <c r="C1236">
        <v>1</v>
      </c>
      <c r="D1236">
        <v>4</v>
      </c>
      <c r="E1236">
        <v>6</v>
      </c>
      <c r="F1236">
        <v>1</v>
      </c>
      <c r="G1236">
        <v>0</v>
      </c>
      <c r="H1236">
        <f>표2[[#This Row],[공격성공횟수]]/(표2[[#This Row],[공격실패횟수]]+표2[[#This Row],[공격성공횟수]])</f>
        <v>0.4</v>
      </c>
    </row>
    <row r="1237" spans="1:8" hidden="1" x14ac:dyDescent="0.4">
      <c r="A1237">
        <v>618</v>
      </c>
      <c r="B1237" t="s">
        <v>2</v>
      </c>
      <c r="C1237">
        <v>0</v>
      </c>
      <c r="D1237">
        <v>1</v>
      </c>
      <c r="E1237">
        <v>9</v>
      </c>
      <c r="F1237">
        <v>4</v>
      </c>
      <c r="G1237">
        <v>1</v>
      </c>
      <c r="H1237">
        <f>표2[[#This Row],[공격성공횟수]]/(표2[[#This Row],[공격실패횟수]]+표2[[#This Row],[공격성공횟수]])</f>
        <v>0.1</v>
      </c>
    </row>
    <row r="1238" spans="1:8" x14ac:dyDescent="0.4">
      <c r="A1238">
        <v>619</v>
      </c>
      <c r="B1238" t="s">
        <v>0</v>
      </c>
      <c r="C1238">
        <v>1</v>
      </c>
      <c r="D1238">
        <v>4</v>
      </c>
      <c r="E1238">
        <v>12</v>
      </c>
      <c r="F1238">
        <v>2</v>
      </c>
      <c r="G1238">
        <v>0</v>
      </c>
      <c r="H1238">
        <f>표2[[#This Row],[공격성공횟수]]/(표2[[#This Row],[공격실패횟수]]+표2[[#This Row],[공격성공횟수]])</f>
        <v>0.25</v>
      </c>
    </row>
    <row r="1239" spans="1:8" hidden="1" x14ac:dyDescent="0.4">
      <c r="A1239">
        <v>619</v>
      </c>
      <c r="B1239" t="s">
        <v>2</v>
      </c>
      <c r="C1239">
        <v>0</v>
      </c>
      <c r="D1239">
        <v>2</v>
      </c>
      <c r="E1239">
        <v>15</v>
      </c>
      <c r="F1239">
        <v>4</v>
      </c>
      <c r="G1239">
        <v>1</v>
      </c>
      <c r="H1239">
        <f>표2[[#This Row],[공격성공횟수]]/(표2[[#This Row],[공격실패횟수]]+표2[[#This Row],[공격성공횟수]])</f>
        <v>0.11764705882352941</v>
      </c>
    </row>
    <row r="1240" spans="1:8" x14ac:dyDescent="0.4">
      <c r="A1240">
        <v>620</v>
      </c>
      <c r="B1240" t="s">
        <v>0</v>
      </c>
      <c r="C1240">
        <v>1</v>
      </c>
      <c r="D1240">
        <v>4</v>
      </c>
      <c r="E1240">
        <v>34</v>
      </c>
      <c r="F1240">
        <v>3</v>
      </c>
      <c r="G1240">
        <v>0</v>
      </c>
      <c r="H1240">
        <f>표2[[#This Row],[공격성공횟수]]/(표2[[#This Row],[공격실패횟수]]+표2[[#This Row],[공격성공횟수]])</f>
        <v>0.10526315789473684</v>
      </c>
    </row>
    <row r="1241" spans="1:8" hidden="1" x14ac:dyDescent="0.4">
      <c r="A1241">
        <v>620</v>
      </c>
      <c r="B1241" t="s">
        <v>2</v>
      </c>
      <c r="C1241">
        <v>0</v>
      </c>
      <c r="D1241">
        <v>3</v>
      </c>
      <c r="E1241">
        <v>35</v>
      </c>
      <c r="F1241">
        <v>4</v>
      </c>
      <c r="G1241">
        <v>1</v>
      </c>
      <c r="H1241">
        <f>표2[[#This Row],[공격성공횟수]]/(표2[[#This Row],[공격실패횟수]]+표2[[#This Row],[공격성공횟수]])</f>
        <v>7.8947368421052627E-2</v>
      </c>
    </row>
    <row r="1242" spans="1:8" x14ac:dyDescent="0.4">
      <c r="A1242">
        <v>621</v>
      </c>
      <c r="B1242" t="s">
        <v>0</v>
      </c>
      <c r="C1242">
        <v>1</v>
      </c>
      <c r="D1242">
        <v>4</v>
      </c>
      <c r="E1242">
        <v>13</v>
      </c>
      <c r="F1242">
        <v>3</v>
      </c>
      <c r="G1242">
        <v>0</v>
      </c>
      <c r="H1242">
        <f>표2[[#This Row],[공격성공횟수]]/(표2[[#This Row],[공격실패횟수]]+표2[[#This Row],[공격성공횟수]])</f>
        <v>0.23529411764705882</v>
      </c>
    </row>
    <row r="1243" spans="1:8" hidden="1" x14ac:dyDescent="0.4">
      <c r="A1243">
        <v>621</v>
      </c>
      <c r="B1243" t="s">
        <v>2</v>
      </c>
      <c r="C1243">
        <v>0</v>
      </c>
      <c r="D1243">
        <v>3</v>
      </c>
      <c r="E1243">
        <v>14</v>
      </c>
      <c r="F1243">
        <v>4</v>
      </c>
      <c r="G1243">
        <v>1</v>
      </c>
      <c r="H1243">
        <f>표2[[#This Row],[공격성공횟수]]/(표2[[#This Row],[공격실패횟수]]+표2[[#This Row],[공격성공횟수]])</f>
        <v>0.17647058823529413</v>
      </c>
    </row>
    <row r="1244" spans="1:8" x14ac:dyDescent="0.4">
      <c r="A1244">
        <v>622</v>
      </c>
      <c r="B1244" t="s">
        <v>0</v>
      </c>
      <c r="C1244">
        <v>1</v>
      </c>
      <c r="D1244">
        <v>4</v>
      </c>
      <c r="E1244">
        <v>8</v>
      </c>
      <c r="F1244">
        <v>0</v>
      </c>
      <c r="G1244">
        <v>0</v>
      </c>
      <c r="H1244">
        <f>표2[[#This Row],[공격성공횟수]]/(표2[[#This Row],[공격실패횟수]]+표2[[#This Row],[공격성공횟수]])</f>
        <v>0.33333333333333331</v>
      </c>
    </row>
    <row r="1245" spans="1:8" hidden="1" x14ac:dyDescent="0.4">
      <c r="A1245">
        <v>622</v>
      </c>
      <c r="B1245" t="s">
        <v>2</v>
      </c>
      <c r="C1245">
        <v>0</v>
      </c>
      <c r="D1245">
        <v>0</v>
      </c>
      <c r="E1245">
        <v>11</v>
      </c>
      <c r="F1245">
        <v>4</v>
      </c>
      <c r="G1245">
        <v>1</v>
      </c>
      <c r="H1245">
        <f>표2[[#This Row],[공격성공횟수]]/(표2[[#This Row],[공격실패횟수]]+표2[[#This Row],[공격성공횟수]])</f>
        <v>0</v>
      </c>
    </row>
    <row r="1246" spans="1:8" x14ac:dyDescent="0.4">
      <c r="A1246">
        <v>623</v>
      </c>
      <c r="B1246" t="s">
        <v>0</v>
      </c>
      <c r="C1246">
        <v>1</v>
      </c>
      <c r="D1246">
        <v>4</v>
      </c>
      <c r="E1246">
        <v>5</v>
      </c>
      <c r="F1246">
        <v>1</v>
      </c>
      <c r="G1246">
        <v>0</v>
      </c>
      <c r="H1246">
        <f>표2[[#This Row],[공격성공횟수]]/(표2[[#This Row],[공격실패횟수]]+표2[[#This Row],[공격성공횟수]])</f>
        <v>0.44444444444444442</v>
      </c>
    </row>
    <row r="1247" spans="1:8" hidden="1" x14ac:dyDescent="0.4">
      <c r="A1247">
        <v>623</v>
      </c>
      <c r="B1247" t="s">
        <v>2</v>
      </c>
      <c r="C1247">
        <v>0</v>
      </c>
      <c r="D1247">
        <v>1</v>
      </c>
      <c r="E1247">
        <v>9</v>
      </c>
      <c r="F1247">
        <v>4</v>
      </c>
      <c r="G1247">
        <v>1</v>
      </c>
      <c r="H1247">
        <f>표2[[#This Row],[공격성공횟수]]/(표2[[#This Row],[공격실패횟수]]+표2[[#This Row],[공격성공횟수]])</f>
        <v>0.1</v>
      </c>
    </row>
    <row r="1248" spans="1:8" x14ac:dyDescent="0.4">
      <c r="A1248">
        <v>624</v>
      </c>
      <c r="B1248" t="s">
        <v>0</v>
      </c>
      <c r="C1248">
        <v>1</v>
      </c>
      <c r="D1248">
        <v>4</v>
      </c>
      <c r="E1248">
        <v>28</v>
      </c>
      <c r="F1248">
        <v>3</v>
      </c>
      <c r="G1248">
        <v>0</v>
      </c>
      <c r="H1248">
        <f>표2[[#This Row],[공격성공횟수]]/(표2[[#This Row],[공격실패횟수]]+표2[[#This Row],[공격성공횟수]])</f>
        <v>0.125</v>
      </c>
    </row>
    <row r="1249" spans="1:8" hidden="1" x14ac:dyDescent="0.4">
      <c r="A1249">
        <v>624</v>
      </c>
      <c r="B1249" t="s">
        <v>2</v>
      </c>
      <c r="C1249">
        <v>0</v>
      </c>
      <c r="D1249">
        <v>3</v>
      </c>
      <c r="E1249">
        <v>29</v>
      </c>
      <c r="F1249">
        <v>4</v>
      </c>
      <c r="G1249">
        <v>1</v>
      </c>
      <c r="H1249">
        <f>표2[[#This Row],[공격성공횟수]]/(표2[[#This Row],[공격실패횟수]]+표2[[#This Row],[공격성공횟수]])</f>
        <v>9.375E-2</v>
      </c>
    </row>
    <row r="1250" spans="1:8" x14ac:dyDescent="0.4">
      <c r="A1250">
        <v>625</v>
      </c>
      <c r="B1250" t="s">
        <v>0</v>
      </c>
      <c r="C1250">
        <v>1</v>
      </c>
      <c r="D1250">
        <v>4</v>
      </c>
      <c r="E1250">
        <v>5</v>
      </c>
      <c r="F1250">
        <v>0</v>
      </c>
      <c r="G1250">
        <v>0</v>
      </c>
      <c r="H1250">
        <f>표2[[#This Row],[공격성공횟수]]/(표2[[#This Row],[공격실패횟수]]+표2[[#This Row],[공격성공횟수]])</f>
        <v>0.44444444444444442</v>
      </c>
    </row>
    <row r="1251" spans="1:8" hidden="1" x14ac:dyDescent="0.4">
      <c r="A1251">
        <v>625</v>
      </c>
      <c r="B1251" t="s">
        <v>2</v>
      </c>
      <c r="C1251">
        <v>0</v>
      </c>
      <c r="D1251">
        <v>0</v>
      </c>
      <c r="E1251">
        <v>9</v>
      </c>
      <c r="F1251">
        <v>4</v>
      </c>
      <c r="G1251">
        <v>1</v>
      </c>
      <c r="H1251">
        <f>표2[[#This Row],[공격성공횟수]]/(표2[[#This Row],[공격실패횟수]]+표2[[#This Row],[공격성공횟수]])</f>
        <v>0</v>
      </c>
    </row>
    <row r="1252" spans="1:8" x14ac:dyDescent="0.4">
      <c r="A1252">
        <v>626</v>
      </c>
      <c r="B1252" t="s">
        <v>0</v>
      </c>
      <c r="C1252">
        <v>1</v>
      </c>
      <c r="D1252">
        <v>4</v>
      </c>
      <c r="E1252">
        <v>81</v>
      </c>
      <c r="F1252">
        <v>2</v>
      </c>
      <c r="G1252">
        <v>0</v>
      </c>
      <c r="H1252">
        <f>표2[[#This Row],[공격성공횟수]]/(표2[[#This Row],[공격실패횟수]]+표2[[#This Row],[공격성공횟수]])</f>
        <v>4.7058823529411764E-2</v>
      </c>
    </row>
    <row r="1253" spans="1:8" hidden="1" x14ac:dyDescent="0.4">
      <c r="A1253">
        <v>626</v>
      </c>
      <c r="B1253" t="s">
        <v>2</v>
      </c>
      <c r="C1253">
        <v>0</v>
      </c>
      <c r="D1253">
        <v>2</v>
      </c>
      <c r="E1253">
        <v>81</v>
      </c>
      <c r="F1253">
        <v>4</v>
      </c>
      <c r="G1253">
        <v>1</v>
      </c>
      <c r="H1253">
        <f>표2[[#This Row],[공격성공횟수]]/(표2[[#This Row],[공격실패횟수]]+표2[[#This Row],[공격성공횟수]])</f>
        <v>2.4096385542168676E-2</v>
      </c>
    </row>
    <row r="1254" spans="1:8" x14ac:dyDescent="0.4">
      <c r="A1254">
        <v>627</v>
      </c>
      <c r="B1254" t="s">
        <v>0</v>
      </c>
      <c r="C1254">
        <v>1</v>
      </c>
      <c r="D1254">
        <v>4</v>
      </c>
      <c r="E1254">
        <v>14</v>
      </c>
      <c r="F1254">
        <v>1</v>
      </c>
      <c r="G1254">
        <v>0</v>
      </c>
      <c r="H1254">
        <f>표2[[#This Row],[공격성공횟수]]/(표2[[#This Row],[공격실패횟수]]+표2[[#This Row],[공격성공횟수]])</f>
        <v>0.22222222222222221</v>
      </c>
    </row>
    <row r="1255" spans="1:8" hidden="1" x14ac:dyDescent="0.4">
      <c r="A1255">
        <v>627</v>
      </c>
      <c r="B1255" t="s">
        <v>2</v>
      </c>
      <c r="C1255">
        <v>0</v>
      </c>
      <c r="D1255">
        <v>1</v>
      </c>
      <c r="E1255">
        <v>17</v>
      </c>
      <c r="F1255">
        <v>4</v>
      </c>
      <c r="G1255">
        <v>1</v>
      </c>
      <c r="H1255">
        <f>표2[[#This Row],[공격성공횟수]]/(표2[[#This Row],[공격실패횟수]]+표2[[#This Row],[공격성공횟수]])</f>
        <v>5.5555555555555552E-2</v>
      </c>
    </row>
    <row r="1256" spans="1:8" x14ac:dyDescent="0.4">
      <c r="A1256">
        <v>628</v>
      </c>
      <c r="B1256" t="s">
        <v>0</v>
      </c>
      <c r="C1256">
        <v>0</v>
      </c>
      <c r="D1256">
        <v>2</v>
      </c>
      <c r="E1256">
        <v>13</v>
      </c>
      <c r="F1256">
        <v>4</v>
      </c>
      <c r="G1256">
        <v>1</v>
      </c>
      <c r="H1256">
        <f>표2[[#This Row],[공격성공횟수]]/(표2[[#This Row],[공격실패횟수]]+표2[[#This Row],[공격성공횟수]])</f>
        <v>0.13333333333333333</v>
      </c>
    </row>
    <row r="1257" spans="1:8" hidden="1" x14ac:dyDescent="0.4">
      <c r="A1257">
        <v>628</v>
      </c>
      <c r="B1257" t="s">
        <v>2</v>
      </c>
      <c r="C1257">
        <v>1</v>
      </c>
      <c r="D1257">
        <v>4</v>
      </c>
      <c r="E1257">
        <v>12</v>
      </c>
      <c r="F1257">
        <v>2</v>
      </c>
      <c r="G1257">
        <v>0</v>
      </c>
      <c r="H1257">
        <f>표2[[#This Row],[공격성공횟수]]/(표2[[#This Row],[공격실패횟수]]+표2[[#This Row],[공격성공횟수]])</f>
        <v>0.25</v>
      </c>
    </row>
    <row r="1258" spans="1:8" x14ac:dyDescent="0.4">
      <c r="A1258">
        <v>629</v>
      </c>
      <c r="B1258" t="s">
        <v>0</v>
      </c>
      <c r="C1258">
        <v>1</v>
      </c>
      <c r="D1258">
        <v>4</v>
      </c>
      <c r="E1258">
        <v>7</v>
      </c>
      <c r="F1258">
        <v>1</v>
      </c>
      <c r="G1258">
        <v>0</v>
      </c>
      <c r="H1258">
        <f>표2[[#This Row],[공격성공횟수]]/(표2[[#This Row],[공격실패횟수]]+표2[[#This Row],[공격성공횟수]])</f>
        <v>0.36363636363636365</v>
      </c>
    </row>
    <row r="1259" spans="1:8" hidden="1" x14ac:dyDescent="0.4">
      <c r="A1259">
        <v>629</v>
      </c>
      <c r="B1259" t="s">
        <v>2</v>
      </c>
      <c r="C1259">
        <v>0</v>
      </c>
      <c r="D1259">
        <v>1</v>
      </c>
      <c r="E1259">
        <v>9</v>
      </c>
      <c r="F1259">
        <v>4</v>
      </c>
      <c r="G1259">
        <v>1</v>
      </c>
      <c r="H1259">
        <f>표2[[#This Row],[공격성공횟수]]/(표2[[#This Row],[공격실패횟수]]+표2[[#This Row],[공격성공횟수]])</f>
        <v>0.1</v>
      </c>
    </row>
    <row r="1260" spans="1:8" x14ac:dyDescent="0.4">
      <c r="A1260">
        <v>630</v>
      </c>
      <c r="B1260" t="s">
        <v>0</v>
      </c>
      <c r="C1260">
        <v>1</v>
      </c>
      <c r="D1260">
        <v>4</v>
      </c>
      <c r="E1260">
        <v>9</v>
      </c>
      <c r="F1260">
        <v>3</v>
      </c>
      <c r="G1260">
        <v>0</v>
      </c>
      <c r="H1260">
        <f>표2[[#This Row],[공격성공횟수]]/(표2[[#This Row],[공격실패횟수]]+표2[[#This Row],[공격성공횟수]])</f>
        <v>0.30769230769230771</v>
      </c>
    </row>
    <row r="1261" spans="1:8" hidden="1" x14ac:dyDescent="0.4">
      <c r="A1261">
        <v>630</v>
      </c>
      <c r="B1261" t="s">
        <v>2</v>
      </c>
      <c r="C1261">
        <v>0</v>
      </c>
      <c r="D1261">
        <v>3</v>
      </c>
      <c r="E1261">
        <v>9</v>
      </c>
      <c r="F1261">
        <v>4</v>
      </c>
      <c r="G1261">
        <v>1</v>
      </c>
      <c r="H1261">
        <f>표2[[#This Row],[공격성공횟수]]/(표2[[#This Row],[공격실패횟수]]+표2[[#This Row],[공격성공횟수]])</f>
        <v>0.25</v>
      </c>
    </row>
    <row r="1262" spans="1:8" x14ac:dyDescent="0.4">
      <c r="A1262">
        <v>631</v>
      </c>
      <c r="B1262" t="s">
        <v>0</v>
      </c>
      <c r="C1262">
        <v>1</v>
      </c>
      <c r="D1262">
        <v>4</v>
      </c>
      <c r="E1262">
        <v>4</v>
      </c>
      <c r="F1262">
        <v>3</v>
      </c>
      <c r="G1262">
        <v>0</v>
      </c>
      <c r="H1262">
        <f>표2[[#This Row],[공격성공횟수]]/(표2[[#This Row],[공격실패횟수]]+표2[[#This Row],[공격성공횟수]])</f>
        <v>0.5</v>
      </c>
    </row>
    <row r="1263" spans="1:8" hidden="1" x14ac:dyDescent="0.4">
      <c r="A1263">
        <v>631</v>
      </c>
      <c r="B1263" t="s">
        <v>2</v>
      </c>
      <c r="C1263">
        <v>0</v>
      </c>
      <c r="D1263">
        <v>3</v>
      </c>
      <c r="E1263">
        <v>6</v>
      </c>
      <c r="F1263">
        <v>4</v>
      </c>
      <c r="G1263">
        <v>1</v>
      </c>
      <c r="H1263">
        <f>표2[[#This Row],[공격성공횟수]]/(표2[[#This Row],[공격실패횟수]]+표2[[#This Row],[공격성공횟수]])</f>
        <v>0.33333333333333331</v>
      </c>
    </row>
    <row r="1264" spans="1:8" x14ac:dyDescent="0.4">
      <c r="A1264">
        <v>632</v>
      </c>
      <c r="B1264" t="s">
        <v>0</v>
      </c>
      <c r="C1264">
        <v>1</v>
      </c>
      <c r="D1264">
        <v>4</v>
      </c>
      <c r="E1264">
        <v>2</v>
      </c>
      <c r="F1264">
        <v>1</v>
      </c>
      <c r="G1264">
        <v>0</v>
      </c>
      <c r="H1264">
        <f>표2[[#This Row],[공격성공횟수]]/(표2[[#This Row],[공격실패횟수]]+표2[[#This Row],[공격성공횟수]])</f>
        <v>0.66666666666666663</v>
      </c>
    </row>
    <row r="1265" spans="1:8" hidden="1" x14ac:dyDescent="0.4">
      <c r="A1265">
        <v>632</v>
      </c>
      <c r="B1265" t="s">
        <v>2</v>
      </c>
      <c r="C1265">
        <v>0</v>
      </c>
      <c r="D1265">
        <v>1</v>
      </c>
      <c r="E1265">
        <v>5</v>
      </c>
      <c r="F1265">
        <v>4</v>
      </c>
      <c r="G1265">
        <v>1</v>
      </c>
      <c r="H1265">
        <f>표2[[#This Row],[공격성공횟수]]/(표2[[#This Row],[공격실패횟수]]+표2[[#This Row],[공격성공횟수]])</f>
        <v>0.16666666666666666</v>
      </c>
    </row>
    <row r="1266" spans="1:8" x14ac:dyDescent="0.4">
      <c r="A1266">
        <v>633</v>
      </c>
      <c r="B1266" t="s">
        <v>0</v>
      </c>
      <c r="C1266">
        <v>1</v>
      </c>
      <c r="D1266">
        <v>4</v>
      </c>
      <c r="E1266">
        <v>7</v>
      </c>
      <c r="F1266">
        <v>1</v>
      </c>
      <c r="G1266">
        <v>0</v>
      </c>
      <c r="H1266">
        <f>표2[[#This Row],[공격성공횟수]]/(표2[[#This Row],[공격실패횟수]]+표2[[#This Row],[공격성공횟수]])</f>
        <v>0.36363636363636365</v>
      </c>
    </row>
    <row r="1267" spans="1:8" hidden="1" x14ac:dyDescent="0.4">
      <c r="A1267">
        <v>633</v>
      </c>
      <c r="B1267" t="s">
        <v>2</v>
      </c>
      <c r="C1267">
        <v>0</v>
      </c>
      <c r="D1267">
        <v>1</v>
      </c>
      <c r="E1267">
        <v>9</v>
      </c>
      <c r="F1267">
        <v>4</v>
      </c>
      <c r="G1267">
        <v>1</v>
      </c>
      <c r="H1267">
        <f>표2[[#This Row],[공격성공횟수]]/(표2[[#This Row],[공격실패횟수]]+표2[[#This Row],[공격성공횟수]])</f>
        <v>0.1</v>
      </c>
    </row>
    <row r="1268" spans="1:8" x14ac:dyDescent="0.4">
      <c r="A1268">
        <v>634</v>
      </c>
      <c r="B1268" t="s">
        <v>0</v>
      </c>
      <c r="C1268">
        <v>1</v>
      </c>
      <c r="D1268">
        <v>4</v>
      </c>
      <c r="E1268">
        <v>28</v>
      </c>
      <c r="F1268">
        <v>2</v>
      </c>
      <c r="G1268">
        <v>0</v>
      </c>
      <c r="H1268">
        <f>표2[[#This Row],[공격성공횟수]]/(표2[[#This Row],[공격실패횟수]]+표2[[#This Row],[공격성공횟수]])</f>
        <v>0.125</v>
      </c>
    </row>
    <row r="1269" spans="1:8" hidden="1" x14ac:dyDescent="0.4">
      <c r="A1269">
        <v>634</v>
      </c>
      <c r="B1269" t="s">
        <v>2</v>
      </c>
      <c r="C1269">
        <v>0</v>
      </c>
      <c r="D1269">
        <v>2</v>
      </c>
      <c r="E1269">
        <v>32</v>
      </c>
      <c r="F1269">
        <v>4</v>
      </c>
      <c r="G1269">
        <v>1</v>
      </c>
      <c r="H1269">
        <f>표2[[#This Row],[공격성공횟수]]/(표2[[#This Row],[공격실패횟수]]+표2[[#This Row],[공격성공횟수]])</f>
        <v>5.8823529411764705E-2</v>
      </c>
    </row>
    <row r="1270" spans="1:8" x14ac:dyDescent="0.4">
      <c r="A1270">
        <v>635</v>
      </c>
      <c r="B1270" t="s">
        <v>0</v>
      </c>
      <c r="C1270">
        <v>1</v>
      </c>
      <c r="D1270">
        <v>4</v>
      </c>
      <c r="E1270">
        <v>15</v>
      </c>
      <c r="F1270">
        <v>2</v>
      </c>
      <c r="G1270">
        <v>0</v>
      </c>
      <c r="H1270">
        <f>표2[[#This Row],[공격성공횟수]]/(표2[[#This Row],[공격실패횟수]]+표2[[#This Row],[공격성공횟수]])</f>
        <v>0.21052631578947367</v>
      </c>
    </row>
    <row r="1271" spans="1:8" hidden="1" x14ac:dyDescent="0.4">
      <c r="A1271">
        <v>635</v>
      </c>
      <c r="B1271" t="s">
        <v>2</v>
      </c>
      <c r="C1271">
        <v>0</v>
      </c>
      <c r="D1271">
        <v>2</v>
      </c>
      <c r="E1271">
        <v>17</v>
      </c>
      <c r="F1271">
        <v>4</v>
      </c>
      <c r="G1271">
        <v>1</v>
      </c>
      <c r="H1271">
        <f>표2[[#This Row],[공격성공횟수]]/(표2[[#This Row],[공격실패횟수]]+표2[[#This Row],[공격성공횟수]])</f>
        <v>0.10526315789473684</v>
      </c>
    </row>
    <row r="1272" spans="1:8" x14ac:dyDescent="0.4">
      <c r="A1272">
        <v>636</v>
      </c>
      <c r="B1272" t="s">
        <v>0</v>
      </c>
      <c r="C1272">
        <v>0</v>
      </c>
      <c r="D1272">
        <v>3</v>
      </c>
      <c r="E1272">
        <v>55</v>
      </c>
      <c r="F1272">
        <v>4</v>
      </c>
      <c r="G1272">
        <v>1</v>
      </c>
      <c r="H1272">
        <f>표2[[#This Row],[공격성공횟수]]/(표2[[#This Row],[공격실패횟수]]+표2[[#This Row],[공격성공횟수]])</f>
        <v>5.1724137931034482E-2</v>
      </c>
    </row>
    <row r="1273" spans="1:8" hidden="1" x14ac:dyDescent="0.4">
      <c r="A1273">
        <v>636</v>
      </c>
      <c r="B1273" t="s">
        <v>2</v>
      </c>
      <c r="C1273">
        <v>1</v>
      </c>
      <c r="D1273">
        <v>4</v>
      </c>
      <c r="E1273">
        <v>55</v>
      </c>
      <c r="F1273">
        <v>3</v>
      </c>
      <c r="G1273">
        <v>0</v>
      </c>
      <c r="H1273">
        <f>표2[[#This Row],[공격성공횟수]]/(표2[[#This Row],[공격실패횟수]]+표2[[#This Row],[공격성공횟수]])</f>
        <v>6.7796610169491525E-2</v>
      </c>
    </row>
    <row r="1274" spans="1:8" x14ac:dyDescent="0.4">
      <c r="A1274">
        <v>637</v>
      </c>
      <c r="B1274" t="s">
        <v>0</v>
      </c>
      <c r="C1274">
        <v>1</v>
      </c>
      <c r="D1274">
        <v>4</v>
      </c>
      <c r="E1274">
        <v>6</v>
      </c>
      <c r="F1274">
        <v>1</v>
      </c>
      <c r="G1274">
        <v>0</v>
      </c>
      <c r="H1274">
        <f>표2[[#This Row],[공격성공횟수]]/(표2[[#This Row],[공격실패횟수]]+표2[[#This Row],[공격성공횟수]])</f>
        <v>0.4</v>
      </c>
    </row>
    <row r="1275" spans="1:8" hidden="1" x14ac:dyDescent="0.4">
      <c r="A1275">
        <v>637</v>
      </c>
      <c r="B1275" t="s">
        <v>2</v>
      </c>
      <c r="C1275">
        <v>0</v>
      </c>
      <c r="D1275">
        <v>1</v>
      </c>
      <c r="E1275">
        <v>8</v>
      </c>
      <c r="F1275">
        <v>4</v>
      </c>
      <c r="G1275">
        <v>1</v>
      </c>
      <c r="H1275">
        <f>표2[[#This Row],[공격성공횟수]]/(표2[[#This Row],[공격실패횟수]]+표2[[#This Row],[공격성공횟수]])</f>
        <v>0.1111111111111111</v>
      </c>
    </row>
    <row r="1276" spans="1:8" x14ac:dyDescent="0.4">
      <c r="A1276">
        <v>638</v>
      </c>
      <c r="B1276" t="s">
        <v>0</v>
      </c>
      <c r="C1276">
        <v>1</v>
      </c>
      <c r="D1276">
        <v>4</v>
      </c>
      <c r="E1276">
        <v>37</v>
      </c>
      <c r="F1276">
        <v>0</v>
      </c>
      <c r="G1276">
        <v>0</v>
      </c>
      <c r="H1276">
        <f>표2[[#This Row],[공격성공횟수]]/(표2[[#This Row],[공격실패횟수]]+표2[[#This Row],[공격성공횟수]])</f>
        <v>9.7560975609756101E-2</v>
      </c>
    </row>
    <row r="1277" spans="1:8" hidden="1" x14ac:dyDescent="0.4">
      <c r="A1277">
        <v>638</v>
      </c>
      <c r="B1277" t="s">
        <v>2</v>
      </c>
      <c r="C1277">
        <v>0</v>
      </c>
      <c r="D1277">
        <v>0</v>
      </c>
      <c r="E1277">
        <v>42</v>
      </c>
      <c r="F1277">
        <v>4</v>
      </c>
      <c r="G1277">
        <v>1</v>
      </c>
      <c r="H1277">
        <f>표2[[#This Row],[공격성공횟수]]/(표2[[#This Row],[공격실패횟수]]+표2[[#This Row],[공격성공횟수]])</f>
        <v>0</v>
      </c>
    </row>
    <row r="1278" spans="1:8" x14ac:dyDescent="0.4">
      <c r="A1278">
        <v>639</v>
      </c>
      <c r="B1278" t="s">
        <v>0</v>
      </c>
      <c r="C1278">
        <v>1</v>
      </c>
      <c r="D1278">
        <v>4</v>
      </c>
      <c r="E1278">
        <v>17</v>
      </c>
      <c r="F1278">
        <v>1</v>
      </c>
      <c r="G1278">
        <v>0</v>
      </c>
      <c r="H1278">
        <f>표2[[#This Row],[공격성공횟수]]/(표2[[#This Row],[공격실패횟수]]+표2[[#This Row],[공격성공횟수]])</f>
        <v>0.19047619047619047</v>
      </c>
    </row>
    <row r="1279" spans="1:8" hidden="1" x14ac:dyDescent="0.4">
      <c r="A1279">
        <v>639</v>
      </c>
      <c r="B1279" t="s">
        <v>2</v>
      </c>
      <c r="C1279">
        <v>0</v>
      </c>
      <c r="D1279">
        <v>1</v>
      </c>
      <c r="E1279">
        <v>19</v>
      </c>
      <c r="F1279">
        <v>4</v>
      </c>
      <c r="G1279">
        <v>1</v>
      </c>
      <c r="H1279">
        <f>표2[[#This Row],[공격성공횟수]]/(표2[[#This Row],[공격실패횟수]]+표2[[#This Row],[공격성공횟수]])</f>
        <v>0.05</v>
      </c>
    </row>
    <row r="1280" spans="1:8" x14ac:dyDescent="0.4">
      <c r="A1280">
        <v>640</v>
      </c>
      <c r="B1280" t="s">
        <v>0</v>
      </c>
      <c r="C1280">
        <v>1</v>
      </c>
      <c r="D1280">
        <v>4</v>
      </c>
      <c r="E1280">
        <v>10</v>
      </c>
      <c r="F1280">
        <v>2</v>
      </c>
      <c r="G1280">
        <v>0</v>
      </c>
      <c r="H1280">
        <f>표2[[#This Row],[공격성공횟수]]/(표2[[#This Row],[공격실패횟수]]+표2[[#This Row],[공격성공횟수]])</f>
        <v>0.2857142857142857</v>
      </c>
    </row>
    <row r="1281" spans="1:8" hidden="1" x14ac:dyDescent="0.4">
      <c r="A1281">
        <v>640</v>
      </c>
      <c r="B1281" t="s">
        <v>2</v>
      </c>
      <c r="C1281">
        <v>0</v>
      </c>
      <c r="D1281">
        <v>2</v>
      </c>
      <c r="E1281">
        <v>13</v>
      </c>
      <c r="F1281">
        <v>4</v>
      </c>
      <c r="G1281">
        <v>1</v>
      </c>
      <c r="H1281">
        <f>표2[[#This Row],[공격성공횟수]]/(표2[[#This Row],[공격실패횟수]]+표2[[#This Row],[공격성공횟수]])</f>
        <v>0.13333333333333333</v>
      </c>
    </row>
    <row r="1282" spans="1:8" x14ac:dyDescent="0.4">
      <c r="A1282">
        <v>641</v>
      </c>
      <c r="B1282" t="s">
        <v>0</v>
      </c>
      <c r="C1282">
        <v>0</v>
      </c>
      <c r="D1282">
        <v>3</v>
      </c>
      <c r="E1282">
        <v>113</v>
      </c>
      <c r="F1282">
        <v>2</v>
      </c>
      <c r="G1282">
        <v>0</v>
      </c>
      <c r="H1282">
        <f>표2[[#This Row],[공격성공횟수]]/(표2[[#This Row],[공격실패횟수]]+표2[[#This Row],[공격성공횟수]])</f>
        <v>2.5862068965517241E-2</v>
      </c>
    </row>
    <row r="1283" spans="1:8" hidden="1" x14ac:dyDescent="0.4">
      <c r="A1283">
        <v>641</v>
      </c>
      <c r="B1283" t="s">
        <v>2</v>
      </c>
      <c r="C1283">
        <v>0</v>
      </c>
      <c r="D1283">
        <v>2</v>
      </c>
      <c r="E1283">
        <v>114</v>
      </c>
      <c r="F1283">
        <v>3</v>
      </c>
      <c r="G1283">
        <v>0</v>
      </c>
      <c r="H1283">
        <f>표2[[#This Row],[공격성공횟수]]/(표2[[#This Row],[공격실패횟수]]+표2[[#This Row],[공격성공횟수]])</f>
        <v>1.7241379310344827E-2</v>
      </c>
    </row>
    <row r="1284" spans="1:8" x14ac:dyDescent="0.4">
      <c r="A1284">
        <v>642</v>
      </c>
      <c r="B1284" t="s">
        <v>0</v>
      </c>
      <c r="C1284">
        <v>0</v>
      </c>
      <c r="D1284">
        <v>2</v>
      </c>
      <c r="E1284">
        <v>7</v>
      </c>
      <c r="F1284">
        <v>4</v>
      </c>
      <c r="G1284">
        <v>1</v>
      </c>
      <c r="H1284">
        <f>표2[[#This Row],[공격성공횟수]]/(표2[[#This Row],[공격실패횟수]]+표2[[#This Row],[공격성공횟수]])</f>
        <v>0.22222222222222221</v>
      </c>
    </row>
    <row r="1285" spans="1:8" hidden="1" x14ac:dyDescent="0.4">
      <c r="A1285">
        <v>642</v>
      </c>
      <c r="B1285" t="s">
        <v>2</v>
      </c>
      <c r="C1285">
        <v>1</v>
      </c>
      <c r="D1285">
        <v>4</v>
      </c>
      <c r="E1285">
        <v>6</v>
      </c>
      <c r="F1285">
        <v>2</v>
      </c>
      <c r="G1285">
        <v>0</v>
      </c>
      <c r="H1285">
        <f>표2[[#This Row],[공격성공횟수]]/(표2[[#This Row],[공격실패횟수]]+표2[[#This Row],[공격성공횟수]])</f>
        <v>0.4</v>
      </c>
    </row>
    <row r="1286" spans="1:8" x14ac:dyDescent="0.4">
      <c r="A1286">
        <v>643</v>
      </c>
      <c r="B1286" t="s">
        <v>0</v>
      </c>
      <c r="C1286">
        <v>1</v>
      </c>
      <c r="D1286">
        <v>4</v>
      </c>
      <c r="E1286">
        <v>66</v>
      </c>
      <c r="F1286">
        <v>1</v>
      </c>
      <c r="G1286">
        <v>0</v>
      </c>
      <c r="H1286">
        <f>표2[[#This Row],[공격성공횟수]]/(표2[[#This Row],[공격실패횟수]]+표2[[#This Row],[공격성공횟수]])</f>
        <v>5.7142857142857141E-2</v>
      </c>
    </row>
    <row r="1287" spans="1:8" hidden="1" x14ac:dyDescent="0.4">
      <c r="A1287">
        <v>643</v>
      </c>
      <c r="B1287" t="s">
        <v>2</v>
      </c>
      <c r="C1287">
        <v>0</v>
      </c>
      <c r="D1287">
        <v>1</v>
      </c>
      <c r="E1287">
        <v>69</v>
      </c>
      <c r="F1287">
        <v>4</v>
      </c>
      <c r="G1287">
        <v>1</v>
      </c>
      <c r="H1287">
        <f>표2[[#This Row],[공격성공횟수]]/(표2[[#This Row],[공격실패횟수]]+표2[[#This Row],[공격성공횟수]])</f>
        <v>1.4285714285714285E-2</v>
      </c>
    </row>
    <row r="1288" spans="1:8" x14ac:dyDescent="0.4">
      <c r="A1288">
        <v>644</v>
      </c>
      <c r="B1288" t="s">
        <v>0</v>
      </c>
      <c r="C1288">
        <v>1</v>
      </c>
      <c r="D1288">
        <v>4</v>
      </c>
      <c r="E1288">
        <v>14</v>
      </c>
      <c r="F1288">
        <v>1</v>
      </c>
      <c r="G1288">
        <v>0</v>
      </c>
      <c r="H1288">
        <f>표2[[#This Row],[공격성공횟수]]/(표2[[#This Row],[공격실패횟수]]+표2[[#This Row],[공격성공횟수]])</f>
        <v>0.22222222222222221</v>
      </c>
    </row>
    <row r="1289" spans="1:8" hidden="1" x14ac:dyDescent="0.4">
      <c r="A1289">
        <v>644</v>
      </c>
      <c r="B1289" t="s">
        <v>2</v>
      </c>
      <c r="C1289">
        <v>0</v>
      </c>
      <c r="D1289">
        <v>1</v>
      </c>
      <c r="E1289">
        <v>17</v>
      </c>
      <c r="F1289">
        <v>4</v>
      </c>
      <c r="G1289">
        <v>1</v>
      </c>
      <c r="H1289">
        <f>표2[[#This Row],[공격성공횟수]]/(표2[[#This Row],[공격실패횟수]]+표2[[#This Row],[공격성공횟수]])</f>
        <v>5.5555555555555552E-2</v>
      </c>
    </row>
    <row r="1290" spans="1:8" x14ac:dyDescent="0.4">
      <c r="A1290">
        <v>645</v>
      </c>
      <c r="B1290" t="s">
        <v>0</v>
      </c>
      <c r="C1290">
        <v>0</v>
      </c>
      <c r="D1290">
        <v>1</v>
      </c>
      <c r="E1290">
        <v>9</v>
      </c>
      <c r="F1290">
        <v>4</v>
      </c>
      <c r="G1290">
        <v>1</v>
      </c>
      <c r="H1290">
        <f>표2[[#This Row],[공격성공횟수]]/(표2[[#This Row],[공격실패횟수]]+표2[[#This Row],[공격성공횟수]])</f>
        <v>0.1</v>
      </c>
    </row>
    <row r="1291" spans="1:8" hidden="1" x14ac:dyDescent="0.4">
      <c r="A1291">
        <v>645</v>
      </c>
      <c r="B1291" t="s">
        <v>2</v>
      </c>
      <c r="C1291">
        <v>1</v>
      </c>
      <c r="D1291">
        <v>4</v>
      </c>
      <c r="E1291">
        <v>7</v>
      </c>
      <c r="F1291">
        <v>1</v>
      </c>
      <c r="G1291">
        <v>0</v>
      </c>
      <c r="H1291">
        <f>표2[[#This Row],[공격성공횟수]]/(표2[[#This Row],[공격실패횟수]]+표2[[#This Row],[공격성공횟수]])</f>
        <v>0.36363636363636365</v>
      </c>
    </row>
    <row r="1292" spans="1:8" x14ac:dyDescent="0.4">
      <c r="A1292">
        <v>646</v>
      </c>
      <c r="B1292" t="s">
        <v>0</v>
      </c>
      <c r="C1292">
        <v>1</v>
      </c>
      <c r="D1292">
        <v>4</v>
      </c>
      <c r="E1292">
        <v>48</v>
      </c>
      <c r="F1292">
        <v>2</v>
      </c>
      <c r="G1292">
        <v>0</v>
      </c>
      <c r="H1292">
        <f>표2[[#This Row],[공격성공횟수]]/(표2[[#This Row],[공격실패횟수]]+표2[[#This Row],[공격성공횟수]])</f>
        <v>7.6923076923076927E-2</v>
      </c>
    </row>
    <row r="1293" spans="1:8" hidden="1" x14ac:dyDescent="0.4">
      <c r="A1293">
        <v>646</v>
      </c>
      <c r="B1293" t="s">
        <v>2</v>
      </c>
      <c r="C1293">
        <v>0</v>
      </c>
      <c r="D1293">
        <v>2</v>
      </c>
      <c r="E1293">
        <v>49</v>
      </c>
      <c r="F1293">
        <v>4</v>
      </c>
      <c r="G1293">
        <v>1</v>
      </c>
      <c r="H1293">
        <f>표2[[#This Row],[공격성공횟수]]/(표2[[#This Row],[공격실패횟수]]+표2[[#This Row],[공격성공횟수]])</f>
        <v>3.9215686274509803E-2</v>
      </c>
    </row>
    <row r="1294" spans="1:8" x14ac:dyDescent="0.4">
      <c r="A1294">
        <v>647</v>
      </c>
      <c r="B1294" t="s">
        <v>0</v>
      </c>
      <c r="C1294">
        <v>1</v>
      </c>
      <c r="D1294">
        <v>4</v>
      </c>
      <c r="E1294">
        <v>24</v>
      </c>
      <c r="F1294">
        <v>0</v>
      </c>
      <c r="G1294">
        <v>0</v>
      </c>
      <c r="H1294">
        <f>표2[[#This Row],[공격성공횟수]]/(표2[[#This Row],[공격실패횟수]]+표2[[#This Row],[공격성공횟수]])</f>
        <v>0.14285714285714285</v>
      </c>
    </row>
    <row r="1295" spans="1:8" hidden="1" x14ac:dyDescent="0.4">
      <c r="A1295">
        <v>647</v>
      </c>
      <c r="B1295" t="s">
        <v>2</v>
      </c>
      <c r="C1295">
        <v>0</v>
      </c>
      <c r="D1295">
        <v>0</v>
      </c>
      <c r="E1295">
        <v>29</v>
      </c>
      <c r="F1295">
        <v>4</v>
      </c>
      <c r="G1295">
        <v>1</v>
      </c>
      <c r="H1295">
        <f>표2[[#This Row],[공격성공횟수]]/(표2[[#This Row],[공격실패횟수]]+표2[[#This Row],[공격성공횟수]])</f>
        <v>0</v>
      </c>
    </row>
    <row r="1296" spans="1:8" x14ac:dyDescent="0.4">
      <c r="A1296">
        <v>648</v>
      </c>
      <c r="B1296" t="s">
        <v>0</v>
      </c>
      <c r="C1296">
        <v>1</v>
      </c>
      <c r="D1296">
        <v>4</v>
      </c>
      <c r="E1296">
        <v>10</v>
      </c>
      <c r="F1296">
        <v>0</v>
      </c>
      <c r="G1296">
        <v>0</v>
      </c>
      <c r="H1296">
        <f>표2[[#This Row],[공격성공횟수]]/(표2[[#This Row],[공격실패횟수]]+표2[[#This Row],[공격성공횟수]])</f>
        <v>0.2857142857142857</v>
      </c>
    </row>
    <row r="1297" spans="1:8" hidden="1" x14ac:dyDescent="0.4">
      <c r="A1297">
        <v>648</v>
      </c>
      <c r="B1297" t="s">
        <v>2</v>
      </c>
      <c r="C1297">
        <v>0</v>
      </c>
      <c r="D1297">
        <v>0</v>
      </c>
      <c r="E1297">
        <v>14</v>
      </c>
      <c r="F1297">
        <v>4</v>
      </c>
      <c r="G1297">
        <v>1</v>
      </c>
      <c r="H1297">
        <f>표2[[#This Row],[공격성공횟수]]/(표2[[#This Row],[공격실패횟수]]+표2[[#This Row],[공격성공횟수]])</f>
        <v>0</v>
      </c>
    </row>
    <row r="1298" spans="1:8" x14ac:dyDescent="0.4">
      <c r="A1298">
        <v>649</v>
      </c>
      <c r="B1298" t="s">
        <v>0</v>
      </c>
      <c r="C1298">
        <v>1</v>
      </c>
      <c r="D1298">
        <v>4</v>
      </c>
      <c r="E1298">
        <v>24</v>
      </c>
      <c r="F1298">
        <v>2</v>
      </c>
      <c r="G1298">
        <v>0</v>
      </c>
      <c r="H1298">
        <f>표2[[#This Row],[공격성공횟수]]/(표2[[#This Row],[공격실패횟수]]+표2[[#This Row],[공격성공횟수]])</f>
        <v>0.14285714285714285</v>
      </c>
    </row>
    <row r="1299" spans="1:8" hidden="1" x14ac:dyDescent="0.4">
      <c r="A1299">
        <v>649</v>
      </c>
      <c r="B1299" t="s">
        <v>2</v>
      </c>
      <c r="C1299">
        <v>0</v>
      </c>
      <c r="D1299">
        <v>2</v>
      </c>
      <c r="E1299">
        <v>28</v>
      </c>
      <c r="F1299">
        <v>4</v>
      </c>
      <c r="G1299">
        <v>1</v>
      </c>
      <c r="H1299">
        <f>표2[[#This Row],[공격성공횟수]]/(표2[[#This Row],[공격실패횟수]]+표2[[#This Row],[공격성공횟수]])</f>
        <v>6.6666666666666666E-2</v>
      </c>
    </row>
    <row r="1300" spans="1:8" x14ac:dyDescent="0.4">
      <c r="A1300">
        <v>650</v>
      </c>
      <c r="B1300" t="s">
        <v>0</v>
      </c>
      <c r="C1300">
        <v>1</v>
      </c>
      <c r="D1300">
        <v>4</v>
      </c>
      <c r="E1300">
        <v>3</v>
      </c>
      <c r="F1300">
        <v>1</v>
      </c>
      <c r="G1300">
        <v>0</v>
      </c>
      <c r="H1300">
        <f>표2[[#This Row],[공격성공횟수]]/(표2[[#This Row],[공격실패횟수]]+표2[[#This Row],[공격성공횟수]])</f>
        <v>0.5714285714285714</v>
      </c>
    </row>
    <row r="1301" spans="1:8" hidden="1" x14ac:dyDescent="0.4">
      <c r="A1301">
        <v>650</v>
      </c>
      <c r="B1301" t="s">
        <v>2</v>
      </c>
      <c r="C1301">
        <v>0</v>
      </c>
      <c r="D1301">
        <v>1</v>
      </c>
      <c r="E1301">
        <v>6</v>
      </c>
      <c r="F1301">
        <v>4</v>
      </c>
      <c r="G1301">
        <v>1</v>
      </c>
      <c r="H1301">
        <f>표2[[#This Row],[공격성공횟수]]/(표2[[#This Row],[공격실패횟수]]+표2[[#This Row],[공격성공횟수]])</f>
        <v>0.14285714285714285</v>
      </c>
    </row>
    <row r="1302" spans="1:8" x14ac:dyDescent="0.4">
      <c r="A1302">
        <v>651</v>
      </c>
      <c r="B1302" t="s">
        <v>0</v>
      </c>
      <c r="C1302">
        <v>1</v>
      </c>
      <c r="D1302">
        <v>4</v>
      </c>
      <c r="E1302">
        <v>18</v>
      </c>
      <c r="F1302">
        <v>3</v>
      </c>
      <c r="G1302">
        <v>0</v>
      </c>
      <c r="H1302">
        <f>표2[[#This Row],[공격성공횟수]]/(표2[[#This Row],[공격실패횟수]]+표2[[#This Row],[공격성공횟수]])</f>
        <v>0.18181818181818182</v>
      </c>
    </row>
    <row r="1303" spans="1:8" hidden="1" x14ac:dyDescent="0.4">
      <c r="A1303">
        <v>651</v>
      </c>
      <c r="B1303" t="s">
        <v>2</v>
      </c>
      <c r="C1303">
        <v>0</v>
      </c>
      <c r="D1303">
        <v>3</v>
      </c>
      <c r="E1303">
        <v>19</v>
      </c>
      <c r="F1303">
        <v>4</v>
      </c>
      <c r="G1303">
        <v>1</v>
      </c>
      <c r="H1303">
        <f>표2[[#This Row],[공격성공횟수]]/(표2[[#This Row],[공격실패횟수]]+표2[[#This Row],[공격성공횟수]])</f>
        <v>0.13636363636363635</v>
      </c>
    </row>
    <row r="1304" spans="1:8" x14ac:dyDescent="0.4">
      <c r="A1304">
        <v>652</v>
      </c>
      <c r="B1304" t="s">
        <v>0</v>
      </c>
      <c r="C1304">
        <v>0</v>
      </c>
      <c r="D1304">
        <v>2</v>
      </c>
      <c r="E1304">
        <v>21</v>
      </c>
      <c r="F1304">
        <v>4</v>
      </c>
      <c r="G1304">
        <v>1</v>
      </c>
      <c r="H1304">
        <f>표2[[#This Row],[공격성공횟수]]/(표2[[#This Row],[공격실패횟수]]+표2[[#This Row],[공격성공횟수]])</f>
        <v>8.6956521739130432E-2</v>
      </c>
    </row>
    <row r="1305" spans="1:8" hidden="1" x14ac:dyDescent="0.4">
      <c r="A1305">
        <v>652</v>
      </c>
      <c r="B1305" t="s">
        <v>2</v>
      </c>
      <c r="C1305">
        <v>1</v>
      </c>
      <c r="D1305">
        <v>4</v>
      </c>
      <c r="E1305">
        <v>19</v>
      </c>
      <c r="F1305">
        <v>2</v>
      </c>
      <c r="G1305">
        <v>0</v>
      </c>
      <c r="H1305">
        <f>표2[[#This Row],[공격성공횟수]]/(표2[[#This Row],[공격실패횟수]]+표2[[#This Row],[공격성공횟수]])</f>
        <v>0.17391304347826086</v>
      </c>
    </row>
    <row r="1306" spans="1:8" x14ac:dyDescent="0.4">
      <c r="A1306">
        <v>653</v>
      </c>
      <c r="B1306" t="s">
        <v>0</v>
      </c>
      <c r="C1306">
        <v>0</v>
      </c>
      <c r="D1306">
        <v>2</v>
      </c>
      <c r="E1306">
        <v>19</v>
      </c>
      <c r="F1306">
        <v>4</v>
      </c>
      <c r="G1306">
        <v>1</v>
      </c>
      <c r="H1306">
        <f>표2[[#This Row],[공격성공횟수]]/(표2[[#This Row],[공격실패횟수]]+표2[[#This Row],[공격성공횟수]])</f>
        <v>9.5238095238095233E-2</v>
      </c>
    </row>
    <row r="1307" spans="1:8" hidden="1" x14ac:dyDescent="0.4">
      <c r="A1307">
        <v>653</v>
      </c>
      <c r="B1307" t="s">
        <v>2</v>
      </c>
      <c r="C1307">
        <v>1</v>
      </c>
      <c r="D1307">
        <v>4</v>
      </c>
      <c r="E1307">
        <v>16</v>
      </c>
      <c r="F1307">
        <v>2</v>
      </c>
      <c r="G1307">
        <v>0</v>
      </c>
      <c r="H1307">
        <f>표2[[#This Row],[공격성공횟수]]/(표2[[#This Row],[공격실패횟수]]+표2[[#This Row],[공격성공횟수]])</f>
        <v>0.2</v>
      </c>
    </row>
    <row r="1308" spans="1:8" x14ac:dyDescent="0.4">
      <c r="A1308">
        <v>654</v>
      </c>
      <c r="B1308" t="s">
        <v>0</v>
      </c>
      <c r="C1308">
        <v>1</v>
      </c>
      <c r="D1308">
        <v>4</v>
      </c>
      <c r="E1308">
        <v>5</v>
      </c>
      <c r="F1308">
        <v>1</v>
      </c>
      <c r="G1308">
        <v>0</v>
      </c>
      <c r="H1308">
        <f>표2[[#This Row],[공격성공횟수]]/(표2[[#This Row],[공격실패횟수]]+표2[[#This Row],[공격성공횟수]])</f>
        <v>0.44444444444444442</v>
      </c>
    </row>
    <row r="1309" spans="1:8" hidden="1" x14ac:dyDescent="0.4">
      <c r="A1309">
        <v>654</v>
      </c>
      <c r="B1309" t="s">
        <v>2</v>
      </c>
      <c r="C1309">
        <v>0</v>
      </c>
      <c r="D1309">
        <v>1</v>
      </c>
      <c r="E1309">
        <v>8</v>
      </c>
      <c r="F1309">
        <v>4</v>
      </c>
      <c r="G1309">
        <v>1</v>
      </c>
      <c r="H1309">
        <f>표2[[#This Row],[공격성공횟수]]/(표2[[#This Row],[공격실패횟수]]+표2[[#This Row],[공격성공횟수]])</f>
        <v>0.1111111111111111</v>
      </c>
    </row>
    <row r="1310" spans="1:8" x14ac:dyDescent="0.4">
      <c r="A1310">
        <v>655</v>
      </c>
      <c r="B1310" t="s">
        <v>0</v>
      </c>
      <c r="C1310">
        <v>1</v>
      </c>
      <c r="D1310">
        <v>4</v>
      </c>
      <c r="E1310">
        <v>6</v>
      </c>
      <c r="F1310">
        <v>1</v>
      </c>
      <c r="G1310">
        <v>0</v>
      </c>
      <c r="H1310">
        <f>표2[[#This Row],[공격성공횟수]]/(표2[[#This Row],[공격실패횟수]]+표2[[#This Row],[공격성공횟수]])</f>
        <v>0.4</v>
      </c>
    </row>
    <row r="1311" spans="1:8" hidden="1" x14ac:dyDescent="0.4">
      <c r="A1311">
        <v>655</v>
      </c>
      <c r="B1311" t="s">
        <v>2</v>
      </c>
      <c r="C1311">
        <v>0</v>
      </c>
      <c r="D1311">
        <v>1</v>
      </c>
      <c r="E1311">
        <v>9</v>
      </c>
      <c r="F1311">
        <v>4</v>
      </c>
      <c r="G1311">
        <v>1</v>
      </c>
      <c r="H1311">
        <f>표2[[#This Row],[공격성공횟수]]/(표2[[#This Row],[공격실패횟수]]+표2[[#This Row],[공격성공횟수]])</f>
        <v>0.1</v>
      </c>
    </row>
    <row r="1312" spans="1:8" x14ac:dyDescent="0.4">
      <c r="A1312">
        <v>656</v>
      </c>
      <c r="B1312" t="s">
        <v>0</v>
      </c>
      <c r="C1312">
        <v>1</v>
      </c>
      <c r="D1312">
        <v>4</v>
      </c>
      <c r="E1312">
        <v>13</v>
      </c>
      <c r="F1312">
        <v>2</v>
      </c>
      <c r="G1312">
        <v>0</v>
      </c>
      <c r="H1312">
        <f>표2[[#This Row],[공격성공횟수]]/(표2[[#This Row],[공격실패횟수]]+표2[[#This Row],[공격성공횟수]])</f>
        <v>0.23529411764705882</v>
      </c>
    </row>
    <row r="1313" spans="1:8" hidden="1" x14ac:dyDescent="0.4">
      <c r="A1313">
        <v>656</v>
      </c>
      <c r="B1313" t="s">
        <v>2</v>
      </c>
      <c r="C1313">
        <v>0</v>
      </c>
      <c r="D1313">
        <v>2</v>
      </c>
      <c r="E1313">
        <v>15</v>
      </c>
      <c r="F1313">
        <v>4</v>
      </c>
      <c r="G1313">
        <v>1</v>
      </c>
      <c r="H1313">
        <f>표2[[#This Row],[공격성공횟수]]/(표2[[#This Row],[공격실패횟수]]+표2[[#This Row],[공격성공횟수]])</f>
        <v>0.11764705882352941</v>
      </c>
    </row>
    <row r="1314" spans="1:8" x14ac:dyDescent="0.4">
      <c r="A1314">
        <v>657</v>
      </c>
      <c r="B1314" t="s">
        <v>0</v>
      </c>
      <c r="C1314">
        <v>1</v>
      </c>
      <c r="D1314">
        <v>4</v>
      </c>
      <c r="E1314">
        <v>23</v>
      </c>
      <c r="F1314">
        <v>2</v>
      </c>
      <c r="G1314">
        <v>0</v>
      </c>
      <c r="H1314">
        <f>표2[[#This Row],[공격성공횟수]]/(표2[[#This Row],[공격실패횟수]]+표2[[#This Row],[공격성공횟수]])</f>
        <v>0.14814814814814814</v>
      </c>
    </row>
    <row r="1315" spans="1:8" hidden="1" x14ac:dyDescent="0.4">
      <c r="A1315">
        <v>657</v>
      </c>
      <c r="B1315" t="s">
        <v>2</v>
      </c>
      <c r="C1315">
        <v>0</v>
      </c>
      <c r="D1315">
        <v>2</v>
      </c>
      <c r="E1315">
        <v>25</v>
      </c>
      <c r="F1315">
        <v>4</v>
      </c>
      <c r="G1315">
        <v>1</v>
      </c>
      <c r="H1315">
        <f>표2[[#This Row],[공격성공횟수]]/(표2[[#This Row],[공격실패횟수]]+표2[[#This Row],[공격성공횟수]])</f>
        <v>7.407407407407407E-2</v>
      </c>
    </row>
    <row r="1316" spans="1:8" x14ac:dyDescent="0.4">
      <c r="A1316">
        <v>658</v>
      </c>
      <c r="B1316" t="s">
        <v>0</v>
      </c>
      <c r="C1316">
        <v>1</v>
      </c>
      <c r="D1316">
        <v>4</v>
      </c>
      <c r="E1316">
        <v>12</v>
      </c>
      <c r="F1316">
        <v>0</v>
      </c>
      <c r="G1316">
        <v>0</v>
      </c>
      <c r="H1316">
        <f>표2[[#This Row],[공격성공횟수]]/(표2[[#This Row],[공격실패횟수]]+표2[[#This Row],[공격성공횟수]])</f>
        <v>0.25</v>
      </c>
    </row>
    <row r="1317" spans="1:8" hidden="1" x14ac:dyDescent="0.4">
      <c r="A1317">
        <v>658</v>
      </c>
      <c r="B1317" t="s">
        <v>2</v>
      </c>
      <c r="C1317">
        <v>0</v>
      </c>
      <c r="D1317">
        <v>0</v>
      </c>
      <c r="E1317">
        <v>16</v>
      </c>
      <c r="F1317">
        <v>4</v>
      </c>
      <c r="G1317">
        <v>1</v>
      </c>
      <c r="H1317">
        <f>표2[[#This Row],[공격성공횟수]]/(표2[[#This Row],[공격실패횟수]]+표2[[#This Row],[공격성공횟수]])</f>
        <v>0</v>
      </c>
    </row>
    <row r="1318" spans="1:8" x14ac:dyDescent="0.4">
      <c r="A1318">
        <v>659</v>
      </c>
      <c r="B1318" t="s">
        <v>0</v>
      </c>
      <c r="C1318">
        <v>0</v>
      </c>
      <c r="D1318">
        <v>3</v>
      </c>
      <c r="E1318">
        <v>7</v>
      </c>
      <c r="F1318">
        <v>4</v>
      </c>
      <c r="G1318">
        <v>1</v>
      </c>
      <c r="H1318">
        <f>표2[[#This Row],[공격성공횟수]]/(표2[[#This Row],[공격실패횟수]]+표2[[#This Row],[공격성공횟수]])</f>
        <v>0.3</v>
      </c>
    </row>
    <row r="1319" spans="1:8" hidden="1" x14ac:dyDescent="0.4">
      <c r="A1319">
        <v>659</v>
      </c>
      <c r="B1319" t="s">
        <v>2</v>
      </c>
      <c r="C1319">
        <v>1</v>
      </c>
      <c r="D1319">
        <v>4</v>
      </c>
      <c r="E1319">
        <v>8</v>
      </c>
      <c r="F1319">
        <v>3</v>
      </c>
      <c r="G1319">
        <v>0</v>
      </c>
      <c r="H1319">
        <f>표2[[#This Row],[공격성공횟수]]/(표2[[#This Row],[공격실패횟수]]+표2[[#This Row],[공격성공횟수]])</f>
        <v>0.33333333333333331</v>
      </c>
    </row>
    <row r="1320" spans="1:8" x14ac:dyDescent="0.4">
      <c r="A1320">
        <v>660</v>
      </c>
      <c r="B1320" t="s">
        <v>0</v>
      </c>
      <c r="C1320">
        <v>1</v>
      </c>
      <c r="D1320">
        <v>4</v>
      </c>
      <c r="E1320">
        <v>8</v>
      </c>
      <c r="F1320">
        <v>1</v>
      </c>
      <c r="G1320">
        <v>0</v>
      </c>
      <c r="H1320">
        <f>표2[[#This Row],[공격성공횟수]]/(표2[[#This Row],[공격실패횟수]]+표2[[#This Row],[공격성공횟수]])</f>
        <v>0.33333333333333331</v>
      </c>
    </row>
    <row r="1321" spans="1:8" hidden="1" x14ac:dyDescent="0.4">
      <c r="A1321">
        <v>660</v>
      </c>
      <c r="B1321" t="s">
        <v>2</v>
      </c>
      <c r="C1321">
        <v>0</v>
      </c>
      <c r="D1321">
        <v>1</v>
      </c>
      <c r="E1321">
        <v>10</v>
      </c>
      <c r="F1321">
        <v>4</v>
      </c>
      <c r="G1321">
        <v>1</v>
      </c>
      <c r="H1321">
        <f>표2[[#This Row],[공격성공횟수]]/(표2[[#This Row],[공격실패횟수]]+표2[[#This Row],[공격성공횟수]])</f>
        <v>9.0909090909090912E-2</v>
      </c>
    </row>
    <row r="1322" spans="1:8" x14ac:dyDescent="0.4">
      <c r="A1322">
        <v>661</v>
      </c>
      <c r="B1322" t="s">
        <v>0</v>
      </c>
      <c r="C1322">
        <v>1</v>
      </c>
      <c r="D1322">
        <v>4</v>
      </c>
      <c r="E1322">
        <v>6</v>
      </c>
      <c r="F1322">
        <v>0</v>
      </c>
      <c r="G1322">
        <v>0</v>
      </c>
      <c r="H1322">
        <f>표2[[#This Row],[공격성공횟수]]/(표2[[#This Row],[공격실패횟수]]+표2[[#This Row],[공격성공횟수]])</f>
        <v>0.4</v>
      </c>
    </row>
    <row r="1323" spans="1:8" hidden="1" x14ac:dyDescent="0.4">
      <c r="A1323">
        <v>661</v>
      </c>
      <c r="B1323" t="s">
        <v>2</v>
      </c>
      <c r="C1323">
        <v>0</v>
      </c>
      <c r="D1323">
        <v>0</v>
      </c>
      <c r="E1323">
        <v>10</v>
      </c>
      <c r="F1323">
        <v>4</v>
      </c>
      <c r="G1323">
        <v>1</v>
      </c>
      <c r="H1323">
        <f>표2[[#This Row],[공격성공횟수]]/(표2[[#This Row],[공격실패횟수]]+표2[[#This Row],[공격성공횟수]])</f>
        <v>0</v>
      </c>
    </row>
    <row r="1324" spans="1:8" x14ac:dyDescent="0.4">
      <c r="A1324">
        <v>662</v>
      </c>
      <c r="B1324" t="s">
        <v>0</v>
      </c>
      <c r="C1324">
        <v>1</v>
      </c>
      <c r="D1324">
        <v>4</v>
      </c>
      <c r="E1324">
        <v>9</v>
      </c>
      <c r="F1324">
        <v>1</v>
      </c>
      <c r="G1324">
        <v>0</v>
      </c>
      <c r="H1324">
        <f>표2[[#This Row],[공격성공횟수]]/(표2[[#This Row],[공격실패횟수]]+표2[[#This Row],[공격성공횟수]])</f>
        <v>0.30769230769230771</v>
      </c>
    </row>
    <row r="1325" spans="1:8" hidden="1" x14ac:dyDescent="0.4">
      <c r="A1325">
        <v>662</v>
      </c>
      <c r="B1325" t="s">
        <v>2</v>
      </c>
      <c r="C1325">
        <v>0</v>
      </c>
      <c r="D1325">
        <v>1</v>
      </c>
      <c r="E1325">
        <v>13</v>
      </c>
      <c r="F1325">
        <v>4</v>
      </c>
      <c r="G1325">
        <v>1</v>
      </c>
      <c r="H1325">
        <f>표2[[#This Row],[공격성공횟수]]/(표2[[#This Row],[공격실패횟수]]+표2[[#This Row],[공격성공횟수]])</f>
        <v>7.1428571428571425E-2</v>
      </c>
    </row>
    <row r="1326" spans="1:8" x14ac:dyDescent="0.4">
      <c r="A1326">
        <v>663</v>
      </c>
      <c r="B1326" t="s">
        <v>0</v>
      </c>
      <c r="C1326">
        <v>1</v>
      </c>
      <c r="D1326">
        <v>4</v>
      </c>
      <c r="E1326">
        <v>12</v>
      </c>
      <c r="F1326">
        <v>0</v>
      </c>
      <c r="G1326">
        <v>0</v>
      </c>
      <c r="H1326">
        <f>표2[[#This Row],[공격성공횟수]]/(표2[[#This Row],[공격실패횟수]]+표2[[#This Row],[공격성공횟수]])</f>
        <v>0.25</v>
      </c>
    </row>
    <row r="1327" spans="1:8" hidden="1" x14ac:dyDescent="0.4">
      <c r="A1327">
        <v>663</v>
      </c>
      <c r="B1327" t="s">
        <v>2</v>
      </c>
      <c r="C1327">
        <v>0</v>
      </c>
      <c r="D1327">
        <v>0</v>
      </c>
      <c r="E1327">
        <v>16</v>
      </c>
      <c r="F1327">
        <v>4</v>
      </c>
      <c r="G1327">
        <v>1</v>
      </c>
      <c r="H1327">
        <f>표2[[#This Row],[공격성공횟수]]/(표2[[#This Row],[공격실패횟수]]+표2[[#This Row],[공격성공횟수]])</f>
        <v>0</v>
      </c>
    </row>
    <row r="1328" spans="1:8" x14ac:dyDescent="0.4">
      <c r="A1328">
        <v>664</v>
      </c>
      <c r="B1328" t="s">
        <v>0</v>
      </c>
      <c r="C1328">
        <v>1</v>
      </c>
      <c r="D1328">
        <v>4</v>
      </c>
      <c r="E1328">
        <v>78</v>
      </c>
      <c r="F1328">
        <v>0</v>
      </c>
      <c r="G1328">
        <v>0</v>
      </c>
      <c r="H1328">
        <f>표2[[#This Row],[공격성공횟수]]/(표2[[#This Row],[공격실패횟수]]+표2[[#This Row],[공격성공횟수]])</f>
        <v>4.878048780487805E-2</v>
      </c>
    </row>
    <row r="1329" spans="1:8" hidden="1" x14ac:dyDescent="0.4">
      <c r="A1329">
        <v>664</v>
      </c>
      <c r="B1329" t="s">
        <v>2</v>
      </c>
      <c r="C1329">
        <v>0</v>
      </c>
      <c r="D1329">
        <v>0</v>
      </c>
      <c r="E1329">
        <v>80</v>
      </c>
      <c r="F1329">
        <v>4</v>
      </c>
      <c r="G1329">
        <v>1</v>
      </c>
      <c r="H1329">
        <f>표2[[#This Row],[공격성공횟수]]/(표2[[#This Row],[공격실패횟수]]+표2[[#This Row],[공격성공횟수]])</f>
        <v>0</v>
      </c>
    </row>
    <row r="1330" spans="1:8" x14ac:dyDescent="0.4">
      <c r="A1330">
        <v>665</v>
      </c>
      <c r="B1330" t="s">
        <v>0</v>
      </c>
      <c r="C1330">
        <v>0</v>
      </c>
      <c r="D1330">
        <v>0</v>
      </c>
      <c r="E1330">
        <v>11</v>
      </c>
      <c r="F1330">
        <v>4</v>
      </c>
      <c r="G1330">
        <v>1</v>
      </c>
      <c r="H1330">
        <f>표2[[#This Row],[공격성공횟수]]/(표2[[#This Row],[공격실패횟수]]+표2[[#This Row],[공격성공횟수]])</f>
        <v>0</v>
      </c>
    </row>
    <row r="1331" spans="1:8" hidden="1" x14ac:dyDescent="0.4">
      <c r="A1331">
        <v>665</v>
      </c>
      <c r="B1331" t="s">
        <v>2</v>
      </c>
      <c r="C1331">
        <v>1</v>
      </c>
      <c r="D1331">
        <v>4</v>
      </c>
      <c r="E1331">
        <v>9</v>
      </c>
      <c r="F1331">
        <v>0</v>
      </c>
      <c r="G1331">
        <v>0</v>
      </c>
      <c r="H1331">
        <f>표2[[#This Row],[공격성공횟수]]/(표2[[#This Row],[공격실패횟수]]+표2[[#This Row],[공격성공횟수]])</f>
        <v>0.30769230769230771</v>
      </c>
    </row>
    <row r="1332" spans="1:8" x14ac:dyDescent="0.4">
      <c r="A1332">
        <v>666</v>
      </c>
      <c r="B1332" t="s">
        <v>0</v>
      </c>
      <c r="C1332">
        <v>1</v>
      </c>
      <c r="D1332">
        <v>4</v>
      </c>
      <c r="E1332">
        <v>15</v>
      </c>
      <c r="F1332">
        <v>2</v>
      </c>
      <c r="G1332">
        <v>0</v>
      </c>
      <c r="H1332">
        <f>표2[[#This Row],[공격성공횟수]]/(표2[[#This Row],[공격실패횟수]]+표2[[#This Row],[공격성공횟수]])</f>
        <v>0.21052631578947367</v>
      </c>
    </row>
    <row r="1333" spans="1:8" hidden="1" x14ac:dyDescent="0.4">
      <c r="A1333">
        <v>666</v>
      </c>
      <c r="B1333" t="s">
        <v>2</v>
      </c>
      <c r="C1333">
        <v>0</v>
      </c>
      <c r="D1333">
        <v>2</v>
      </c>
      <c r="E1333">
        <v>15</v>
      </c>
      <c r="F1333">
        <v>4</v>
      </c>
      <c r="G1333">
        <v>1</v>
      </c>
      <c r="H1333">
        <f>표2[[#This Row],[공격성공횟수]]/(표2[[#This Row],[공격실패횟수]]+표2[[#This Row],[공격성공횟수]])</f>
        <v>0.11764705882352941</v>
      </c>
    </row>
    <row r="1334" spans="1:8" x14ac:dyDescent="0.4">
      <c r="A1334">
        <v>667</v>
      </c>
      <c r="B1334" t="s">
        <v>0</v>
      </c>
      <c r="C1334">
        <v>1</v>
      </c>
      <c r="D1334">
        <v>4</v>
      </c>
      <c r="E1334">
        <v>2</v>
      </c>
      <c r="F1334">
        <v>0</v>
      </c>
      <c r="G1334">
        <v>0</v>
      </c>
      <c r="H1334">
        <f>표2[[#This Row],[공격성공횟수]]/(표2[[#This Row],[공격실패횟수]]+표2[[#This Row],[공격성공횟수]])</f>
        <v>0.66666666666666663</v>
      </c>
    </row>
    <row r="1335" spans="1:8" hidden="1" x14ac:dyDescent="0.4">
      <c r="A1335">
        <v>667</v>
      </c>
      <c r="B1335" t="s">
        <v>2</v>
      </c>
      <c r="C1335">
        <v>0</v>
      </c>
      <c r="D1335">
        <v>0</v>
      </c>
      <c r="E1335">
        <v>6</v>
      </c>
      <c r="F1335">
        <v>4</v>
      </c>
      <c r="G1335">
        <v>1</v>
      </c>
      <c r="H1335">
        <f>표2[[#This Row],[공격성공횟수]]/(표2[[#This Row],[공격실패횟수]]+표2[[#This Row],[공격성공횟수]])</f>
        <v>0</v>
      </c>
    </row>
    <row r="1336" spans="1:8" x14ac:dyDescent="0.4">
      <c r="A1336">
        <v>668</v>
      </c>
      <c r="B1336" t="s">
        <v>0</v>
      </c>
      <c r="C1336">
        <v>1</v>
      </c>
      <c r="D1336">
        <v>4</v>
      </c>
      <c r="E1336">
        <v>24</v>
      </c>
      <c r="F1336">
        <v>2</v>
      </c>
      <c r="G1336">
        <v>0</v>
      </c>
      <c r="H1336">
        <f>표2[[#This Row],[공격성공횟수]]/(표2[[#This Row],[공격실패횟수]]+표2[[#This Row],[공격성공횟수]])</f>
        <v>0.14285714285714285</v>
      </c>
    </row>
    <row r="1337" spans="1:8" hidden="1" x14ac:dyDescent="0.4">
      <c r="A1337">
        <v>668</v>
      </c>
      <c r="B1337" t="s">
        <v>2</v>
      </c>
      <c r="C1337">
        <v>0</v>
      </c>
      <c r="D1337">
        <v>2</v>
      </c>
      <c r="E1337">
        <v>25</v>
      </c>
      <c r="F1337">
        <v>4</v>
      </c>
      <c r="G1337">
        <v>1</v>
      </c>
      <c r="H1337">
        <f>표2[[#This Row],[공격성공횟수]]/(표2[[#This Row],[공격실패횟수]]+표2[[#This Row],[공격성공횟수]])</f>
        <v>7.407407407407407E-2</v>
      </c>
    </row>
    <row r="1338" spans="1:8" x14ac:dyDescent="0.4">
      <c r="A1338">
        <v>669</v>
      </c>
      <c r="B1338" t="s">
        <v>0</v>
      </c>
      <c r="C1338">
        <v>1</v>
      </c>
      <c r="D1338">
        <v>4</v>
      </c>
      <c r="E1338">
        <v>12</v>
      </c>
      <c r="F1338">
        <v>0</v>
      </c>
      <c r="G1338">
        <v>0</v>
      </c>
      <c r="H1338">
        <f>표2[[#This Row],[공격성공횟수]]/(표2[[#This Row],[공격실패횟수]]+표2[[#This Row],[공격성공횟수]])</f>
        <v>0.25</v>
      </c>
    </row>
    <row r="1339" spans="1:8" hidden="1" x14ac:dyDescent="0.4">
      <c r="A1339">
        <v>669</v>
      </c>
      <c r="B1339" t="s">
        <v>2</v>
      </c>
      <c r="C1339">
        <v>0</v>
      </c>
      <c r="D1339">
        <v>0</v>
      </c>
      <c r="E1339">
        <v>16</v>
      </c>
      <c r="F1339">
        <v>4</v>
      </c>
      <c r="G1339">
        <v>1</v>
      </c>
      <c r="H1339">
        <f>표2[[#This Row],[공격성공횟수]]/(표2[[#This Row],[공격실패횟수]]+표2[[#This Row],[공격성공횟수]])</f>
        <v>0</v>
      </c>
    </row>
    <row r="1340" spans="1:8" x14ac:dyDescent="0.4">
      <c r="A1340">
        <v>670</v>
      </c>
      <c r="B1340" t="s">
        <v>0</v>
      </c>
      <c r="C1340">
        <v>1</v>
      </c>
      <c r="D1340">
        <v>4</v>
      </c>
      <c r="E1340">
        <v>73</v>
      </c>
      <c r="F1340">
        <v>1</v>
      </c>
      <c r="G1340">
        <v>0</v>
      </c>
      <c r="H1340">
        <f>표2[[#This Row],[공격성공횟수]]/(표2[[#This Row],[공격실패횟수]]+표2[[#This Row],[공격성공횟수]])</f>
        <v>5.1948051948051951E-2</v>
      </c>
    </row>
    <row r="1341" spans="1:8" hidden="1" x14ac:dyDescent="0.4">
      <c r="A1341">
        <v>670</v>
      </c>
      <c r="B1341" t="s">
        <v>2</v>
      </c>
      <c r="C1341">
        <v>0</v>
      </c>
      <c r="D1341">
        <v>1</v>
      </c>
      <c r="E1341">
        <v>76</v>
      </c>
      <c r="F1341">
        <v>4</v>
      </c>
      <c r="G1341">
        <v>1</v>
      </c>
      <c r="H1341">
        <f>표2[[#This Row],[공격성공횟수]]/(표2[[#This Row],[공격실패횟수]]+표2[[#This Row],[공격성공횟수]])</f>
        <v>1.2987012987012988E-2</v>
      </c>
    </row>
    <row r="1342" spans="1:8" x14ac:dyDescent="0.4">
      <c r="A1342">
        <v>671</v>
      </c>
      <c r="B1342" t="s">
        <v>0</v>
      </c>
      <c r="C1342">
        <v>0</v>
      </c>
      <c r="D1342">
        <v>1</v>
      </c>
      <c r="E1342">
        <v>59</v>
      </c>
      <c r="F1342">
        <v>4</v>
      </c>
      <c r="G1342">
        <v>1</v>
      </c>
      <c r="H1342">
        <f>표2[[#This Row],[공격성공횟수]]/(표2[[#This Row],[공격실패횟수]]+표2[[#This Row],[공격성공횟수]])</f>
        <v>1.6666666666666666E-2</v>
      </c>
    </row>
    <row r="1343" spans="1:8" hidden="1" x14ac:dyDescent="0.4">
      <c r="A1343">
        <v>671</v>
      </c>
      <c r="B1343" t="s">
        <v>2</v>
      </c>
      <c r="C1343">
        <v>1</v>
      </c>
      <c r="D1343">
        <v>4</v>
      </c>
      <c r="E1343">
        <v>57</v>
      </c>
      <c r="F1343">
        <v>1</v>
      </c>
      <c r="G1343">
        <v>0</v>
      </c>
      <c r="H1343">
        <f>표2[[#This Row],[공격성공횟수]]/(표2[[#This Row],[공격실패횟수]]+표2[[#This Row],[공격성공횟수]])</f>
        <v>6.5573770491803282E-2</v>
      </c>
    </row>
    <row r="1344" spans="1:8" x14ac:dyDescent="0.4">
      <c r="A1344">
        <v>672</v>
      </c>
      <c r="B1344" t="s">
        <v>0</v>
      </c>
      <c r="C1344">
        <v>1</v>
      </c>
      <c r="D1344">
        <v>4</v>
      </c>
      <c r="E1344">
        <v>23</v>
      </c>
      <c r="F1344">
        <v>0</v>
      </c>
      <c r="G1344">
        <v>0</v>
      </c>
      <c r="H1344">
        <f>표2[[#This Row],[공격성공횟수]]/(표2[[#This Row],[공격실패횟수]]+표2[[#This Row],[공격성공횟수]])</f>
        <v>0.14814814814814814</v>
      </c>
    </row>
    <row r="1345" spans="1:8" hidden="1" x14ac:dyDescent="0.4">
      <c r="A1345">
        <v>672</v>
      </c>
      <c r="B1345" t="s">
        <v>2</v>
      </c>
      <c r="C1345">
        <v>0</v>
      </c>
      <c r="D1345">
        <v>0</v>
      </c>
      <c r="E1345">
        <v>26</v>
      </c>
      <c r="F1345">
        <v>4</v>
      </c>
      <c r="G1345">
        <v>1</v>
      </c>
      <c r="H1345">
        <f>표2[[#This Row],[공격성공횟수]]/(표2[[#This Row],[공격실패횟수]]+표2[[#This Row],[공격성공횟수]])</f>
        <v>0</v>
      </c>
    </row>
    <row r="1346" spans="1:8" x14ac:dyDescent="0.4">
      <c r="A1346">
        <v>673</v>
      </c>
      <c r="B1346" t="s">
        <v>0</v>
      </c>
      <c r="C1346">
        <v>1</v>
      </c>
      <c r="D1346">
        <v>4</v>
      </c>
      <c r="E1346">
        <v>5</v>
      </c>
      <c r="F1346">
        <v>0</v>
      </c>
      <c r="G1346">
        <v>0</v>
      </c>
      <c r="H1346">
        <f>표2[[#This Row],[공격성공횟수]]/(표2[[#This Row],[공격실패횟수]]+표2[[#This Row],[공격성공횟수]])</f>
        <v>0.44444444444444442</v>
      </c>
    </row>
    <row r="1347" spans="1:8" hidden="1" x14ac:dyDescent="0.4">
      <c r="A1347">
        <v>673</v>
      </c>
      <c r="B1347" t="s">
        <v>2</v>
      </c>
      <c r="C1347">
        <v>0</v>
      </c>
      <c r="D1347">
        <v>0</v>
      </c>
      <c r="E1347">
        <v>9</v>
      </c>
      <c r="F1347">
        <v>4</v>
      </c>
      <c r="G1347">
        <v>1</v>
      </c>
      <c r="H1347">
        <f>표2[[#This Row],[공격성공횟수]]/(표2[[#This Row],[공격실패횟수]]+표2[[#This Row],[공격성공횟수]])</f>
        <v>0</v>
      </c>
    </row>
    <row r="1348" spans="1:8" x14ac:dyDescent="0.4">
      <c r="A1348">
        <v>674</v>
      </c>
      <c r="B1348" t="s">
        <v>0</v>
      </c>
      <c r="C1348">
        <v>0</v>
      </c>
      <c r="D1348">
        <v>0</v>
      </c>
      <c r="E1348">
        <v>3</v>
      </c>
      <c r="F1348">
        <v>4</v>
      </c>
      <c r="G1348">
        <v>1</v>
      </c>
      <c r="H1348">
        <f>표2[[#This Row],[공격성공횟수]]/(표2[[#This Row],[공격실패횟수]]+표2[[#This Row],[공격성공횟수]])</f>
        <v>0</v>
      </c>
    </row>
    <row r="1349" spans="1:8" hidden="1" x14ac:dyDescent="0.4">
      <c r="A1349">
        <v>674</v>
      </c>
      <c r="B1349" t="s">
        <v>2</v>
      </c>
      <c r="C1349">
        <v>1</v>
      </c>
      <c r="D1349">
        <v>4</v>
      </c>
      <c r="E1349">
        <v>1</v>
      </c>
      <c r="F1349">
        <v>0</v>
      </c>
      <c r="G1349">
        <v>0</v>
      </c>
      <c r="H1349">
        <f>표2[[#This Row],[공격성공횟수]]/(표2[[#This Row],[공격실패횟수]]+표2[[#This Row],[공격성공횟수]])</f>
        <v>0.8</v>
      </c>
    </row>
    <row r="1350" spans="1:8" x14ac:dyDescent="0.4">
      <c r="A1350">
        <v>675</v>
      </c>
      <c r="B1350" t="s">
        <v>0</v>
      </c>
      <c r="C1350">
        <v>0</v>
      </c>
      <c r="D1350">
        <v>1</v>
      </c>
      <c r="E1350">
        <v>7</v>
      </c>
      <c r="F1350">
        <v>4</v>
      </c>
      <c r="G1350">
        <v>1</v>
      </c>
      <c r="H1350">
        <f>표2[[#This Row],[공격성공횟수]]/(표2[[#This Row],[공격실패횟수]]+표2[[#This Row],[공격성공횟수]])</f>
        <v>0.125</v>
      </c>
    </row>
    <row r="1351" spans="1:8" hidden="1" x14ac:dyDescent="0.4">
      <c r="A1351">
        <v>675</v>
      </c>
      <c r="B1351" t="s">
        <v>2</v>
      </c>
      <c r="C1351">
        <v>1</v>
      </c>
      <c r="D1351">
        <v>4</v>
      </c>
      <c r="E1351">
        <v>4</v>
      </c>
      <c r="F1351">
        <v>1</v>
      </c>
      <c r="G1351">
        <v>0</v>
      </c>
      <c r="H1351">
        <f>표2[[#This Row],[공격성공횟수]]/(표2[[#This Row],[공격실패횟수]]+표2[[#This Row],[공격성공횟수]])</f>
        <v>0.5</v>
      </c>
    </row>
    <row r="1352" spans="1:8" x14ac:dyDescent="0.4">
      <c r="A1352">
        <v>676</v>
      </c>
      <c r="B1352" t="s">
        <v>0</v>
      </c>
      <c r="C1352">
        <v>1</v>
      </c>
      <c r="D1352">
        <v>4</v>
      </c>
      <c r="E1352">
        <v>9</v>
      </c>
      <c r="F1352">
        <v>3</v>
      </c>
      <c r="G1352">
        <v>0</v>
      </c>
      <c r="H1352">
        <f>표2[[#This Row],[공격성공횟수]]/(표2[[#This Row],[공격실패횟수]]+표2[[#This Row],[공격성공횟수]])</f>
        <v>0.30769230769230771</v>
      </c>
    </row>
    <row r="1353" spans="1:8" hidden="1" x14ac:dyDescent="0.4">
      <c r="A1353">
        <v>676</v>
      </c>
      <c r="B1353" t="s">
        <v>2</v>
      </c>
      <c r="C1353">
        <v>0</v>
      </c>
      <c r="D1353">
        <v>3</v>
      </c>
      <c r="E1353">
        <v>10</v>
      </c>
      <c r="F1353">
        <v>4</v>
      </c>
      <c r="G1353">
        <v>1</v>
      </c>
      <c r="H1353">
        <f>표2[[#This Row],[공격성공횟수]]/(표2[[#This Row],[공격실패횟수]]+표2[[#This Row],[공격성공횟수]])</f>
        <v>0.23076923076923078</v>
      </c>
    </row>
    <row r="1354" spans="1:8" x14ac:dyDescent="0.4">
      <c r="A1354">
        <v>677</v>
      </c>
      <c r="B1354" t="s">
        <v>0</v>
      </c>
      <c r="C1354">
        <v>1</v>
      </c>
      <c r="D1354">
        <v>4</v>
      </c>
      <c r="E1354">
        <v>13</v>
      </c>
      <c r="F1354">
        <v>3</v>
      </c>
      <c r="G1354">
        <v>0</v>
      </c>
      <c r="H1354">
        <f>표2[[#This Row],[공격성공횟수]]/(표2[[#This Row],[공격실패횟수]]+표2[[#This Row],[공격성공횟수]])</f>
        <v>0.23529411764705882</v>
      </c>
    </row>
    <row r="1355" spans="1:8" hidden="1" x14ac:dyDescent="0.4">
      <c r="A1355">
        <v>677</v>
      </c>
      <c r="B1355" t="s">
        <v>2</v>
      </c>
      <c r="C1355">
        <v>0</v>
      </c>
      <c r="D1355">
        <v>3</v>
      </c>
      <c r="E1355">
        <v>13</v>
      </c>
      <c r="F1355">
        <v>4</v>
      </c>
      <c r="G1355">
        <v>1</v>
      </c>
      <c r="H1355">
        <f>표2[[#This Row],[공격성공횟수]]/(표2[[#This Row],[공격실패횟수]]+표2[[#This Row],[공격성공횟수]])</f>
        <v>0.1875</v>
      </c>
    </row>
    <row r="1356" spans="1:8" x14ac:dyDescent="0.4">
      <c r="A1356">
        <v>678</v>
      </c>
      <c r="B1356" t="s">
        <v>0</v>
      </c>
      <c r="C1356">
        <v>0</v>
      </c>
      <c r="D1356">
        <v>1</v>
      </c>
      <c r="E1356">
        <v>56</v>
      </c>
      <c r="F1356">
        <v>4</v>
      </c>
      <c r="G1356">
        <v>1</v>
      </c>
      <c r="H1356">
        <f>표2[[#This Row],[공격성공횟수]]/(표2[[#This Row],[공격실패횟수]]+표2[[#This Row],[공격성공횟수]])</f>
        <v>1.7543859649122806E-2</v>
      </c>
    </row>
    <row r="1357" spans="1:8" hidden="1" x14ac:dyDescent="0.4">
      <c r="A1357">
        <v>678</v>
      </c>
      <c r="B1357" t="s">
        <v>2</v>
      </c>
      <c r="C1357">
        <v>1</v>
      </c>
      <c r="D1357">
        <v>4</v>
      </c>
      <c r="E1357">
        <v>53</v>
      </c>
      <c r="F1357">
        <v>1</v>
      </c>
      <c r="G1357">
        <v>0</v>
      </c>
      <c r="H1357">
        <f>표2[[#This Row],[공격성공횟수]]/(표2[[#This Row],[공격실패횟수]]+표2[[#This Row],[공격성공횟수]])</f>
        <v>7.0175438596491224E-2</v>
      </c>
    </row>
    <row r="1358" spans="1:8" x14ac:dyDescent="0.4">
      <c r="A1358">
        <v>679</v>
      </c>
      <c r="B1358" t="s">
        <v>0</v>
      </c>
      <c r="C1358">
        <v>1</v>
      </c>
      <c r="D1358">
        <v>4</v>
      </c>
      <c r="E1358">
        <v>33</v>
      </c>
      <c r="F1358">
        <v>2</v>
      </c>
      <c r="G1358">
        <v>0</v>
      </c>
      <c r="H1358">
        <f>표2[[#This Row],[공격성공횟수]]/(표2[[#This Row],[공격실패횟수]]+표2[[#This Row],[공격성공횟수]])</f>
        <v>0.10810810810810811</v>
      </c>
    </row>
    <row r="1359" spans="1:8" hidden="1" x14ac:dyDescent="0.4">
      <c r="A1359">
        <v>679</v>
      </c>
      <c r="B1359" t="s">
        <v>2</v>
      </c>
      <c r="C1359">
        <v>0</v>
      </c>
      <c r="D1359">
        <v>2</v>
      </c>
      <c r="E1359">
        <v>34</v>
      </c>
      <c r="F1359">
        <v>4</v>
      </c>
      <c r="G1359">
        <v>1</v>
      </c>
      <c r="H1359">
        <f>표2[[#This Row],[공격성공횟수]]/(표2[[#This Row],[공격실패횟수]]+표2[[#This Row],[공격성공횟수]])</f>
        <v>5.5555555555555552E-2</v>
      </c>
    </row>
    <row r="1360" spans="1:8" x14ac:dyDescent="0.4">
      <c r="A1360">
        <v>680</v>
      </c>
      <c r="B1360" t="s">
        <v>0</v>
      </c>
      <c r="C1360">
        <v>1</v>
      </c>
      <c r="D1360">
        <v>4</v>
      </c>
      <c r="E1360">
        <v>12</v>
      </c>
      <c r="F1360">
        <v>3</v>
      </c>
      <c r="G1360">
        <v>0</v>
      </c>
      <c r="H1360">
        <f>표2[[#This Row],[공격성공횟수]]/(표2[[#This Row],[공격실패횟수]]+표2[[#This Row],[공격성공횟수]])</f>
        <v>0.25</v>
      </c>
    </row>
    <row r="1361" spans="1:8" hidden="1" x14ac:dyDescent="0.4">
      <c r="A1361">
        <v>680</v>
      </c>
      <c r="B1361" t="s">
        <v>2</v>
      </c>
      <c r="C1361">
        <v>0</v>
      </c>
      <c r="D1361">
        <v>3</v>
      </c>
      <c r="E1361">
        <v>12</v>
      </c>
      <c r="F1361">
        <v>4</v>
      </c>
      <c r="G1361">
        <v>1</v>
      </c>
      <c r="H1361">
        <f>표2[[#This Row],[공격성공횟수]]/(표2[[#This Row],[공격실패횟수]]+표2[[#This Row],[공격성공횟수]])</f>
        <v>0.2</v>
      </c>
    </row>
    <row r="1362" spans="1:8" x14ac:dyDescent="0.4">
      <c r="A1362">
        <v>681</v>
      </c>
      <c r="B1362" t="s">
        <v>0</v>
      </c>
      <c r="C1362">
        <v>1</v>
      </c>
      <c r="D1362">
        <v>4</v>
      </c>
      <c r="E1362">
        <v>4</v>
      </c>
      <c r="F1362">
        <v>1</v>
      </c>
      <c r="G1362">
        <v>0</v>
      </c>
      <c r="H1362">
        <f>표2[[#This Row],[공격성공횟수]]/(표2[[#This Row],[공격실패횟수]]+표2[[#This Row],[공격성공횟수]])</f>
        <v>0.5</v>
      </c>
    </row>
    <row r="1363" spans="1:8" hidden="1" x14ac:dyDescent="0.4">
      <c r="A1363">
        <v>681</v>
      </c>
      <c r="B1363" t="s">
        <v>2</v>
      </c>
      <c r="C1363">
        <v>0</v>
      </c>
      <c r="D1363">
        <v>1</v>
      </c>
      <c r="E1363">
        <v>7</v>
      </c>
      <c r="F1363">
        <v>4</v>
      </c>
      <c r="G1363">
        <v>1</v>
      </c>
      <c r="H1363">
        <f>표2[[#This Row],[공격성공횟수]]/(표2[[#This Row],[공격실패횟수]]+표2[[#This Row],[공격성공횟수]])</f>
        <v>0.125</v>
      </c>
    </row>
    <row r="1364" spans="1:8" x14ac:dyDescent="0.4">
      <c r="A1364">
        <v>682</v>
      </c>
      <c r="B1364" t="s">
        <v>0</v>
      </c>
      <c r="C1364">
        <v>1</v>
      </c>
      <c r="D1364">
        <v>4</v>
      </c>
      <c r="E1364">
        <v>10</v>
      </c>
      <c r="F1364">
        <v>1</v>
      </c>
      <c r="G1364">
        <v>0</v>
      </c>
      <c r="H1364">
        <f>표2[[#This Row],[공격성공횟수]]/(표2[[#This Row],[공격실패횟수]]+표2[[#This Row],[공격성공횟수]])</f>
        <v>0.2857142857142857</v>
      </c>
    </row>
    <row r="1365" spans="1:8" hidden="1" x14ac:dyDescent="0.4">
      <c r="A1365">
        <v>682</v>
      </c>
      <c r="B1365" t="s">
        <v>2</v>
      </c>
      <c r="C1365">
        <v>0</v>
      </c>
      <c r="D1365">
        <v>1</v>
      </c>
      <c r="E1365">
        <v>13</v>
      </c>
      <c r="F1365">
        <v>4</v>
      </c>
      <c r="G1365">
        <v>1</v>
      </c>
      <c r="H1365">
        <f>표2[[#This Row],[공격성공횟수]]/(표2[[#This Row],[공격실패횟수]]+표2[[#This Row],[공격성공횟수]])</f>
        <v>7.1428571428571425E-2</v>
      </c>
    </row>
    <row r="1366" spans="1:8" x14ac:dyDescent="0.4">
      <c r="A1366">
        <v>683</v>
      </c>
      <c r="B1366" t="s">
        <v>0</v>
      </c>
      <c r="C1366">
        <v>1</v>
      </c>
      <c r="D1366">
        <v>4</v>
      </c>
      <c r="E1366">
        <v>10</v>
      </c>
      <c r="F1366">
        <v>1</v>
      </c>
      <c r="G1366">
        <v>0</v>
      </c>
      <c r="H1366">
        <f>표2[[#This Row],[공격성공횟수]]/(표2[[#This Row],[공격실패횟수]]+표2[[#This Row],[공격성공횟수]])</f>
        <v>0.2857142857142857</v>
      </c>
    </row>
    <row r="1367" spans="1:8" hidden="1" x14ac:dyDescent="0.4">
      <c r="A1367">
        <v>683</v>
      </c>
      <c r="B1367" t="s">
        <v>2</v>
      </c>
      <c r="C1367">
        <v>0</v>
      </c>
      <c r="D1367">
        <v>1</v>
      </c>
      <c r="E1367">
        <v>14</v>
      </c>
      <c r="F1367">
        <v>4</v>
      </c>
      <c r="G1367">
        <v>1</v>
      </c>
      <c r="H1367">
        <f>표2[[#This Row],[공격성공횟수]]/(표2[[#This Row],[공격실패횟수]]+표2[[#This Row],[공격성공횟수]])</f>
        <v>6.6666666666666666E-2</v>
      </c>
    </row>
    <row r="1368" spans="1:8" x14ac:dyDescent="0.4">
      <c r="A1368">
        <v>684</v>
      </c>
      <c r="B1368" t="s">
        <v>0</v>
      </c>
      <c r="C1368">
        <v>1</v>
      </c>
      <c r="D1368">
        <v>4</v>
      </c>
      <c r="E1368">
        <v>11</v>
      </c>
      <c r="F1368">
        <v>3</v>
      </c>
      <c r="G1368">
        <v>0</v>
      </c>
      <c r="H1368">
        <f>표2[[#This Row],[공격성공횟수]]/(표2[[#This Row],[공격실패횟수]]+표2[[#This Row],[공격성공횟수]])</f>
        <v>0.26666666666666666</v>
      </c>
    </row>
    <row r="1369" spans="1:8" hidden="1" x14ac:dyDescent="0.4">
      <c r="A1369">
        <v>684</v>
      </c>
      <c r="B1369" t="s">
        <v>2</v>
      </c>
      <c r="C1369">
        <v>0</v>
      </c>
      <c r="D1369">
        <v>3</v>
      </c>
      <c r="E1369">
        <v>13</v>
      </c>
      <c r="F1369">
        <v>4</v>
      </c>
      <c r="G1369">
        <v>1</v>
      </c>
      <c r="H1369">
        <f>표2[[#This Row],[공격성공횟수]]/(표2[[#This Row],[공격실패횟수]]+표2[[#This Row],[공격성공횟수]])</f>
        <v>0.1875</v>
      </c>
    </row>
    <row r="1370" spans="1:8" x14ac:dyDescent="0.4">
      <c r="A1370">
        <v>685</v>
      </c>
      <c r="B1370" t="s">
        <v>0</v>
      </c>
      <c r="C1370">
        <v>1</v>
      </c>
      <c r="D1370">
        <v>4</v>
      </c>
      <c r="E1370">
        <v>53</v>
      </c>
      <c r="F1370">
        <v>3</v>
      </c>
      <c r="G1370">
        <v>0</v>
      </c>
      <c r="H1370">
        <f>표2[[#This Row],[공격성공횟수]]/(표2[[#This Row],[공격실패횟수]]+표2[[#This Row],[공격성공횟수]])</f>
        <v>7.0175438596491224E-2</v>
      </c>
    </row>
    <row r="1371" spans="1:8" hidden="1" x14ac:dyDescent="0.4">
      <c r="A1371">
        <v>685</v>
      </c>
      <c r="B1371" t="s">
        <v>2</v>
      </c>
      <c r="C1371">
        <v>0</v>
      </c>
      <c r="D1371">
        <v>3</v>
      </c>
      <c r="E1371">
        <v>53</v>
      </c>
      <c r="F1371">
        <v>4</v>
      </c>
      <c r="G1371">
        <v>1</v>
      </c>
      <c r="H1371">
        <f>표2[[#This Row],[공격성공횟수]]/(표2[[#This Row],[공격실패횟수]]+표2[[#This Row],[공격성공횟수]])</f>
        <v>5.3571428571428568E-2</v>
      </c>
    </row>
    <row r="1372" spans="1:8" x14ac:dyDescent="0.4">
      <c r="A1372">
        <v>686</v>
      </c>
      <c r="B1372" t="s">
        <v>0</v>
      </c>
      <c r="C1372">
        <v>1</v>
      </c>
      <c r="D1372">
        <v>4</v>
      </c>
      <c r="E1372">
        <v>23</v>
      </c>
      <c r="F1372">
        <v>2</v>
      </c>
      <c r="G1372">
        <v>0</v>
      </c>
      <c r="H1372">
        <f>표2[[#This Row],[공격성공횟수]]/(표2[[#This Row],[공격실패횟수]]+표2[[#This Row],[공격성공횟수]])</f>
        <v>0.14814814814814814</v>
      </c>
    </row>
    <row r="1373" spans="1:8" hidden="1" x14ac:dyDescent="0.4">
      <c r="A1373">
        <v>686</v>
      </c>
      <c r="B1373" t="s">
        <v>2</v>
      </c>
      <c r="C1373">
        <v>0</v>
      </c>
      <c r="D1373">
        <v>2</v>
      </c>
      <c r="E1373">
        <v>24</v>
      </c>
      <c r="F1373">
        <v>4</v>
      </c>
      <c r="G1373">
        <v>1</v>
      </c>
      <c r="H1373">
        <f>표2[[#This Row],[공격성공횟수]]/(표2[[#This Row],[공격실패횟수]]+표2[[#This Row],[공격성공횟수]])</f>
        <v>7.6923076923076927E-2</v>
      </c>
    </row>
    <row r="1374" spans="1:8" x14ac:dyDescent="0.4">
      <c r="A1374">
        <v>687</v>
      </c>
      <c r="B1374" t="s">
        <v>0</v>
      </c>
      <c r="C1374">
        <v>0</v>
      </c>
      <c r="D1374">
        <v>1</v>
      </c>
      <c r="E1374">
        <v>12</v>
      </c>
      <c r="F1374">
        <v>4</v>
      </c>
      <c r="G1374">
        <v>1</v>
      </c>
      <c r="H1374">
        <f>표2[[#This Row],[공격성공횟수]]/(표2[[#This Row],[공격실패횟수]]+표2[[#This Row],[공격성공횟수]])</f>
        <v>7.6923076923076927E-2</v>
      </c>
    </row>
    <row r="1375" spans="1:8" hidden="1" x14ac:dyDescent="0.4">
      <c r="A1375">
        <v>687</v>
      </c>
      <c r="B1375" t="s">
        <v>2</v>
      </c>
      <c r="C1375">
        <v>1</v>
      </c>
      <c r="D1375">
        <v>4</v>
      </c>
      <c r="E1375">
        <v>11</v>
      </c>
      <c r="F1375">
        <v>1</v>
      </c>
      <c r="G1375">
        <v>0</v>
      </c>
      <c r="H1375">
        <f>표2[[#This Row],[공격성공횟수]]/(표2[[#This Row],[공격실패횟수]]+표2[[#This Row],[공격성공횟수]])</f>
        <v>0.26666666666666666</v>
      </c>
    </row>
    <row r="1376" spans="1:8" x14ac:dyDescent="0.4">
      <c r="A1376">
        <v>688</v>
      </c>
      <c r="B1376" t="s">
        <v>0</v>
      </c>
      <c r="C1376">
        <v>1</v>
      </c>
      <c r="D1376">
        <v>4</v>
      </c>
      <c r="E1376">
        <v>10</v>
      </c>
      <c r="F1376">
        <v>2</v>
      </c>
      <c r="G1376">
        <v>0</v>
      </c>
      <c r="H1376">
        <f>표2[[#This Row],[공격성공횟수]]/(표2[[#This Row],[공격실패횟수]]+표2[[#This Row],[공격성공횟수]])</f>
        <v>0.2857142857142857</v>
      </c>
    </row>
    <row r="1377" spans="1:8" hidden="1" x14ac:dyDescent="0.4">
      <c r="A1377">
        <v>688</v>
      </c>
      <c r="B1377" t="s">
        <v>2</v>
      </c>
      <c r="C1377">
        <v>0</v>
      </c>
      <c r="D1377">
        <v>2</v>
      </c>
      <c r="E1377">
        <v>11</v>
      </c>
      <c r="F1377">
        <v>4</v>
      </c>
      <c r="G1377">
        <v>1</v>
      </c>
      <c r="H1377">
        <f>표2[[#This Row],[공격성공횟수]]/(표2[[#This Row],[공격실패횟수]]+표2[[#This Row],[공격성공횟수]])</f>
        <v>0.15384615384615385</v>
      </c>
    </row>
    <row r="1378" spans="1:8" x14ac:dyDescent="0.4">
      <c r="A1378">
        <v>689</v>
      </c>
      <c r="B1378" t="s">
        <v>0</v>
      </c>
      <c r="C1378">
        <v>1</v>
      </c>
      <c r="D1378">
        <v>4</v>
      </c>
      <c r="E1378">
        <v>41</v>
      </c>
      <c r="F1378">
        <v>2</v>
      </c>
      <c r="G1378">
        <v>0</v>
      </c>
      <c r="H1378">
        <f>표2[[#This Row],[공격성공횟수]]/(표2[[#This Row],[공격실패횟수]]+표2[[#This Row],[공격성공횟수]])</f>
        <v>8.8888888888888892E-2</v>
      </c>
    </row>
    <row r="1379" spans="1:8" hidden="1" x14ac:dyDescent="0.4">
      <c r="A1379">
        <v>689</v>
      </c>
      <c r="B1379" t="s">
        <v>2</v>
      </c>
      <c r="C1379">
        <v>0</v>
      </c>
      <c r="D1379">
        <v>2</v>
      </c>
      <c r="E1379">
        <v>43</v>
      </c>
      <c r="F1379">
        <v>4</v>
      </c>
      <c r="G1379">
        <v>1</v>
      </c>
      <c r="H1379">
        <f>표2[[#This Row],[공격성공횟수]]/(표2[[#This Row],[공격실패횟수]]+표2[[#This Row],[공격성공횟수]])</f>
        <v>4.4444444444444446E-2</v>
      </c>
    </row>
    <row r="1380" spans="1:8" x14ac:dyDescent="0.4">
      <c r="A1380">
        <v>690</v>
      </c>
      <c r="B1380" t="s">
        <v>0</v>
      </c>
      <c r="C1380">
        <v>0</v>
      </c>
      <c r="D1380">
        <v>1</v>
      </c>
      <c r="E1380">
        <v>11</v>
      </c>
      <c r="F1380">
        <v>4</v>
      </c>
      <c r="G1380">
        <v>1</v>
      </c>
      <c r="H1380">
        <f>표2[[#This Row],[공격성공횟수]]/(표2[[#This Row],[공격실패횟수]]+표2[[#This Row],[공격성공횟수]])</f>
        <v>8.3333333333333329E-2</v>
      </c>
    </row>
    <row r="1381" spans="1:8" hidden="1" x14ac:dyDescent="0.4">
      <c r="A1381">
        <v>690</v>
      </c>
      <c r="B1381" t="s">
        <v>2</v>
      </c>
      <c r="C1381">
        <v>1</v>
      </c>
      <c r="D1381">
        <v>4</v>
      </c>
      <c r="E1381">
        <v>10</v>
      </c>
      <c r="F1381">
        <v>1</v>
      </c>
      <c r="G1381">
        <v>0</v>
      </c>
      <c r="H1381">
        <f>표2[[#This Row],[공격성공횟수]]/(표2[[#This Row],[공격실패횟수]]+표2[[#This Row],[공격성공횟수]])</f>
        <v>0.2857142857142857</v>
      </c>
    </row>
    <row r="1382" spans="1:8" x14ac:dyDescent="0.4">
      <c r="A1382">
        <v>691</v>
      </c>
      <c r="B1382" t="s">
        <v>0</v>
      </c>
      <c r="C1382">
        <v>1</v>
      </c>
      <c r="D1382">
        <v>4</v>
      </c>
      <c r="E1382">
        <v>5</v>
      </c>
      <c r="F1382">
        <v>0</v>
      </c>
      <c r="G1382">
        <v>0</v>
      </c>
      <c r="H1382">
        <f>표2[[#This Row],[공격성공횟수]]/(표2[[#This Row],[공격실패횟수]]+표2[[#This Row],[공격성공횟수]])</f>
        <v>0.44444444444444442</v>
      </c>
    </row>
    <row r="1383" spans="1:8" hidden="1" x14ac:dyDescent="0.4">
      <c r="A1383">
        <v>691</v>
      </c>
      <c r="B1383" t="s">
        <v>2</v>
      </c>
      <c r="C1383">
        <v>0</v>
      </c>
      <c r="D1383">
        <v>0</v>
      </c>
      <c r="E1383">
        <v>8</v>
      </c>
      <c r="F1383">
        <v>4</v>
      </c>
      <c r="G1383">
        <v>1</v>
      </c>
      <c r="H1383">
        <f>표2[[#This Row],[공격성공횟수]]/(표2[[#This Row],[공격실패횟수]]+표2[[#This Row],[공격성공횟수]])</f>
        <v>0</v>
      </c>
    </row>
    <row r="1384" spans="1:8" x14ac:dyDescent="0.4">
      <c r="A1384">
        <v>692</v>
      </c>
      <c r="B1384" t="s">
        <v>0</v>
      </c>
      <c r="C1384">
        <v>1</v>
      </c>
      <c r="D1384">
        <v>4</v>
      </c>
      <c r="E1384">
        <v>4</v>
      </c>
      <c r="F1384">
        <v>0</v>
      </c>
      <c r="G1384">
        <v>0</v>
      </c>
      <c r="H1384">
        <f>표2[[#This Row],[공격성공횟수]]/(표2[[#This Row],[공격실패횟수]]+표2[[#This Row],[공격성공횟수]])</f>
        <v>0.5</v>
      </c>
    </row>
    <row r="1385" spans="1:8" hidden="1" x14ac:dyDescent="0.4">
      <c r="A1385">
        <v>692</v>
      </c>
      <c r="B1385" t="s">
        <v>2</v>
      </c>
      <c r="C1385">
        <v>0</v>
      </c>
      <c r="D1385">
        <v>0</v>
      </c>
      <c r="E1385">
        <v>8</v>
      </c>
      <c r="F1385">
        <v>4</v>
      </c>
      <c r="G1385">
        <v>1</v>
      </c>
      <c r="H1385">
        <f>표2[[#This Row],[공격성공횟수]]/(표2[[#This Row],[공격실패횟수]]+표2[[#This Row],[공격성공횟수]])</f>
        <v>0</v>
      </c>
    </row>
    <row r="1386" spans="1:8" x14ac:dyDescent="0.4">
      <c r="A1386">
        <v>693</v>
      </c>
      <c r="B1386" t="s">
        <v>0</v>
      </c>
      <c r="C1386">
        <v>1</v>
      </c>
      <c r="D1386">
        <v>4</v>
      </c>
      <c r="E1386">
        <v>84</v>
      </c>
      <c r="F1386">
        <v>1</v>
      </c>
      <c r="G1386">
        <v>0</v>
      </c>
      <c r="H1386">
        <f>표2[[#This Row],[공격성공횟수]]/(표2[[#This Row],[공격실패횟수]]+표2[[#This Row],[공격성공횟수]])</f>
        <v>4.5454545454545456E-2</v>
      </c>
    </row>
    <row r="1387" spans="1:8" hidden="1" x14ac:dyDescent="0.4">
      <c r="A1387">
        <v>693</v>
      </c>
      <c r="B1387" t="s">
        <v>2</v>
      </c>
      <c r="C1387">
        <v>0</v>
      </c>
      <c r="D1387">
        <v>1</v>
      </c>
      <c r="E1387">
        <v>86</v>
      </c>
      <c r="F1387">
        <v>4</v>
      </c>
      <c r="G1387">
        <v>1</v>
      </c>
      <c r="H1387">
        <f>표2[[#This Row],[공격성공횟수]]/(표2[[#This Row],[공격실패횟수]]+표2[[#This Row],[공격성공횟수]])</f>
        <v>1.1494252873563218E-2</v>
      </c>
    </row>
    <row r="1388" spans="1:8" x14ac:dyDescent="0.4">
      <c r="A1388">
        <v>694</v>
      </c>
      <c r="B1388" t="s">
        <v>0</v>
      </c>
      <c r="C1388">
        <v>1</v>
      </c>
      <c r="D1388">
        <v>4</v>
      </c>
      <c r="E1388">
        <v>4</v>
      </c>
      <c r="F1388">
        <v>1</v>
      </c>
      <c r="G1388">
        <v>0</v>
      </c>
      <c r="H1388">
        <f>표2[[#This Row],[공격성공횟수]]/(표2[[#This Row],[공격실패횟수]]+표2[[#This Row],[공격성공횟수]])</f>
        <v>0.5</v>
      </c>
    </row>
    <row r="1389" spans="1:8" hidden="1" x14ac:dyDescent="0.4">
      <c r="A1389">
        <v>694</v>
      </c>
      <c r="B1389" t="s">
        <v>2</v>
      </c>
      <c r="C1389">
        <v>0</v>
      </c>
      <c r="D1389">
        <v>1</v>
      </c>
      <c r="E1389">
        <v>7</v>
      </c>
      <c r="F1389">
        <v>4</v>
      </c>
      <c r="G1389">
        <v>1</v>
      </c>
      <c r="H1389">
        <f>표2[[#This Row],[공격성공횟수]]/(표2[[#This Row],[공격실패횟수]]+표2[[#This Row],[공격성공횟수]])</f>
        <v>0.125</v>
      </c>
    </row>
    <row r="1390" spans="1:8" x14ac:dyDescent="0.4">
      <c r="A1390">
        <v>695</v>
      </c>
      <c r="B1390" t="s">
        <v>0</v>
      </c>
      <c r="C1390">
        <v>1</v>
      </c>
      <c r="D1390">
        <v>4</v>
      </c>
      <c r="E1390">
        <v>20</v>
      </c>
      <c r="F1390">
        <v>3</v>
      </c>
      <c r="G1390">
        <v>0</v>
      </c>
      <c r="H1390">
        <f>표2[[#This Row],[공격성공횟수]]/(표2[[#This Row],[공격실패횟수]]+표2[[#This Row],[공격성공횟수]])</f>
        <v>0.16666666666666666</v>
      </c>
    </row>
    <row r="1391" spans="1:8" hidden="1" x14ac:dyDescent="0.4">
      <c r="A1391">
        <v>695</v>
      </c>
      <c r="B1391" t="s">
        <v>2</v>
      </c>
      <c r="C1391">
        <v>0</v>
      </c>
      <c r="D1391">
        <v>3</v>
      </c>
      <c r="E1391">
        <v>21</v>
      </c>
      <c r="F1391">
        <v>4</v>
      </c>
      <c r="G1391">
        <v>1</v>
      </c>
      <c r="H1391">
        <f>표2[[#This Row],[공격성공횟수]]/(표2[[#This Row],[공격실패횟수]]+표2[[#This Row],[공격성공횟수]])</f>
        <v>0.125</v>
      </c>
    </row>
    <row r="1392" spans="1:8" x14ac:dyDescent="0.4">
      <c r="A1392">
        <v>696</v>
      </c>
      <c r="B1392" t="s">
        <v>0</v>
      </c>
      <c r="C1392">
        <v>1</v>
      </c>
      <c r="D1392">
        <v>4</v>
      </c>
      <c r="E1392">
        <v>16</v>
      </c>
      <c r="F1392">
        <v>0</v>
      </c>
      <c r="G1392">
        <v>0</v>
      </c>
      <c r="H1392">
        <f>표2[[#This Row],[공격성공횟수]]/(표2[[#This Row],[공격실패횟수]]+표2[[#This Row],[공격성공횟수]])</f>
        <v>0.2</v>
      </c>
    </row>
    <row r="1393" spans="1:8" hidden="1" x14ac:dyDescent="0.4">
      <c r="A1393">
        <v>696</v>
      </c>
      <c r="B1393" t="s">
        <v>2</v>
      </c>
      <c r="C1393">
        <v>0</v>
      </c>
      <c r="D1393">
        <v>0</v>
      </c>
      <c r="E1393">
        <v>21</v>
      </c>
      <c r="F1393">
        <v>4</v>
      </c>
      <c r="G1393">
        <v>1</v>
      </c>
      <c r="H1393">
        <f>표2[[#This Row],[공격성공횟수]]/(표2[[#This Row],[공격실패횟수]]+표2[[#This Row],[공격성공횟수]])</f>
        <v>0</v>
      </c>
    </row>
    <row r="1394" spans="1:8" x14ac:dyDescent="0.4">
      <c r="A1394">
        <v>697</v>
      </c>
      <c r="B1394" t="s">
        <v>0</v>
      </c>
      <c r="C1394">
        <v>1</v>
      </c>
      <c r="D1394">
        <v>4</v>
      </c>
      <c r="E1394">
        <v>42</v>
      </c>
      <c r="F1394">
        <v>0</v>
      </c>
      <c r="G1394">
        <v>0</v>
      </c>
      <c r="H1394">
        <f>표2[[#This Row],[공격성공횟수]]/(표2[[#This Row],[공격실패횟수]]+표2[[#This Row],[공격성공횟수]])</f>
        <v>8.6956521739130432E-2</v>
      </c>
    </row>
    <row r="1395" spans="1:8" hidden="1" x14ac:dyDescent="0.4">
      <c r="A1395">
        <v>697</v>
      </c>
      <c r="B1395" t="s">
        <v>2</v>
      </c>
      <c r="C1395">
        <v>0</v>
      </c>
      <c r="D1395">
        <v>0</v>
      </c>
      <c r="E1395">
        <v>46</v>
      </c>
      <c r="F1395">
        <v>4</v>
      </c>
      <c r="G1395">
        <v>1</v>
      </c>
      <c r="H1395">
        <f>표2[[#This Row],[공격성공횟수]]/(표2[[#This Row],[공격실패횟수]]+표2[[#This Row],[공격성공횟수]])</f>
        <v>0</v>
      </c>
    </row>
    <row r="1396" spans="1:8" x14ac:dyDescent="0.4">
      <c r="A1396">
        <v>698</v>
      </c>
      <c r="B1396" t="s">
        <v>0</v>
      </c>
      <c r="C1396">
        <v>1</v>
      </c>
      <c r="D1396">
        <v>4</v>
      </c>
      <c r="E1396">
        <v>27</v>
      </c>
      <c r="F1396">
        <v>1</v>
      </c>
      <c r="G1396">
        <v>0</v>
      </c>
      <c r="H1396">
        <f>표2[[#This Row],[공격성공횟수]]/(표2[[#This Row],[공격실패횟수]]+표2[[#This Row],[공격성공횟수]])</f>
        <v>0.12903225806451613</v>
      </c>
    </row>
    <row r="1397" spans="1:8" hidden="1" x14ac:dyDescent="0.4">
      <c r="A1397">
        <v>698</v>
      </c>
      <c r="B1397" t="s">
        <v>2</v>
      </c>
      <c r="C1397">
        <v>0</v>
      </c>
      <c r="D1397">
        <v>1</v>
      </c>
      <c r="E1397">
        <v>28</v>
      </c>
      <c r="F1397">
        <v>4</v>
      </c>
      <c r="G1397">
        <v>1</v>
      </c>
      <c r="H1397">
        <f>표2[[#This Row],[공격성공횟수]]/(표2[[#This Row],[공격실패횟수]]+표2[[#This Row],[공격성공횟수]])</f>
        <v>3.4482758620689655E-2</v>
      </c>
    </row>
    <row r="1398" spans="1:8" x14ac:dyDescent="0.4">
      <c r="A1398">
        <v>699</v>
      </c>
      <c r="B1398" t="s">
        <v>0</v>
      </c>
      <c r="C1398">
        <v>1</v>
      </c>
      <c r="D1398">
        <v>4</v>
      </c>
      <c r="E1398">
        <v>2</v>
      </c>
      <c r="F1398">
        <v>1</v>
      </c>
      <c r="G1398">
        <v>0</v>
      </c>
      <c r="H1398">
        <f>표2[[#This Row],[공격성공횟수]]/(표2[[#This Row],[공격실패횟수]]+표2[[#This Row],[공격성공횟수]])</f>
        <v>0.66666666666666663</v>
      </c>
    </row>
    <row r="1399" spans="1:8" hidden="1" x14ac:dyDescent="0.4">
      <c r="A1399">
        <v>699</v>
      </c>
      <c r="B1399" t="s">
        <v>2</v>
      </c>
      <c r="C1399">
        <v>0</v>
      </c>
      <c r="D1399">
        <v>1</v>
      </c>
      <c r="E1399">
        <v>5</v>
      </c>
      <c r="F1399">
        <v>4</v>
      </c>
      <c r="G1399">
        <v>1</v>
      </c>
      <c r="H1399">
        <f>표2[[#This Row],[공격성공횟수]]/(표2[[#This Row],[공격실패횟수]]+표2[[#This Row],[공격성공횟수]])</f>
        <v>0.16666666666666666</v>
      </c>
    </row>
    <row r="1400" spans="1:8" x14ac:dyDescent="0.4">
      <c r="A1400">
        <v>700</v>
      </c>
      <c r="B1400" t="s">
        <v>0</v>
      </c>
      <c r="C1400">
        <v>1</v>
      </c>
      <c r="D1400">
        <v>4</v>
      </c>
      <c r="E1400">
        <v>9</v>
      </c>
      <c r="F1400">
        <v>0</v>
      </c>
      <c r="G1400">
        <v>0</v>
      </c>
      <c r="H1400">
        <f>표2[[#This Row],[공격성공횟수]]/(표2[[#This Row],[공격실패횟수]]+표2[[#This Row],[공격성공횟수]])</f>
        <v>0.30769230769230771</v>
      </c>
    </row>
    <row r="1401" spans="1:8" hidden="1" x14ac:dyDescent="0.4">
      <c r="A1401">
        <v>700</v>
      </c>
      <c r="B1401" t="s">
        <v>2</v>
      </c>
      <c r="C1401">
        <v>0</v>
      </c>
      <c r="D1401">
        <v>0</v>
      </c>
      <c r="E1401">
        <v>13</v>
      </c>
      <c r="F1401">
        <v>4</v>
      </c>
      <c r="G1401">
        <v>1</v>
      </c>
      <c r="H1401">
        <f>표2[[#This Row],[공격성공횟수]]/(표2[[#This Row],[공격실패횟수]]+표2[[#This Row],[공격성공횟수]])</f>
        <v>0</v>
      </c>
    </row>
    <row r="1402" spans="1:8" x14ac:dyDescent="0.4">
      <c r="A1402">
        <v>701</v>
      </c>
      <c r="B1402" t="s">
        <v>0</v>
      </c>
      <c r="C1402">
        <v>1</v>
      </c>
      <c r="D1402">
        <v>4</v>
      </c>
      <c r="E1402">
        <v>14</v>
      </c>
      <c r="F1402">
        <v>0</v>
      </c>
      <c r="G1402">
        <v>0</v>
      </c>
      <c r="H1402">
        <f>표2[[#This Row],[공격성공횟수]]/(표2[[#This Row],[공격실패횟수]]+표2[[#This Row],[공격성공횟수]])</f>
        <v>0.22222222222222221</v>
      </c>
    </row>
    <row r="1403" spans="1:8" hidden="1" x14ac:dyDescent="0.4">
      <c r="A1403">
        <v>701</v>
      </c>
      <c r="B1403" t="s">
        <v>2</v>
      </c>
      <c r="C1403">
        <v>0</v>
      </c>
      <c r="D1403">
        <v>0</v>
      </c>
      <c r="E1403">
        <v>19</v>
      </c>
      <c r="F1403">
        <v>4</v>
      </c>
      <c r="G1403">
        <v>1</v>
      </c>
      <c r="H1403">
        <f>표2[[#This Row],[공격성공횟수]]/(표2[[#This Row],[공격실패횟수]]+표2[[#This Row],[공격성공횟수]])</f>
        <v>0</v>
      </c>
    </row>
    <row r="1404" spans="1:8" x14ac:dyDescent="0.4">
      <c r="A1404">
        <v>702</v>
      </c>
      <c r="B1404" t="s">
        <v>0</v>
      </c>
      <c r="C1404">
        <v>1</v>
      </c>
      <c r="D1404">
        <v>4</v>
      </c>
      <c r="E1404">
        <v>6</v>
      </c>
      <c r="F1404">
        <v>1</v>
      </c>
      <c r="G1404">
        <v>0</v>
      </c>
      <c r="H1404">
        <f>표2[[#This Row],[공격성공횟수]]/(표2[[#This Row],[공격실패횟수]]+표2[[#This Row],[공격성공횟수]])</f>
        <v>0.4</v>
      </c>
    </row>
    <row r="1405" spans="1:8" hidden="1" x14ac:dyDescent="0.4">
      <c r="A1405">
        <v>702</v>
      </c>
      <c r="B1405" t="s">
        <v>2</v>
      </c>
      <c r="C1405">
        <v>0</v>
      </c>
      <c r="D1405">
        <v>1</v>
      </c>
      <c r="E1405">
        <v>9</v>
      </c>
      <c r="F1405">
        <v>4</v>
      </c>
      <c r="G1405">
        <v>1</v>
      </c>
      <c r="H1405">
        <f>표2[[#This Row],[공격성공횟수]]/(표2[[#This Row],[공격실패횟수]]+표2[[#This Row],[공격성공횟수]])</f>
        <v>0.1</v>
      </c>
    </row>
    <row r="1406" spans="1:8" x14ac:dyDescent="0.4">
      <c r="A1406">
        <v>703</v>
      </c>
      <c r="B1406" t="s">
        <v>0</v>
      </c>
      <c r="C1406">
        <v>1</v>
      </c>
      <c r="D1406">
        <v>4</v>
      </c>
      <c r="E1406">
        <v>14</v>
      </c>
      <c r="F1406">
        <v>1</v>
      </c>
      <c r="G1406">
        <v>0</v>
      </c>
      <c r="H1406">
        <f>표2[[#This Row],[공격성공횟수]]/(표2[[#This Row],[공격실패횟수]]+표2[[#This Row],[공격성공횟수]])</f>
        <v>0.22222222222222221</v>
      </c>
    </row>
    <row r="1407" spans="1:8" hidden="1" x14ac:dyDescent="0.4">
      <c r="A1407">
        <v>703</v>
      </c>
      <c r="B1407" t="s">
        <v>2</v>
      </c>
      <c r="C1407">
        <v>0</v>
      </c>
      <c r="D1407">
        <v>1</v>
      </c>
      <c r="E1407">
        <v>17</v>
      </c>
      <c r="F1407">
        <v>4</v>
      </c>
      <c r="G1407">
        <v>1</v>
      </c>
      <c r="H1407">
        <f>표2[[#This Row],[공격성공횟수]]/(표2[[#This Row],[공격실패횟수]]+표2[[#This Row],[공격성공횟수]])</f>
        <v>5.5555555555555552E-2</v>
      </c>
    </row>
    <row r="1408" spans="1:8" x14ac:dyDescent="0.4">
      <c r="A1408">
        <v>704</v>
      </c>
      <c r="B1408" t="s">
        <v>0</v>
      </c>
      <c r="C1408">
        <v>1</v>
      </c>
      <c r="D1408">
        <v>4</v>
      </c>
      <c r="E1408">
        <v>2</v>
      </c>
      <c r="F1408">
        <v>3</v>
      </c>
      <c r="G1408">
        <v>0</v>
      </c>
      <c r="H1408">
        <f>표2[[#This Row],[공격성공횟수]]/(표2[[#This Row],[공격실패횟수]]+표2[[#This Row],[공격성공횟수]])</f>
        <v>0.66666666666666663</v>
      </c>
    </row>
    <row r="1409" spans="1:8" hidden="1" x14ac:dyDescent="0.4">
      <c r="A1409">
        <v>704</v>
      </c>
      <c r="B1409" t="s">
        <v>2</v>
      </c>
      <c r="C1409">
        <v>0</v>
      </c>
      <c r="D1409">
        <v>3</v>
      </c>
      <c r="E1409">
        <v>4</v>
      </c>
      <c r="F1409">
        <v>4</v>
      </c>
      <c r="G1409">
        <v>1</v>
      </c>
      <c r="H1409">
        <f>표2[[#This Row],[공격성공횟수]]/(표2[[#This Row],[공격실패횟수]]+표2[[#This Row],[공격성공횟수]])</f>
        <v>0.42857142857142855</v>
      </c>
    </row>
    <row r="1410" spans="1:8" x14ac:dyDescent="0.4">
      <c r="A1410">
        <v>705</v>
      </c>
      <c r="B1410" t="s">
        <v>0</v>
      </c>
      <c r="C1410">
        <v>0</v>
      </c>
      <c r="D1410">
        <v>2</v>
      </c>
      <c r="E1410">
        <v>12</v>
      </c>
      <c r="F1410">
        <v>4</v>
      </c>
      <c r="G1410">
        <v>1</v>
      </c>
      <c r="H1410">
        <f>표2[[#This Row],[공격성공횟수]]/(표2[[#This Row],[공격실패횟수]]+표2[[#This Row],[공격성공횟수]])</f>
        <v>0.14285714285714285</v>
      </c>
    </row>
    <row r="1411" spans="1:8" hidden="1" x14ac:dyDescent="0.4">
      <c r="A1411">
        <v>705</v>
      </c>
      <c r="B1411" t="s">
        <v>2</v>
      </c>
      <c r="C1411">
        <v>1</v>
      </c>
      <c r="D1411">
        <v>4</v>
      </c>
      <c r="E1411">
        <v>11</v>
      </c>
      <c r="F1411">
        <v>2</v>
      </c>
      <c r="G1411">
        <v>0</v>
      </c>
      <c r="H1411">
        <f>표2[[#This Row],[공격성공횟수]]/(표2[[#This Row],[공격실패횟수]]+표2[[#This Row],[공격성공횟수]])</f>
        <v>0.26666666666666666</v>
      </c>
    </row>
    <row r="1412" spans="1:8" x14ac:dyDescent="0.4">
      <c r="A1412">
        <v>706</v>
      </c>
      <c r="B1412" t="s">
        <v>0</v>
      </c>
      <c r="C1412">
        <v>0</v>
      </c>
      <c r="D1412">
        <v>2</v>
      </c>
      <c r="E1412">
        <v>11</v>
      </c>
      <c r="F1412">
        <v>4</v>
      </c>
      <c r="G1412">
        <v>1</v>
      </c>
      <c r="H1412">
        <f>표2[[#This Row],[공격성공횟수]]/(표2[[#This Row],[공격실패횟수]]+표2[[#This Row],[공격성공횟수]])</f>
        <v>0.15384615384615385</v>
      </c>
    </row>
    <row r="1413" spans="1:8" hidden="1" x14ac:dyDescent="0.4">
      <c r="A1413">
        <v>706</v>
      </c>
      <c r="B1413" t="s">
        <v>2</v>
      </c>
      <c r="C1413">
        <v>1</v>
      </c>
      <c r="D1413">
        <v>4</v>
      </c>
      <c r="E1413">
        <v>8</v>
      </c>
      <c r="F1413">
        <v>2</v>
      </c>
      <c r="G1413">
        <v>0</v>
      </c>
      <c r="H1413">
        <f>표2[[#This Row],[공격성공횟수]]/(표2[[#This Row],[공격실패횟수]]+표2[[#This Row],[공격성공횟수]])</f>
        <v>0.33333333333333331</v>
      </c>
    </row>
    <row r="1414" spans="1:8" x14ac:dyDescent="0.4">
      <c r="A1414">
        <v>707</v>
      </c>
      <c r="B1414" t="s">
        <v>0</v>
      </c>
      <c r="C1414">
        <v>1</v>
      </c>
      <c r="D1414">
        <v>4</v>
      </c>
      <c r="E1414">
        <v>58</v>
      </c>
      <c r="F1414">
        <v>1</v>
      </c>
      <c r="G1414">
        <v>0</v>
      </c>
      <c r="H1414">
        <f>표2[[#This Row],[공격성공횟수]]/(표2[[#This Row],[공격실패횟수]]+표2[[#This Row],[공격성공횟수]])</f>
        <v>6.4516129032258063E-2</v>
      </c>
    </row>
    <row r="1415" spans="1:8" hidden="1" x14ac:dyDescent="0.4">
      <c r="A1415">
        <v>707</v>
      </c>
      <c r="B1415" t="s">
        <v>2</v>
      </c>
      <c r="C1415">
        <v>0</v>
      </c>
      <c r="D1415">
        <v>1</v>
      </c>
      <c r="E1415">
        <v>59</v>
      </c>
      <c r="F1415">
        <v>4</v>
      </c>
      <c r="G1415">
        <v>1</v>
      </c>
      <c r="H1415">
        <f>표2[[#This Row],[공격성공횟수]]/(표2[[#This Row],[공격실패횟수]]+표2[[#This Row],[공격성공횟수]])</f>
        <v>1.6666666666666666E-2</v>
      </c>
    </row>
    <row r="1416" spans="1:8" x14ac:dyDescent="0.4">
      <c r="A1416">
        <v>708</v>
      </c>
      <c r="B1416" t="s">
        <v>0</v>
      </c>
      <c r="C1416">
        <v>1</v>
      </c>
      <c r="D1416">
        <v>4</v>
      </c>
      <c r="E1416">
        <v>4</v>
      </c>
      <c r="F1416">
        <v>1</v>
      </c>
      <c r="G1416">
        <v>0</v>
      </c>
      <c r="H1416">
        <f>표2[[#This Row],[공격성공횟수]]/(표2[[#This Row],[공격실패횟수]]+표2[[#This Row],[공격성공횟수]])</f>
        <v>0.5</v>
      </c>
    </row>
    <row r="1417" spans="1:8" hidden="1" x14ac:dyDescent="0.4">
      <c r="A1417">
        <v>708</v>
      </c>
      <c r="B1417" t="s">
        <v>2</v>
      </c>
      <c r="C1417">
        <v>0</v>
      </c>
      <c r="D1417">
        <v>1</v>
      </c>
      <c r="E1417">
        <v>7</v>
      </c>
      <c r="F1417">
        <v>4</v>
      </c>
      <c r="G1417">
        <v>1</v>
      </c>
      <c r="H1417">
        <f>표2[[#This Row],[공격성공횟수]]/(표2[[#This Row],[공격실패횟수]]+표2[[#This Row],[공격성공횟수]])</f>
        <v>0.125</v>
      </c>
    </row>
    <row r="1418" spans="1:8" x14ac:dyDescent="0.4">
      <c r="A1418">
        <v>709</v>
      </c>
      <c r="B1418" t="s">
        <v>0</v>
      </c>
      <c r="C1418">
        <v>1</v>
      </c>
      <c r="D1418">
        <v>4</v>
      </c>
      <c r="E1418">
        <v>32</v>
      </c>
      <c r="F1418">
        <v>1</v>
      </c>
      <c r="G1418">
        <v>0</v>
      </c>
      <c r="H1418">
        <f>표2[[#This Row],[공격성공횟수]]/(표2[[#This Row],[공격실패횟수]]+표2[[#This Row],[공격성공횟수]])</f>
        <v>0.1111111111111111</v>
      </c>
    </row>
    <row r="1419" spans="1:8" hidden="1" x14ac:dyDescent="0.4">
      <c r="A1419">
        <v>709</v>
      </c>
      <c r="B1419" t="s">
        <v>2</v>
      </c>
      <c r="C1419">
        <v>0</v>
      </c>
      <c r="D1419">
        <v>1</v>
      </c>
      <c r="E1419">
        <v>35</v>
      </c>
      <c r="F1419">
        <v>4</v>
      </c>
      <c r="G1419">
        <v>1</v>
      </c>
      <c r="H1419">
        <f>표2[[#This Row],[공격성공횟수]]/(표2[[#This Row],[공격실패횟수]]+표2[[#This Row],[공격성공횟수]])</f>
        <v>2.7777777777777776E-2</v>
      </c>
    </row>
    <row r="1420" spans="1:8" x14ac:dyDescent="0.4">
      <c r="A1420">
        <v>710</v>
      </c>
      <c r="B1420" t="s">
        <v>0</v>
      </c>
      <c r="C1420">
        <v>1</v>
      </c>
      <c r="D1420">
        <v>4</v>
      </c>
      <c r="E1420">
        <v>19</v>
      </c>
      <c r="F1420">
        <v>1</v>
      </c>
      <c r="G1420">
        <v>0</v>
      </c>
      <c r="H1420">
        <f>표2[[#This Row],[공격성공횟수]]/(표2[[#This Row],[공격실패횟수]]+표2[[#This Row],[공격성공횟수]])</f>
        <v>0.17391304347826086</v>
      </c>
    </row>
    <row r="1421" spans="1:8" hidden="1" x14ac:dyDescent="0.4">
      <c r="A1421">
        <v>710</v>
      </c>
      <c r="B1421" t="s">
        <v>2</v>
      </c>
      <c r="C1421">
        <v>0</v>
      </c>
      <c r="D1421">
        <v>1</v>
      </c>
      <c r="E1421">
        <v>23</v>
      </c>
      <c r="F1421">
        <v>4</v>
      </c>
      <c r="G1421">
        <v>1</v>
      </c>
      <c r="H1421">
        <f>표2[[#This Row],[공격성공횟수]]/(표2[[#This Row],[공격실패횟수]]+표2[[#This Row],[공격성공횟수]])</f>
        <v>4.1666666666666664E-2</v>
      </c>
    </row>
    <row r="1422" spans="1:8" x14ac:dyDescent="0.4">
      <c r="A1422">
        <v>711</v>
      </c>
      <c r="B1422" t="s">
        <v>0</v>
      </c>
      <c r="C1422">
        <v>0</v>
      </c>
      <c r="D1422">
        <v>0</v>
      </c>
      <c r="E1422">
        <v>15</v>
      </c>
      <c r="F1422">
        <v>4</v>
      </c>
      <c r="G1422">
        <v>1</v>
      </c>
      <c r="H1422">
        <f>표2[[#This Row],[공격성공횟수]]/(표2[[#This Row],[공격실패횟수]]+표2[[#This Row],[공격성공횟수]])</f>
        <v>0</v>
      </c>
    </row>
    <row r="1423" spans="1:8" hidden="1" x14ac:dyDescent="0.4">
      <c r="A1423">
        <v>711</v>
      </c>
      <c r="B1423" t="s">
        <v>2</v>
      </c>
      <c r="C1423">
        <v>1</v>
      </c>
      <c r="D1423">
        <v>4</v>
      </c>
      <c r="E1423">
        <v>9</v>
      </c>
      <c r="F1423">
        <v>0</v>
      </c>
      <c r="G1423">
        <v>0</v>
      </c>
      <c r="H1423">
        <f>표2[[#This Row],[공격성공횟수]]/(표2[[#This Row],[공격실패횟수]]+표2[[#This Row],[공격성공횟수]])</f>
        <v>0.30769230769230771</v>
      </c>
    </row>
    <row r="1424" spans="1:8" x14ac:dyDescent="0.4">
      <c r="A1424">
        <v>712</v>
      </c>
      <c r="B1424" t="s">
        <v>0</v>
      </c>
      <c r="C1424">
        <v>1</v>
      </c>
      <c r="D1424">
        <v>4</v>
      </c>
      <c r="E1424">
        <v>8</v>
      </c>
      <c r="F1424">
        <v>3</v>
      </c>
      <c r="G1424">
        <v>0</v>
      </c>
      <c r="H1424">
        <f>표2[[#This Row],[공격성공횟수]]/(표2[[#This Row],[공격실패횟수]]+표2[[#This Row],[공격성공횟수]])</f>
        <v>0.33333333333333331</v>
      </c>
    </row>
    <row r="1425" spans="1:8" hidden="1" x14ac:dyDescent="0.4">
      <c r="A1425">
        <v>712</v>
      </c>
      <c r="B1425" t="s">
        <v>2</v>
      </c>
      <c r="C1425">
        <v>0</v>
      </c>
      <c r="D1425">
        <v>3</v>
      </c>
      <c r="E1425">
        <v>8</v>
      </c>
      <c r="F1425">
        <v>4</v>
      </c>
      <c r="G1425">
        <v>1</v>
      </c>
      <c r="H1425">
        <f>표2[[#This Row],[공격성공횟수]]/(표2[[#This Row],[공격실패횟수]]+표2[[#This Row],[공격성공횟수]])</f>
        <v>0.27272727272727271</v>
      </c>
    </row>
    <row r="1426" spans="1:8" x14ac:dyDescent="0.4">
      <c r="A1426">
        <v>713</v>
      </c>
      <c r="B1426" t="s">
        <v>0</v>
      </c>
      <c r="C1426">
        <v>1</v>
      </c>
      <c r="D1426">
        <v>4</v>
      </c>
      <c r="E1426">
        <v>17</v>
      </c>
      <c r="F1426">
        <v>0</v>
      </c>
      <c r="G1426">
        <v>0</v>
      </c>
      <c r="H1426">
        <f>표2[[#This Row],[공격성공횟수]]/(표2[[#This Row],[공격실패횟수]]+표2[[#This Row],[공격성공횟수]])</f>
        <v>0.19047619047619047</v>
      </c>
    </row>
    <row r="1427" spans="1:8" hidden="1" x14ac:dyDescent="0.4">
      <c r="A1427">
        <v>713</v>
      </c>
      <c r="B1427" t="s">
        <v>2</v>
      </c>
      <c r="C1427">
        <v>0</v>
      </c>
      <c r="D1427">
        <v>0</v>
      </c>
      <c r="E1427">
        <v>21</v>
      </c>
      <c r="F1427">
        <v>4</v>
      </c>
      <c r="G1427">
        <v>1</v>
      </c>
      <c r="H1427">
        <f>표2[[#This Row],[공격성공횟수]]/(표2[[#This Row],[공격실패횟수]]+표2[[#This Row],[공격성공횟수]])</f>
        <v>0</v>
      </c>
    </row>
    <row r="1428" spans="1:8" x14ac:dyDescent="0.4">
      <c r="A1428">
        <v>714</v>
      </c>
      <c r="B1428" t="s">
        <v>0</v>
      </c>
      <c r="C1428">
        <v>1</v>
      </c>
      <c r="D1428">
        <v>4</v>
      </c>
      <c r="E1428">
        <v>4</v>
      </c>
      <c r="F1428">
        <v>0</v>
      </c>
      <c r="G1428">
        <v>0</v>
      </c>
      <c r="H1428">
        <f>표2[[#This Row],[공격성공횟수]]/(표2[[#This Row],[공격실패횟수]]+표2[[#This Row],[공격성공횟수]])</f>
        <v>0.5</v>
      </c>
    </row>
    <row r="1429" spans="1:8" hidden="1" x14ac:dyDescent="0.4">
      <c r="A1429">
        <v>714</v>
      </c>
      <c r="B1429" t="s">
        <v>2</v>
      </c>
      <c r="C1429">
        <v>0</v>
      </c>
      <c r="D1429">
        <v>0</v>
      </c>
      <c r="E1429">
        <v>8</v>
      </c>
      <c r="F1429">
        <v>4</v>
      </c>
      <c r="G1429">
        <v>1</v>
      </c>
      <c r="H1429">
        <f>표2[[#This Row],[공격성공횟수]]/(표2[[#This Row],[공격실패횟수]]+표2[[#This Row],[공격성공횟수]])</f>
        <v>0</v>
      </c>
    </row>
    <row r="1430" spans="1:8" x14ac:dyDescent="0.4">
      <c r="A1430">
        <v>715</v>
      </c>
      <c r="B1430" t="s">
        <v>0</v>
      </c>
      <c r="C1430">
        <v>1</v>
      </c>
      <c r="D1430">
        <v>4</v>
      </c>
      <c r="E1430">
        <v>6</v>
      </c>
      <c r="F1430">
        <v>2</v>
      </c>
      <c r="G1430">
        <v>0</v>
      </c>
      <c r="H1430">
        <f>표2[[#This Row],[공격성공횟수]]/(표2[[#This Row],[공격실패횟수]]+표2[[#This Row],[공격성공횟수]])</f>
        <v>0.4</v>
      </c>
    </row>
    <row r="1431" spans="1:8" hidden="1" x14ac:dyDescent="0.4">
      <c r="A1431">
        <v>715</v>
      </c>
      <c r="B1431" t="s">
        <v>2</v>
      </c>
      <c r="C1431">
        <v>0</v>
      </c>
      <c r="D1431">
        <v>2</v>
      </c>
      <c r="E1431">
        <v>9</v>
      </c>
      <c r="F1431">
        <v>4</v>
      </c>
      <c r="G1431">
        <v>1</v>
      </c>
      <c r="H1431">
        <f>표2[[#This Row],[공격성공횟수]]/(표2[[#This Row],[공격실패횟수]]+표2[[#This Row],[공격성공횟수]])</f>
        <v>0.18181818181818182</v>
      </c>
    </row>
    <row r="1432" spans="1:8" x14ac:dyDescent="0.4">
      <c r="A1432">
        <v>716</v>
      </c>
      <c r="B1432" t="s">
        <v>0</v>
      </c>
      <c r="C1432">
        <v>1</v>
      </c>
      <c r="D1432">
        <v>4</v>
      </c>
      <c r="E1432">
        <v>28</v>
      </c>
      <c r="F1432">
        <v>2</v>
      </c>
      <c r="G1432">
        <v>0</v>
      </c>
      <c r="H1432">
        <f>표2[[#This Row],[공격성공횟수]]/(표2[[#This Row],[공격실패횟수]]+표2[[#This Row],[공격성공횟수]])</f>
        <v>0.125</v>
      </c>
    </row>
    <row r="1433" spans="1:8" hidden="1" x14ac:dyDescent="0.4">
      <c r="A1433">
        <v>716</v>
      </c>
      <c r="B1433" t="s">
        <v>2</v>
      </c>
      <c r="C1433">
        <v>0</v>
      </c>
      <c r="D1433">
        <v>2</v>
      </c>
      <c r="E1433">
        <v>30</v>
      </c>
      <c r="F1433">
        <v>4</v>
      </c>
      <c r="G1433">
        <v>1</v>
      </c>
      <c r="H1433">
        <f>표2[[#This Row],[공격성공횟수]]/(표2[[#This Row],[공격실패횟수]]+표2[[#This Row],[공격성공횟수]])</f>
        <v>6.25E-2</v>
      </c>
    </row>
    <row r="1434" spans="1:8" x14ac:dyDescent="0.4">
      <c r="A1434">
        <v>717</v>
      </c>
      <c r="B1434" t="s">
        <v>0</v>
      </c>
      <c r="C1434">
        <v>1</v>
      </c>
      <c r="D1434">
        <v>4</v>
      </c>
      <c r="E1434">
        <v>9</v>
      </c>
      <c r="F1434">
        <v>0</v>
      </c>
      <c r="G1434">
        <v>0</v>
      </c>
      <c r="H1434">
        <f>표2[[#This Row],[공격성공횟수]]/(표2[[#This Row],[공격실패횟수]]+표2[[#This Row],[공격성공횟수]])</f>
        <v>0.30769230769230771</v>
      </c>
    </row>
    <row r="1435" spans="1:8" hidden="1" x14ac:dyDescent="0.4">
      <c r="A1435">
        <v>717</v>
      </c>
      <c r="B1435" t="s">
        <v>2</v>
      </c>
      <c r="C1435">
        <v>0</v>
      </c>
      <c r="D1435">
        <v>0</v>
      </c>
      <c r="E1435">
        <v>14</v>
      </c>
      <c r="F1435">
        <v>4</v>
      </c>
      <c r="G1435">
        <v>1</v>
      </c>
      <c r="H1435">
        <f>표2[[#This Row],[공격성공횟수]]/(표2[[#This Row],[공격실패횟수]]+표2[[#This Row],[공격성공횟수]])</f>
        <v>0</v>
      </c>
    </row>
    <row r="1436" spans="1:8" x14ac:dyDescent="0.4">
      <c r="A1436">
        <v>718</v>
      </c>
      <c r="B1436" t="s">
        <v>0</v>
      </c>
      <c r="C1436">
        <v>1</v>
      </c>
      <c r="D1436">
        <v>4</v>
      </c>
      <c r="E1436">
        <v>20</v>
      </c>
      <c r="F1436">
        <v>1</v>
      </c>
      <c r="G1436">
        <v>0</v>
      </c>
      <c r="H1436">
        <f>표2[[#This Row],[공격성공횟수]]/(표2[[#This Row],[공격실패횟수]]+표2[[#This Row],[공격성공횟수]])</f>
        <v>0.16666666666666666</v>
      </c>
    </row>
    <row r="1437" spans="1:8" hidden="1" x14ac:dyDescent="0.4">
      <c r="A1437">
        <v>718</v>
      </c>
      <c r="B1437" t="s">
        <v>2</v>
      </c>
      <c r="C1437">
        <v>0</v>
      </c>
      <c r="D1437">
        <v>1</v>
      </c>
      <c r="E1437">
        <v>21</v>
      </c>
      <c r="F1437">
        <v>4</v>
      </c>
      <c r="G1437">
        <v>1</v>
      </c>
      <c r="H1437">
        <f>표2[[#This Row],[공격성공횟수]]/(표2[[#This Row],[공격실패횟수]]+표2[[#This Row],[공격성공횟수]])</f>
        <v>4.5454545454545456E-2</v>
      </c>
    </row>
    <row r="1438" spans="1:8" x14ac:dyDescent="0.4">
      <c r="A1438">
        <v>719</v>
      </c>
      <c r="B1438" t="s">
        <v>0</v>
      </c>
      <c r="C1438">
        <v>1</v>
      </c>
      <c r="D1438">
        <v>4</v>
      </c>
      <c r="E1438">
        <v>3</v>
      </c>
      <c r="F1438">
        <v>3</v>
      </c>
      <c r="G1438">
        <v>0</v>
      </c>
      <c r="H1438">
        <f>표2[[#This Row],[공격성공횟수]]/(표2[[#This Row],[공격실패횟수]]+표2[[#This Row],[공격성공횟수]])</f>
        <v>0.5714285714285714</v>
      </c>
    </row>
    <row r="1439" spans="1:8" hidden="1" x14ac:dyDescent="0.4">
      <c r="A1439">
        <v>719</v>
      </c>
      <c r="B1439" t="s">
        <v>2</v>
      </c>
      <c r="C1439">
        <v>0</v>
      </c>
      <c r="D1439">
        <v>3</v>
      </c>
      <c r="E1439">
        <v>5</v>
      </c>
      <c r="F1439">
        <v>4</v>
      </c>
      <c r="G1439">
        <v>1</v>
      </c>
      <c r="H1439">
        <f>표2[[#This Row],[공격성공횟수]]/(표2[[#This Row],[공격실패횟수]]+표2[[#This Row],[공격성공횟수]])</f>
        <v>0.375</v>
      </c>
    </row>
    <row r="1440" spans="1:8" x14ac:dyDescent="0.4">
      <c r="A1440">
        <v>720</v>
      </c>
      <c r="B1440" t="s">
        <v>0</v>
      </c>
      <c r="C1440">
        <v>1</v>
      </c>
      <c r="D1440">
        <v>4</v>
      </c>
      <c r="E1440">
        <v>15</v>
      </c>
      <c r="F1440">
        <v>1</v>
      </c>
      <c r="G1440">
        <v>0</v>
      </c>
      <c r="H1440">
        <f>표2[[#This Row],[공격성공횟수]]/(표2[[#This Row],[공격실패횟수]]+표2[[#This Row],[공격성공횟수]])</f>
        <v>0.21052631578947367</v>
      </c>
    </row>
    <row r="1441" spans="1:8" hidden="1" x14ac:dyDescent="0.4">
      <c r="A1441">
        <v>720</v>
      </c>
      <c r="B1441" t="s">
        <v>2</v>
      </c>
      <c r="C1441">
        <v>0</v>
      </c>
      <c r="D1441">
        <v>1</v>
      </c>
      <c r="E1441">
        <v>18</v>
      </c>
      <c r="F1441">
        <v>4</v>
      </c>
      <c r="G1441">
        <v>1</v>
      </c>
      <c r="H1441">
        <f>표2[[#This Row],[공격성공횟수]]/(표2[[#This Row],[공격실패횟수]]+표2[[#This Row],[공격성공횟수]])</f>
        <v>5.2631578947368418E-2</v>
      </c>
    </row>
    <row r="1442" spans="1:8" x14ac:dyDescent="0.4">
      <c r="A1442">
        <v>721</v>
      </c>
      <c r="B1442" t="s">
        <v>0</v>
      </c>
      <c r="C1442">
        <v>1</v>
      </c>
      <c r="D1442">
        <v>4</v>
      </c>
      <c r="E1442">
        <v>4</v>
      </c>
      <c r="F1442">
        <v>1</v>
      </c>
      <c r="G1442">
        <v>0</v>
      </c>
      <c r="H1442">
        <f>표2[[#This Row],[공격성공횟수]]/(표2[[#This Row],[공격실패횟수]]+표2[[#This Row],[공격성공횟수]])</f>
        <v>0.5</v>
      </c>
    </row>
    <row r="1443" spans="1:8" hidden="1" x14ac:dyDescent="0.4">
      <c r="A1443">
        <v>721</v>
      </c>
      <c r="B1443" t="s">
        <v>2</v>
      </c>
      <c r="C1443">
        <v>0</v>
      </c>
      <c r="D1443">
        <v>1</v>
      </c>
      <c r="E1443">
        <v>7</v>
      </c>
      <c r="F1443">
        <v>4</v>
      </c>
      <c r="G1443">
        <v>1</v>
      </c>
      <c r="H1443">
        <f>표2[[#This Row],[공격성공횟수]]/(표2[[#This Row],[공격실패횟수]]+표2[[#This Row],[공격성공횟수]])</f>
        <v>0.125</v>
      </c>
    </row>
    <row r="1444" spans="1:8" x14ac:dyDescent="0.4">
      <c r="A1444">
        <v>722</v>
      </c>
      <c r="B1444" t="s">
        <v>0</v>
      </c>
      <c r="C1444">
        <v>1</v>
      </c>
      <c r="D1444">
        <v>4</v>
      </c>
      <c r="E1444">
        <v>4</v>
      </c>
      <c r="F1444">
        <v>1</v>
      </c>
      <c r="G1444">
        <v>0</v>
      </c>
      <c r="H1444">
        <f>표2[[#This Row],[공격성공횟수]]/(표2[[#This Row],[공격실패횟수]]+표2[[#This Row],[공격성공횟수]])</f>
        <v>0.5</v>
      </c>
    </row>
    <row r="1445" spans="1:8" hidden="1" x14ac:dyDescent="0.4">
      <c r="A1445">
        <v>722</v>
      </c>
      <c r="B1445" t="s">
        <v>2</v>
      </c>
      <c r="C1445">
        <v>0</v>
      </c>
      <c r="D1445">
        <v>1</v>
      </c>
      <c r="E1445">
        <v>8</v>
      </c>
      <c r="F1445">
        <v>4</v>
      </c>
      <c r="G1445">
        <v>1</v>
      </c>
      <c r="H1445">
        <f>표2[[#This Row],[공격성공횟수]]/(표2[[#This Row],[공격실패횟수]]+표2[[#This Row],[공격성공횟수]])</f>
        <v>0.1111111111111111</v>
      </c>
    </row>
    <row r="1446" spans="1:8" x14ac:dyDescent="0.4">
      <c r="A1446">
        <v>723</v>
      </c>
      <c r="B1446" t="s">
        <v>0</v>
      </c>
      <c r="C1446">
        <v>1</v>
      </c>
      <c r="D1446">
        <v>4</v>
      </c>
      <c r="E1446">
        <v>11</v>
      </c>
      <c r="F1446">
        <v>0</v>
      </c>
      <c r="G1446">
        <v>0</v>
      </c>
      <c r="H1446">
        <f>표2[[#This Row],[공격성공횟수]]/(표2[[#This Row],[공격실패횟수]]+표2[[#This Row],[공격성공횟수]])</f>
        <v>0.26666666666666666</v>
      </c>
    </row>
    <row r="1447" spans="1:8" hidden="1" x14ac:dyDescent="0.4">
      <c r="A1447">
        <v>723</v>
      </c>
      <c r="B1447" t="s">
        <v>2</v>
      </c>
      <c r="C1447">
        <v>0</v>
      </c>
      <c r="D1447">
        <v>0</v>
      </c>
      <c r="E1447">
        <v>15</v>
      </c>
      <c r="F1447">
        <v>4</v>
      </c>
      <c r="G1447">
        <v>1</v>
      </c>
      <c r="H1447">
        <f>표2[[#This Row],[공격성공횟수]]/(표2[[#This Row],[공격실패횟수]]+표2[[#This Row],[공격성공횟수]])</f>
        <v>0</v>
      </c>
    </row>
    <row r="1448" spans="1:8" x14ac:dyDescent="0.4">
      <c r="A1448">
        <v>724</v>
      </c>
      <c r="B1448" t="s">
        <v>0</v>
      </c>
      <c r="C1448">
        <v>1</v>
      </c>
      <c r="D1448">
        <v>4</v>
      </c>
      <c r="E1448">
        <v>14</v>
      </c>
      <c r="F1448">
        <v>1</v>
      </c>
      <c r="G1448">
        <v>0</v>
      </c>
      <c r="H1448">
        <f>표2[[#This Row],[공격성공횟수]]/(표2[[#This Row],[공격실패횟수]]+표2[[#This Row],[공격성공횟수]])</f>
        <v>0.22222222222222221</v>
      </c>
    </row>
    <row r="1449" spans="1:8" hidden="1" x14ac:dyDescent="0.4">
      <c r="A1449">
        <v>724</v>
      </c>
      <c r="B1449" t="s">
        <v>2</v>
      </c>
      <c r="C1449">
        <v>0</v>
      </c>
      <c r="D1449">
        <v>1</v>
      </c>
      <c r="E1449">
        <v>17</v>
      </c>
      <c r="F1449">
        <v>4</v>
      </c>
      <c r="G1449">
        <v>1</v>
      </c>
      <c r="H1449">
        <f>표2[[#This Row],[공격성공횟수]]/(표2[[#This Row],[공격실패횟수]]+표2[[#This Row],[공격성공횟수]])</f>
        <v>5.5555555555555552E-2</v>
      </c>
    </row>
    <row r="1450" spans="1:8" x14ac:dyDescent="0.4">
      <c r="A1450">
        <v>725</v>
      </c>
      <c r="B1450" t="s">
        <v>0</v>
      </c>
      <c r="C1450">
        <v>1</v>
      </c>
      <c r="D1450">
        <v>4</v>
      </c>
      <c r="E1450">
        <v>21</v>
      </c>
      <c r="F1450">
        <v>2</v>
      </c>
      <c r="G1450">
        <v>0</v>
      </c>
      <c r="H1450">
        <f>표2[[#This Row],[공격성공횟수]]/(표2[[#This Row],[공격실패횟수]]+표2[[#This Row],[공격성공횟수]])</f>
        <v>0.16</v>
      </c>
    </row>
    <row r="1451" spans="1:8" hidden="1" x14ac:dyDescent="0.4">
      <c r="A1451">
        <v>725</v>
      </c>
      <c r="B1451" t="s">
        <v>2</v>
      </c>
      <c r="C1451">
        <v>0</v>
      </c>
      <c r="D1451">
        <v>2</v>
      </c>
      <c r="E1451">
        <v>24</v>
      </c>
      <c r="F1451">
        <v>4</v>
      </c>
      <c r="G1451">
        <v>1</v>
      </c>
      <c r="H1451">
        <f>표2[[#This Row],[공격성공횟수]]/(표2[[#This Row],[공격실패횟수]]+표2[[#This Row],[공격성공횟수]])</f>
        <v>7.6923076923076927E-2</v>
      </c>
    </row>
    <row r="1452" spans="1:8" x14ac:dyDescent="0.4">
      <c r="A1452">
        <v>726</v>
      </c>
      <c r="B1452" t="s">
        <v>0</v>
      </c>
      <c r="C1452">
        <v>1</v>
      </c>
      <c r="D1452">
        <v>4</v>
      </c>
      <c r="E1452">
        <v>9</v>
      </c>
      <c r="F1452">
        <v>1</v>
      </c>
      <c r="G1452">
        <v>0</v>
      </c>
      <c r="H1452">
        <f>표2[[#This Row],[공격성공횟수]]/(표2[[#This Row],[공격실패횟수]]+표2[[#This Row],[공격성공횟수]])</f>
        <v>0.30769230769230771</v>
      </c>
    </row>
    <row r="1453" spans="1:8" hidden="1" x14ac:dyDescent="0.4">
      <c r="A1453">
        <v>726</v>
      </c>
      <c r="B1453" t="s">
        <v>2</v>
      </c>
      <c r="C1453">
        <v>0</v>
      </c>
      <c r="D1453">
        <v>1</v>
      </c>
      <c r="E1453">
        <v>12</v>
      </c>
      <c r="F1453">
        <v>4</v>
      </c>
      <c r="G1453">
        <v>1</v>
      </c>
      <c r="H1453">
        <f>표2[[#This Row],[공격성공횟수]]/(표2[[#This Row],[공격실패횟수]]+표2[[#This Row],[공격성공횟수]])</f>
        <v>7.6923076923076927E-2</v>
      </c>
    </row>
    <row r="1454" spans="1:8" x14ac:dyDescent="0.4">
      <c r="A1454">
        <v>727</v>
      </c>
      <c r="B1454" t="s">
        <v>0</v>
      </c>
      <c r="C1454">
        <v>1</v>
      </c>
      <c r="D1454">
        <v>4</v>
      </c>
      <c r="E1454">
        <v>9</v>
      </c>
      <c r="F1454">
        <v>1</v>
      </c>
      <c r="G1454">
        <v>0</v>
      </c>
      <c r="H1454">
        <f>표2[[#This Row],[공격성공횟수]]/(표2[[#This Row],[공격실패횟수]]+표2[[#This Row],[공격성공횟수]])</f>
        <v>0.30769230769230771</v>
      </c>
    </row>
    <row r="1455" spans="1:8" hidden="1" x14ac:dyDescent="0.4">
      <c r="A1455">
        <v>727</v>
      </c>
      <c r="B1455" t="s">
        <v>2</v>
      </c>
      <c r="C1455">
        <v>0</v>
      </c>
      <c r="D1455">
        <v>1</v>
      </c>
      <c r="E1455">
        <v>13</v>
      </c>
      <c r="F1455">
        <v>4</v>
      </c>
      <c r="G1455">
        <v>1</v>
      </c>
      <c r="H1455">
        <f>표2[[#This Row],[공격성공횟수]]/(표2[[#This Row],[공격실패횟수]]+표2[[#This Row],[공격성공횟수]])</f>
        <v>7.1428571428571425E-2</v>
      </c>
    </row>
    <row r="1456" spans="1:8" x14ac:dyDescent="0.4">
      <c r="A1456">
        <v>728</v>
      </c>
      <c r="B1456" t="s">
        <v>0</v>
      </c>
      <c r="C1456">
        <v>1</v>
      </c>
      <c r="D1456">
        <v>4</v>
      </c>
      <c r="E1456">
        <v>7</v>
      </c>
      <c r="F1456">
        <v>2</v>
      </c>
      <c r="G1456">
        <v>0</v>
      </c>
      <c r="H1456">
        <f>표2[[#This Row],[공격성공횟수]]/(표2[[#This Row],[공격실패횟수]]+표2[[#This Row],[공격성공횟수]])</f>
        <v>0.36363636363636365</v>
      </c>
    </row>
    <row r="1457" spans="1:8" hidden="1" x14ac:dyDescent="0.4">
      <c r="A1457">
        <v>728</v>
      </c>
      <c r="B1457" t="s">
        <v>2</v>
      </c>
      <c r="C1457">
        <v>0</v>
      </c>
      <c r="D1457">
        <v>2</v>
      </c>
      <c r="E1457">
        <v>9</v>
      </c>
      <c r="F1457">
        <v>4</v>
      </c>
      <c r="G1457">
        <v>1</v>
      </c>
      <c r="H1457">
        <f>표2[[#This Row],[공격성공횟수]]/(표2[[#This Row],[공격실패횟수]]+표2[[#This Row],[공격성공횟수]])</f>
        <v>0.18181818181818182</v>
      </c>
    </row>
    <row r="1458" spans="1:8" x14ac:dyDescent="0.4">
      <c r="A1458">
        <v>729</v>
      </c>
      <c r="B1458" t="s">
        <v>0</v>
      </c>
      <c r="C1458">
        <v>1</v>
      </c>
      <c r="D1458">
        <v>4</v>
      </c>
      <c r="E1458">
        <v>13</v>
      </c>
      <c r="F1458">
        <v>1</v>
      </c>
      <c r="G1458">
        <v>0</v>
      </c>
      <c r="H1458">
        <f>표2[[#This Row],[공격성공횟수]]/(표2[[#This Row],[공격실패횟수]]+표2[[#This Row],[공격성공횟수]])</f>
        <v>0.23529411764705882</v>
      </c>
    </row>
    <row r="1459" spans="1:8" hidden="1" x14ac:dyDescent="0.4">
      <c r="A1459">
        <v>729</v>
      </c>
      <c r="B1459" t="s">
        <v>2</v>
      </c>
      <c r="C1459">
        <v>0</v>
      </c>
      <c r="D1459">
        <v>1</v>
      </c>
      <c r="E1459">
        <v>16</v>
      </c>
      <c r="F1459">
        <v>4</v>
      </c>
      <c r="G1459">
        <v>1</v>
      </c>
      <c r="H1459">
        <f>표2[[#This Row],[공격성공횟수]]/(표2[[#This Row],[공격실패횟수]]+표2[[#This Row],[공격성공횟수]])</f>
        <v>5.8823529411764705E-2</v>
      </c>
    </row>
    <row r="1460" spans="1:8" x14ac:dyDescent="0.4">
      <c r="A1460">
        <v>730</v>
      </c>
      <c r="B1460" t="s">
        <v>0</v>
      </c>
      <c r="C1460">
        <v>1</v>
      </c>
      <c r="D1460">
        <v>4</v>
      </c>
      <c r="E1460">
        <v>15</v>
      </c>
      <c r="F1460">
        <v>1</v>
      </c>
      <c r="G1460">
        <v>0</v>
      </c>
      <c r="H1460">
        <f>표2[[#This Row],[공격성공횟수]]/(표2[[#This Row],[공격실패횟수]]+표2[[#This Row],[공격성공횟수]])</f>
        <v>0.21052631578947367</v>
      </c>
    </row>
    <row r="1461" spans="1:8" hidden="1" x14ac:dyDescent="0.4">
      <c r="A1461">
        <v>730</v>
      </c>
      <c r="B1461" t="s">
        <v>2</v>
      </c>
      <c r="C1461">
        <v>0</v>
      </c>
      <c r="D1461">
        <v>1</v>
      </c>
      <c r="E1461">
        <v>19</v>
      </c>
      <c r="F1461">
        <v>4</v>
      </c>
      <c r="G1461">
        <v>1</v>
      </c>
      <c r="H1461">
        <f>표2[[#This Row],[공격성공횟수]]/(표2[[#This Row],[공격실패횟수]]+표2[[#This Row],[공격성공횟수]])</f>
        <v>0.05</v>
      </c>
    </row>
    <row r="1462" spans="1:8" x14ac:dyDescent="0.4">
      <c r="A1462">
        <v>731</v>
      </c>
      <c r="B1462" t="s">
        <v>0</v>
      </c>
      <c r="C1462">
        <v>0</v>
      </c>
      <c r="D1462">
        <v>2</v>
      </c>
      <c r="E1462">
        <v>4</v>
      </c>
      <c r="F1462">
        <v>4</v>
      </c>
      <c r="G1462">
        <v>1</v>
      </c>
      <c r="H1462">
        <f>표2[[#This Row],[공격성공횟수]]/(표2[[#This Row],[공격실패횟수]]+표2[[#This Row],[공격성공횟수]])</f>
        <v>0.33333333333333331</v>
      </c>
    </row>
    <row r="1463" spans="1:8" hidden="1" x14ac:dyDescent="0.4">
      <c r="A1463">
        <v>731</v>
      </c>
      <c r="B1463" t="s">
        <v>2</v>
      </c>
      <c r="C1463">
        <v>1</v>
      </c>
      <c r="D1463">
        <v>4</v>
      </c>
      <c r="E1463">
        <v>3</v>
      </c>
      <c r="F1463">
        <v>2</v>
      </c>
      <c r="G1463">
        <v>0</v>
      </c>
      <c r="H1463">
        <f>표2[[#This Row],[공격성공횟수]]/(표2[[#This Row],[공격실패횟수]]+표2[[#This Row],[공격성공횟수]])</f>
        <v>0.5714285714285714</v>
      </c>
    </row>
    <row r="1464" spans="1:8" x14ac:dyDescent="0.4">
      <c r="A1464">
        <v>732</v>
      </c>
      <c r="B1464" t="s">
        <v>0</v>
      </c>
      <c r="C1464">
        <v>1</v>
      </c>
      <c r="D1464">
        <v>4</v>
      </c>
      <c r="E1464">
        <v>17</v>
      </c>
      <c r="F1464">
        <v>3</v>
      </c>
      <c r="G1464">
        <v>0</v>
      </c>
      <c r="H1464">
        <f>표2[[#This Row],[공격성공횟수]]/(표2[[#This Row],[공격실패횟수]]+표2[[#This Row],[공격성공횟수]])</f>
        <v>0.19047619047619047</v>
      </c>
    </row>
    <row r="1465" spans="1:8" hidden="1" x14ac:dyDescent="0.4">
      <c r="A1465">
        <v>732</v>
      </c>
      <c r="B1465" t="s">
        <v>2</v>
      </c>
      <c r="C1465">
        <v>0</v>
      </c>
      <c r="D1465">
        <v>3</v>
      </c>
      <c r="E1465">
        <v>18</v>
      </c>
      <c r="F1465">
        <v>4</v>
      </c>
      <c r="G1465">
        <v>1</v>
      </c>
      <c r="H1465">
        <f>표2[[#This Row],[공격성공횟수]]/(표2[[#This Row],[공격실패횟수]]+표2[[#This Row],[공격성공횟수]])</f>
        <v>0.14285714285714285</v>
      </c>
    </row>
    <row r="1466" spans="1:8" x14ac:dyDescent="0.4">
      <c r="A1466">
        <v>733</v>
      </c>
      <c r="B1466" t="s">
        <v>0</v>
      </c>
      <c r="C1466">
        <v>1</v>
      </c>
      <c r="D1466">
        <v>4</v>
      </c>
      <c r="E1466">
        <v>19</v>
      </c>
      <c r="F1466">
        <v>0</v>
      </c>
      <c r="G1466">
        <v>0</v>
      </c>
      <c r="H1466">
        <f>표2[[#This Row],[공격성공횟수]]/(표2[[#This Row],[공격실패횟수]]+표2[[#This Row],[공격성공횟수]])</f>
        <v>0.17391304347826086</v>
      </c>
    </row>
    <row r="1467" spans="1:8" hidden="1" x14ac:dyDescent="0.4">
      <c r="A1467">
        <v>733</v>
      </c>
      <c r="B1467" t="s">
        <v>2</v>
      </c>
      <c r="C1467">
        <v>0</v>
      </c>
      <c r="D1467">
        <v>0</v>
      </c>
      <c r="E1467">
        <v>23</v>
      </c>
      <c r="F1467">
        <v>4</v>
      </c>
      <c r="G1467">
        <v>1</v>
      </c>
      <c r="H1467">
        <f>표2[[#This Row],[공격성공횟수]]/(표2[[#This Row],[공격실패횟수]]+표2[[#This Row],[공격성공횟수]])</f>
        <v>0</v>
      </c>
    </row>
    <row r="1468" spans="1:8" x14ac:dyDescent="0.4">
      <c r="A1468">
        <v>734</v>
      </c>
      <c r="B1468" t="s">
        <v>0</v>
      </c>
      <c r="C1468">
        <v>1</v>
      </c>
      <c r="D1468">
        <v>4</v>
      </c>
      <c r="E1468">
        <v>30</v>
      </c>
      <c r="F1468">
        <v>0</v>
      </c>
      <c r="G1468">
        <v>0</v>
      </c>
      <c r="H1468">
        <f>표2[[#This Row],[공격성공횟수]]/(표2[[#This Row],[공격실패횟수]]+표2[[#This Row],[공격성공횟수]])</f>
        <v>0.11764705882352941</v>
      </c>
    </row>
    <row r="1469" spans="1:8" hidden="1" x14ac:dyDescent="0.4">
      <c r="A1469">
        <v>734</v>
      </c>
      <c r="B1469" t="s">
        <v>2</v>
      </c>
      <c r="C1469">
        <v>0</v>
      </c>
      <c r="D1469">
        <v>0</v>
      </c>
      <c r="E1469">
        <v>33</v>
      </c>
      <c r="F1469">
        <v>4</v>
      </c>
      <c r="G1469">
        <v>1</v>
      </c>
      <c r="H1469">
        <f>표2[[#This Row],[공격성공횟수]]/(표2[[#This Row],[공격실패횟수]]+표2[[#This Row],[공격성공횟수]])</f>
        <v>0</v>
      </c>
    </row>
    <row r="1470" spans="1:8" x14ac:dyDescent="0.4">
      <c r="A1470">
        <v>735</v>
      </c>
      <c r="B1470" t="s">
        <v>0</v>
      </c>
      <c r="C1470">
        <v>1</v>
      </c>
      <c r="D1470">
        <v>4</v>
      </c>
      <c r="E1470">
        <v>12</v>
      </c>
      <c r="F1470">
        <v>0</v>
      </c>
      <c r="G1470">
        <v>0</v>
      </c>
      <c r="H1470">
        <f>표2[[#This Row],[공격성공횟수]]/(표2[[#This Row],[공격실패횟수]]+표2[[#This Row],[공격성공횟수]])</f>
        <v>0.25</v>
      </c>
    </row>
    <row r="1471" spans="1:8" hidden="1" x14ac:dyDescent="0.4">
      <c r="A1471">
        <v>735</v>
      </c>
      <c r="B1471" t="s">
        <v>2</v>
      </c>
      <c r="C1471">
        <v>0</v>
      </c>
      <c r="D1471">
        <v>0</v>
      </c>
      <c r="E1471">
        <v>17</v>
      </c>
      <c r="F1471">
        <v>4</v>
      </c>
      <c r="G1471">
        <v>1</v>
      </c>
      <c r="H1471">
        <f>표2[[#This Row],[공격성공횟수]]/(표2[[#This Row],[공격실패횟수]]+표2[[#This Row],[공격성공횟수]])</f>
        <v>0</v>
      </c>
    </row>
    <row r="1472" spans="1:8" x14ac:dyDescent="0.4">
      <c r="A1472">
        <v>736</v>
      </c>
      <c r="B1472" t="s">
        <v>0</v>
      </c>
      <c r="C1472">
        <v>1</v>
      </c>
      <c r="D1472">
        <v>4</v>
      </c>
      <c r="E1472">
        <v>3</v>
      </c>
      <c r="F1472">
        <v>0</v>
      </c>
      <c r="G1472">
        <v>0</v>
      </c>
      <c r="H1472">
        <f>표2[[#This Row],[공격성공횟수]]/(표2[[#This Row],[공격실패횟수]]+표2[[#This Row],[공격성공횟수]])</f>
        <v>0.5714285714285714</v>
      </c>
    </row>
    <row r="1473" spans="1:8" hidden="1" x14ac:dyDescent="0.4">
      <c r="A1473">
        <v>736</v>
      </c>
      <c r="B1473" t="s">
        <v>2</v>
      </c>
      <c r="C1473">
        <v>0</v>
      </c>
      <c r="D1473">
        <v>0</v>
      </c>
      <c r="E1473">
        <v>7</v>
      </c>
      <c r="F1473">
        <v>4</v>
      </c>
      <c r="G1473">
        <v>1</v>
      </c>
      <c r="H1473">
        <f>표2[[#This Row],[공격성공횟수]]/(표2[[#This Row],[공격실패횟수]]+표2[[#This Row],[공격성공횟수]])</f>
        <v>0</v>
      </c>
    </row>
    <row r="1474" spans="1:8" x14ac:dyDescent="0.4">
      <c r="A1474">
        <v>737</v>
      </c>
      <c r="B1474" t="s">
        <v>0</v>
      </c>
      <c r="C1474">
        <v>1</v>
      </c>
      <c r="D1474">
        <v>4</v>
      </c>
      <c r="E1474">
        <v>4</v>
      </c>
      <c r="F1474">
        <v>0</v>
      </c>
      <c r="G1474">
        <v>0</v>
      </c>
      <c r="H1474">
        <f>표2[[#This Row],[공격성공횟수]]/(표2[[#This Row],[공격실패횟수]]+표2[[#This Row],[공격성공횟수]])</f>
        <v>0.5</v>
      </c>
    </row>
    <row r="1475" spans="1:8" hidden="1" x14ac:dyDescent="0.4">
      <c r="A1475">
        <v>737</v>
      </c>
      <c r="B1475" t="s">
        <v>2</v>
      </c>
      <c r="C1475">
        <v>0</v>
      </c>
      <c r="D1475">
        <v>0</v>
      </c>
      <c r="E1475">
        <v>8</v>
      </c>
      <c r="F1475">
        <v>4</v>
      </c>
      <c r="G1475">
        <v>1</v>
      </c>
      <c r="H1475">
        <f>표2[[#This Row],[공격성공횟수]]/(표2[[#This Row],[공격실패횟수]]+표2[[#This Row],[공격성공횟수]])</f>
        <v>0</v>
      </c>
    </row>
    <row r="1476" spans="1:8" x14ac:dyDescent="0.4">
      <c r="A1476">
        <v>738</v>
      </c>
      <c r="B1476" t="s">
        <v>0</v>
      </c>
      <c r="C1476">
        <v>1</v>
      </c>
      <c r="D1476">
        <v>4</v>
      </c>
      <c r="E1476">
        <v>16</v>
      </c>
      <c r="F1476">
        <v>1</v>
      </c>
      <c r="G1476">
        <v>0</v>
      </c>
      <c r="H1476">
        <f>표2[[#This Row],[공격성공횟수]]/(표2[[#This Row],[공격실패횟수]]+표2[[#This Row],[공격성공횟수]])</f>
        <v>0.2</v>
      </c>
    </row>
    <row r="1477" spans="1:8" hidden="1" x14ac:dyDescent="0.4">
      <c r="A1477">
        <v>738</v>
      </c>
      <c r="B1477" t="s">
        <v>2</v>
      </c>
      <c r="C1477">
        <v>0</v>
      </c>
      <c r="D1477">
        <v>1</v>
      </c>
      <c r="E1477">
        <v>19</v>
      </c>
      <c r="F1477">
        <v>4</v>
      </c>
      <c r="G1477">
        <v>1</v>
      </c>
      <c r="H1477">
        <f>표2[[#This Row],[공격성공횟수]]/(표2[[#This Row],[공격실패횟수]]+표2[[#This Row],[공격성공횟수]])</f>
        <v>0.05</v>
      </c>
    </row>
    <row r="1478" spans="1:8" x14ac:dyDescent="0.4">
      <c r="A1478">
        <v>739</v>
      </c>
      <c r="B1478" t="s">
        <v>0</v>
      </c>
      <c r="C1478">
        <v>0</v>
      </c>
      <c r="D1478">
        <v>3</v>
      </c>
      <c r="E1478">
        <v>11</v>
      </c>
      <c r="F1478">
        <v>4</v>
      </c>
      <c r="G1478">
        <v>1</v>
      </c>
      <c r="H1478">
        <f>표2[[#This Row],[공격성공횟수]]/(표2[[#This Row],[공격실패횟수]]+표2[[#This Row],[공격성공횟수]])</f>
        <v>0.21428571428571427</v>
      </c>
    </row>
    <row r="1479" spans="1:8" hidden="1" x14ac:dyDescent="0.4">
      <c r="A1479">
        <v>739</v>
      </c>
      <c r="B1479" t="s">
        <v>2</v>
      </c>
      <c r="C1479">
        <v>1</v>
      </c>
      <c r="D1479">
        <v>4</v>
      </c>
      <c r="E1479">
        <v>11</v>
      </c>
      <c r="F1479">
        <v>3</v>
      </c>
      <c r="G1479">
        <v>0</v>
      </c>
      <c r="H1479">
        <f>표2[[#This Row],[공격성공횟수]]/(표2[[#This Row],[공격실패횟수]]+표2[[#This Row],[공격성공횟수]])</f>
        <v>0.26666666666666666</v>
      </c>
    </row>
    <row r="1480" spans="1:8" x14ac:dyDescent="0.4">
      <c r="A1480">
        <v>740</v>
      </c>
      <c r="B1480" t="s">
        <v>0</v>
      </c>
      <c r="C1480">
        <v>1</v>
      </c>
      <c r="D1480">
        <v>4</v>
      </c>
      <c r="E1480">
        <v>8</v>
      </c>
      <c r="F1480">
        <v>2</v>
      </c>
      <c r="G1480">
        <v>0</v>
      </c>
      <c r="H1480">
        <f>표2[[#This Row],[공격성공횟수]]/(표2[[#This Row],[공격실패횟수]]+표2[[#This Row],[공격성공횟수]])</f>
        <v>0.33333333333333331</v>
      </c>
    </row>
    <row r="1481" spans="1:8" hidden="1" x14ac:dyDescent="0.4">
      <c r="A1481">
        <v>740</v>
      </c>
      <c r="B1481" t="s">
        <v>2</v>
      </c>
      <c r="C1481">
        <v>0</v>
      </c>
      <c r="D1481">
        <v>2</v>
      </c>
      <c r="E1481">
        <v>9</v>
      </c>
      <c r="F1481">
        <v>4</v>
      </c>
      <c r="G1481">
        <v>1</v>
      </c>
      <c r="H1481">
        <f>표2[[#This Row],[공격성공횟수]]/(표2[[#This Row],[공격실패횟수]]+표2[[#This Row],[공격성공횟수]])</f>
        <v>0.18181818181818182</v>
      </c>
    </row>
    <row r="1482" spans="1:8" x14ac:dyDescent="0.4">
      <c r="A1482">
        <v>741</v>
      </c>
      <c r="B1482" t="s">
        <v>0</v>
      </c>
      <c r="C1482">
        <v>1</v>
      </c>
      <c r="D1482">
        <v>4</v>
      </c>
      <c r="E1482">
        <v>18</v>
      </c>
      <c r="F1482">
        <v>2</v>
      </c>
      <c r="G1482">
        <v>0</v>
      </c>
      <c r="H1482">
        <f>표2[[#This Row],[공격성공횟수]]/(표2[[#This Row],[공격실패횟수]]+표2[[#This Row],[공격성공횟수]])</f>
        <v>0.18181818181818182</v>
      </c>
    </row>
    <row r="1483" spans="1:8" hidden="1" x14ac:dyDescent="0.4">
      <c r="A1483">
        <v>741</v>
      </c>
      <c r="B1483" t="s">
        <v>2</v>
      </c>
      <c r="C1483">
        <v>0</v>
      </c>
      <c r="D1483">
        <v>2</v>
      </c>
      <c r="E1483">
        <v>20</v>
      </c>
      <c r="F1483">
        <v>4</v>
      </c>
      <c r="G1483">
        <v>1</v>
      </c>
      <c r="H1483">
        <f>표2[[#This Row],[공격성공횟수]]/(표2[[#This Row],[공격실패횟수]]+표2[[#This Row],[공격성공횟수]])</f>
        <v>9.0909090909090912E-2</v>
      </c>
    </row>
    <row r="1484" spans="1:8" x14ac:dyDescent="0.4">
      <c r="A1484">
        <v>742</v>
      </c>
      <c r="B1484" t="s">
        <v>0</v>
      </c>
      <c r="C1484">
        <v>1</v>
      </c>
      <c r="D1484">
        <v>4</v>
      </c>
      <c r="E1484">
        <v>12</v>
      </c>
      <c r="F1484">
        <v>0</v>
      </c>
      <c r="G1484">
        <v>0</v>
      </c>
      <c r="H1484">
        <f>표2[[#This Row],[공격성공횟수]]/(표2[[#This Row],[공격실패횟수]]+표2[[#This Row],[공격성공횟수]])</f>
        <v>0.25</v>
      </c>
    </row>
    <row r="1485" spans="1:8" hidden="1" x14ac:dyDescent="0.4">
      <c r="A1485">
        <v>742</v>
      </c>
      <c r="B1485" t="s">
        <v>2</v>
      </c>
      <c r="C1485">
        <v>0</v>
      </c>
      <c r="D1485">
        <v>0</v>
      </c>
      <c r="E1485">
        <v>16</v>
      </c>
      <c r="F1485">
        <v>4</v>
      </c>
      <c r="G1485">
        <v>1</v>
      </c>
      <c r="H1485">
        <f>표2[[#This Row],[공격성공횟수]]/(표2[[#This Row],[공격실패횟수]]+표2[[#This Row],[공격성공횟수]])</f>
        <v>0</v>
      </c>
    </row>
    <row r="1486" spans="1:8" x14ac:dyDescent="0.4">
      <c r="A1486">
        <v>743</v>
      </c>
      <c r="B1486" t="s">
        <v>0</v>
      </c>
      <c r="C1486">
        <v>1</v>
      </c>
      <c r="D1486">
        <v>4</v>
      </c>
      <c r="E1486">
        <v>27</v>
      </c>
      <c r="F1486">
        <v>0</v>
      </c>
      <c r="G1486">
        <v>0</v>
      </c>
      <c r="H1486">
        <f>표2[[#This Row],[공격성공횟수]]/(표2[[#This Row],[공격실패횟수]]+표2[[#This Row],[공격성공횟수]])</f>
        <v>0.12903225806451613</v>
      </c>
    </row>
    <row r="1487" spans="1:8" hidden="1" x14ac:dyDescent="0.4">
      <c r="A1487">
        <v>743</v>
      </c>
      <c r="B1487" t="s">
        <v>2</v>
      </c>
      <c r="C1487">
        <v>0</v>
      </c>
      <c r="D1487">
        <v>0</v>
      </c>
      <c r="E1487">
        <v>32</v>
      </c>
      <c r="F1487">
        <v>4</v>
      </c>
      <c r="G1487">
        <v>1</v>
      </c>
      <c r="H1487">
        <f>표2[[#This Row],[공격성공횟수]]/(표2[[#This Row],[공격실패횟수]]+표2[[#This Row],[공격성공횟수]])</f>
        <v>0</v>
      </c>
    </row>
    <row r="1488" spans="1:8" x14ac:dyDescent="0.4">
      <c r="A1488">
        <v>744</v>
      </c>
      <c r="B1488" t="s">
        <v>0</v>
      </c>
      <c r="C1488">
        <v>1</v>
      </c>
      <c r="D1488">
        <v>4</v>
      </c>
      <c r="E1488">
        <v>11</v>
      </c>
      <c r="F1488">
        <v>0</v>
      </c>
      <c r="G1488">
        <v>0</v>
      </c>
      <c r="H1488">
        <f>표2[[#This Row],[공격성공횟수]]/(표2[[#This Row],[공격실패횟수]]+표2[[#This Row],[공격성공횟수]])</f>
        <v>0.26666666666666666</v>
      </c>
    </row>
    <row r="1489" spans="1:8" hidden="1" x14ac:dyDescent="0.4">
      <c r="A1489">
        <v>744</v>
      </c>
      <c r="B1489" t="s">
        <v>2</v>
      </c>
      <c r="C1489">
        <v>0</v>
      </c>
      <c r="D1489">
        <v>0</v>
      </c>
      <c r="E1489">
        <v>16</v>
      </c>
      <c r="F1489">
        <v>4</v>
      </c>
      <c r="G1489">
        <v>1</v>
      </c>
      <c r="H1489">
        <f>표2[[#This Row],[공격성공횟수]]/(표2[[#This Row],[공격실패횟수]]+표2[[#This Row],[공격성공횟수]])</f>
        <v>0</v>
      </c>
    </row>
    <row r="1490" spans="1:8" x14ac:dyDescent="0.4">
      <c r="A1490">
        <v>745</v>
      </c>
      <c r="B1490" t="s">
        <v>0</v>
      </c>
      <c r="C1490">
        <v>1</v>
      </c>
      <c r="D1490">
        <v>4</v>
      </c>
      <c r="E1490">
        <v>2</v>
      </c>
      <c r="F1490">
        <v>1</v>
      </c>
      <c r="G1490">
        <v>0</v>
      </c>
      <c r="H1490">
        <f>표2[[#This Row],[공격성공횟수]]/(표2[[#This Row],[공격실패횟수]]+표2[[#This Row],[공격성공횟수]])</f>
        <v>0.66666666666666663</v>
      </c>
    </row>
    <row r="1491" spans="1:8" hidden="1" x14ac:dyDescent="0.4">
      <c r="A1491">
        <v>745</v>
      </c>
      <c r="B1491" t="s">
        <v>2</v>
      </c>
      <c r="C1491">
        <v>0</v>
      </c>
      <c r="D1491">
        <v>1</v>
      </c>
      <c r="E1491">
        <v>5</v>
      </c>
      <c r="F1491">
        <v>4</v>
      </c>
      <c r="G1491">
        <v>1</v>
      </c>
      <c r="H1491">
        <f>표2[[#This Row],[공격성공횟수]]/(표2[[#This Row],[공격실패횟수]]+표2[[#This Row],[공격성공횟수]])</f>
        <v>0.16666666666666666</v>
      </c>
    </row>
    <row r="1492" spans="1:8" x14ac:dyDescent="0.4">
      <c r="A1492">
        <v>746</v>
      </c>
      <c r="B1492" t="s">
        <v>0</v>
      </c>
      <c r="C1492">
        <v>1</v>
      </c>
      <c r="D1492">
        <v>4</v>
      </c>
      <c r="E1492">
        <v>6</v>
      </c>
      <c r="F1492">
        <v>0</v>
      </c>
      <c r="G1492">
        <v>0</v>
      </c>
      <c r="H1492">
        <f>표2[[#This Row],[공격성공횟수]]/(표2[[#This Row],[공격실패횟수]]+표2[[#This Row],[공격성공횟수]])</f>
        <v>0.4</v>
      </c>
    </row>
    <row r="1493" spans="1:8" hidden="1" x14ac:dyDescent="0.4">
      <c r="A1493">
        <v>746</v>
      </c>
      <c r="B1493" t="s">
        <v>2</v>
      </c>
      <c r="C1493">
        <v>0</v>
      </c>
      <c r="D1493">
        <v>0</v>
      </c>
      <c r="E1493">
        <v>10</v>
      </c>
      <c r="F1493">
        <v>4</v>
      </c>
      <c r="G1493">
        <v>1</v>
      </c>
      <c r="H1493">
        <f>표2[[#This Row],[공격성공횟수]]/(표2[[#This Row],[공격실패횟수]]+표2[[#This Row],[공격성공횟수]])</f>
        <v>0</v>
      </c>
    </row>
    <row r="1494" spans="1:8" x14ac:dyDescent="0.4">
      <c r="A1494">
        <v>747</v>
      </c>
      <c r="B1494" t="s">
        <v>0</v>
      </c>
      <c r="C1494">
        <v>1</v>
      </c>
      <c r="D1494">
        <v>4</v>
      </c>
      <c r="E1494">
        <v>22</v>
      </c>
      <c r="F1494">
        <v>3</v>
      </c>
      <c r="G1494">
        <v>0</v>
      </c>
      <c r="H1494">
        <f>표2[[#This Row],[공격성공횟수]]/(표2[[#This Row],[공격실패횟수]]+표2[[#This Row],[공격성공횟수]])</f>
        <v>0.15384615384615385</v>
      </c>
    </row>
    <row r="1495" spans="1:8" hidden="1" x14ac:dyDescent="0.4">
      <c r="A1495">
        <v>747</v>
      </c>
      <c r="B1495" t="s">
        <v>2</v>
      </c>
      <c r="C1495">
        <v>0</v>
      </c>
      <c r="D1495">
        <v>3</v>
      </c>
      <c r="E1495">
        <v>23</v>
      </c>
      <c r="F1495">
        <v>4</v>
      </c>
      <c r="G1495">
        <v>1</v>
      </c>
      <c r="H1495">
        <f>표2[[#This Row],[공격성공횟수]]/(표2[[#This Row],[공격실패횟수]]+표2[[#This Row],[공격성공횟수]])</f>
        <v>0.11538461538461539</v>
      </c>
    </row>
    <row r="1496" spans="1:8" x14ac:dyDescent="0.4">
      <c r="A1496">
        <v>748</v>
      </c>
      <c r="B1496" t="s">
        <v>0</v>
      </c>
      <c r="C1496">
        <v>1</v>
      </c>
      <c r="D1496">
        <v>4</v>
      </c>
      <c r="E1496">
        <v>8</v>
      </c>
      <c r="F1496">
        <v>0</v>
      </c>
      <c r="G1496">
        <v>0</v>
      </c>
      <c r="H1496">
        <f>표2[[#This Row],[공격성공횟수]]/(표2[[#This Row],[공격실패횟수]]+표2[[#This Row],[공격성공횟수]])</f>
        <v>0.33333333333333331</v>
      </c>
    </row>
    <row r="1497" spans="1:8" hidden="1" x14ac:dyDescent="0.4">
      <c r="A1497">
        <v>748</v>
      </c>
      <c r="B1497" t="s">
        <v>2</v>
      </c>
      <c r="C1497">
        <v>0</v>
      </c>
      <c r="D1497">
        <v>0</v>
      </c>
      <c r="E1497">
        <v>13</v>
      </c>
      <c r="F1497">
        <v>4</v>
      </c>
      <c r="G1497">
        <v>1</v>
      </c>
      <c r="H1497">
        <f>표2[[#This Row],[공격성공횟수]]/(표2[[#This Row],[공격실패횟수]]+표2[[#This Row],[공격성공횟수]])</f>
        <v>0</v>
      </c>
    </row>
    <row r="1498" spans="1:8" x14ac:dyDescent="0.4">
      <c r="A1498">
        <v>749</v>
      </c>
      <c r="B1498" t="s">
        <v>0</v>
      </c>
      <c r="C1498">
        <v>1</v>
      </c>
      <c r="D1498">
        <v>4</v>
      </c>
      <c r="E1498">
        <v>2</v>
      </c>
      <c r="F1498">
        <v>2</v>
      </c>
      <c r="G1498">
        <v>0</v>
      </c>
      <c r="H1498">
        <f>표2[[#This Row],[공격성공횟수]]/(표2[[#This Row],[공격실패횟수]]+표2[[#This Row],[공격성공횟수]])</f>
        <v>0.66666666666666663</v>
      </c>
    </row>
    <row r="1499" spans="1:8" hidden="1" x14ac:dyDescent="0.4">
      <c r="A1499">
        <v>749</v>
      </c>
      <c r="B1499" t="s">
        <v>2</v>
      </c>
      <c r="C1499">
        <v>0</v>
      </c>
      <c r="D1499">
        <v>2</v>
      </c>
      <c r="E1499">
        <v>3</v>
      </c>
      <c r="F1499">
        <v>4</v>
      </c>
      <c r="G1499">
        <v>1</v>
      </c>
      <c r="H1499">
        <f>표2[[#This Row],[공격성공횟수]]/(표2[[#This Row],[공격실패횟수]]+표2[[#This Row],[공격성공횟수]])</f>
        <v>0.4</v>
      </c>
    </row>
    <row r="1500" spans="1:8" x14ac:dyDescent="0.4">
      <c r="A1500">
        <v>750</v>
      </c>
      <c r="B1500" t="s">
        <v>0</v>
      </c>
      <c r="C1500">
        <v>1</v>
      </c>
      <c r="D1500">
        <v>4</v>
      </c>
      <c r="E1500">
        <v>28</v>
      </c>
      <c r="F1500">
        <v>0</v>
      </c>
      <c r="G1500">
        <v>0</v>
      </c>
      <c r="H1500">
        <f>표2[[#This Row],[공격성공횟수]]/(표2[[#This Row],[공격실패횟수]]+표2[[#This Row],[공격성공횟수]])</f>
        <v>0.125</v>
      </c>
    </row>
    <row r="1501" spans="1:8" hidden="1" x14ac:dyDescent="0.4">
      <c r="A1501">
        <v>750</v>
      </c>
      <c r="B1501" t="s">
        <v>2</v>
      </c>
      <c r="C1501">
        <v>0</v>
      </c>
      <c r="D1501">
        <v>0</v>
      </c>
      <c r="E1501">
        <v>31</v>
      </c>
      <c r="F1501">
        <v>4</v>
      </c>
      <c r="G1501">
        <v>1</v>
      </c>
      <c r="H1501">
        <f>표2[[#This Row],[공격성공횟수]]/(표2[[#This Row],[공격실패횟수]]+표2[[#This Row],[공격성공횟수]])</f>
        <v>0</v>
      </c>
    </row>
    <row r="1502" spans="1:8" x14ac:dyDescent="0.4">
      <c r="A1502">
        <v>751</v>
      </c>
      <c r="B1502" t="s">
        <v>0</v>
      </c>
      <c r="C1502">
        <v>0</v>
      </c>
      <c r="D1502">
        <v>3</v>
      </c>
      <c r="E1502">
        <v>18</v>
      </c>
      <c r="F1502">
        <v>4</v>
      </c>
      <c r="G1502">
        <v>1</v>
      </c>
      <c r="H1502">
        <f>표2[[#This Row],[공격성공횟수]]/(표2[[#This Row],[공격실패횟수]]+표2[[#This Row],[공격성공횟수]])</f>
        <v>0.14285714285714285</v>
      </c>
    </row>
    <row r="1503" spans="1:8" hidden="1" x14ac:dyDescent="0.4">
      <c r="A1503">
        <v>751</v>
      </c>
      <c r="B1503" t="s">
        <v>2</v>
      </c>
      <c r="C1503">
        <v>1</v>
      </c>
      <c r="D1503">
        <v>4</v>
      </c>
      <c r="E1503">
        <v>19</v>
      </c>
      <c r="F1503">
        <v>3</v>
      </c>
      <c r="G1503">
        <v>0</v>
      </c>
      <c r="H1503">
        <f>표2[[#This Row],[공격성공횟수]]/(표2[[#This Row],[공격실패횟수]]+표2[[#This Row],[공격성공횟수]])</f>
        <v>0.17391304347826086</v>
      </c>
    </row>
    <row r="1504" spans="1:8" x14ac:dyDescent="0.4">
      <c r="A1504">
        <v>752</v>
      </c>
      <c r="B1504" t="s">
        <v>0</v>
      </c>
      <c r="C1504">
        <v>1</v>
      </c>
      <c r="D1504">
        <v>4</v>
      </c>
      <c r="E1504">
        <v>18</v>
      </c>
      <c r="F1504">
        <v>1</v>
      </c>
      <c r="G1504">
        <v>0</v>
      </c>
      <c r="H1504">
        <f>표2[[#This Row],[공격성공횟수]]/(표2[[#This Row],[공격실패횟수]]+표2[[#This Row],[공격성공횟수]])</f>
        <v>0.18181818181818182</v>
      </c>
    </row>
    <row r="1505" spans="1:8" hidden="1" x14ac:dyDescent="0.4">
      <c r="A1505">
        <v>752</v>
      </c>
      <c r="B1505" t="s">
        <v>2</v>
      </c>
      <c r="C1505">
        <v>0</v>
      </c>
      <c r="D1505">
        <v>1</v>
      </c>
      <c r="E1505">
        <v>22</v>
      </c>
      <c r="F1505">
        <v>4</v>
      </c>
      <c r="G1505">
        <v>1</v>
      </c>
      <c r="H1505">
        <f>표2[[#This Row],[공격성공횟수]]/(표2[[#This Row],[공격실패횟수]]+표2[[#This Row],[공격성공횟수]])</f>
        <v>4.3478260869565216E-2</v>
      </c>
    </row>
    <row r="1506" spans="1:8" x14ac:dyDescent="0.4">
      <c r="A1506">
        <v>753</v>
      </c>
      <c r="B1506" t="s">
        <v>0</v>
      </c>
      <c r="C1506">
        <v>1</v>
      </c>
      <c r="D1506">
        <v>4</v>
      </c>
      <c r="E1506">
        <v>9</v>
      </c>
      <c r="F1506">
        <v>3</v>
      </c>
      <c r="G1506">
        <v>0</v>
      </c>
      <c r="H1506">
        <f>표2[[#This Row],[공격성공횟수]]/(표2[[#This Row],[공격실패횟수]]+표2[[#This Row],[공격성공횟수]])</f>
        <v>0.30769230769230771</v>
      </c>
    </row>
    <row r="1507" spans="1:8" hidden="1" x14ac:dyDescent="0.4">
      <c r="A1507">
        <v>753</v>
      </c>
      <c r="B1507" t="s">
        <v>2</v>
      </c>
      <c r="C1507">
        <v>0</v>
      </c>
      <c r="D1507">
        <v>3</v>
      </c>
      <c r="E1507">
        <v>10</v>
      </c>
      <c r="F1507">
        <v>4</v>
      </c>
      <c r="G1507">
        <v>1</v>
      </c>
      <c r="H1507">
        <f>표2[[#This Row],[공격성공횟수]]/(표2[[#This Row],[공격실패횟수]]+표2[[#This Row],[공격성공횟수]])</f>
        <v>0.23076923076923078</v>
      </c>
    </row>
    <row r="1508" spans="1:8" x14ac:dyDescent="0.4">
      <c r="A1508">
        <v>754</v>
      </c>
      <c r="B1508" t="s">
        <v>0</v>
      </c>
      <c r="C1508">
        <v>1</v>
      </c>
      <c r="D1508">
        <v>4</v>
      </c>
      <c r="E1508">
        <v>3</v>
      </c>
      <c r="F1508">
        <v>2</v>
      </c>
      <c r="G1508">
        <v>0</v>
      </c>
      <c r="H1508">
        <f>표2[[#This Row],[공격성공횟수]]/(표2[[#This Row],[공격실패횟수]]+표2[[#This Row],[공격성공횟수]])</f>
        <v>0.5714285714285714</v>
      </c>
    </row>
    <row r="1509" spans="1:8" hidden="1" x14ac:dyDescent="0.4">
      <c r="A1509">
        <v>754</v>
      </c>
      <c r="B1509" t="s">
        <v>2</v>
      </c>
      <c r="C1509">
        <v>0</v>
      </c>
      <c r="D1509">
        <v>2</v>
      </c>
      <c r="E1509">
        <v>6</v>
      </c>
      <c r="F1509">
        <v>4</v>
      </c>
      <c r="G1509">
        <v>1</v>
      </c>
      <c r="H1509">
        <f>표2[[#This Row],[공격성공횟수]]/(표2[[#This Row],[공격실패횟수]]+표2[[#This Row],[공격성공횟수]])</f>
        <v>0.25</v>
      </c>
    </row>
    <row r="1510" spans="1:8" x14ac:dyDescent="0.4">
      <c r="A1510">
        <v>755</v>
      </c>
      <c r="B1510" t="s">
        <v>0</v>
      </c>
      <c r="C1510">
        <v>0</v>
      </c>
      <c r="D1510">
        <v>3</v>
      </c>
      <c r="E1510">
        <v>23</v>
      </c>
      <c r="F1510">
        <v>4</v>
      </c>
      <c r="G1510">
        <v>1</v>
      </c>
      <c r="H1510">
        <f>표2[[#This Row],[공격성공횟수]]/(표2[[#This Row],[공격실패횟수]]+표2[[#This Row],[공격성공횟수]])</f>
        <v>0.11538461538461539</v>
      </c>
    </row>
    <row r="1511" spans="1:8" hidden="1" x14ac:dyDescent="0.4">
      <c r="A1511">
        <v>755</v>
      </c>
      <c r="B1511" t="s">
        <v>2</v>
      </c>
      <c r="C1511">
        <v>1</v>
      </c>
      <c r="D1511">
        <v>4</v>
      </c>
      <c r="E1511">
        <v>25</v>
      </c>
      <c r="F1511">
        <v>3</v>
      </c>
      <c r="G1511">
        <v>0</v>
      </c>
      <c r="H1511">
        <f>표2[[#This Row],[공격성공횟수]]/(표2[[#This Row],[공격실패횟수]]+표2[[#This Row],[공격성공횟수]])</f>
        <v>0.13793103448275862</v>
      </c>
    </row>
    <row r="1512" spans="1:8" x14ac:dyDescent="0.4">
      <c r="A1512">
        <v>756</v>
      </c>
      <c r="B1512" t="s">
        <v>0</v>
      </c>
      <c r="C1512">
        <v>1</v>
      </c>
      <c r="D1512">
        <v>4</v>
      </c>
      <c r="E1512">
        <v>15</v>
      </c>
      <c r="F1512">
        <v>0</v>
      </c>
      <c r="G1512">
        <v>0</v>
      </c>
      <c r="H1512">
        <f>표2[[#This Row],[공격성공횟수]]/(표2[[#This Row],[공격실패횟수]]+표2[[#This Row],[공격성공횟수]])</f>
        <v>0.21052631578947367</v>
      </c>
    </row>
    <row r="1513" spans="1:8" hidden="1" x14ac:dyDescent="0.4">
      <c r="A1513">
        <v>756</v>
      </c>
      <c r="B1513" t="s">
        <v>2</v>
      </c>
      <c r="C1513">
        <v>0</v>
      </c>
      <c r="D1513">
        <v>0</v>
      </c>
      <c r="E1513">
        <v>19</v>
      </c>
      <c r="F1513">
        <v>4</v>
      </c>
      <c r="G1513">
        <v>1</v>
      </c>
      <c r="H1513">
        <f>표2[[#This Row],[공격성공횟수]]/(표2[[#This Row],[공격실패횟수]]+표2[[#This Row],[공격성공횟수]])</f>
        <v>0</v>
      </c>
    </row>
    <row r="1514" spans="1:8" x14ac:dyDescent="0.4">
      <c r="A1514">
        <v>757</v>
      </c>
      <c r="B1514" t="s">
        <v>0</v>
      </c>
      <c r="C1514">
        <v>1</v>
      </c>
      <c r="D1514">
        <v>4</v>
      </c>
      <c r="E1514">
        <v>11</v>
      </c>
      <c r="F1514">
        <v>3</v>
      </c>
      <c r="G1514">
        <v>0</v>
      </c>
      <c r="H1514">
        <f>표2[[#This Row],[공격성공횟수]]/(표2[[#This Row],[공격실패횟수]]+표2[[#This Row],[공격성공횟수]])</f>
        <v>0.26666666666666666</v>
      </c>
    </row>
    <row r="1515" spans="1:8" hidden="1" x14ac:dyDescent="0.4">
      <c r="A1515">
        <v>757</v>
      </c>
      <c r="B1515" t="s">
        <v>2</v>
      </c>
      <c r="C1515">
        <v>0</v>
      </c>
      <c r="D1515">
        <v>3</v>
      </c>
      <c r="E1515">
        <v>13</v>
      </c>
      <c r="F1515">
        <v>4</v>
      </c>
      <c r="G1515">
        <v>1</v>
      </c>
      <c r="H1515">
        <f>표2[[#This Row],[공격성공횟수]]/(표2[[#This Row],[공격실패횟수]]+표2[[#This Row],[공격성공횟수]])</f>
        <v>0.1875</v>
      </c>
    </row>
    <row r="1516" spans="1:8" x14ac:dyDescent="0.4">
      <c r="A1516">
        <v>758</v>
      </c>
      <c r="B1516" t="s">
        <v>0</v>
      </c>
      <c r="C1516">
        <v>1</v>
      </c>
      <c r="D1516">
        <v>4</v>
      </c>
      <c r="E1516">
        <v>12</v>
      </c>
      <c r="F1516">
        <v>2</v>
      </c>
      <c r="G1516">
        <v>0</v>
      </c>
      <c r="H1516">
        <f>표2[[#This Row],[공격성공횟수]]/(표2[[#This Row],[공격실패횟수]]+표2[[#This Row],[공격성공횟수]])</f>
        <v>0.25</v>
      </c>
    </row>
    <row r="1517" spans="1:8" hidden="1" x14ac:dyDescent="0.4">
      <c r="A1517">
        <v>758</v>
      </c>
      <c r="B1517" t="s">
        <v>2</v>
      </c>
      <c r="C1517">
        <v>0</v>
      </c>
      <c r="D1517">
        <v>2</v>
      </c>
      <c r="E1517">
        <v>15</v>
      </c>
      <c r="F1517">
        <v>4</v>
      </c>
      <c r="G1517">
        <v>1</v>
      </c>
      <c r="H1517">
        <f>표2[[#This Row],[공격성공횟수]]/(표2[[#This Row],[공격실패횟수]]+표2[[#This Row],[공격성공횟수]])</f>
        <v>0.11764705882352941</v>
      </c>
    </row>
    <row r="1518" spans="1:8" x14ac:dyDescent="0.4">
      <c r="A1518">
        <v>759</v>
      </c>
      <c r="B1518" t="s">
        <v>0</v>
      </c>
      <c r="C1518">
        <v>0</v>
      </c>
      <c r="D1518">
        <v>1</v>
      </c>
      <c r="E1518">
        <v>64</v>
      </c>
      <c r="F1518">
        <v>4</v>
      </c>
      <c r="G1518">
        <v>1</v>
      </c>
      <c r="H1518">
        <f>표2[[#This Row],[공격성공횟수]]/(표2[[#This Row],[공격실패횟수]]+표2[[#This Row],[공격성공횟수]])</f>
        <v>1.5384615384615385E-2</v>
      </c>
    </row>
    <row r="1519" spans="1:8" hidden="1" x14ac:dyDescent="0.4">
      <c r="A1519">
        <v>759</v>
      </c>
      <c r="B1519" t="s">
        <v>2</v>
      </c>
      <c r="C1519">
        <v>1</v>
      </c>
      <c r="D1519">
        <v>4</v>
      </c>
      <c r="E1519">
        <v>61</v>
      </c>
      <c r="F1519">
        <v>1</v>
      </c>
      <c r="G1519">
        <v>0</v>
      </c>
      <c r="H1519">
        <f>표2[[#This Row],[공격성공횟수]]/(표2[[#This Row],[공격실패횟수]]+표2[[#This Row],[공격성공횟수]])</f>
        <v>6.1538461538461542E-2</v>
      </c>
    </row>
    <row r="1520" spans="1:8" x14ac:dyDescent="0.4">
      <c r="A1520">
        <v>760</v>
      </c>
      <c r="B1520" t="s">
        <v>0</v>
      </c>
      <c r="C1520">
        <v>1</v>
      </c>
      <c r="D1520">
        <v>4</v>
      </c>
      <c r="E1520">
        <v>12</v>
      </c>
      <c r="F1520">
        <v>1</v>
      </c>
      <c r="G1520">
        <v>0</v>
      </c>
      <c r="H1520">
        <f>표2[[#This Row],[공격성공횟수]]/(표2[[#This Row],[공격실패횟수]]+표2[[#This Row],[공격성공횟수]])</f>
        <v>0.25</v>
      </c>
    </row>
    <row r="1521" spans="1:8" hidden="1" x14ac:dyDescent="0.4">
      <c r="A1521">
        <v>760</v>
      </c>
      <c r="B1521" t="s">
        <v>2</v>
      </c>
      <c r="C1521">
        <v>0</v>
      </c>
      <c r="D1521">
        <v>1</v>
      </c>
      <c r="E1521">
        <v>14</v>
      </c>
      <c r="F1521">
        <v>4</v>
      </c>
      <c r="G1521">
        <v>1</v>
      </c>
      <c r="H1521">
        <f>표2[[#This Row],[공격성공횟수]]/(표2[[#This Row],[공격실패횟수]]+표2[[#This Row],[공격성공횟수]])</f>
        <v>6.6666666666666666E-2</v>
      </c>
    </row>
    <row r="1522" spans="1:8" x14ac:dyDescent="0.4">
      <c r="A1522">
        <v>761</v>
      </c>
      <c r="B1522" t="s">
        <v>0</v>
      </c>
      <c r="C1522">
        <v>1</v>
      </c>
      <c r="D1522">
        <v>4</v>
      </c>
      <c r="E1522">
        <v>6</v>
      </c>
      <c r="F1522">
        <v>1</v>
      </c>
      <c r="G1522">
        <v>0</v>
      </c>
      <c r="H1522">
        <f>표2[[#This Row],[공격성공횟수]]/(표2[[#This Row],[공격실패횟수]]+표2[[#This Row],[공격성공횟수]])</f>
        <v>0.4</v>
      </c>
    </row>
    <row r="1523" spans="1:8" hidden="1" x14ac:dyDescent="0.4">
      <c r="A1523">
        <v>761</v>
      </c>
      <c r="B1523" t="s">
        <v>2</v>
      </c>
      <c r="C1523">
        <v>0</v>
      </c>
      <c r="D1523">
        <v>1</v>
      </c>
      <c r="E1523">
        <v>9</v>
      </c>
      <c r="F1523">
        <v>4</v>
      </c>
      <c r="G1523">
        <v>1</v>
      </c>
      <c r="H1523">
        <f>표2[[#This Row],[공격성공횟수]]/(표2[[#This Row],[공격실패횟수]]+표2[[#This Row],[공격성공횟수]])</f>
        <v>0.1</v>
      </c>
    </row>
    <row r="1524" spans="1:8" x14ac:dyDescent="0.4">
      <c r="A1524">
        <v>762</v>
      </c>
      <c r="B1524" t="s">
        <v>0</v>
      </c>
      <c r="C1524">
        <v>1</v>
      </c>
      <c r="D1524">
        <v>4</v>
      </c>
      <c r="E1524">
        <v>5</v>
      </c>
      <c r="F1524">
        <v>1</v>
      </c>
      <c r="G1524">
        <v>0</v>
      </c>
      <c r="H1524">
        <f>표2[[#This Row],[공격성공횟수]]/(표2[[#This Row],[공격실패횟수]]+표2[[#This Row],[공격성공횟수]])</f>
        <v>0.44444444444444442</v>
      </c>
    </row>
    <row r="1525" spans="1:8" hidden="1" x14ac:dyDescent="0.4">
      <c r="A1525">
        <v>762</v>
      </c>
      <c r="B1525" t="s">
        <v>2</v>
      </c>
      <c r="C1525">
        <v>0</v>
      </c>
      <c r="D1525">
        <v>1</v>
      </c>
      <c r="E1525">
        <v>8</v>
      </c>
      <c r="F1525">
        <v>4</v>
      </c>
      <c r="G1525">
        <v>1</v>
      </c>
      <c r="H1525">
        <f>표2[[#This Row],[공격성공횟수]]/(표2[[#This Row],[공격실패횟수]]+표2[[#This Row],[공격성공횟수]])</f>
        <v>0.1111111111111111</v>
      </c>
    </row>
    <row r="1526" spans="1:8" x14ac:dyDescent="0.4">
      <c r="A1526">
        <v>763</v>
      </c>
      <c r="B1526" t="s">
        <v>0</v>
      </c>
      <c r="C1526">
        <v>0</v>
      </c>
      <c r="D1526">
        <v>1</v>
      </c>
      <c r="E1526">
        <v>29</v>
      </c>
      <c r="F1526">
        <v>4</v>
      </c>
      <c r="G1526">
        <v>1</v>
      </c>
      <c r="H1526">
        <f>표2[[#This Row],[공격성공횟수]]/(표2[[#This Row],[공격실패횟수]]+표2[[#This Row],[공격성공횟수]])</f>
        <v>3.3333333333333333E-2</v>
      </c>
    </row>
    <row r="1527" spans="1:8" hidden="1" x14ac:dyDescent="0.4">
      <c r="A1527">
        <v>763</v>
      </c>
      <c r="B1527" t="s">
        <v>2</v>
      </c>
      <c r="C1527">
        <v>1</v>
      </c>
      <c r="D1527">
        <v>4</v>
      </c>
      <c r="E1527">
        <v>26</v>
      </c>
      <c r="F1527">
        <v>1</v>
      </c>
      <c r="G1527">
        <v>0</v>
      </c>
      <c r="H1527">
        <f>표2[[#This Row],[공격성공횟수]]/(표2[[#This Row],[공격실패횟수]]+표2[[#This Row],[공격성공횟수]])</f>
        <v>0.13333333333333333</v>
      </c>
    </row>
    <row r="1528" spans="1:8" x14ac:dyDescent="0.4">
      <c r="A1528">
        <v>764</v>
      </c>
      <c r="B1528" t="s">
        <v>0</v>
      </c>
      <c r="C1528">
        <v>1</v>
      </c>
      <c r="D1528">
        <v>4</v>
      </c>
      <c r="E1528">
        <v>8</v>
      </c>
      <c r="F1528">
        <v>1</v>
      </c>
      <c r="G1528">
        <v>0</v>
      </c>
      <c r="H1528">
        <f>표2[[#This Row],[공격성공횟수]]/(표2[[#This Row],[공격실패횟수]]+표2[[#This Row],[공격성공횟수]])</f>
        <v>0.33333333333333331</v>
      </c>
    </row>
    <row r="1529" spans="1:8" hidden="1" x14ac:dyDescent="0.4">
      <c r="A1529">
        <v>764</v>
      </c>
      <c r="B1529" t="s">
        <v>2</v>
      </c>
      <c r="C1529">
        <v>0</v>
      </c>
      <c r="D1529">
        <v>1</v>
      </c>
      <c r="E1529">
        <v>10</v>
      </c>
      <c r="F1529">
        <v>4</v>
      </c>
      <c r="G1529">
        <v>1</v>
      </c>
      <c r="H1529">
        <f>표2[[#This Row],[공격성공횟수]]/(표2[[#This Row],[공격실패횟수]]+표2[[#This Row],[공격성공횟수]])</f>
        <v>9.0909090909090912E-2</v>
      </c>
    </row>
    <row r="1530" spans="1:8" x14ac:dyDescent="0.4">
      <c r="A1530">
        <v>765</v>
      </c>
      <c r="B1530" t="s">
        <v>0</v>
      </c>
      <c r="C1530">
        <v>1</v>
      </c>
      <c r="D1530">
        <v>4</v>
      </c>
      <c r="E1530">
        <v>35</v>
      </c>
      <c r="F1530">
        <v>2</v>
      </c>
      <c r="G1530">
        <v>0</v>
      </c>
      <c r="H1530">
        <f>표2[[#This Row],[공격성공횟수]]/(표2[[#This Row],[공격실패횟수]]+표2[[#This Row],[공격성공횟수]])</f>
        <v>0.10256410256410256</v>
      </c>
    </row>
    <row r="1531" spans="1:8" hidden="1" x14ac:dyDescent="0.4">
      <c r="A1531">
        <v>765</v>
      </c>
      <c r="B1531" t="s">
        <v>2</v>
      </c>
      <c r="C1531">
        <v>0</v>
      </c>
      <c r="D1531">
        <v>2</v>
      </c>
      <c r="E1531">
        <v>36</v>
      </c>
      <c r="F1531">
        <v>4</v>
      </c>
      <c r="G1531">
        <v>1</v>
      </c>
      <c r="H1531">
        <f>표2[[#This Row],[공격성공횟수]]/(표2[[#This Row],[공격실패횟수]]+표2[[#This Row],[공격성공횟수]])</f>
        <v>5.2631578947368418E-2</v>
      </c>
    </row>
    <row r="1532" spans="1:8" x14ac:dyDescent="0.4">
      <c r="A1532">
        <v>766</v>
      </c>
      <c r="B1532" t="s">
        <v>0</v>
      </c>
      <c r="C1532">
        <v>1</v>
      </c>
      <c r="D1532">
        <v>4</v>
      </c>
      <c r="E1532">
        <v>12</v>
      </c>
      <c r="F1532">
        <v>1</v>
      </c>
      <c r="G1532">
        <v>0</v>
      </c>
      <c r="H1532">
        <f>표2[[#This Row],[공격성공횟수]]/(표2[[#This Row],[공격실패횟수]]+표2[[#This Row],[공격성공횟수]])</f>
        <v>0.25</v>
      </c>
    </row>
    <row r="1533" spans="1:8" hidden="1" x14ac:dyDescent="0.4">
      <c r="A1533">
        <v>766</v>
      </c>
      <c r="B1533" t="s">
        <v>2</v>
      </c>
      <c r="C1533">
        <v>0</v>
      </c>
      <c r="D1533">
        <v>1</v>
      </c>
      <c r="E1533">
        <v>16</v>
      </c>
      <c r="F1533">
        <v>4</v>
      </c>
      <c r="G1533">
        <v>1</v>
      </c>
      <c r="H1533">
        <f>표2[[#This Row],[공격성공횟수]]/(표2[[#This Row],[공격실패횟수]]+표2[[#This Row],[공격성공횟수]])</f>
        <v>5.8823529411764705E-2</v>
      </c>
    </row>
    <row r="1534" spans="1:8" x14ac:dyDescent="0.4">
      <c r="A1534">
        <v>767</v>
      </c>
      <c r="B1534" t="s">
        <v>0</v>
      </c>
      <c r="C1534">
        <v>1</v>
      </c>
      <c r="D1534">
        <v>4</v>
      </c>
      <c r="E1534">
        <v>10</v>
      </c>
      <c r="F1534">
        <v>3</v>
      </c>
      <c r="G1534">
        <v>0</v>
      </c>
      <c r="H1534">
        <f>표2[[#This Row],[공격성공횟수]]/(표2[[#This Row],[공격실패횟수]]+표2[[#This Row],[공격성공횟수]])</f>
        <v>0.2857142857142857</v>
      </c>
    </row>
    <row r="1535" spans="1:8" hidden="1" x14ac:dyDescent="0.4">
      <c r="A1535">
        <v>767</v>
      </c>
      <c r="B1535" t="s">
        <v>2</v>
      </c>
      <c r="C1535">
        <v>0</v>
      </c>
      <c r="D1535">
        <v>3</v>
      </c>
      <c r="E1535">
        <v>10</v>
      </c>
      <c r="F1535">
        <v>4</v>
      </c>
      <c r="G1535">
        <v>1</v>
      </c>
      <c r="H1535">
        <f>표2[[#This Row],[공격성공횟수]]/(표2[[#This Row],[공격실패횟수]]+표2[[#This Row],[공격성공횟수]])</f>
        <v>0.23076923076923078</v>
      </c>
    </row>
    <row r="1536" spans="1:8" x14ac:dyDescent="0.4">
      <c r="A1536">
        <v>768</v>
      </c>
      <c r="B1536" t="s">
        <v>0</v>
      </c>
      <c r="C1536">
        <v>1</v>
      </c>
      <c r="D1536">
        <v>4</v>
      </c>
      <c r="E1536">
        <v>101</v>
      </c>
      <c r="F1536">
        <v>0</v>
      </c>
      <c r="G1536">
        <v>0</v>
      </c>
      <c r="H1536">
        <f>표2[[#This Row],[공격성공횟수]]/(표2[[#This Row],[공격실패횟수]]+표2[[#This Row],[공격성공횟수]])</f>
        <v>3.8095238095238099E-2</v>
      </c>
    </row>
    <row r="1537" spans="1:8" hidden="1" x14ac:dyDescent="0.4">
      <c r="A1537">
        <v>768</v>
      </c>
      <c r="B1537" t="s">
        <v>2</v>
      </c>
      <c r="C1537">
        <v>0</v>
      </c>
      <c r="D1537">
        <v>0</v>
      </c>
      <c r="E1537">
        <v>101</v>
      </c>
      <c r="F1537">
        <v>4</v>
      </c>
      <c r="G1537">
        <v>1</v>
      </c>
      <c r="H1537">
        <f>표2[[#This Row],[공격성공횟수]]/(표2[[#This Row],[공격실패횟수]]+표2[[#This Row],[공격성공횟수]])</f>
        <v>0</v>
      </c>
    </row>
    <row r="1538" spans="1:8" x14ac:dyDescent="0.4">
      <c r="A1538">
        <v>769</v>
      </c>
      <c r="B1538" t="s">
        <v>0</v>
      </c>
      <c r="C1538">
        <v>0</v>
      </c>
      <c r="D1538">
        <v>3</v>
      </c>
      <c r="E1538">
        <v>110</v>
      </c>
      <c r="F1538">
        <v>4</v>
      </c>
      <c r="G1538">
        <v>1</v>
      </c>
      <c r="H1538">
        <f>표2[[#This Row],[공격성공횟수]]/(표2[[#This Row],[공격실패횟수]]+표2[[#This Row],[공격성공횟수]])</f>
        <v>2.6548672566371681E-2</v>
      </c>
    </row>
    <row r="1539" spans="1:8" hidden="1" x14ac:dyDescent="0.4">
      <c r="A1539">
        <v>769</v>
      </c>
      <c r="B1539" t="s">
        <v>2</v>
      </c>
      <c r="C1539">
        <v>1</v>
      </c>
      <c r="D1539">
        <v>4</v>
      </c>
      <c r="E1539">
        <v>109</v>
      </c>
      <c r="F1539">
        <v>3</v>
      </c>
      <c r="G1539">
        <v>0</v>
      </c>
      <c r="H1539">
        <f>표2[[#This Row],[공격성공횟수]]/(표2[[#This Row],[공격실패횟수]]+표2[[#This Row],[공격성공횟수]])</f>
        <v>3.5398230088495575E-2</v>
      </c>
    </row>
    <row r="1540" spans="1:8" x14ac:dyDescent="0.4">
      <c r="A1540">
        <v>770</v>
      </c>
      <c r="B1540" t="s">
        <v>0</v>
      </c>
      <c r="C1540">
        <v>1</v>
      </c>
      <c r="D1540">
        <v>4</v>
      </c>
      <c r="E1540">
        <v>10</v>
      </c>
      <c r="F1540">
        <v>1</v>
      </c>
      <c r="G1540">
        <v>0</v>
      </c>
      <c r="H1540">
        <f>표2[[#This Row],[공격성공횟수]]/(표2[[#This Row],[공격실패횟수]]+표2[[#This Row],[공격성공횟수]])</f>
        <v>0.2857142857142857</v>
      </c>
    </row>
    <row r="1541" spans="1:8" hidden="1" x14ac:dyDescent="0.4">
      <c r="A1541">
        <v>770</v>
      </c>
      <c r="B1541" t="s">
        <v>2</v>
      </c>
      <c r="C1541">
        <v>0</v>
      </c>
      <c r="D1541">
        <v>1</v>
      </c>
      <c r="E1541">
        <v>12</v>
      </c>
      <c r="F1541">
        <v>4</v>
      </c>
      <c r="G1541">
        <v>1</v>
      </c>
      <c r="H1541">
        <f>표2[[#This Row],[공격성공횟수]]/(표2[[#This Row],[공격실패횟수]]+표2[[#This Row],[공격성공횟수]])</f>
        <v>7.6923076923076927E-2</v>
      </c>
    </row>
    <row r="1542" spans="1:8" x14ac:dyDescent="0.4">
      <c r="A1542">
        <v>771</v>
      </c>
      <c r="B1542" t="s">
        <v>0</v>
      </c>
      <c r="C1542">
        <v>1</v>
      </c>
      <c r="D1542">
        <v>4</v>
      </c>
      <c r="E1542">
        <v>42</v>
      </c>
      <c r="F1542">
        <v>0</v>
      </c>
      <c r="G1542">
        <v>0</v>
      </c>
      <c r="H1542">
        <f>표2[[#This Row],[공격성공횟수]]/(표2[[#This Row],[공격실패횟수]]+표2[[#This Row],[공격성공횟수]])</f>
        <v>8.6956521739130432E-2</v>
      </c>
    </row>
    <row r="1543" spans="1:8" hidden="1" x14ac:dyDescent="0.4">
      <c r="A1543">
        <v>771</v>
      </c>
      <c r="B1543" t="s">
        <v>2</v>
      </c>
      <c r="C1543">
        <v>0</v>
      </c>
      <c r="D1543">
        <v>0</v>
      </c>
      <c r="E1543">
        <v>46</v>
      </c>
      <c r="F1543">
        <v>4</v>
      </c>
      <c r="G1543">
        <v>1</v>
      </c>
      <c r="H1543">
        <f>표2[[#This Row],[공격성공횟수]]/(표2[[#This Row],[공격실패횟수]]+표2[[#This Row],[공격성공횟수]])</f>
        <v>0</v>
      </c>
    </row>
    <row r="1544" spans="1:8" x14ac:dyDescent="0.4">
      <c r="A1544">
        <v>772</v>
      </c>
      <c r="B1544" t="s">
        <v>0</v>
      </c>
      <c r="C1544">
        <v>1</v>
      </c>
      <c r="D1544">
        <v>4</v>
      </c>
      <c r="E1544">
        <v>12</v>
      </c>
      <c r="F1544">
        <v>1</v>
      </c>
      <c r="G1544">
        <v>0</v>
      </c>
      <c r="H1544">
        <f>표2[[#This Row],[공격성공횟수]]/(표2[[#This Row],[공격실패횟수]]+표2[[#This Row],[공격성공횟수]])</f>
        <v>0.25</v>
      </c>
    </row>
    <row r="1545" spans="1:8" hidden="1" x14ac:dyDescent="0.4">
      <c r="A1545">
        <v>772</v>
      </c>
      <c r="B1545" t="s">
        <v>2</v>
      </c>
      <c r="C1545">
        <v>0</v>
      </c>
      <c r="D1545">
        <v>1</v>
      </c>
      <c r="E1545">
        <v>16</v>
      </c>
      <c r="F1545">
        <v>4</v>
      </c>
      <c r="G1545">
        <v>1</v>
      </c>
      <c r="H1545">
        <f>표2[[#This Row],[공격성공횟수]]/(표2[[#This Row],[공격실패횟수]]+표2[[#This Row],[공격성공횟수]])</f>
        <v>5.8823529411764705E-2</v>
      </c>
    </row>
    <row r="1546" spans="1:8" x14ac:dyDescent="0.4">
      <c r="A1546">
        <v>773</v>
      </c>
      <c r="B1546" t="s">
        <v>0</v>
      </c>
      <c r="C1546">
        <v>1</v>
      </c>
      <c r="D1546">
        <v>4</v>
      </c>
      <c r="E1546">
        <v>8</v>
      </c>
      <c r="F1546">
        <v>0</v>
      </c>
      <c r="G1546">
        <v>0</v>
      </c>
      <c r="H1546">
        <f>표2[[#This Row],[공격성공횟수]]/(표2[[#This Row],[공격실패횟수]]+표2[[#This Row],[공격성공횟수]])</f>
        <v>0.33333333333333331</v>
      </c>
    </row>
    <row r="1547" spans="1:8" hidden="1" x14ac:dyDescent="0.4">
      <c r="A1547">
        <v>773</v>
      </c>
      <c r="B1547" t="s">
        <v>2</v>
      </c>
      <c r="C1547">
        <v>0</v>
      </c>
      <c r="D1547">
        <v>0</v>
      </c>
      <c r="E1547">
        <v>12</v>
      </c>
      <c r="F1547">
        <v>4</v>
      </c>
      <c r="G1547">
        <v>1</v>
      </c>
      <c r="H1547">
        <f>표2[[#This Row],[공격성공횟수]]/(표2[[#This Row],[공격실패횟수]]+표2[[#This Row],[공격성공횟수]])</f>
        <v>0</v>
      </c>
    </row>
    <row r="1548" spans="1:8" x14ac:dyDescent="0.4">
      <c r="A1548">
        <v>774</v>
      </c>
      <c r="B1548" t="s">
        <v>0</v>
      </c>
      <c r="C1548">
        <v>0</v>
      </c>
      <c r="D1548">
        <v>3</v>
      </c>
      <c r="E1548">
        <v>11</v>
      </c>
      <c r="F1548">
        <v>4</v>
      </c>
      <c r="G1548">
        <v>1</v>
      </c>
      <c r="H1548">
        <f>표2[[#This Row],[공격성공횟수]]/(표2[[#This Row],[공격실패횟수]]+표2[[#This Row],[공격성공횟수]])</f>
        <v>0.21428571428571427</v>
      </c>
    </row>
    <row r="1549" spans="1:8" hidden="1" x14ac:dyDescent="0.4">
      <c r="A1549">
        <v>774</v>
      </c>
      <c r="B1549" t="s">
        <v>2</v>
      </c>
      <c r="C1549">
        <v>1</v>
      </c>
      <c r="D1549">
        <v>4</v>
      </c>
      <c r="E1549">
        <v>12</v>
      </c>
      <c r="F1549">
        <v>3</v>
      </c>
      <c r="G1549">
        <v>0</v>
      </c>
      <c r="H1549">
        <f>표2[[#This Row],[공격성공횟수]]/(표2[[#This Row],[공격실패횟수]]+표2[[#This Row],[공격성공횟수]])</f>
        <v>0.25</v>
      </c>
    </row>
    <row r="1550" spans="1:8" x14ac:dyDescent="0.4">
      <c r="A1550">
        <v>775</v>
      </c>
      <c r="B1550" t="s">
        <v>0</v>
      </c>
      <c r="C1550">
        <v>1</v>
      </c>
      <c r="D1550">
        <v>4</v>
      </c>
      <c r="E1550">
        <v>6</v>
      </c>
      <c r="F1550">
        <v>2</v>
      </c>
      <c r="G1550">
        <v>0</v>
      </c>
      <c r="H1550">
        <f>표2[[#This Row],[공격성공횟수]]/(표2[[#This Row],[공격실패횟수]]+표2[[#This Row],[공격성공횟수]])</f>
        <v>0.4</v>
      </c>
    </row>
    <row r="1551" spans="1:8" hidden="1" x14ac:dyDescent="0.4">
      <c r="A1551">
        <v>775</v>
      </c>
      <c r="B1551" t="s">
        <v>2</v>
      </c>
      <c r="C1551">
        <v>0</v>
      </c>
      <c r="D1551">
        <v>2</v>
      </c>
      <c r="E1551">
        <v>9</v>
      </c>
      <c r="F1551">
        <v>4</v>
      </c>
      <c r="G1551">
        <v>1</v>
      </c>
      <c r="H1551">
        <f>표2[[#This Row],[공격성공횟수]]/(표2[[#This Row],[공격실패횟수]]+표2[[#This Row],[공격성공횟수]])</f>
        <v>0.18181818181818182</v>
      </c>
    </row>
    <row r="1552" spans="1:8" x14ac:dyDescent="0.4">
      <c r="A1552">
        <v>776</v>
      </c>
      <c r="B1552" t="s">
        <v>0</v>
      </c>
      <c r="C1552">
        <v>1</v>
      </c>
      <c r="D1552">
        <v>4</v>
      </c>
      <c r="E1552">
        <v>69</v>
      </c>
      <c r="F1552">
        <v>2</v>
      </c>
      <c r="G1552">
        <v>0</v>
      </c>
      <c r="H1552">
        <f>표2[[#This Row],[공격성공횟수]]/(표2[[#This Row],[공격실패횟수]]+표2[[#This Row],[공격성공횟수]])</f>
        <v>5.4794520547945202E-2</v>
      </c>
    </row>
    <row r="1553" spans="1:8" hidden="1" x14ac:dyDescent="0.4">
      <c r="A1553">
        <v>776</v>
      </c>
      <c r="B1553" t="s">
        <v>2</v>
      </c>
      <c r="C1553">
        <v>0</v>
      </c>
      <c r="D1553">
        <v>2</v>
      </c>
      <c r="E1553">
        <v>69</v>
      </c>
      <c r="F1553">
        <v>4</v>
      </c>
      <c r="G1553">
        <v>1</v>
      </c>
      <c r="H1553">
        <f>표2[[#This Row],[공격성공횟수]]/(표2[[#This Row],[공격실패횟수]]+표2[[#This Row],[공격성공횟수]])</f>
        <v>2.8169014084507043E-2</v>
      </c>
    </row>
    <row r="1554" spans="1:8" x14ac:dyDescent="0.4">
      <c r="A1554">
        <v>777</v>
      </c>
      <c r="B1554" t="s">
        <v>0</v>
      </c>
      <c r="C1554">
        <v>1</v>
      </c>
      <c r="D1554">
        <v>4</v>
      </c>
      <c r="E1554">
        <v>54</v>
      </c>
      <c r="F1554">
        <v>2</v>
      </c>
      <c r="G1554">
        <v>0</v>
      </c>
      <c r="H1554">
        <f>표2[[#This Row],[공격성공횟수]]/(표2[[#This Row],[공격실패횟수]]+표2[[#This Row],[공격성공횟수]])</f>
        <v>6.8965517241379309E-2</v>
      </c>
    </row>
    <row r="1555" spans="1:8" hidden="1" x14ac:dyDescent="0.4">
      <c r="A1555">
        <v>777</v>
      </c>
      <c r="B1555" t="s">
        <v>2</v>
      </c>
      <c r="C1555">
        <v>0</v>
      </c>
      <c r="D1555">
        <v>2</v>
      </c>
      <c r="E1555">
        <v>55</v>
      </c>
      <c r="F1555">
        <v>4</v>
      </c>
      <c r="G1555">
        <v>1</v>
      </c>
      <c r="H1555">
        <f>표2[[#This Row],[공격성공횟수]]/(표2[[#This Row],[공격실패횟수]]+표2[[#This Row],[공격성공횟수]])</f>
        <v>3.5087719298245612E-2</v>
      </c>
    </row>
    <row r="1556" spans="1:8" x14ac:dyDescent="0.4">
      <c r="A1556">
        <v>778</v>
      </c>
      <c r="B1556" t="s">
        <v>0</v>
      </c>
      <c r="C1556">
        <v>1</v>
      </c>
      <c r="D1556">
        <v>4</v>
      </c>
      <c r="E1556">
        <v>44</v>
      </c>
      <c r="F1556">
        <v>1</v>
      </c>
      <c r="G1556">
        <v>0</v>
      </c>
      <c r="H1556">
        <f>표2[[#This Row],[공격성공횟수]]/(표2[[#This Row],[공격실패횟수]]+표2[[#This Row],[공격성공횟수]])</f>
        <v>8.3333333333333329E-2</v>
      </c>
    </row>
    <row r="1557" spans="1:8" hidden="1" x14ac:dyDescent="0.4">
      <c r="A1557">
        <v>778</v>
      </c>
      <c r="B1557" t="s">
        <v>2</v>
      </c>
      <c r="C1557">
        <v>0</v>
      </c>
      <c r="D1557">
        <v>1</v>
      </c>
      <c r="E1557">
        <v>47</v>
      </c>
      <c r="F1557">
        <v>4</v>
      </c>
      <c r="G1557">
        <v>1</v>
      </c>
      <c r="H1557">
        <f>표2[[#This Row],[공격성공횟수]]/(표2[[#This Row],[공격실패횟수]]+표2[[#This Row],[공격성공횟수]])</f>
        <v>2.0833333333333332E-2</v>
      </c>
    </row>
    <row r="1558" spans="1:8" x14ac:dyDescent="0.4">
      <c r="A1558">
        <v>779</v>
      </c>
      <c r="B1558" t="s">
        <v>0</v>
      </c>
      <c r="C1558">
        <v>1</v>
      </c>
      <c r="D1558">
        <v>4</v>
      </c>
      <c r="E1558">
        <v>20</v>
      </c>
      <c r="F1558">
        <v>1</v>
      </c>
      <c r="G1558">
        <v>0</v>
      </c>
      <c r="H1558">
        <f>표2[[#This Row],[공격성공횟수]]/(표2[[#This Row],[공격실패횟수]]+표2[[#This Row],[공격성공횟수]])</f>
        <v>0.16666666666666666</v>
      </c>
    </row>
    <row r="1559" spans="1:8" hidden="1" x14ac:dyDescent="0.4">
      <c r="A1559">
        <v>779</v>
      </c>
      <c r="B1559" t="s">
        <v>2</v>
      </c>
      <c r="C1559">
        <v>0</v>
      </c>
      <c r="D1559">
        <v>1</v>
      </c>
      <c r="E1559">
        <v>23</v>
      </c>
      <c r="F1559">
        <v>4</v>
      </c>
      <c r="G1559">
        <v>1</v>
      </c>
      <c r="H1559">
        <f>표2[[#This Row],[공격성공횟수]]/(표2[[#This Row],[공격실패횟수]]+표2[[#This Row],[공격성공횟수]])</f>
        <v>4.1666666666666664E-2</v>
      </c>
    </row>
    <row r="1560" spans="1:8" x14ac:dyDescent="0.4">
      <c r="A1560">
        <v>780</v>
      </c>
      <c r="B1560" t="s">
        <v>0</v>
      </c>
      <c r="C1560">
        <v>0</v>
      </c>
      <c r="D1560">
        <v>1</v>
      </c>
      <c r="E1560">
        <v>22</v>
      </c>
      <c r="F1560">
        <v>4</v>
      </c>
      <c r="G1560">
        <v>1</v>
      </c>
      <c r="H1560">
        <f>표2[[#This Row],[공격성공횟수]]/(표2[[#This Row],[공격실패횟수]]+표2[[#This Row],[공격성공횟수]])</f>
        <v>4.3478260869565216E-2</v>
      </c>
    </row>
    <row r="1561" spans="1:8" hidden="1" x14ac:dyDescent="0.4">
      <c r="A1561">
        <v>780</v>
      </c>
      <c r="B1561" t="s">
        <v>2</v>
      </c>
      <c r="C1561">
        <v>1</v>
      </c>
      <c r="D1561">
        <v>4</v>
      </c>
      <c r="E1561">
        <v>21</v>
      </c>
      <c r="F1561">
        <v>1</v>
      </c>
      <c r="G1561">
        <v>0</v>
      </c>
      <c r="H1561">
        <f>표2[[#This Row],[공격성공횟수]]/(표2[[#This Row],[공격실패횟수]]+표2[[#This Row],[공격성공횟수]])</f>
        <v>0.16</v>
      </c>
    </row>
    <row r="1562" spans="1:8" x14ac:dyDescent="0.4">
      <c r="A1562">
        <v>781</v>
      </c>
      <c r="B1562" t="s">
        <v>0</v>
      </c>
      <c r="C1562">
        <v>1</v>
      </c>
      <c r="D1562">
        <v>4</v>
      </c>
      <c r="E1562">
        <v>18</v>
      </c>
      <c r="F1562">
        <v>0</v>
      </c>
      <c r="G1562">
        <v>0</v>
      </c>
      <c r="H1562">
        <f>표2[[#This Row],[공격성공횟수]]/(표2[[#This Row],[공격실패횟수]]+표2[[#This Row],[공격성공횟수]])</f>
        <v>0.18181818181818182</v>
      </c>
    </row>
    <row r="1563" spans="1:8" hidden="1" x14ac:dyDescent="0.4">
      <c r="A1563">
        <v>781</v>
      </c>
      <c r="B1563" t="s">
        <v>2</v>
      </c>
      <c r="C1563">
        <v>0</v>
      </c>
      <c r="D1563">
        <v>0</v>
      </c>
      <c r="E1563">
        <v>21</v>
      </c>
      <c r="F1563">
        <v>4</v>
      </c>
      <c r="G1563">
        <v>1</v>
      </c>
      <c r="H1563">
        <f>표2[[#This Row],[공격성공횟수]]/(표2[[#This Row],[공격실패횟수]]+표2[[#This Row],[공격성공횟수]])</f>
        <v>0</v>
      </c>
    </row>
    <row r="1564" spans="1:8" x14ac:dyDescent="0.4">
      <c r="A1564">
        <v>782</v>
      </c>
      <c r="B1564" t="s">
        <v>0</v>
      </c>
      <c r="C1564">
        <v>1</v>
      </c>
      <c r="D1564">
        <v>4</v>
      </c>
      <c r="E1564">
        <v>9</v>
      </c>
      <c r="F1564">
        <v>3</v>
      </c>
      <c r="G1564">
        <v>0</v>
      </c>
      <c r="H1564">
        <f>표2[[#This Row],[공격성공횟수]]/(표2[[#This Row],[공격실패횟수]]+표2[[#This Row],[공격성공횟수]])</f>
        <v>0.30769230769230771</v>
      </c>
    </row>
    <row r="1565" spans="1:8" hidden="1" x14ac:dyDescent="0.4">
      <c r="A1565">
        <v>782</v>
      </c>
      <c r="B1565" t="s">
        <v>2</v>
      </c>
      <c r="C1565">
        <v>0</v>
      </c>
      <c r="D1565">
        <v>3</v>
      </c>
      <c r="E1565">
        <v>11</v>
      </c>
      <c r="F1565">
        <v>4</v>
      </c>
      <c r="G1565">
        <v>1</v>
      </c>
      <c r="H1565">
        <f>표2[[#This Row],[공격성공횟수]]/(표2[[#This Row],[공격실패횟수]]+표2[[#This Row],[공격성공횟수]])</f>
        <v>0.21428571428571427</v>
      </c>
    </row>
    <row r="1566" spans="1:8" x14ac:dyDescent="0.4">
      <c r="A1566">
        <v>783</v>
      </c>
      <c r="B1566" t="s">
        <v>0</v>
      </c>
      <c r="C1566">
        <v>0</v>
      </c>
      <c r="D1566">
        <v>2</v>
      </c>
      <c r="E1566">
        <v>22</v>
      </c>
      <c r="F1566">
        <v>4</v>
      </c>
      <c r="G1566">
        <v>1</v>
      </c>
      <c r="H1566">
        <f>표2[[#This Row],[공격성공횟수]]/(표2[[#This Row],[공격실패횟수]]+표2[[#This Row],[공격성공횟수]])</f>
        <v>8.3333333333333329E-2</v>
      </c>
    </row>
    <row r="1567" spans="1:8" hidden="1" x14ac:dyDescent="0.4">
      <c r="A1567">
        <v>783</v>
      </c>
      <c r="B1567" t="s">
        <v>2</v>
      </c>
      <c r="C1567">
        <v>1</v>
      </c>
      <c r="D1567">
        <v>4</v>
      </c>
      <c r="E1567">
        <v>22</v>
      </c>
      <c r="F1567">
        <v>2</v>
      </c>
      <c r="G1567">
        <v>0</v>
      </c>
      <c r="H1567">
        <f>표2[[#This Row],[공격성공횟수]]/(표2[[#This Row],[공격실패횟수]]+표2[[#This Row],[공격성공횟수]])</f>
        <v>0.15384615384615385</v>
      </c>
    </row>
    <row r="1568" spans="1:8" x14ac:dyDescent="0.4">
      <c r="A1568">
        <v>784</v>
      </c>
      <c r="B1568" t="s">
        <v>0</v>
      </c>
      <c r="C1568">
        <v>1</v>
      </c>
      <c r="D1568">
        <v>4</v>
      </c>
      <c r="E1568">
        <v>11</v>
      </c>
      <c r="F1568">
        <v>1</v>
      </c>
      <c r="G1568">
        <v>0</v>
      </c>
      <c r="H1568">
        <f>표2[[#This Row],[공격성공횟수]]/(표2[[#This Row],[공격실패횟수]]+표2[[#This Row],[공격성공횟수]])</f>
        <v>0.26666666666666666</v>
      </c>
    </row>
    <row r="1569" spans="1:8" hidden="1" x14ac:dyDescent="0.4">
      <c r="A1569">
        <v>784</v>
      </c>
      <c r="B1569" t="s">
        <v>2</v>
      </c>
      <c r="C1569">
        <v>0</v>
      </c>
      <c r="D1569">
        <v>1</v>
      </c>
      <c r="E1569">
        <v>13</v>
      </c>
      <c r="F1569">
        <v>4</v>
      </c>
      <c r="G1569">
        <v>1</v>
      </c>
      <c r="H1569">
        <f>표2[[#This Row],[공격성공횟수]]/(표2[[#This Row],[공격실패횟수]]+표2[[#This Row],[공격성공횟수]])</f>
        <v>7.1428571428571425E-2</v>
      </c>
    </row>
    <row r="1570" spans="1:8" x14ac:dyDescent="0.4">
      <c r="A1570">
        <v>785</v>
      </c>
      <c r="B1570" t="s">
        <v>0</v>
      </c>
      <c r="C1570">
        <v>1</v>
      </c>
      <c r="D1570">
        <v>4</v>
      </c>
      <c r="E1570">
        <v>20</v>
      </c>
      <c r="F1570">
        <v>0</v>
      </c>
      <c r="G1570">
        <v>0</v>
      </c>
      <c r="H1570">
        <f>표2[[#This Row],[공격성공횟수]]/(표2[[#This Row],[공격실패횟수]]+표2[[#This Row],[공격성공횟수]])</f>
        <v>0.16666666666666666</v>
      </c>
    </row>
    <row r="1571" spans="1:8" hidden="1" x14ac:dyDescent="0.4">
      <c r="A1571">
        <v>785</v>
      </c>
      <c r="B1571" t="s">
        <v>2</v>
      </c>
      <c r="C1571">
        <v>0</v>
      </c>
      <c r="D1571">
        <v>0</v>
      </c>
      <c r="E1571">
        <v>24</v>
      </c>
      <c r="F1571">
        <v>4</v>
      </c>
      <c r="G1571">
        <v>1</v>
      </c>
      <c r="H1571">
        <f>표2[[#This Row],[공격성공횟수]]/(표2[[#This Row],[공격실패횟수]]+표2[[#This Row],[공격성공횟수]])</f>
        <v>0</v>
      </c>
    </row>
    <row r="1572" spans="1:8" x14ac:dyDescent="0.4">
      <c r="A1572">
        <v>786</v>
      </c>
      <c r="B1572" t="s">
        <v>0</v>
      </c>
      <c r="C1572">
        <v>0</v>
      </c>
      <c r="D1572">
        <v>3</v>
      </c>
      <c r="E1572">
        <v>7</v>
      </c>
      <c r="F1572">
        <v>4</v>
      </c>
      <c r="G1572">
        <v>1</v>
      </c>
      <c r="H1572">
        <f>표2[[#This Row],[공격성공횟수]]/(표2[[#This Row],[공격실패횟수]]+표2[[#This Row],[공격성공횟수]])</f>
        <v>0.3</v>
      </c>
    </row>
    <row r="1573" spans="1:8" hidden="1" x14ac:dyDescent="0.4">
      <c r="A1573">
        <v>786</v>
      </c>
      <c r="B1573" t="s">
        <v>2</v>
      </c>
      <c r="C1573">
        <v>1</v>
      </c>
      <c r="D1573">
        <v>4</v>
      </c>
      <c r="E1573">
        <v>8</v>
      </c>
      <c r="F1573">
        <v>3</v>
      </c>
      <c r="G1573">
        <v>0</v>
      </c>
      <c r="H1573">
        <f>표2[[#This Row],[공격성공횟수]]/(표2[[#This Row],[공격실패횟수]]+표2[[#This Row],[공격성공횟수]])</f>
        <v>0.33333333333333331</v>
      </c>
    </row>
    <row r="1574" spans="1:8" x14ac:dyDescent="0.4">
      <c r="A1574">
        <v>787</v>
      </c>
      <c r="B1574" t="s">
        <v>0</v>
      </c>
      <c r="C1574">
        <v>1</v>
      </c>
      <c r="D1574">
        <v>4</v>
      </c>
      <c r="E1574">
        <v>10</v>
      </c>
      <c r="F1574">
        <v>3</v>
      </c>
      <c r="G1574">
        <v>0</v>
      </c>
      <c r="H1574">
        <f>표2[[#This Row],[공격성공횟수]]/(표2[[#This Row],[공격실패횟수]]+표2[[#This Row],[공격성공횟수]])</f>
        <v>0.2857142857142857</v>
      </c>
    </row>
    <row r="1575" spans="1:8" hidden="1" x14ac:dyDescent="0.4">
      <c r="A1575">
        <v>787</v>
      </c>
      <c r="B1575" t="s">
        <v>2</v>
      </c>
      <c r="C1575">
        <v>0</v>
      </c>
      <c r="D1575">
        <v>3</v>
      </c>
      <c r="E1575">
        <v>11</v>
      </c>
      <c r="F1575">
        <v>4</v>
      </c>
      <c r="G1575">
        <v>1</v>
      </c>
      <c r="H1575">
        <f>표2[[#This Row],[공격성공횟수]]/(표2[[#This Row],[공격실패횟수]]+표2[[#This Row],[공격성공횟수]])</f>
        <v>0.21428571428571427</v>
      </c>
    </row>
    <row r="1576" spans="1:8" x14ac:dyDescent="0.4">
      <c r="A1576">
        <v>788</v>
      </c>
      <c r="B1576" t="s">
        <v>0</v>
      </c>
      <c r="C1576">
        <v>1</v>
      </c>
      <c r="D1576">
        <v>4</v>
      </c>
      <c r="E1576">
        <v>6</v>
      </c>
      <c r="F1576">
        <v>3</v>
      </c>
      <c r="G1576">
        <v>0</v>
      </c>
      <c r="H1576">
        <f>표2[[#This Row],[공격성공횟수]]/(표2[[#This Row],[공격실패횟수]]+표2[[#This Row],[공격성공횟수]])</f>
        <v>0.4</v>
      </c>
    </row>
    <row r="1577" spans="1:8" hidden="1" x14ac:dyDescent="0.4">
      <c r="A1577">
        <v>788</v>
      </c>
      <c r="B1577" t="s">
        <v>2</v>
      </c>
      <c r="C1577">
        <v>0</v>
      </c>
      <c r="D1577">
        <v>3</v>
      </c>
      <c r="E1577">
        <v>7</v>
      </c>
      <c r="F1577">
        <v>4</v>
      </c>
      <c r="G1577">
        <v>1</v>
      </c>
      <c r="H1577">
        <f>표2[[#This Row],[공격성공횟수]]/(표2[[#This Row],[공격실패횟수]]+표2[[#This Row],[공격성공횟수]])</f>
        <v>0.3</v>
      </c>
    </row>
    <row r="1578" spans="1:8" x14ac:dyDescent="0.4">
      <c r="A1578">
        <v>789</v>
      </c>
      <c r="B1578" t="s">
        <v>0</v>
      </c>
      <c r="C1578">
        <v>1</v>
      </c>
      <c r="D1578">
        <v>4</v>
      </c>
      <c r="E1578">
        <v>64</v>
      </c>
      <c r="F1578">
        <v>2</v>
      </c>
      <c r="G1578">
        <v>0</v>
      </c>
      <c r="H1578">
        <f>표2[[#This Row],[공격성공횟수]]/(표2[[#This Row],[공격실패횟수]]+표2[[#This Row],[공격성공횟수]])</f>
        <v>5.8823529411764705E-2</v>
      </c>
    </row>
    <row r="1579" spans="1:8" hidden="1" x14ac:dyDescent="0.4">
      <c r="A1579">
        <v>789</v>
      </c>
      <c r="B1579" t="s">
        <v>2</v>
      </c>
      <c r="C1579">
        <v>0</v>
      </c>
      <c r="D1579">
        <v>2</v>
      </c>
      <c r="E1579">
        <v>67</v>
      </c>
      <c r="F1579">
        <v>4</v>
      </c>
      <c r="G1579">
        <v>1</v>
      </c>
      <c r="H1579">
        <f>표2[[#This Row],[공격성공횟수]]/(표2[[#This Row],[공격실패횟수]]+표2[[#This Row],[공격성공횟수]])</f>
        <v>2.8985507246376812E-2</v>
      </c>
    </row>
    <row r="1580" spans="1:8" x14ac:dyDescent="0.4">
      <c r="A1580">
        <v>790</v>
      </c>
      <c r="B1580" t="s">
        <v>0</v>
      </c>
      <c r="C1580">
        <v>1</v>
      </c>
      <c r="D1580">
        <v>4</v>
      </c>
      <c r="E1580">
        <v>25</v>
      </c>
      <c r="F1580">
        <v>3</v>
      </c>
      <c r="G1580">
        <v>0</v>
      </c>
      <c r="H1580">
        <f>표2[[#This Row],[공격성공횟수]]/(표2[[#This Row],[공격실패횟수]]+표2[[#This Row],[공격성공횟수]])</f>
        <v>0.13793103448275862</v>
      </c>
    </row>
    <row r="1581" spans="1:8" hidden="1" x14ac:dyDescent="0.4">
      <c r="A1581">
        <v>790</v>
      </c>
      <c r="B1581" t="s">
        <v>2</v>
      </c>
      <c r="C1581">
        <v>0</v>
      </c>
      <c r="D1581">
        <v>3</v>
      </c>
      <c r="E1581">
        <v>25</v>
      </c>
      <c r="F1581">
        <v>4</v>
      </c>
      <c r="G1581">
        <v>1</v>
      </c>
      <c r="H1581">
        <f>표2[[#This Row],[공격성공횟수]]/(표2[[#This Row],[공격실패횟수]]+표2[[#This Row],[공격성공횟수]])</f>
        <v>0.10714285714285714</v>
      </c>
    </row>
    <row r="1582" spans="1:8" x14ac:dyDescent="0.4">
      <c r="A1582">
        <v>791</v>
      </c>
      <c r="B1582" t="s">
        <v>0</v>
      </c>
      <c r="C1582">
        <v>1</v>
      </c>
      <c r="D1582">
        <v>4</v>
      </c>
      <c r="E1582">
        <v>37</v>
      </c>
      <c r="F1582">
        <v>2</v>
      </c>
      <c r="G1582">
        <v>0</v>
      </c>
      <c r="H1582">
        <f>표2[[#This Row],[공격성공횟수]]/(표2[[#This Row],[공격실패횟수]]+표2[[#This Row],[공격성공횟수]])</f>
        <v>9.7560975609756101E-2</v>
      </c>
    </row>
    <row r="1583" spans="1:8" hidden="1" x14ac:dyDescent="0.4">
      <c r="A1583">
        <v>791</v>
      </c>
      <c r="B1583" t="s">
        <v>2</v>
      </c>
      <c r="C1583">
        <v>0</v>
      </c>
      <c r="D1583">
        <v>2</v>
      </c>
      <c r="E1583">
        <v>40</v>
      </c>
      <c r="F1583">
        <v>4</v>
      </c>
      <c r="G1583">
        <v>1</v>
      </c>
      <c r="H1583">
        <f>표2[[#This Row],[공격성공횟수]]/(표2[[#This Row],[공격실패횟수]]+표2[[#This Row],[공격성공횟수]])</f>
        <v>4.7619047619047616E-2</v>
      </c>
    </row>
    <row r="1584" spans="1:8" x14ac:dyDescent="0.4">
      <c r="A1584">
        <v>792</v>
      </c>
      <c r="B1584" t="s">
        <v>0</v>
      </c>
      <c r="C1584">
        <v>1</v>
      </c>
      <c r="D1584">
        <v>4</v>
      </c>
      <c r="E1584">
        <v>7</v>
      </c>
      <c r="F1584">
        <v>2</v>
      </c>
      <c r="G1584">
        <v>0</v>
      </c>
      <c r="H1584">
        <f>표2[[#This Row],[공격성공횟수]]/(표2[[#This Row],[공격실패횟수]]+표2[[#This Row],[공격성공횟수]])</f>
        <v>0.36363636363636365</v>
      </c>
    </row>
    <row r="1585" spans="1:8" hidden="1" x14ac:dyDescent="0.4">
      <c r="A1585">
        <v>792</v>
      </c>
      <c r="B1585" t="s">
        <v>2</v>
      </c>
      <c r="C1585">
        <v>0</v>
      </c>
      <c r="D1585">
        <v>2</v>
      </c>
      <c r="E1585">
        <v>9</v>
      </c>
      <c r="F1585">
        <v>4</v>
      </c>
      <c r="G1585">
        <v>1</v>
      </c>
      <c r="H1585">
        <f>표2[[#This Row],[공격성공횟수]]/(표2[[#This Row],[공격실패횟수]]+표2[[#This Row],[공격성공횟수]])</f>
        <v>0.18181818181818182</v>
      </c>
    </row>
    <row r="1586" spans="1:8" x14ac:dyDescent="0.4">
      <c r="A1586">
        <v>793</v>
      </c>
      <c r="B1586" t="s">
        <v>0</v>
      </c>
      <c r="C1586">
        <v>0</v>
      </c>
      <c r="D1586">
        <v>2</v>
      </c>
      <c r="E1586">
        <v>9</v>
      </c>
      <c r="F1586">
        <v>4</v>
      </c>
      <c r="G1586">
        <v>1</v>
      </c>
      <c r="H1586">
        <f>표2[[#This Row],[공격성공횟수]]/(표2[[#This Row],[공격실패횟수]]+표2[[#This Row],[공격성공횟수]])</f>
        <v>0.18181818181818182</v>
      </c>
    </row>
    <row r="1587" spans="1:8" hidden="1" x14ac:dyDescent="0.4">
      <c r="A1587">
        <v>793</v>
      </c>
      <c r="B1587" t="s">
        <v>2</v>
      </c>
      <c r="C1587">
        <v>1</v>
      </c>
      <c r="D1587">
        <v>4</v>
      </c>
      <c r="E1587">
        <v>9</v>
      </c>
      <c r="F1587">
        <v>2</v>
      </c>
      <c r="G1587">
        <v>0</v>
      </c>
      <c r="H1587">
        <f>표2[[#This Row],[공격성공횟수]]/(표2[[#This Row],[공격실패횟수]]+표2[[#This Row],[공격성공횟수]])</f>
        <v>0.30769230769230771</v>
      </c>
    </row>
    <row r="1588" spans="1:8" x14ac:dyDescent="0.4">
      <c r="A1588">
        <v>794</v>
      </c>
      <c r="B1588" t="s">
        <v>0</v>
      </c>
      <c r="C1588">
        <v>1</v>
      </c>
      <c r="D1588">
        <v>4</v>
      </c>
      <c r="E1588">
        <v>9</v>
      </c>
      <c r="F1588">
        <v>0</v>
      </c>
      <c r="G1588">
        <v>0</v>
      </c>
      <c r="H1588">
        <f>표2[[#This Row],[공격성공횟수]]/(표2[[#This Row],[공격실패횟수]]+표2[[#This Row],[공격성공횟수]])</f>
        <v>0.30769230769230771</v>
      </c>
    </row>
    <row r="1589" spans="1:8" hidden="1" x14ac:dyDescent="0.4">
      <c r="A1589">
        <v>794</v>
      </c>
      <c r="B1589" t="s">
        <v>2</v>
      </c>
      <c r="C1589">
        <v>0</v>
      </c>
      <c r="D1589">
        <v>0</v>
      </c>
      <c r="E1589">
        <v>12</v>
      </c>
      <c r="F1589">
        <v>4</v>
      </c>
      <c r="G1589">
        <v>1</v>
      </c>
      <c r="H1589">
        <f>표2[[#This Row],[공격성공횟수]]/(표2[[#This Row],[공격실패횟수]]+표2[[#This Row],[공격성공횟수]])</f>
        <v>0</v>
      </c>
    </row>
    <row r="1590" spans="1:8" x14ac:dyDescent="0.4">
      <c r="A1590">
        <v>795</v>
      </c>
      <c r="B1590" t="s">
        <v>0</v>
      </c>
      <c r="C1590">
        <v>1</v>
      </c>
      <c r="D1590">
        <v>4</v>
      </c>
      <c r="E1590">
        <v>17</v>
      </c>
      <c r="F1590">
        <v>2</v>
      </c>
      <c r="G1590">
        <v>0</v>
      </c>
      <c r="H1590">
        <f>표2[[#This Row],[공격성공횟수]]/(표2[[#This Row],[공격실패횟수]]+표2[[#This Row],[공격성공횟수]])</f>
        <v>0.19047619047619047</v>
      </c>
    </row>
    <row r="1591" spans="1:8" hidden="1" x14ac:dyDescent="0.4">
      <c r="A1591">
        <v>795</v>
      </c>
      <c r="B1591" t="s">
        <v>2</v>
      </c>
      <c r="C1591">
        <v>0</v>
      </c>
      <c r="D1591">
        <v>2</v>
      </c>
      <c r="E1591">
        <v>18</v>
      </c>
      <c r="F1591">
        <v>4</v>
      </c>
      <c r="G1591">
        <v>1</v>
      </c>
      <c r="H1591">
        <f>표2[[#This Row],[공격성공횟수]]/(표2[[#This Row],[공격실패횟수]]+표2[[#This Row],[공격성공횟수]])</f>
        <v>0.1</v>
      </c>
    </row>
    <row r="1592" spans="1:8" x14ac:dyDescent="0.4">
      <c r="A1592">
        <v>796</v>
      </c>
      <c r="B1592" t="s">
        <v>0</v>
      </c>
      <c r="C1592">
        <v>1</v>
      </c>
      <c r="D1592">
        <v>4</v>
      </c>
      <c r="E1592">
        <v>6</v>
      </c>
      <c r="F1592">
        <v>3</v>
      </c>
      <c r="G1592">
        <v>0</v>
      </c>
      <c r="H1592">
        <f>표2[[#This Row],[공격성공횟수]]/(표2[[#This Row],[공격실패횟수]]+표2[[#This Row],[공격성공횟수]])</f>
        <v>0.4</v>
      </c>
    </row>
    <row r="1593" spans="1:8" hidden="1" x14ac:dyDescent="0.4">
      <c r="A1593">
        <v>796</v>
      </c>
      <c r="B1593" t="s">
        <v>2</v>
      </c>
      <c r="C1593">
        <v>0</v>
      </c>
      <c r="D1593">
        <v>3</v>
      </c>
      <c r="E1593">
        <v>8</v>
      </c>
      <c r="F1593">
        <v>4</v>
      </c>
      <c r="G1593">
        <v>1</v>
      </c>
      <c r="H1593">
        <f>표2[[#This Row],[공격성공횟수]]/(표2[[#This Row],[공격실패횟수]]+표2[[#This Row],[공격성공횟수]])</f>
        <v>0.27272727272727271</v>
      </c>
    </row>
    <row r="1594" spans="1:8" x14ac:dyDescent="0.4">
      <c r="A1594">
        <v>797</v>
      </c>
      <c r="B1594" t="s">
        <v>0</v>
      </c>
      <c r="C1594">
        <v>1</v>
      </c>
      <c r="D1594">
        <v>4</v>
      </c>
      <c r="E1594">
        <v>6</v>
      </c>
      <c r="F1594">
        <v>2</v>
      </c>
      <c r="G1594">
        <v>0</v>
      </c>
      <c r="H1594">
        <f>표2[[#This Row],[공격성공횟수]]/(표2[[#This Row],[공격실패횟수]]+표2[[#This Row],[공격성공횟수]])</f>
        <v>0.4</v>
      </c>
    </row>
    <row r="1595" spans="1:8" hidden="1" x14ac:dyDescent="0.4">
      <c r="A1595">
        <v>797</v>
      </c>
      <c r="B1595" t="s">
        <v>2</v>
      </c>
      <c r="C1595">
        <v>0</v>
      </c>
      <c r="D1595">
        <v>2</v>
      </c>
      <c r="E1595">
        <v>8</v>
      </c>
      <c r="F1595">
        <v>4</v>
      </c>
      <c r="G1595">
        <v>1</v>
      </c>
      <c r="H1595">
        <f>표2[[#This Row],[공격성공횟수]]/(표2[[#This Row],[공격실패횟수]]+표2[[#This Row],[공격성공횟수]])</f>
        <v>0.2</v>
      </c>
    </row>
    <row r="1596" spans="1:8" x14ac:dyDescent="0.4">
      <c r="A1596">
        <v>798</v>
      </c>
      <c r="B1596" t="s">
        <v>0</v>
      </c>
      <c r="C1596">
        <v>0</v>
      </c>
      <c r="D1596">
        <v>0</v>
      </c>
      <c r="E1596">
        <v>59</v>
      </c>
      <c r="F1596">
        <v>4</v>
      </c>
      <c r="G1596">
        <v>1</v>
      </c>
      <c r="H1596">
        <f>표2[[#This Row],[공격성공횟수]]/(표2[[#This Row],[공격실패횟수]]+표2[[#This Row],[공격성공횟수]])</f>
        <v>0</v>
      </c>
    </row>
    <row r="1597" spans="1:8" hidden="1" x14ac:dyDescent="0.4">
      <c r="A1597">
        <v>798</v>
      </c>
      <c r="B1597" t="s">
        <v>2</v>
      </c>
      <c r="C1597">
        <v>1</v>
      </c>
      <c r="D1597">
        <v>4</v>
      </c>
      <c r="E1597">
        <v>55</v>
      </c>
      <c r="F1597">
        <v>0</v>
      </c>
      <c r="G1597">
        <v>0</v>
      </c>
      <c r="H1597">
        <f>표2[[#This Row],[공격성공횟수]]/(표2[[#This Row],[공격실패횟수]]+표2[[#This Row],[공격성공횟수]])</f>
        <v>6.7796610169491525E-2</v>
      </c>
    </row>
    <row r="1598" spans="1:8" x14ac:dyDescent="0.4">
      <c r="A1598">
        <v>799</v>
      </c>
      <c r="B1598" t="s">
        <v>0</v>
      </c>
      <c r="C1598">
        <v>1</v>
      </c>
      <c r="D1598">
        <v>4</v>
      </c>
      <c r="E1598">
        <v>80</v>
      </c>
      <c r="F1598">
        <v>1</v>
      </c>
      <c r="G1598">
        <v>0</v>
      </c>
      <c r="H1598">
        <f>표2[[#This Row],[공격성공횟수]]/(표2[[#This Row],[공격실패횟수]]+표2[[#This Row],[공격성공횟수]])</f>
        <v>4.7619047619047616E-2</v>
      </c>
    </row>
    <row r="1599" spans="1:8" hidden="1" x14ac:dyDescent="0.4">
      <c r="A1599">
        <v>799</v>
      </c>
      <c r="B1599" t="s">
        <v>2</v>
      </c>
      <c r="C1599">
        <v>0</v>
      </c>
      <c r="D1599">
        <v>1</v>
      </c>
      <c r="E1599">
        <v>82</v>
      </c>
      <c r="F1599">
        <v>4</v>
      </c>
      <c r="G1599">
        <v>1</v>
      </c>
      <c r="H1599">
        <f>표2[[#This Row],[공격성공횟수]]/(표2[[#This Row],[공격실패횟수]]+표2[[#This Row],[공격성공횟수]])</f>
        <v>1.2048192771084338E-2</v>
      </c>
    </row>
    <row r="1600" spans="1:8" x14ac:dyDescent="0.4">
      <c r="A1600">
        <v>800</v>
      </c>
      <c r="B1600" t="s">
        <v>0</v>
      </c>
      <c r="C1600">
        <v>1</v>
      </c>
      <c r="D1600">
        <v>4</v>
      </c>
      <c r="E1600">
        <v>7</v>
      </c>
      <c r="F1600">
        <v>0</v>
      </c>
      <c r="G1600">
        <v>0</v>
      </c>
      <c r="H1600">
        <f>표2[[#This Row],[공격성공횟수]]/(표2[[#This Row],[공격실패횟수]]+표2[[#This Row],[공격성공횟수]])</f>
        <v>0.36363636363636365</v>
      </c>
    </row>
    <row r="1601" spans="1:8" hidden="1" x14ac:dyDescent="0.4">
      <c r="A1601">
        <v>800</v>
      </c>
      <c r="B1601" t="s">
        <v>2</v>
      </c>
      <c r="C1601">
        <v>0</v>
      </c>
      <c r="D1601">
        <v>0</v>
      </c>
      <c r="E1601">
        <v>12</v>
      </c>
      <c r="F1601">
        <v>4</v>
      </c>
      <c r="G1601">
        <v>1</v>
      </c>
      <c r="H1601">
        <f>표2[[#This Row],[공격성공횟수]]/(표2[[#This Row],[공격실패횟수]]+표2[[#This Row],[공격성공횟수]])</f>
        <v>0</v>
      </c>
    </row>
    <row r="1602" spans="1:8" x14ac:dyDescent="0.4">
      <c r="A1602">
        <v>801</v>
      </c>
      <c r="B1602" t="s">
        <v>0</v>
      </c>
      <c r="C1602">
        <v>1</v>
      </c>
      <c r="D1602">
        <v>4</v>
      </c>
      <c r="E1602">
        <v>13</v>
      </c>
      <c r="F1602">
        <v>2</v>
      </c>
      <c r="G1602">
        <v>0</v>
      </c>
      <c r="H1602">
        <f>표2[[#This Row],[공격성공횟수]]/(표2[[#This Row],[공격실패횟수]]+표2[[#This Row],[공격성공횟수]])</f>
        <v>0.23529411764705882</v>
      </c>
    </row>
    <row r="1603" spans="1:8" hidden="1" x14ac:dyDescent="0.4">
      <c r="A1603">
        <v>801</v>
      </c>
      <c r="B1603" t="s">
        <v>2</v>
      </c>
      <c r="C1603">
        <v>0</v>
      </c>
      <c r="D1603">
        <v>2</v>
      </c>
      <c r="E1603">
        <v>14</v>
      </c>
      <c r="F1603">
        <v>4</v>
      </c>
      <c r="G1603">
        <v>1</v>
      </c>
      <c r="H1603">
        <f>표2[[#This Row],[공격성공횟수]]/(표2[[#This Row],[공격실패횟수]]+표2[[#This Row],[공격성공횟수]])</f>
        <v>0.125</v>
      </c>
    </row>
    <row r="1604" spans="1:8" x14ac:dyDescent="0.4">
      <c r="A1604">
        <v>802</v>
      </c>
      <c r="B1604" t="s">
        <v>0</v>
      </c>
      <c r="C1604">
        <v>1</v>
      </c>
      <c r="D1604">
        <v>4</v>
      </c>
      <c r="E1604">
        <v>8</v>
      </c>
      <c r="F1604">
        <v>1</v>
      </c>
      <c r="G1604">
        <v>0</v>
      </c>
      <c r="H1604">
        <f>표2[[#This Row],[공격성공횟수]]/(표2[[#This Row],[공격실패횟수]]+표2[[#This Row],[공격성공횟수]])</f>
        <v>0.33333333333333331</v>
      </c>
    </row>
    <row r="1605" spans="1:8" hidden="1" x14ac:dyDescent="0.4">
      <c r="A1605">
        <v>802</v>
      </c>
      <c r="B1605" t="s">
        <v>2</v>
      </c>
      <c r="C1605">
        <v>0</v>
      </c>
      <c r="D1605">
        <v>1</v>
      </c>
      <c r="E1605">
        <v>11</v>
      </c>
      <c r="F1605">
        <v>4</v>
      </c>
      <c r="G1605">
        <v>1</v>
      </c>
      <c r="H1605">
        <f>표2[[#This Row],[공격성공횟수]]/(표2[[#This Row],[공격실패횟수]]+표2[[#This Row],[공격성공횟수]])</f>
        <v>8.3333333333333329E-2</v>
      </c>
    </row>
    <row r="1606" spans="1:8" x14ac:dyDescent="0.4">
      <c r="A1606">
        <v>803</v>
      </c>
      <c r="B1606" t="s">
        <v>0</v>
      </c>
      <c r="C1606">
        <v>1</v>
      </c>
      <c r="D1606">
        <v>4</v>
      </c>
      <c r="E1606">
        <v>7</v>
      </c>
      <c r="F1606">
        <v>2</v>
      </c>
      <c r="G1606">
        <v>0</v>
      </c>
      <c r="H1606">
        <f>표2[[#This Row],[공격성공횟수]]/(표2[[#This Row],[공격실패횟수]]+표2[[#This Row],[공격성공횟수]])</f>
        <v>0.36363636363636365</v>
      </c>
    </row>
    <row r="1607" spans="1:8" hidden="1" x14ac:dyDescent="0.4">
      <c r="A1607">
        <v>803</v>
      </c>
      <c r="B1607" t="s">
        <v>2</v>
      </c>
      <c r="C1607">
        <v>0</v>
      </c>
      <c r="D1607">
        <v>2</v>
      </c>
      <c r="E1607">
        <v>10</v>
      </c>
      <c r="F1607">
        <v>4</v>
      </c>
      <c r="G1607">
        <v>1</v>
      </c>
      <c r="H1607">
        <f>표2[[#This Row],[공격성공횟수]]/(표2[[#This Row],[공격실패횟수]]+표2[[#This Row],[공격성공횟수]])</f>
        <v>0.16666666666666666</v>
      </c>
    </row>
    <row r="1608" spans="1:8" x14ac:dyDescent="0.4">
      <c r="A1608">
        <v>804</v>
      </c>
      <c r="B1608" t="s">
        <v>0</v>
      </c>
      <c r="C1608">
        <v>1</v>
      </c>
      <c r="D1608">
        <v>4</v>
      </c>
      <c r="E1608">
        <v>10</v>
      </c>
      <c r="F1608">
        <v>0</v>
      </c>
      <c r="G1608">
        <v>0</v>
      </c>
      <c r="H1608">
        <f>표2[[#This Row],[공격성공횟수]]/(표2[[#This Row],[공격실패횟수]]+표2[[#This Row],[공격성공횟수]])</f>
        <v>0.2857142857142857</v>
      </c>
    </row>
    <row r="1609" spans="1:8" hidden="1" x14ac:dyDescent="0.4">
      <c r="A1609">
        <v>804</v>
      </c>
      <c r="B1609" t="s">
        <v>2</v>
      </c>
      <c r="C1609">
        <v>0</v>
      </c>
      <c r="D1609">
        <v>0</v>
      </c>
      <c r="E1609">
        <v>14</v>
      </c>
      <c r="F1609">
        <v>4</v>
      </c>
      <c r="G1609">
        <v>1</v>
      </c>
      <c r="H1609">
        <f>표2[[#This Row],[공격성공횟수]]/(표2[[#This Row],[공격실패횟수]]+표2[[#This Row],[공격성공횟수]])</f>
        <v>0</v>
      </c>
    </row>
    <row r="1610" spans="1:8" x14ac:dyDescent="0.4">
      <c r="A1610">
        <v>805</v>
      </c>
      <c r="B1610" t="s">
        <v>0</v>
      </c>
      <c r="C1610">
        <v>1</v>
      </c>
      <c r="D1610">
        <v>4</v>
      </c>
      <c r="E1610">
        <v>7</v>
      </c>
      <c r="F1610">
        <v>0</v>
      </c>
      <c r="G1610">
        <v>0</v>
      </c>
      <c r="H1610">
        <f>표2[[#This Row],[공격성공횟수]]/(표2[[#This Row],[공격실패횟수]]+표2[[#This Row],[공격성공횟수]])</f>
        <v>0.36363636363636365</v>
      </c>
    </row>
    <row r="1611" spans="1:8" hidden="1" x14ac:dyDescent="0.4">
      <c r="A1611">
        <v>805</v>
      </c>
      <c r="B1611" t="s">
        <v>2</v>
      </c>
      <c r="C1611">
        <v>0</v>
      </c>
      <c r="D1611">
        <v>0</v>
      </c>
      <c r="E1611">
        <v>11</v>
      </c>
      <c r="F1611">
        <v>4</v>
      </c>
      <c r="G1611">
        <v>1</v>
      </c>
      <c r="H1611">
        <f>표2[[#This Row],[공격성공횟수]]/(표2[[#This Row],[공격실패횟수]]+표2[[#This Row],[공격성공횟수]])</f>
        <v>0</v>
      </c>
    </row>
    <row r="1612" spans="1:8" x14ac:dyDescent="0.4">
      <c r="A1612">
        <v>806</v>
      </c>
      <c r="B1612" t="s">
        <v>0</v>
      </c>
      <c r="C1612">
        <v>0</v>
      </c>
      <c r="D1612">
        <v>3</v>
      </c>
      <c r="E1612">
        <v>7</v>
      </c>
      <c r="F1612">
        <v>4</v>
      </c>
      <c r="G1612">
        <v>1</v>
      </c>
      <c r="H1612">
        <f>표2[[#This Row],[공격성공횟수]]/(표2[[#This Row],[공격실패횟수]]+표2[[#This Row],[공격성공횟수]])</f>
        <v>0.3</v>
      </c>
    </row>
    <row r="1613" spans="1:8" hidden="1" x14ac:dyDescent="0.4">
      <c r="A1613">
        <v>806</v>
      </c>
      <c r="B1613" t="s">
        <v>2</v>
      </c>
      <c r="C1613">
        <v>1</v>
      </c>
      <c r="D1613">
        <v>4</v>
      </c>
      <c r="E1613">
        <v>8</v>
      </c>
      <c r="F1613">
        <v>3</v>
      </c>
      <c r="G1613">
        <v>0</v>
      </c>
      <c r="H1613">
        <f>표2[[#This Row],[공격성공횟수]]/(표2[[#This Row],[공격실패횟수]]+표2[[#This Row],[공격성공횟수]])</f>
        <v>0.33333333333333331</v>
      </c>
    </row>
    <row r="1614" spans="1:8" x14ac:dyDescent="0.4">
      <c r="A1614">
        <v>807</v>
      </c>
      <c r="B1614" t="s">
        <v>0</v>
      </c>
      <c r="C1614">
        <v>1</v>
      </c>
      <c r="D1614">
        <v>4</v>
      </c>
      <c r="E1614">
        <v>22</v>
      </c>
      <c r="F1614">
        <v>2</v>
      </c>
      <c r="G1614">
        <v>0</v>
      </c>
      <c r="H1614">
        <f>표2[[#This Row],[공격성공횟수]]/(표2[[#This Row],[공격실패횟수]]+표2[[#This Row],[공격성공횟수]])</f>
        <v>0.15384615384615385</v>
      </c>
    </row>
    <row r="1615" spans="1:8" hidden="1" x14ac:dyDescent="0.4">
      <c r="A1615">
        <v>807</v>
      </c>
      <c r="B1615" t="s">
        <v>2</v>
      </c>
      <c r="C1615">
        <v>0</v>
      </c>
      <c r="D1615">
        <v>2</v>
      </c>
      <c r="E1615">
        <v>22</v>
      </c>
      <c r="F1615">
        <v>4</v>
      </c>
      <c r="G1615">
        <v>1</v>
      </c>
      <c r="H1615">
        <f>표2[[#This Row],[공격성공횟수]]/(표2[[#This Row],[공격실패횟수]]+표2[[#This Row],[공격성공횟수]])</f>
        <v>8.3333333333333329E-2</v>
      </c>
    </row>
    <row r="1616" spans="1:8" x14ac:dyDescent="0.4">
      <c r="A1616">
        <v>808</v>
      </c>
      <c r="B1616" t="s">
        <v>0</v>
      </c>
      <c r="C1616">
        <v>1</v>
      </c>
      <c r="D1616">
        <v>4</v>
      </c>
      <c r="E1616">
        <v>59</v>
      </c>
      <c r="F1616">
        <v>1</v>
      </c>
      <c r="G1616">
        <v>0</v>
      </c>
      <c r="H1616">
        <f>표2[[#This Row],[공격성공횟수]]/(표2[[#This Row],[공격실패횟수]]+표2[[#This Row],[공격성공횟수]])</f>
        <v>6.3492063492063489E-2</v>
      </c>
    </row>
    <row r="1617" spans="1:8" hidden="1" x14ac:dyDescent="0.4">
      <c r="A1617">
        <v>808</v>
      </c>
      <c r="B1617" t="s">
        <v>2</v>
      </c>
      <c r="C1617">
        <v>0</v>
      </c>
      <c r="D1617">
        <v>1</v>
      </c>
      <c r="E1617">
        <v>61</v>
      </c>
      <c r="F1617">
        <v>4</v>
      </c>
      <c r="G1617">
        <v>1</v>
      </c>
      <c r="H1617">
        <f>표2[[#This Row],[공격성공횟수]]/(표2[[#This Row],[공격실패횟수]]+표2[[#This Row],[공격성공횟수]])</f>
        <v>1.6129032258064516E-2</v>
      </c>
    </row>
    <row r="1618" spans="1:8" x14ac:dyDescent="0.4">
      <c r="A1618">
        <v>809</v>
      </c>
      <c r="B1618" t="s">
        <v>0</v>
      </c>
      <c r="C1618">
        <v>0</v>
      </c>
      <c r="D1618">
        <v>1</v>
      </c>
      <c r="E1618">
        <v>33</v>
      </c>
      <c r="F1618">
        <v>4</v>
      </c>
      <c r="G1618">
        <v>1</v>
      </c>
      <c r="H1618">
        <f>표2[[#This Row],[공격성공횟수]]/(표2[[#This Row],[공격실패횟수]]+표2[[#This Row],[공격성공횟수]])</f>
        <v>2.9411764705882353E-2</v>
      </c>
    </row>
    <row r="1619" spans="1:8" hidden="1" x14ac:dyDescent="0.4">
      <c r="A1619">
        <v>809</v>
      </c>
      <c r="B1619" t="s">
        <v>2</v>
      </c>
      <c r="C1619">
        <v>1</v>
      </c>
      <c r="D1619">
        <v>4</v>
      </c>
      <c r="E1619">
        <v>30</v>
      </c>
      <c r="F1619">
        <v>1</v>
      </c>
      <c r="G1619">
        <v>0</v>
      </c>
      <c r="H1619">
        <f>표2[[#This Row],[공격성공횟수]]/(표2[[#This Row],[공격실패횟수]]+표2[[#This Row],[공격성공횟수]])</f>
        <v>0.11764705882352941</v>
      </c>
    </row>
    <row r="1620" spans="1:8" x14ac:dyDescent="0.4">
      <c r="A1620">
        <v>810</v>
      </c>
      <c r="B1620" t="s">
        <v>0</v>
      </c>
      <c r="C1620">
        <v>1</v>
      </c>
      <c r="D1620">
        <v>4</v>
      </c>
      <c r="E1620">
        <v>3</v>
      </c>
      <c r="F1620">
        <v>1</v>
      </c>
      <c r="G1620">
        <v>0</v>
      </c>
      <c r="H1620">
        <f>표2[[#This Row],[공격성공횟수]]/(표2[[#This Row],[공격실패횟수]]+표2[[#This Row],[공격성공횟수]])</f>
        <v>0.5714285714285714</v>
      </c>
    </row>
    <row r="1621" spans="1:8" hidden="1" x14ac:dyDescent="0.4">
      <c r="A1621">
        <v>810</v>
      </c>
      <c r="B1621" t="s">
        <v>2</v>
      </c>
      <c r="C1621">
        <v>0</v>
      </c>
      <c r="D1621">
        <v>1</v>
      </c>
      <c r="E1621">
        <v>5</v>
      </c>
      <c r="F1621">
        <v>4</v>
      </c>
      <c r="G1621">
        <v>1</v>
      </c>
      <c r="H1621">
        <f>표2[[#This Row],[공격성공횟수]]/(표2[[#This Row],[공격실패횟수]]+표2[[#This Row],[공격성공횟수]])</f>
        <v>0.16666666666666666</v>
      </c>
    </row>
    <row r="1622" spans="1:8" x14ac:dyDescent="0.4">
      <c r="A1622">
        <v>811</v>
      </c>
      <c r="B1622" t="s">
        <v>0</v>
      </c>
      <c r="C1622">
        <v>1</v>
      </c>
      <c r="D1622">
        <v>4</v>
      </c>
      <c r="E1622">
        <v>2</v>
      </c>
      <c r="F1622">
        <v>2</v>
      </c>
      <c r="G1622">
        <v>0</v>
      </c>
      <c r="H1622">
        <f>표2[[#This Row],[공격성공횟수]]/(표2[[#This Row],[공격실패횟수]]+표2[[#This Row],[공격성공횟수]])</f>
        <v>0.66666666666666663</v>
      </c>
    </row>
    <row r="1623" spans="1:8" hidden="1" x14ac:dyDescent="0.4">
      <c r="A1623">
        <v>811</v>
      </c>
      <c r="B1623" t="s">
        <v>2</v>
      </c>
      <c r="C1623">
        <v>0</v>
      </c>
      <c r="D1623">
        <v>2</v>
      </c>
      <c r="E1623">
        <v>5</v>
      </c>
      <c r="F1623">
        <v>4</v>
      </c>
      <c r="G1623">
        <v>1</v>
      </c>
      <c r="H1623">
        <f>표2[[#This Row],[공격성공횟수]]/(표2[[#This Row],[공격실패횟수]]+표2[[#This Row],[공격성공횟수]])</f>
        <v>0.2857142857142857</v>
      </c>
    </row>
    <row r="1624" spans="1:8" x14ac:dyDescent="0.4">
      <c r="A1624">
        <v>812</v>
      </c>
      <c r="B1624" t="s">
        <v>0</v>
      </c>
      <c r="C1624">
        <v>1</v>
      </c>
      <c r="D1624">
        <v>4</v>
      </c>
      <c r="E1624">
        <v>5</v>
      </c>
      <c r="F1624">
        <v>1</v>
      </c>
      <c r="G1624">
        <v>0</v>
      </c>
      <c r="H1624">
        <f>표2[[#This Row],[공격성공횟수]]/(표2[[#This Row],[공격실패횟수]]+표2[[#This Row],[공격성공횟수]])</f>
        <v>0.44444444444444442</v>
      </c>
    </row>
    <row r="1625" spans="1:8" hidden="1" x14ac:dyDescent="0.4">
      <c r="A1625">
        <v>812</v>
      </c>
      <c r="B1625" t="s">
        <v>2</v>
      </c>
      <c r="C1625">
        <v>0</v>
      </c>
      <c r="D1625">
        <v>1</v>
      </c>
      <c r="E1625">
        <v>8</v>
      </c>
      <c r="F1625">
        <v>4</v>
      </c>
      <c r="G1625">
        <v>1</v>
      </c>
      <c r="H1625">
        <f>표2[[#This Row],[공격성공횟수]]/(표2[[#This Row],[공격실패횟수]]+표2[[#This Row],[공격성공횟수]])</f>
        <v>0.1111111111111111</v>
      </c>
    </row>
    <row r="1626" spans="1:8" x14ac:dyDescent="0.4">
      <c r="A1626">
        <v>813</v>
      </c>
      <c r="B1626" t="s">
        <v>0</v>
      </c>
      <c r="C1626">
        <v>1</v>
      </c>
      <c r="D1626">
        <v>4</v>
      </c>
      <c r="E1626">
        <v>1</v>
      </c>
      <c r="F1626">
        <v>0</v>
      </c>
      <c r="G1626">
        <v>0</v>
      </c>
      <c r="H1626">
        <f>표2[[#This Row],[공격성공횟수]]/(표2[[#This Row],[공격실패횟수]]+표2[[#This Row],[공격성공횟수]])</f>
        <v>0.8</v>
      </c>
    </row>
    <row r="1627" spans="1:8" hidden="1" x14ac:dyDescent="0.4">
      <c r="A1627">
        <v>813</v>
      </c>
      <c r="B1627" t="s">
        <v>2</v>
      </c>
      <c r="C1627">
        <v>0</v>
      </c>
      <c r="D1627">
        <v>0</v>
      </c>
      <c r="E1627">
        <v>5</v>
      </c>
      <c r="F1627">
        <v>4</v>
      </c>
      <c r="G1627">
        <v>1</v>
      </c>
      <c r="H1627">
        <f>표2[[#This Row],[공격성공횟수]]/(표2[[#This Row],[공격실패횟수]]+표2[[#This Row],[공격성공횟수]])</f>
        <v>0</v>
      </c>
    </row>
    <row r="1628" spans="1:8" x14ac:dyDescent="0.4">
      <c r="A1628">
        <v>814</v>
      </c>
      <c r="B1628" t="s">
        <v>0</v>
      </c>
      <c r="C1628">
        <v>1</v>
      </c>
      <c r="D1628">
        <v>4</v>
      </c>
      <c r="E1628">
        <v>14</v>
      </c>
      <c r="F1628">
        <v>0</v>
      </c>
      <c r="G1628">
        <v>0</v>
      </c>
      <c r="H1628">
        <f>표2[[#This Row],[공격성공횟수]]/(표2[[#This Row],[공격실패횟수]]+표2[[#This Row],[공격성공횟수]])</f>
        <v>0.22222222222222221</v>
      </c>
    </row>
    <row r="1629" spans="1:8" hidden="1" x14ac:dyDescent="0.4">
      <c r="A1629">
        <v>814</v>
      </c>
      <c r="B1629" t="s">
        <v>2</v>
      </c>
      <c r="C1629">
        <v>0</v>
      </c>
      <c r="D1629">
        <v>0</v>
      </c>
      <c r="E1629">
        <v>18</v>
      </c>
      <c r="F1629">
        <v>4</v>
      </c>
      <c r="G1629">
        <v>1</v>
      </c>
      <c r="H1629">
        <f>표2[[#This Row],[공격성공횟수]]/(표2[[#This Row],[공격실패횟수]]+표2[[#This Row],[공격성공횟수]])</f>
        <v>0</v>
      </c>
    </row>
    <row r="1630" spans="1:8" x14ac:dyDescent="0.4">
      <c r="A1630">
        <v>815</v>
      </c>
      <c r="B1630" t="s">
        <v>0</v>
      </c>
      <c r="C1630">
        <v>0</v>
      </c>
      <c r="D1630">
        <v>3</v>
      </c>
      <c r="E1630">
        <v>18</v>
      </c>
      <c r="F1630">
        <v>4</v>
      </c>
      <c r="G1630">
        <v>1</v>
      </c>
      <c r="H1630">
        <f>표2[[#This Row],[공격성공횟수]]/(표2[[#This Row],[공격실패횟수]]+표2[[#This Row],[공격성공횟수]])</f>
        <v>0.14285714285714285</v>
      </c>
    </row>
    <row r="1631" spans="1:8" hidden="1" x14ac:dyDescent="0.4">
      <c r="A1631">
        <v>815</v>
      </c>
      <c r="B1631" t="s">
        <v>2</v>
      </c>
      <c r="C1631">
        <v>1</v>
      </c>
      <c r="D1631">
        <v>4</v>
      </c>
      <c r="E1631">
        <v>18</v>
      </c>
      <c r="F1631">
        <v>3</v>
      </c>
      <c r="G1631">
        <v>0</v>
      </c>
      <c r="H1631">
        <f>표2[[#This Row],[공격성공횟수]]/(표2[[#This Row],[공격실패횟수]]+표2[[#This Row],[공격성공횟수]])</f>
        <v>0.18181818181818182</v>
      </c>
    </row>
    <row r="1632" spans="1:8" x14ac:dyDescent="0.4">
      <c r="A1632">
        <v>816</v>
      </c>
      <c r="B1632" t="s">
        <v>0</v>
      </c>
      <c r="C1632">
        <v>0</v>
      </c>
      <c r="D1632">
        <v>2</v>
      </c>
      <c r="E1632">
        <v>10</v>
      </c>
      <c r="F1632">
        <v>4</v>
      </c>
      <c r="G1632">
        <v>1</v>
      </c>
      <c r="H1632">
        <f>표2[[#This Row],[공격성공횟수]]/(표2[[#This Row],[공격실패횟수]]+표2[[#This Row],[공격성공횟수]])</f>
        <v>0.16666666666666666</v>
      </c>
    </row>
    <row r="1633" spans="1:8" hidden="1" x14ac:dyDescent="0.4">
      <c r="A1633">
        <v>816</v>
      </c>
      <c r="B1633" t="s">
        <v>2</v>
      </c>
      <c r="C1633">
        <v>1</v>
      </c>
      <c r="D1633">
        <v>4</v>
      </c>
      <c r="E1633">
        <v>8</v>
      </c>
      <c r="F1633">
        <v>2</v>
      </c>
      <c r="G1633">
        <v>0</v>
      </c>
      <c r="H1633">
        <f>표2[[#This Row],[공격성공횟수]]/(표2[[#This Row],[공격실패횟수]]+표2[[#This Row],[공격성공횟수]])</f>
        <v>0.33333333333333331</v>
      </c>
    </row>
    <row r="1634" spans="1:8" x14ac:dyDescent="0.4">
      <c r="A1634">
        <v>817</v>
      </c>
      <c r="B1634" t="s">
        <v>0</v>
      </c>
      <c r="C1634">
        <v>1</v>
      </c>
      <c r="D1634">
        <v>4</v>
      </c>
      <c r="E1634">
        <v>10</v>
      </c>
      <c r="F1634">
        <v>1</v>
      </c>
      <c r="G1634">
        <v>0</v>
      </c>
      <c r="H1634">
        <f>표2[[#This Row],[공격성공횟수]]/(표2[[#This Row],[공격실패횟수]]+표2[[#This Row],[공격성공횟수]])</f>
        <v>0.2857142857142857</v>
      </c>
    </row>
    <row r="1635" spans="1:8" hidden="1" x14ac:dyDescent="0.4">
      <c r="A1635">
        <v>817</v>
      </c>
      <c r="B1635" t="s">
        <v>2</v>
      </c>
      <c r="C1635">
        <v>0</v>
      </c>
      <c r="D1635">
        <v>1</v>
      </c>
      <c r="E1635">
        <v>12</v>
      </c>
      <c r="F1635">
        <v>4</v>
      </c>
      <c r="G1635">
        <v>1</v>
      </c>
      <c r="H1635">
        <f>표2[[#This Row],[공격성공횟수]]/(표2[[#This Row],[공격실패횟수]]+표2[[#This Row],[공격성공횟수]])</f>
        <v>7.6923076923076927E-2</v>
      </c>
    </row>
    <row r="1636" spans="1:8" x14ac:dyDescent="0.4">
      <c r="A1636">
        <v>818</v>
      </c>
      <c r="B1636" t="s">
        <v>0</v>
      </c>
      <c r="C1636">
        <v>0</v>
      </c>
      <c r="D1636">
        <v>0</v>
      </c>
      <c r="E1636">
        <v>3</v>
      </c>
      <c r="F1636">
        <v>4</v>
      </c>
      <c r="G1636">
        <v>1</v>
      </c>
      <c r="H1636">
        <f>표2[[#This Row],[공격성공횟수]]/(표2[[#This Row],[공격실패횟수]]+표2[[#This Row],[공격성공횟수]])</f>
        <v>0</v>
      </c>
    </row>
    <row r="1637" spans="1:8" hidden="1" x14ac:dyDescent="0.4">
      <c r="A1637">
        <v>818</v>
      </c>
      <c r="B1637" t="s">
        <v>2</v>
      </c>
      <c r="C1637">
        <v>1</v>
      </c>
      <c r="D1637">
        <v>4</v>
      </c>
      <c r="E1637">
        <v>1</v>
      </c>
      <c r="F1637">
        <v>0</v>
      </c>
      <c r="G1637">
        <v>0</v>
      </c>
      <c r="H1637">
        <f>표2[[#This Row],[공격성공횟수]]/(표2[[#This Row],[공격실패횟수]]+표2[[#This Row],[공격성공횟수]])</f>
        <v>0.8</v>
      </c>
    </row>
    <row r="1638" spans="1:8" x14ac:dyDescent="0.4">
      <c r="A1638">
        <v>819</v>
      </c>
      <c r="B1638" t="s">
        <v>0</v>
      </c>
      <c r="C1638">
        <v>1</v>
      </c>
      <c r="D1638">
        <v>4</v>
      </c>
      <c r="E1638">
        <v>8</v>
      </c>
      <c r="F1638">
        <v>1</v>
      </c>
      <c r="G1638">
        <v>0</v>
      </c>
      <c r="H1638">
        <f>표2[[#This Row],[공격성공횟수]]/(표2[[#This Row],[공격실패횟수]]+표2[[#This Row],[공격성공횟수]])</f>
        <v>0.33333333333333331</v>
      </c>
    </row>
    <row r="1639" spans="1:8" hidden="1" x14ac:dyDescent="0.4">
      <c r="A1639">
        <v>819</v>
      </c>
      <c r="B1639" t="s">
        <v>2</v>
      </c>
      <c r="C1639">
        <v>0</v>
      </c>
      <c r="D1639">
        <v>1</v>
      </c>
      <c r="E1639">
        <v>11</v>
      </c>
      <c r="F1639">
        <v>4</v>
      </c>
      <c r="G1639">
        <v>1</v>
      </c>
      <c r="H1639">
        <f>표2[[#This Row],[공격성공횟수]]/(표2[[#This Row],[공격실패횟수]]+표2[[#This Row],[공격성공횟수]])</f>
        <v>8.3333333333333329E-2</v>
      </c>
    </row>
    <row r="1640" spans="1:8" x14ac:dyDescent="0.4">
      <c r="A1640">
        <v>820</v>
      </c>
      <c r="B1640" t="s">
        <v>0</v>
      </c>
      <c r="C1640">
        <v>1</v>
      </c>
      <c r="D1640">
        <v>4</v>
      </c>
      <c r="E1640">
        <v>8</v>
      </c>
      <c r="F1640">
        <v>0</v>
      </c>
      <c r="G1640">
        <v>0</v>
      </c>
      <c r="H1640">
        <f>표2[[#This Row],[공격성공횟수]]/(표2[[#This Row],[공격실패횟수]]+표2[[#This Row],[공격성공횟수]])</f>
        <v>0.33333333333333331</v>
      </c>
    </row>
    <row r="1641" spans="1:8" hidden="1" x14ac:dyDescent="0.4">
      <c r="A1641">
        <v>820</v>
      </c>
      <c r="B1641" t="s">
        <v>2</v>
      </c>
      <c r="C1641">
        <v>0</v>
      </c>
      <c r="D1641">
        <v>0</v>
      </c>
      <c r="E1641">
        <v>12</v>
      </c>
      <c r="F1641">
        <v>4</v>
      </c>
      <c r="G1641">
        <v>1</v>
      </c>
      <c r="H1641">
        <f>표2[[#This Row],[공격성공횟수]]/(표2[[#This Row],[공격실패횟수]]+표2[[#This Row],[공격성공횟수]])</f>
        <v>0</v>
      </c>
    </row>
    <row r="1642" spans="1:8" x14ac:dyDescent="0.4">
      <c r="A1642">
        <v>821</v>
      </c>
      <c r="B1642" t="s">
        <v>0</v>
      </c>
      <c r="C1642">
        <v>1</v>
      </c>
      <c r="D1642">
        <v>4</v>
      </c>
      <c r="E1642">
        <v>9</v>
      </c>
      <c r="F1642">
        <v>2</v>
      </c>
      <c r="G1642">
        <v>0</v>
      </c>
      <c r="H1642">
        <f>표2[[#This Row],[공격성공횟수]]/(표2[[#This Row],[공격실패횟수]]+표2[[#This Row],[공격성공횟수]])</f>
        <v>0.30769230769230771</v>
      </c>
    </row>
    <row r="1643" spans="1:8" hidden="1" x14ac:dyDescent="0.4">
      <c r="A1643">
        <v>821</v>
      </c>
      <c r="B1643" t="s">
        <v>2</v>
      </c>
      <c r="C1643">
        <v>0</v>
      </c>
      <c r="D1643">
        <v>2</v>
      </c>
      <c r="E1643">
        <v>11</v>
      </c>
      <c r="F1643">
        <v>4</v>
      </c>
      <c r="G1643">
        <v>1</v>
      </c>
      <c r="H1643">
        <f>표2[[#This Row],[공격성공횟수]]/(표2[[#This Row],[공격실패횟수]]+표2[[#This Row],[공격성공횟수]])</f>
        <v>0.15384615384615385</v>
      </c>
    </row>
    <row r="1644" spans="1:8" x14ac:dyDescent="0.4">
      <c r="A1644">
        <v>822</v>
      </c>
      <c r="B1644" t="s">
        <v>0</v>
      </c>
      <c r="C1644">
        <v>1</v>
      </c>
      <c r="D1644">
        <v>4</v>
      </c>
      <c r="E1644">
        <v>51</v>
      </c>
      <c r="F1644">
        <v>3</v>
      </c>
      <c r="G1644">
        <v>0</v>
      </c>
      <c r="H1644">
        <f>표2[[#This Row],[공격성공횟수]]/(표2[[#This Row],[공격실패횟수]]+표2[[#This Row],[공격성공횟수]])</f>
        <v>7.2727272727272724E-2</v>
      </c>
    </row>
    <row r="1645" spans="1:8" hidden="1" x14ac:dyDescent="0.4">
      <c r="A1645">
        <v>822</v>
      </c>
      <c r="B1645" t="s">
        <v>2</v>
      </c>
      <c r="C1645">
        <v>0</v>
      </c>
      <c r="D1645">
        <v>3</v>
      </c>
      <c r="E1645">
        <v>52</v>
      </c>
      <c r="F1645">
        <v>4</v>
      </c>
      <c r="G1645">
        <v>1</v>
      </c>
      <c r="H1645">
        <f>표2[[#This Row],[공격성공횟수]]/(표2[[#This Row],[공격실패횟수]]+표2[[#This Row],[공격성공횟수]])</f>
        <v>5.4545454545454543E-2</v>
      </c>
    </row>
    <row r="1646" spans="1:8" x14ac:dyDescent="0.4">
      <c r="A1646">
        <v>823</v>
      </c>
      <c r="B1646" t="s">
        <v>0</v>
      </c>
      <c r="C1646">
        <v>0</v>
      </c>
      <c r="D1646">
        <v>2</v>
      </c>
      <c r="E1646">
        <v>33</v>
      </c>
      <c r="F1646">
        <v>4</v>
      </c>
      <c r="G1646">
        <v>1</v>
      </c>
      <c r="H1646">
        <f>표2[[#This Row],[공격성공횟수]]/(표2[[#This Row],[공격실패횟수]]+표2[[#This Row],[공격성공횟수]])</f>
        <v>5.7142857142857141E-2</v>
      </c>
    </row>
    <row r="1647" spans="1:8" hidden="1" x14ac:dyDescent="0.4">
      <c r="A1647">
        <v>823</v>
      </c>
      <c r="B1647" t="s">
        <v>2</v>
      </c>
      <c r="C1647">
        <v>1</v>
      </c>
      <c r="D1647">
        <v>4</v>
      </c>
      <c r="E1647">
        <v>33</v>
      </c>
      <c r="F1647">
        <v>2</v>
      </c>
      <c r="G1647">
        <v>0</v>
      </c>
      <c r="H1647">
        <f>표2[[#This Row],[공격성공횟수]]/(표2[[#This Row],[공격실패횟수]]+표2[[#This Row],[공격성공횟수]])</f>
        <v>0.10810810810810811</v>
      </c>
    </row>
    <row r="1648" spans="1:8" x14ac:dyDescent="0.4">
      <c r="A1648">
        <v>824</v>
      </c>
      <c r="B1648" t="s">
        <v>0</v>
      </c>
      <c r="C1648">
        <v>1</v>
      </c>
      <c r="D1648">
        <v>4</v>
      </c>
      <c r="E1648">
        <v>15</v>
      </c>
      <c r="F1648">
        <v>3</v>
      </c>
      <c r="G1648">
        <v>0</v>
      </c>
      <c r="H1648">
        <f>표2[[#This Row],[공격성공횟수]]/(표2[[#This Row],[공격실패횟수]]+표2[[#This Row],[공격성공횟수]])</f>
        <v>0.21052631578947367</v>
      </c>
    </row>
    <row r="1649" spans="1:8" hidden="1" x14ac:dyDescent="0.4">
      <c r="A1649">
        <v>824</v>
      </c>
      <c r="B1649" t="s">
        <v>2</v>
      </c>
      <c r="C1649">
        <v>0</v>
      </c>
      <c r="D1649">
        <v>3</v>
      </c>
      <c r="E1649">
        <v>14</v>
      </c>
      <c r="F1649">
        <v>4</v>
      </c>
      <c r="G1649">
        <v>1</v>
      </c>
      <c r="H1649">
        <f>표2[[#This Row],[공격성공횟수]]/(표2[[#This Row],[공격실패횟수]]+표2[[#This Row],[공격성공횟수]])</f>
        <v>0.17647058823529413</v>
      </c>
    </row>
    <row r="1650" spans="1:8" x14ac:dyDescent="0.4">
      <c r="A1650">
        <v>825</v>
      </c>
      <c r="B1650" t="s">
        <v>0</v>
      </c>
      <c r="C1650">
        <v>1</v>
      </c>
      <c r="D1650">
        <v>4</v>
      </c>
      <c r="E1650">
        <v>25</v>
      </c>
      <c r="F1650">
        <v>1</v>
      </c>
      <c r="G1650">
        <v>0</v>
      </c>
      <c r="H1650">
        <f>표2[[#This Row],[공격성공횟수]]/(표2[[#This Row],[공격실패횟수]]+표2[[#This Row],[공격성공횟수]])</f>
        <v>0.13793103448275862</v>
      </c>
    </row>
    <row r="1651" spans="1:8" hidden="1" x14ac:dyDescent="0.4">
      <c r="A1651">
        <v>825</v>
      </c>
      <c r="B1651" t="s">
        <v>2</v>
      </c>
      <c r="C1651">
        <v>0</v>
      </c>
      <c r="D1651">
        <v>1</v>
      </c>
      <c r="E1651">
        <v>28</v>
      </c>
      <c r="F1651">
        <v>4</v>
      </c>
      <c r="G1651">
        <v>1</v>
      </c>
      <c r="H1651">
        <f>표2[[#This Row],[공격성공횟수]]/(표2[[#This Row],[공격실패횟수]]+표2[[#This Row],[공격성공횟수]])</f>
        <v>3.4482758620689655E-2</v>
      </c>
    </row>
    <row r="1652" spans="1:8" x14ac:dyDescent="0.4">
      <c r="A1652">
        <v>826</v>
      </c>
      <c r="B1652" t="s">
        <v>0</v>
      </c>
      <c r="C1652">
        <v>1</v>
      </c>
      <c r="D1652">
        <v>4</v>
      </c>
      <c r="E1652">
        <v>12</v>
      </c>
      <c r="F1652">
        <v>3</v>
      </c>
      <c r="G1652">
        <v>0</v>
      </c>
      <c r="H1652">
        <f>표2[[#This Row],[공격성공횟수]]/(표2[[#This Row],[공격실패횟수]]+표2[[#This Row],[공격성공횟수]])</f>
        <v>0.25</v>
      </c>
    </row>
    <row r="1653" spans="1:8" hidden="1" x14ac:dyDescent="0.4">
      <c r="A1653">
        <v>826</v>
      </c>
      <c r="B1653" t="s">
        <v>2</v>
      </c>
      <c r="C1653">
        <v>0</v>
      </c>
      <c r="D1653">
        <v>3</v>
      </c>
      <c r="E1653">
        <v>13</v>
      </c>
      <c r="F1653">
        <v>4</v>
      </c>
      <c r="G1653">
        <v>1</v>
      </c>
      <c r="H1653">
        <f>표2[[#This Row],[공격성공횟수]]/(표2[[#This Row],[공격실패횟수]]+표2[[#This Row],[공격성공횟수]])</f>
        <v>0.1875</v>
      </c>
    </row>
    <row r="1654" spans="1:8" x14ac:dyDescent="0.4">
      <c r="A1654">
        <v>827</v>
      </c>
      <c r="B1654" t="s">
        <v>0</v>
      </c>
      <c r="C1654">
        <v>1</v>
      </c>
      <c r="D1654">
        <v>4</v>
      </c>
      <c r="E1654">
        <v>5</v>
      </c>
      <c r="F1654">
        <v>2</v>
      </c>
      <c r="G1654">
        <v>0</v>
      </c>
      <c r="H1654">
        <f>표2[[#This Row],[공격성공횟수]]/(표2[[#This Row],[공격실패횟수]]+표2[[#This Row],[공격성공횟수]])</f>
        <v>0.44444444444444442</v>
      </c>
    </row>
    <row r="1655" spans="1:8" hidden="1" x14ac:dyDescent="0.4">
      <c r="A1655">
        <v>827</v>
      </c>
      <c r="B1655" t="s">
        <v>2</v>
      </c>
      <c r="C1655">
        <v>0</v>
      </c>
      <c r="D1655">
        <v>2</v>
      </c>
      <c r="E1655">
        <v>7</v>
      </c>
      <c r="F1655">
        <v>4</v>
      </c>
      <c r="G1655">
        <v>1</v>
      </c>
      <c r="H1655">
        <f>표2[[#This Row],[공격성공횟수]]/(표2[[#This Row],[공격실패횟수]]+표2[[#This Row],[공격성공횟수]])</f>
        <v>0.22222222222222221</v>
      </c>
    </row>
    <row r="1656" spans="1:8" x14ac:dyDescent="0.4">
      <c r="A1656">
        <v>828</v>
      </c>
      <c r="B1656" t="s">
        <v>0</v>
      </c>
      <c r="C1656">
        <v>0</v>
      </c>
      <c r="D1656">
        <v>1</v>
      </c>
      <c r="E1656">
        <v>7</v>
      </c>
      <c r="F1656">
        <v>4</v>
      </c>
      <c r="G1656">
        <v>1</v>
      </c>
      <c r="H1656">
        <f>표2[[#This Row],[공격성공횟수]]/(표2[[#This Row],[공격실패횟수]]+표2[[#This Row],[공격성공횟수]])</f>
        <v>0.125</v>
      </c>
    </row>
    <row r="1657" spans="1:8" hidden="1" x14ac:dyDescent="0.4">
      <c r="A1657">
        <v>828</v>
      </c>
      <c r="B1657" t="s">
        <v>2</v>
      </c>
      <c r="C1657">
        <v>1</v>
      </c>
      <c r="D1657">
        <v>4</v>
      </c>
      <c r="E1657">
        <v>6</v>
      </c>
      <c r="F1657">
        <v>1</v>
      </c>
      <c r="G1657">
        <v>0</v>
      </c>
      <c r="H1657">
        <f>표2[[#This Row],[공격성공횟수]]/(표2[[#This Row],[공격실패횟수]]+표2[[#This Row],[공격성공횟수]])</f>
        <v>0.4</v>
      </c>
    </row>
    <row r="1658" spans="1:8" x14ac:dyDescent="0.4">
      <c r="A1658">
        <v>829</v>
      </c>
      <c r="B1658" t="s">
        <v>0</v>
      </c>
      <c r="C1658">
        <v>0</v>
      </c>
      <c r="D1658">
        <v>2</v>
      </c>
      <c r="E1658">
        <v>57</v>
      </c>
      <c r="F1658">
        <v>4</v>
      </c>
      <c r="G1658">
        <v>1</v>
      </c>
      <c r="H1658">
        <f>표2[[#This Row],[공격성공횟수]]/(표2[[#This Row],[공격실패횟수]]+표2[[#This Row],[공격성공횟수]])</f>
        <v>3.3898305084745763E-2</v>
      </c>
    </row>
    <row r="1659" spans="1:8" hidden="1" x14ac:dyDescent="0.4">
      <c r="A1659">
        <v>829</v>
      </c>
      <c r="B1659" t="s">
        <v>2</v>
      </c>
      <c r="C1659">
        <v>1</v>
      </c>
      <c r="D1659">
        <v>4</v>
      </c>
      <c r="E1659">
        <v>55</v>
      </c>
      <c r="F1659">
        <v>2</v>
      </c>
      <c r="G1659">
        <v>0</v>
      </c>
      <c r="H1659">
        <f>표2[[#This Row],[공격성공횟수]]/(표2[[#This Row],[공격실패횟수]]+표2[[#This Row],[공격성공횟수]])</f>
        <v>6.7796610169491525E-2</v>
      </c>
    </row>
    <row r="1660" spans="1:8" x14ac:dyDescent="0.4">
      <c r="A1660">
        <v>830</v>
      </c>
      <c r="B1660" t="s">
        <v>0</v>
      </c>
      <c r="C1660">
        <v>1</v>
      </c>
      <c r="D1660">
        <v>4</v>
      </c>
      <c r="E1660">
        <v>9</v>
      </c>
      <c r="F1660">
        <v>0</v>
      </c>
      <c r="G1660">
        <v>0</v>
      </c>
      <c r="H1660">
        <f>표2[[#This Row],[공격성공횟수]]/(표2[[#This Row],[공격실패횟수]]+표2[[#This Row],[공격성공횟수]])</f>
        <v>0.30769230769230771</v>
      </c>
    </row>
    <row r="1661" spans="1:8" hidden="1" x14ac:dyDescent="0.4">
      <c r="A1661">
        <v>830</v>
      </c>
      <c r="B1661" t="s">
        <v>2</v>
      </c>
      <c r="C1661">
        <v>0</v>
      </c>
      <c r="D1661">
        <v>0</v>
      </c>
      <c r="E1661">
        <v>12</v>
      </c>
      <c r="F1661">
        <v>4</v>
      </c>
      <c r="G1661">
        <v>1</v>
      </c>
      <c r="H1661">
        <f>표2[[#This Row],[공격성공횟수]]/(표2[[#This Row],[공격실패횟수]]+표2[[#This Row],[공격성공횟수]])</f>
        <v>0</v>
      </c>
    </row>
    <row r="1662" spans="1:8" x14ac:dyDescent="0.4">
      <c r="A1662">
        <v>831</v>
      </c>
      <c r="B1662" t="s">
        <v>0</v>
      </c>
      <c r="C1662">
        <v>1</v>
      </c>
      <c r="D1662">
        <v>4</v>
      </c>
      <c r="E1662">
        <v>6</v>
      </c>
      <c r="F1662">
        <v>1</v>
      </c>
      <c r="G1662">
        <v>0</v>
      </c>
      <c r="H1662">
        <f>표2[[#This Row],[공격성공횟수]]/(표2[[#This Row],[공격실패횟수]]+표2[[#This Row],[공격성공횟수]])</f>
        <v>0.4</v>
      </c>
    </row>
    <row r="1663" spans="1:8" hidden="1" x14ac:dyDescent="0.4">
      <c r="A1663">
        <v>831</v>
      </c>
      <c r="B1663" t="s">
        <v>2</v>
      </c>
      <c r="C1663">
        <v>0</v>
      </c>
      <c r="D1663">
        <v>1</v>
      </c>
      <c r="E1663">
        <v>10</v>
      </c>
      <c r="F1663">
        <v>4</v>
      </c>
      <c r="G1663">
        <v>1</v>
      </c>
      <c r="H1663">
        <f>표2[[#This Row],[공격성공횟수]]/(표2[[#This Row],[공격실패횟수]]+표2[[#This Row],[공격성공횟수]])</f>
        <v>9.0909090909090912E-2</v>
      </c>
    </row>
    <row r="1664" spans="1:8" x14ac:dyDescent="0.4">
      <c r="A1664">
        <v>832</v>
      </c>
      <c r="B1664" t="s">
        <v>0</v>
      </c>
      <c r="C1664">
        <v>1</v>
      </c>
      <c r="D1664">
        <v>4</v>
      </c>
      <c r="E1664">
        <v>39</v>
      </c>
      <c r="F1664">
        <v>2</v>
      </c>
      <c r="G1664">
        <v>0</v>
      </c>
      <c r="H1664">
        <f>표2[[#This Row],[공격성공횟수]]/(표2[[#This Row],[공격실패횟수]]+표2[[#This Row],[공격성공횟수]])</f>
        <v>9.3023255813953487E-2</v>
      </c>
    </row>
    <row r="1665" spans="1:8" hidden="1" x14ac:dyDescent="0.4">
      <c r="A1665">
        <v>832</v>
      </c>
      <c r="B1665" t="s">
        <v>2</v>
      </c>
      <c r="C1665">
        <v>0</v>
      </c>
      <c r="D1665">
        <v>2</v>
      </c>
      <c r="E1665">
        <v>41</v>
      </c>
      <c r="F1665">
        <v>4</v>
      </c>
      <c r="G1665">
        <v>1</v>
      </c>
      <c r="H1665">
        <f>표2[[#This Row],[공격성공횟수]]/(표2[[#This Row],[공격실패횟수]]+표2[[#This Row],[공격성공횟수]])</f>
        <v>4.6511627906976744E-2</v>
      </c>
    </row>
    <row r="1666" spans="1:8" x14ac:dyDescent="0.4">
      <c r="A1666">
        <v>833</v>
      </c>
      <c r="B1666" t="s">
        <v>0</v>
      </c>
      <c r="C1666">
        <v>1</v>
      </c>
      <c r="D1666">
        <v>4</v>
      </c>
      <c r="E1666">
        <v>6</v>
      </c>
      <c r="F1666">
        <v>1</v>
      </c>
      <c r="G1666">
        <v>0</v>
      </c>
      <c r="H1666">
        <f>표2[[#This Row],[공격성공횟수]]/(표2[[#This Row],[공격실패횟수]]+표2[[#This Row],[공격성공횟수]])</f>
        <v>0.4</v>
      </c>
    </row>
    <row r="1667" spans="1:8" hidden="1" x14ac:dyDescent="0.4">
      <c r="A1667">
        <v>833</v>
      </c>
      <c r="B1667" t="s">
        <v>2</v>
      </c>
      <c r="C1667">
        <v>0</v>
      </c>
      <c r="D1667">
        <v>1</v>
      </c>
      <c r="E1667">
        <v>10</v>
      </c>
      <c r="F1667">
        <v>4</v>
      </c>
      <c r="G1667">
        <v>1</v>
      </c>
      <c r="H1667">
        <f>표2[[#This Row],[공격성공횟수]]/(표2[[#This Row],[공격실패횟수]]+표2[[#This Row],[공격성공횟수]])</f>
        <v>9.0909090909090912E-2</v>
      </c>
    </row>
    <row r="1668" spans="1:8" x14ac:dyDescent="0.4">
      <c r="A1668">
        <v>834</v>
      </c>
      <c r="B1668" t="s">
        <v>0</v>
      </c>
      <c r="C1668">
        <v>0</v>
      </c>
      <c r="D1668">
        <v>2</v>
      </c>
      <c r="E1668">
        <v>14</v>
      </c>
      <c r="F1668">
        <v>4</v>
      </c>
      <c r="G1668">
        <v>1</v>
      </c>
      <c r="H1668">
        <f>표2[[#This Row],[공격성공횟수]]/(표2[[#This Row],[공격실패횟수]]+표2[[#This Row],[공격성공횟수]])</f>
        <v>0.125</v>
      </c>
    </row>
    <row r="1669" spans="1:8" hidden="1" x14ac:dyDescent="0.4">
      <c r="A1669">
        <v>834</v>
      </c>
      <c r="B1669" t="s">
        <v>2</v>
      </c>
      <c r="C1669">
        <v>1</v>
      </c>
      <c r="D1669">
        <v>4</v>
      </c>
      <c r="E1669">
        <v>12</v>
      </c>
      <c r="F1669">
        <v>2</v>
      </c>
      <c r="G1669">
        <v>0</v>
      </c>
      <c r="H1669">
        <f>표2[[#This Row],[공격성공횟수]]/(표2[[#This Row],[공격실패횟수]]+표2[[#This Row],[공격성공횟수]])</f>
        <v>0.25</v>
      </c>
    </row>
    <row r="1670" spans="1:8" x14ac:dyDescent="0.4">
      <c r="A1670">
        <v>835</v>
      </c>
      <c r="B1670" t="s">
        <v>0</v>
      </c>
      <c r="C1670">
        <v>0</v>
      </c>
      <c r="D1670">
        <v>2</v>
      </c>
      <c r="E1670">
        <v>22</v>
      </c>
      <c r="F1670">
        <v>4</v>
      </c>
      <c r="G1670">
        <v>1</v>
      </c>
      <c r="H1670">
        <f>표2[[#This Row],[공격성공횟수]]/(표2[[#This Row],[공격실패횟수]]+표2[[#This Row],[공격성공횟수]])</f>
        <v>8.3333333333333329E-2</v>
      </c>
    </row>
    <row r="1671" spans="1:8" hidden="1" x14ac:dyDescent="0.4">
      <c r="A1671">
        <v>835</v>
      </c>
      <c r="B1671" t="s">
        <v>2</v>
      </c>
      <c r="C1671">
        <v>1</v>
      </c>
      <c r="D1671">
        <v>4</v>
      </c>
      <c r="E1671">
        <v>20</v>
      </c>
      <c r="F1671">
        <v>2</v>
      </c>
      <c r="G1671">
        <v>0</v>
      </c>
      <c r="H1671">
        <f>표2[[#This Row],[공격성공횟수]]/(표2[[#This Row],[공격실패횟수]]+표2[[#This Row],[공격성공횟수]])</f>
        <v>0.16666666666666666</v>
      </c>
    </row>
    <row r="1672" spans="1:8" x14ac:dyDescent="0.4">
      <c r="A1672">
        <v>836</v>
      </c>
      <c r="B1672" t="s">
        <v>0</v>
      </c>
      <c r="C1672">
        <v>1</v>
      </c>
      <c r="D1672">
        <v>4</v>
      </c>
      <c r="E1672">
        <v>7</v>
      </c>
      <c r="F1672">
        <v>2</v>
      </c>
      <c r="G1672">
        <v>0</v>
      </c>
      <c r="H1672">
        <f>표2[[#This Row],[공격성공횟수]]/(표2[[#This Row],[공격실패횟수]]+표2[[#This Row],[공격성공횟수]])</f>
        <v>0.36363636363636365</v>
      </c>
    </row>
    <row r="1673" spans="1:8" hidden="1" x14ac:dyDescent="0.4">
      <c r="A1673">
        <v>836</v>
      </c>
      <c r="B1673" t="s">
        <v>2</v>
      </c>
      <c r="C1673">
        <v>0</v>
      </c>
      <c r="D1673">
        <v>2</v>
      </c>
      <c r="E1673">
        <v>8</v>
      </c>
      <c r="F1673">
        <v>4</v>
      </c>
      <c r="G1673">
        <v>1</v>
      </c>
      <c r="H1673">
        <f>표2[[#This Row],[공격성공횟수]]/(표2[[#This Row],[공격실패횟수]]+표2[[#This Row],[공격성공횟수]])</f>
        <v>0.2</v>
      </c>
    </row>
    <row r="1674" spans="1:8" x14ac:dyDescent="0.4">
      <c r="A1674">
        <v>837</v>
      </c>
      <c r="B1674" t="s">
        <v>0</v>
      </c>
      <c r="C1674">
        <v>1</v>
      </c>
      <c r="D1674">
        <v>4</v>
      </c>
      <c r="E1674">
        <v>14</v>
      </c>
      <c r="F1674">
        <v>3</v>
      </c>
      <c r="G1674">
        <v>0</v>
      </c>
      <c r="H1674">
        <f>표2[[#This Row],[공격성공횟수]]/(표2[[#This Row],[공격실패횟수]]+표2[[#This Row],[공격성공횟수]])</f>
        <v>0.22222222222222221</v>
      </c>
    </row>
    <row r="1675" spans="1:8" hidden="1" x14ac:dyDescent="0.4">
      <c r="A1675">
        <v>837</v>
      </c>
      <c r="B1675" t="s">
        <v>2</v>
      </c>
      <c r="C1675">
        <v>0</v>
      </c>
      <c r="D1675">
        <v>3</v>
      </c>
      <c r="E1675">
        <v>16</v>
      </c>
      <c r="F1675">
        <v>4</v>
      </c>
      <c r="G1675">
        <v>1</v>
      </c>
      <c r="H1675">
        <f>표2[[#This Row],[공격성공횟수]]/(표2[[#This Row],[공격실패횟수]]+표2[[#This Row],[공격성공횟수]])</f>
        <v>0.15789473684210525</v>
      </c>
    </row>
    <row r="1676" spans="1:8" x14ac:dyDescent="0.4">
      <c r="A1676">
        <v>838</v>
      </c>
      <c r="B1676" t="s">
        <v>0</v>
      </c>
      <c r="C1676">
        <v>0</v>
      </c>
      <c r="D1676">
        <v>2</v>
      </c>
      <c r="E1676">
        <v>12</v>
      </c>
      <c r="F1676">
        <v>4</v>
      </c>
      <c r="G1676">
        <v>1</v>
      </c>
      <c r="H1676">
        <f>표2[[#This Row],[공격성공횟수]]/(표2[[#This Row],[공격실패횟수]]+표2[[#This Row],[공격성공횟수]])</f>
        <v>0.14285714285714285</v>
      </c>
    </row>
    <row r="1677" spans="1:8" hidden="1" x14ac:dyDescent="0.4">
      <c r="A1677">
        <v>838</v>
      </c>
      <c r="B1677" t="s">
        <v>2</v>
      </c>
      <c r="C1677">
        <v>1</v>
      </c>
      <c r="D1677">
        <v>4</v>
      </c>
      <c r="E1677">
        <v>11</v>
      </c>
      <c r="F1677">
        <v>2</v>
      </c>
      <c r="G1677">
        <v>0</v>
      </c>
      <c r="H1677">
        <f>표2[[#This Row],[공격성공횟수]]/(표2[[#This Row],[공격실패횟수]]+표2[[#This Row],[공격성공횟수]])</f>
        <v>0.26666666666666666</v>
      </c>
    </row>
    <row r="1678" spans="1:8" x14ac:dyDescent="0.4">
      <c r="A1678">
        <v>839</v>
      </c>
      <c r="B1678" t="s">
        <v>0</v>
      </c>
      <c r="C1678">
        <v>1</v>
      </c>
      <c r="D1678">
        <v>4</v>
      </c>
      <c r="E1678">
        <v>11</v>
      </c>
      <c r="F1678">
        <v>2</v>
      </c>
      <c r="G1678">
        <v>0</v>
      </c>
      <c r="H1678">
        <f>표2[[#This Row],[공격성공횟수]]/(표2[[#This Row],[공격실패횟수]]+표2[[#This Row],[공격성공횟수]])</f>
        <v>0.26666666666666666</v>
      </c>
    </row>
    <row r="1679" spans="1:8" hidden="1" x14ac:dyDescent="0.4">
      <c r="A1679">
        <v>839</v>
      </c>
      <c r="B1679" t="s">
        <v>2</v>
      </c>
      <c r="C1679">
        <v>0</v>
      </c>
      <c r="D1679">
        <v>2</v>
      </c>
      <c r="E1679">
        <v>12</v>
      </c>
      <c r="F1679">
        <v>4</v>
      </c>
      <c r="G1679">
        <v>1</v>
      </c>
      <c r="H1679">
        <f>표2[[#This Row],[공격성공횟수]]/(표2[[#This Row],[공격실패횟수]]+표2[[#This Row],[공격성공횟수]])</f>
        <v>0.14285714285714285</v>
      </c>
    </row>
    <row r="1680" spans="1:8" x14ac:dyDescent="0.4">
      <c r="A1680">
        <v>840</v>
      </c>
      <c r="B1680" t="s">
        <v>0</v>
      </c>
      <c r="C1680">
        <v>1</v>
      </c>
      <c r="D1680">
        <v>4</v>
      </c>
      <c r="E1680">
        <v>13</v>
      </c>
      <c r="F1680">
        <v>2</v>
      </c>
      <c r="G1680">
        <v>0</v>
      </c>
      <c r="H1680">
        <f>표2[[#This Row],[공격성공횟수]]/(표2[[#This Row],[공격실패횟수]]+표2[[#This Row],[공격성공횟수]])</f>
        <v>0.23529411764705882</v>
      </c>
    </row>
    <row r="1681" spans="1:8" hidden="1" x14ac:dyDescent="0.4">
      <c r="A1681">
        <v>840</v>
      </c>
      <c r="B1681" t="s">
        <v>2</v>
      </c>
      <c r="C1681">
        <v>0</v>
      </c>
      <c r="D1681">
        <v>2</v>
      </c>
      <c r="E1681">
        <v>15</v>
      </c>
      <c r="F1681">
        <v>4</v>
      </c>
      <c r="G1681">
        <v>1</v>
      </c>
      <c r="H1681">
        <f>표2[[#This Row],[공격성공횟수]]/(표2[[#This Row],[공격실패횟수]]+표2[[#This Row],[공격성공횟수]])</f>
        <v>0.11764705882352941</v>
      </c>
    </row>
    <row r="1682" spans="1:8" x14ac:dyDescent="0.4">
      <c r="A1682">
        <v>841</v>
      </c>
      <c r="B1682" t="s">
        <v>0</v>
      </c>
      <c r="C1682">
        <v>1</v>
      </c>
      <c r="D1682">
        <v>4</v>
      </c>
      <c r="E1682">
        <v>3</v>
      </c>
      <c r="F1682">
        <v>1</v>
      </c>
      <c r="G1682">
        <v>0</v>
      </c>
      <c r="H1682">
        <f>표2[[#This Row],[공격성공횟수]]/(표2[[#This Row],[공격실패횟수]]+표2[[#This Row],[공격성공횟수]])</f>
        <v>0.5714285714285714</v>
      </c>
    </row>
    <row r="1683" spans="1:8" hidden="1" x14ac:dyDescent="0.4">
      <c r="A1683">
        <v>841</v>
      </c>
      <c r="B1683" t="s">
        <v>2</v>
      </c>
      <c r="C1683">
        <v>0</v>
      </c>
      <c r="D1683">
        <v>1</v>
      </c>
      <c r="E1683">
        <v>7</v>
      </c>
      <c r="F1683">
        <v>4</v>
      </c>
      <c r="G1683">
        <v>1</v>
      </c>
      <c r="H1683">
        <f>표2[[#This Row],[공격성공횟수]]/(표2[[#This Row],[공격실패횟수]]+표2[[#This Row],[공격성공횟수]])</f>
        <v>0.125</v>
      </c>
    </row>
    <row r="1684" spans="1:8" x14ac:dyDescent="0.4">
      <c r="A1684">
        <v>842</v>
      </c>
      <c r="B1684" t="s">
        <v>0</v>
      </c>
      <c r="C1684">
        <v>1</v>
      </c>
      <c r="D1684">
        <v>4</v>
      </c>
      <c r="E1684">
        <v>5</v>
      </c>
      <c r="F1684">
        <v>1</v>
      </c>
      <c r="G1684">
        <v>0</v>
      </c>
      <c r="H1684">
        <f>표2[[#This Row],[공격성공횟수]]/(표2[[#This Row],[공격실패횟수]]+표2[[#This Row],[공격성공횟수]])</f>
        <v>0.44444444444444442</v>
      </c>
    </row>
    <row r="1685" spans="1:8" hidden="1" x14ac:dyDescent="0.4">
      <c r="A1685">
        <v>842</v>
      </c>
      <c r="B1685" t="s">
        <v>2</v>
      </c>
      <c r="C1685">
        <v>0</v>
      </c>
      <c r="D1685">
        <v>1</v>
      </c>
      <c r="E1685">
        <v>8</v>
      </c>
      <c r="F1685">
        <v>4</v>
      </c>
      <c r="G1685">
        <v>1</v>
      </c>
      <c r="H1685">
        <f>표2[[#This Row],[공격성공횟수]]/(표2[[#This Row],[공격실패횟수]]+표2[[#This Row],[공격성공횟수]])</f>
        <v>0.1111111111111111</v>
      </c>
    </row>
    <row r="1686" spans="1:8" x14ac:dyDescent="0.4">
      <c r="A1686">
        <v>843</v>
      </c>
      <c r="B1686" t="s">
        <v>0</v>
      </c>
      <c r="C1686">
        <v>0</v>
      </c>
      <c r="D1686">
        <v>0</v>
      </c>
      <c r="E1686">
        <v>13</v>
      </c>
      <c r="F1686">
        <v>4</v>
      </c>
      <c r="G1686">
        <v>1</v>
      </c>
      <c r="H1686">
        <f>표2[[#This Row],[공격성공횟수]]/(표2[[#This Row],[공격실패횟수]]+표2[[#This Row],[공격성공횟수]])</f>
        <v>0</v>
      </c>
    </row>
    <row r="1687" spans="1:8" hidden="1" x14ac:dyDescent="0.4">
      <c r="A1687">
        <v>843</v>
      </c>
      <c r="B1687" t="s">
        <v>2</v>
      </c>
      <c r="C1687">
        <v>1</v>
      </c>
      <c r="D1687">
        <v>4</v>
      </c>
      <c r="E1687">
        <v>10</v>
      </c>
      <c r="F1687">
        <v>0</v>
      </c>
      <c r="G1687">
        <v>0</v>
      </c>
      <c r="H1687">
        <f>표2[[#This Row],[공격성공횟수]]/(표2[[#This Row],[공격실패횟수]]+표2[[#This Row],[공격성공횟수]])</f>
        <v>0.2857142857142857</v>
      </c>
    </row>
    <row r="1688" spans="1:8" x14ac:dyDescent="0.4">
      <c r="A1688">
        <v>844</v>
      </c>
      <c r="B1688" t="s">
        <v>0</v>
      </c>
      <c r="C1688">
        <v>1</v>
      </c>
      <c r="D1688">
        <v>4</v>
      </c>
      <c r="E1688">
        <v>36</v>
      </c>
      <c r="F1688">
        <v>0</v>
      </c>
      <c r="G1688">
        <v>0</v>
      </c>
      <c r="H1688">
        <f>표2[[#This Row],[공격성공횟수]]/(표2[[#This Row],[공격실패횟수]]+표2[[#This Row],[공격성공횟수]])</f>
        <v>0.1</v>
      </c>
    </row>
    <row r="1689" spans="1:8" hidden="1" x14ac:dyDescent="0.4">
      <c r="A1689">
        <v>844</v>
      </c>
      <c r="B1689" t="s">
        <v>2</v>
      </c>
      <c r="C1689">
        <v>0</v>
      </c>
      <c r="D1689">
        <v>0</v>
      </c>
      <c r="E1689">
        <v>39</v>
      </c>
      <c r="F1689">
        <v>4</v>
      </c>
      <c r="G1689">
        <v>1</v>
      </c>
      <c r="H1689">
        <f>표2[[#This Row],[공격성공횟수]]/(표2[[#This Row],[공격실패횟수]]+표2[[#This Row],[공격성공횟수]])</f>
        <v>0</v>
      </c>
    </row>
    <row r="1690" spans="1:8" x14ac:dyDescent="0.4">
      <c r="A1690">
        <v>845</v>
      </c>
      <c r="B1690" t="s">
        <v>0</v>
      </c>
      <c r="C1690">
        <v>0</v>
      </c>
      <c r="D1690">
        <v>3</v>
      </c>
      <c r="E1690">
        <v>30</v>
      </c>
      <c r="F1690">
        <v>4</v>
      </c>
      <c r="G1690">
        <v>1</v>
      </c>
      <c r="H1690">
        <f>표2[[#This Row],[공격성공횟수]]/(표2[[#This Row],[공격실패횟수]]+표2[[#This Row],[공격성공횟수]])</f>
        <v>9.0909090909090912E-2</v>
      </c>
    </row>
    <row r="1691" spans="1:8" hidden="1" x14ac:dyDescent="0.4">
      <c r="A1691">
        <v>845</v>
      </c>
      <c r="B1691" t="s">
        <v>2</v>
      </c>
      <c r="C1691">
        <v>1</v>
      </c>
      <c r="D1691">
        <v>4</v>
      </c>
      <c r="E1691">
        <v>29</v>
      </c>
      <c r="F1691">
        <v>3</v>
      </c>
      <c r="G1691">
        <v>0</v>
      </c>
      <c r="H1691">
        <f>표2[[#This Row],[공격성공횟수]]/(표2[[#This Row],[공격실패횟수]]+표2[[#This Row],[공격성공횟수]])</f>
        <v>0.12121212121212122</v>
      </c>
    </row>
    <row r="1692" spans="1:8" x14ac:dyDescent="0.4">
      <c r="A1692">
        <v>846</v>
      </c>
      <c r="B1692" t="s">
        <v>0</v>
      </c>
      <c r="C1692">
        <v>1</v>
      </c>
      <c r="D1692">
        <v>4</v>
      </c>
      <c r="E1692">
        <v>19</v>
      </c>
      <c r="F1692">
        <v>0</v>
      </c>
      <c r="G1692">
        <v>0</v>
      </c>
      <c r="H1692">
        <f>표2[[#This Row],[공격성공횟수]]/(표2[[#This Row],[공격실패횟수]]+표2[[#This Row],[공격성공횟수]])</f>
        <v>0.17391304347826086</v>
      </c>
    </row>
    <row r="1693" spans="1:8" hidden="1" x14ac:dyDescent="0.4">
      <c r="A1693">
        <v>846</v>
      </c>
      <c r="B1693" t="s">
        <v>2</v>
      </c>
      <c r="C1693">
        <v>0</v>
      </c>
      <c r="D1693">
        <v>0</v>
      </c>
      <c r="E1693">
        <v>22</v>
      </c>
      <c r="F1693">
        <v>4</v>
      </c>
      <c r="G1693">
        <v>1</v>
      </c>
      <c r="H1693">
        <f>표2[[#This Row],[공격성공횟수]]/(표2[[#This Row],[공격실패횟수]]+표2[[#This Row],[공격성공횟수]])</f>
        <v>0</v>
      </c>
    </row>
    <row r="1694" spans="1:8" x14ac:dyDescent="0.4">
      <c r="A1694">
        <v>847</v>
      </c>
      <c r="B1694" t="s">
        <v>0</v>
      </c>
      <c r="C1694">
        <v>1</v>
      </c>
      <c r="D1694">
        <v>4</v>
      </c>
      <c r="E1694">
        <v>22</v>
      </c>
      <c r="F1694">
        <v>0</v>
      </c>
      <c r="G1694">
        <v>0</v>
      </c>
      <c r="H1694">
        <f>표2[[#This Row],[공격성공횟수]]/(표2[[#This Row],[공격실패횟수]]+표2[[#This Row],[공격성공횟수]])</f>
        <v>0.15384615384615385</v>
      </c>
    </row>
    <row r="1695" spans="1:8" hidden="1" x14ac:dyDescent="0.4">
      <c r="A1695">
        <v>847</v>
      </c>
      <c r="B1695" t="s">
        <v>2</v>
      </c>
      <c r="C1695">
        <v>0</v>
      </c>
      <c r="D1695">
        <v>0</v>
      </c>
      <c r="E1695">
        <v>26</v>
      </c>
      <c r="F1695">
        <v>4</v>
      </c>
      <c r="G1695">
        <v>1</v>
      </c>
      <c r="H1695">
        <f>표2[[#This Row],[공격성공횟수]]/(표2[[#This Row],[공격실패횟수]]+표2[[#This Row],[공격성공횟수]])</f>
        <v>0</v>
      </c>
    </row>
    <row r="1696" spans="1:8" x14ac:dyDescent="0.4">
      <c r="A1696">
        <v>848</v>
      </c>
      <c r="B1696" t="s">
        <v>0</v>
      </c>
      <c r="C1696">
        <v>0</v>
      </c>
      <c r="D1696">
        <v>3</v>
      </c>
      <c r="E1696">
        <v>58</v>
      </c>
      <c r="F1696">
        <v>4</v>
      </c>
      <c r="G1696">
        <v>1</v>
      </c>
      <c r="H1696">
        <f>표2[[#This Row],[공격성공횟수]]/(표2[[#This Row],[공격실패횟수]]+표2[[#This Row],[공격성공횟수]])</f>
        <v>4.9180327868852458E-2</v>
      </c>
    </row>
    <row r="1697" spans="1:8" hidden="1" x14ac:dyDescent="0.4">
      <c r="A1697">
        <v>848</v>
      </c>
      <c r="B1697" t="s">
        <v>2</v>
      </c>
      <c r="C1697">
        <v>1</v>
      </c>
      <c r="D1697">
        <v>4</v>
      </c>
      <c r="E1697">
        <v>60</v>
      </c>
      <c r="F1697">
        <v>3</v>
      </c>
      <c r="G1697">
        <v>0</v>
      </c>
      <c r="H1697">
        <f>표2[[#This Row],[공격성공횟수]]/(표2[[#This Row],[공격실패횟수]]+표2[[#This Row],[공격성공횟수]])</f>
        <v>6.25E-2</v>
      </c>
    </row>
    <row r="1698" spans="1:8" x14ac:dyDescent="0.4">
      <c r="A1698">
        <v>849</v>
      </c>
      <c r="B1698" t="s">
        <v>0</v>
      </c>
      <c r="C1698">
        <v>1</v>
      </c>
      <c r="D1698">
        <v>4</v>
      </c>
      <c r="E1698">
        <v>15</v>
      </c>
      <c r="F1698">
        <v>1</v>
      </c>
      <c r="G1698">
        <v>0</v>
      </c>
      <c r="H1698">
        <f>표2[[#This Row],[공격성공횟수]]/(표2[[#This Row],[공격실패횟수]]+표2[[#This Row],[공격성공횟수]])</f>
        <v>0.21052631578947367</v>
      </c>
    </row>
    <row r="1699" spans="1:8" hidden="1" x14ac:dyDescent="0.4">
      <c r="A1699">
        <v>849</v>
      </c>
      <c r="B1699" t="s">
        <v>2</v>
      </c>
      <c r="C1699">
        <v>0</v>
      </c>
      <c r="D1699">
        <v>1</v>
      </c>
      <c r="E1699">
        <v>18</v>
      </c>
      <c r="F1699">
        <v>4</v>
      </c>
      <c r="G1699">
        <v>1</v>
      </c>
      <c r="H1699">
        <f>표2[[#This Row],[공격성공횟수]]/(표2[[#This Row],[공격실패횟수]]+표2[[#This Row],[공격성공횟수]])</f>
        <v>5.2631578947368418E-2</v>
      </c>
    </row>
    <row r="1700" spans="1:8" x14ac:dyDescent="0.4">
      <c r="A1700">
        <v>850</v>
      </c>
      <c r="B1700" t="s">
        <v>0</v>
      </c>
      <c r="C1700">
        <v>0</v>
      </c>
      <c r="D1700">
        <v>1</v>
      </c>
      <c r="E1700">
        <v>27</v>
      </c>
      <c r="F1700">
        <v>4</v>
      </c>
      <c r="G1700">
        <v>1</v>
      </c>
      <c r="H1700">
        <f>표2[[#This Row],[공격성공횟수]]/(표2[[#This Row],[공격실패횟수]]+표2[[#This Row],[공격성공횟수]])</f>
        <v>3.5714285714285712E-2</v>
      </c>
    </row>
    <row r="1701" spans="1:8" hidden="1" x14ac:dyDescent="0.4">
      <c r="A1701">
        <v>850</v>
      </c>
      <c r="B1701" t="s">
        <v>2</v>
      </c>
      <c r="C1701">
        <v>1</v>
      </c>
      <c r="D1701">
        <v>4</v>
      </c>
      <c r="E1701">
        <v>25</v>
      </c>
      <c r="F1701">
        <v>1</v>
      </c>
      <c r="G1701">
        <v>0</v>
      </c>
      <c r="H1701">
        <f>표2[[#This Row],[공격성공횟수]]/(표2[[#This Row],[공격실패횟수]]+표2[[#This Row],[공격성공횟수]])</f>
        <v>0.13793103448275862</v>
      </c>
    </row>
    <row r="1702" spans="1:8" x14ac:dyDescent="0.4">
      <c r="A1702">
        <v>851</v>
      </c>
      <c r="B1702" t="s">
        <v>0</v>
      </c>
      <c r="C1702">
        <v>1</v>
      </c>
      <c r="D1702">
        <v>4</v>
      </c>
      <c r="E1702">
        <v>26</v>
      </c>
      <c r="F1702">
        <v>0</v>
      </c>
      <c r="G1702">
        <v>0</v>
      </c>
      <c r="H1702">
        <f>표2[[#This Row],[공격성공횟수]]/(표2[[#This Row],[공격실패횟수]]+표2[[#This Row],[공격성공횟수]])</f>
        <v>0.13333333333333333</v>
      </c>
    </row>
    <row r="1703" spans="1:8" hidden="1" x14ac:dyDescent="0.4">
      <c r="A1703">
        <v>851</v>
      </c>
      <c r="B1703" t="s">
        <v>2</v>
      </c>
      <c r="C1703">
        <v>0</v>
      </c>
      <c r="D1703">
        <v>0</v>
      </c>
      <c r="E1703">
        <v>30</v>
      </c>
      <c r="F1703">
        <v>4</v>
      </c>
      <c r="G1703">
        <v>1</v>
      </c>
      <c r="H1703">
        <f>표2[[#This Row],[공격성공횟수]]/(표2[[#This Row],[공격실패횟수]]+표2[[#This Row],[공격성공횟수]])</f>
        <v>0</v>
      </c>
    </row>
    <row r="1704" spans="1:8" x14ac:dyDescent="0.4">
      <c r="A1704">
        <v>852</v>
      </c>
      <c r="B1704" t="s">
        <v>0</v>
      </c>
      <c r="C1704">
        <v>1</v>
      </c>
      <c r="D1704">
        <v>4</v>
      </c>
      <c r="E1704">
        <v>12</v>
      </c>
      <c r="F1704">
        <v>0</v>
      </c>
      <c r="G1704">
        <v>0</v>
      </c>
      <c r="H1704">
        <f>표2[[#This Row],[공격성공횟수]]/(표2[[#This Row],[공격실패횟수]]+표2[[#This Row],[공격성공횟수]])</f>
        <v>0.25</v>
      </c>
    </row>
    <row r="1705" spans="1:8" hidden="1" x14ac:dyDescent="0.4">
      <c r="A1705">
        <v>852</v>
      </c>
      <c r="B1705" t="s">
        <v>2</v>
      </c>
      <c r="C1705">
        <v>0</v>
      </c>
      <c r="D1705">
        <v>0</v>
      </c>
      <c r="E1705">
        <v>16</v>
      </c>
      <c r="F1705">
        <v>4</v>
      </c>
      <c r="G1705">
        <v>1</v>
      </c>
      <c r="H1705">
        <f>표2[[#This Row],[공격성공횟수]]/(표2[[#This Row],[공격실패횟수]]+표2[[#This Row],[공격성공횟수]])</f>
        <v>0</v>
      </c>
    </row>
    <row r="1706" spans="1:8" x14ac:dyDescent="0.4">
      <c r="A1706">
        <v>853</v>
      </c>
      <c r="B1706" t="s">
        <v>0</v>
      </c>
      <c r="C1706">
        <v>1</v>
      </c>
      <c r="D1706">
        <v>4</v>
      </c>
      <c r="E1706">
        <v>17</v>
      </c>
      <c r="F1706">
        <v>3</v>
      </c>
      <c r="G1706">
        <v>0</v>
      </c>
      <c r="H1706">
        <f>표2[[#This Row],[공격성공횟수]]/(표2[[#This Row],[공격실패횟수]]+표2[[#This Row],[공격성공횟수]])</f>
        <v>0.19047619047619047</v>
      </c>
    </row>
    <row r="1707" spans="1:8" hidden="1" x14ac:dyDescent="0.4">
      <c r="A1707">
        <v>853</v>
      </c>
      <c r="B1707" t="s">
        <v>2</v>
      </c>
      <c r="C1707">
        <v>0</v>
      </c>
      <c r="D1707">
        <v>3</v>
      </c>
      <c r="E1707">
        <v>18</v>
      </c>
      <c r="F1707">
        <v>4</v>
      </c>
      <c r="G1707">
        <v>1</v>
      </c>
      <c r="H1707">
        <f>표2[[#This Row],[공격성공횟수]]/(표2[[#This Row],[공격실패횟수]]+표2[[#This Row],[공격성공횟수]])</f>
        <v>0.14285714285714285</v>
      </c>
    </row>
    <row r="1708" spans="1:8" x14ac:dyDescent="0.4">
      <c r="A1708">
        <v>854</v>
      </c>
      <c r="B1708" t="s">
        <v>0</v>
      </c>
      <c r="C1708">
        <v>1</v>
      </c>
      <c r="D1708">
        <v>4</v>
      </c>
      <c r="E1708">
        <v>4</v>
      </c>
      <c r="F1708">
        <v>2</v>
      </c>
      <c r="G1708">
        <v>0</v>
      </c>
      <c r="H1708">
        <f>표2[[#This Row],[공격성공횟수]]/(표2[[#This Row],[공격실패횟수]]+표2[[#This Row],[공격성공횟수]])</f>
        <v>0.5</v>
      </c>
    </row>
    <row r="1709" spans="1:8" hidden="1" x14ac:dyDescent="0.4">
      <c r="A1709">
        <v>854</v>
      </c>
      <c r="B1709" t="s">
        <v>2</v>
      </c>
      <c r="C1709">
        <v>0</v>
      </c>
      <c r="D1709">
        <v>2</v>
      </c>
      <c r="E1709">
        <v>7</v>
      </c>
      <c r="F1709">
        <v>4</v>
      </c>
      <c r="G1709">
        <v>1</v>
      </c>
      <c r="H1709">
        <f>표2[[#This Row],[공격성공횟수]]/(표2[[#This Row],[공격실패횟수]]+표2[[#This Row],[공격성공횟수]])</f>
        <v>0.22222222222222221</v>
      </c>
    </row>
    <row r="1710" spans="1:8" x14ac:dyDescent="0.4">
      <c r="A1710">
        <v>855</v>
      </c>
      <c r="B1710" t="s">
        <v>0</v>
      </c>
      <c r="C1710">
        <v>1</v>
      </c>
      <c r="D1710">
        <v>4</v>
      </c>
      <c r="E1710">
        <v>74</v>
      </c>
      <c r="F1710">
        <v>2</v>
      </c>
      <c r="G1710">
        <v>0</v>
      </c>
      <c r="H1710">
        <f>표2[[#This Row],[공격성공횟수]]/(표2[[#This Row],[공격실패횟수]]+표2[[#This Row],[공격성공횟수]])</f>
        <v>5.128205128205128E-2</v>
      </c>
    </row>
    <row r="1711" spans="1:8" hidden="1" x14ac:dyDescent="0.4">
      <c r="A1711">
        <v>855</v>
      </c>
      <c r="B1711" t="s">
        <v>2</v>
      </c>
      <c r="C1711">
        <v>0</v>
      </c>
      <c r="D1711">
        <v>2</v>
      </c>
      <c r="E1711">
        <v>73</v>
      </c>
      <c r="F1711">
        <v>4</v>
      </c>
      <c r="G1711">
        <v>1</v>
      </c>
      <c r="H1711">
        <f>표2[[#This Row],[공격성공횟수]]/(표2[[#This Row],[공격실패횟수]]+표2[[#This Row],[공격성공횟수]])</f>
        <v>2.6666666666666668E-2</v>
      </c>
    </row>
    <row r="1712" spans="1:8" x14ac:dyDescent="0.4">
      <c r="A1712">
        <v>856</v>
      </c>
      <c r="B1712" t="s">
        <v>0</v>
      </c>
      <c r="C1712">
        <v>1</v>
      </c>
      <c r="D1712">
        <v>4</v>
      </c>
      <c r="E1712">
        <v>3</v>
      </c>
      <c r="F1712">
        <v>0</v>
      </c>
      <c r="G1712">
        <v>0</v>
      </c>
      <c r="H1712">
        <f>표2[[#This Row],[공격성공횟수]]/(표2[[#This Row],[공격실패횟수]]+표2[[#This Row],[공격성공횟수]])</f>
        <v>0.5714285714285714</v>
      </c>
    </row>
    <row r="1713" spans="1:8" hidden="1" x14ac:dyDescent="0.4">
      <c r="A1713">
        <v>856</v>
      </c>
      <c r="B1713" t="s">
        <v>2</v>
      </c>
      <c r="C1713">
        <v>0</v>
      </c>
      <c r="D1713">
        <v>0</v>
      </c>
      <c r="E1713">
        <v>7</v>
      </c>
      <c r="F1713">
        <v>4</v>
      </c>
      <c r="G1713">
        <v>1</v>
      </c>
      <c r="H1713">
        <f>표2[[#This Row],[공격성공횟수]]/(표2[[#This Row],[공격실패횟수]]+표2[[#This Row],[공격성공횟수]])</f>
        <v>0</v>
      </c>
    </row>
    <row r="1714" spans="1:8" x14ac:dyDescent="0.4">
      <c r="A1714">
        <v>857</v>
      </c>
      <c r="B1714" t="s">
        <v>0</v>
      </c>
      <c r="C1714">
        <v>1</v>
      </c>
      <c r="D1714">
        <v>4</v>
      </c>
      <c r="E1714">
        <v>2</v>
      </c>
      <c r="F1714">
        <v>3</v>
      </c>
      <c r="G1714">
        <v>0</v>
      </c>
      <c r="H1714">
        <f>표2[[#This Row],[공격성공횟수]]/(표2[[#This Row],[공격실패횟수]]+표2[[#This Row],[공격성공횟수]])</f>
        <v>0.66666666666666663</v>
      </c>
    </row>
    <row r="1715" spans="1:8" hidden="1" x14ac:dyDescent="0.4">
      <c r="A1715">
        <v>857</v>
      </c>
      <c r="B1715" t="s">
        <v>2</v>
      </c>
      <c r="C1715">
        <v>0</v>
      </c>
      <c r="D1715">
        <v>3</v>
      </c>
      <c r="E1715">
        <v>3</v>
      </c>
      <c r="F1715">
        <v>4</v>
      </c>
      <c r="G1715">
        <v>1</v>
      </c>
      <c r="H1715">
        <f>표2[[#This Row],[공격성공횟수]]/(표2[[#This Row],[공격실패횟수]]+표2[[#This Row],[공격성공횟수]])</f>
        <v>0.5</v>
      </c>
    </row>
    <row r="1716" spans="1:8" x14ac:dyDescent="0.4">
      <c r="A1716">
        <v>858</v>
      </c>
      <c r="B1716" t="s">
        <v>0</v>
      </c>
      <c r="C1716">
        <v>1</v>
      </c>
      <c r="D1716">
        <v>4</v>
      </c>
      <c r="E1716">
        <v>5</v>
      </c>
      <c r="F1716">
        <v>3</v>
      </c>
      <c r="G1716">
        <v>0</v>
      </c>
      <c r="H1716">
        <f>표2[[#This Row],[공격성공횟수]]/(표2[[#This Row],[공격실패횟수]]+표2[[#This Row],[공격성공횟수]])</f>
        <v>0.44444444444444442</v>
      </c>
    </row>
    <row r="1717" spans="1:8" hidden="1" x14ac:dyDescent="0.4">
      <c r="A1717">
        <v>858</v>
      </c>
      <c r="B1717" t="s">
        <v>2</v>
      </c>
      <c r="C1717">
        <v>0</v>
      </c>
      <c r="D1717">
        <v>3</v>
      </c>
      <c r="E1717">
        <v>7</v>
      </c>
      <c r="F1717">
        <v>4</v>
      </c>
      <c r="G1717">
        <v>1</v>
      </c>
      <c r="H1717">
        <f>표2[[#This Row],[공격성공횟수]]/(표2[[#This Row],[공격실패횟수]]+표2[[#This Row],[공격성공횟수]])</f>
        <v>0.3</v>
      </c>
    </row>
    <row r="1718" spans="1:8" x14ac:dyDescent="0.4">
      <c r="A1718">
        <v>859</v>
      </c>
      <c r="B1718" t="s">
        <v>0</v>
      </c>
      <c r="C1718">
        <v>1</v>
      </c>
      <c r="D1718">
        <v>4</v>
      </c>
      <c r="E1718">
        <v>3</v>
      </c>
      <c r="F1718">
        <v>1</v>
      </c>
      <c r="G1718">
        <v>0</v>
      </c>
      <c r="H1718">
        <f>표2[[#This Row],[공격성공횟수]]/(표2[[#This Row],[공격실패횟수]]+표2[[#This Row],[공격성공횟수]])</f>
        <v>0.5714285714285714</v>
      </c>
    </row>
    <row r="1719" spans="1:8" hidden="1" x14ac:dyDescent="0.4">
      <c r="A1719">
        <v>859</v>
      </c>
      <c r="B1719" t="s">
        <v>2</v>
      </c>
      <c r="C1719">
        <v>0</v>
      </c>
      <c r="D1719">
        <v>1</v>
      </c>
      <c r="E1719">
        <v>6</v>
      </c>
      <c r="F1719">
        <v>4</v>
      </c>
      <c r="G1719">
        <v>1</v>
      </c>
      <c r="H1719">
        <f>표2[[#This Row],[공격성공횟수]]/(표2[[#This Row],[공격실패횟수]]+표2[[#This Row],[공격성공횟수]])</f>
        <v>0.14285714285714285</v>
      </c>
    </row>
    <row r="1720" spans="1:8" x14ac:dyDescent="0.4">
      <c r="A1720">
        <v>860</v>
      </c>
      <c r="B1720" t="s">
        <v>0</v>
      </c>
      <c r="C1720">
        <v>1</v>
      </c>
      <c r="D1720">
        <v>4</v>
      </c>
      <c r="E1720">
        <v>5</v>
      </c>
      <c r="F1720">
        <v>2</v>
      </c>
      <c r="G1720">
        <v>0</v>
      </c>
      <c r="H1720">
        <f>표2[[#This Row],[공격성공횟수]]/(표2[[#This Row],[공격실패횟수]]+표2[[#This Row],[공격성공횟수]])</f>
        <v>0.44444444444444442</v>
      </c>
    </row>
    <row r="1721" spans="1:8" hidden="1" x14ac:dyDescent="0.4">
      <c r="A1721">
        <v>860</v>
      </c>
      <c r="B1721" t="s">
        <v>2</v>
      </c>
      <c r="C1721">
        <v>0</v>
      </c>
      <c r="D1721">
        <v>2</v>
      </c>
      <c r="E1721">
        <v>7</v>
      </c>
      <c r="F1721">
        <v>4</v>
      </c>
      <c r="G1721">
        <v>1</v>
      </c>
      <c r="H1721">
        <f>표2[[#This Row],[공격성공횟수]]/(표2[[#This Row],[공격실패횟수]]+표2[[#This Row],[공격성공횟수]])</f>
        <v>0.22222222222222221</v>
      </c>
    </row>
    <row r="1722" spans="1:8" x14ac:dyDescent="0.4">
      <c r="A1722">
        <v>861</v>
      </c>
      <c r="B1722" t="s">
        <v>0</v>
      </c>
      <c r="C1722">
        <v>1</v>
      </c>
      <c r="D1722">
        <v>4</v>
      </c>
      <c r="E1722">
        <v>11</v>
      </c>
      <c r="F1722">
        <v>0</v>
      </c>
      <c r="G1722">
        <v>0</v>
      </c>
      <c r="H1722">
        <f>표2[[#This Row],[공격성공횟수]]/(표2[[#This Row],[공격실패횟수]]+표2[[#This Row],[공격성공횟수]])</f>
        <v>0.26666666666666666</v>
      </c>
    </row>
    <row r="1723" spans="1:8" hidden="1" x14ac:dyDescent="0.4">
      <c r="A1723">
        <v>861</v>
      </c>
      <c r="B1723" t="s">
        <v>2</v>
      </c>
      <c r="C1723">
        <v>0</v>
      </c>
      <c r="D1723">
        <v>0</v>
      </c>
      <c r="E1723">
        <v>14</v>
      </c>
      <c r="F1723">
        <v>4</v>
      </c>
      <c r="G1723">
        <v>1</v>
      </c>
      <c r="H1723">
        <f>표2[[#This Row],[공격성공횟수]]/(표2[[#This Row],[공격실패횟수]]+표2[[#This Row],[공격성공횟수]])</f>
        <v>0</v>
      </c>
    </row>
    <row r="1724" spans="1:8" x14ac:dyDescent="0.4">
      <c r="A1724">
        <v>862</v>
      </c>
      <c r="B1724" t="s">
        <v>0</v>
      </c>
      <c r="C1724">
        <v>1</v>
      </c>
      <c r="D1724">
        <v>4</v>
      </c>
      <c r="E1724">
        <v>10</v>
      </c>
      <c r="F1724">
        <v>1</v>
      </c>
      <c r="G1724">
        <v>0</v>
      </c>
      <c r="H1724">
        <f>표2[[#This Row],[공격성공횟수]]/(표2[[#This Row],[공격실패횟수]]+표2[[#This Row],[공격성공횟수]])</f>
        <v>0.2857142857142857</v>
      </c>
    </row>
    <row r="1725" spans="1:8" hidden="1" x14ac:dyDescent="0.4">
      <c r="A1725">
        <v>862</v>
      </c>
      <c r="B1725" t="s">
        <v>2</v>
      </c>
      <c r="C1725">
        <v>0</v>
      </c>
      <c r="D1725">
        <v>1</v>
      </c>
      <c r="E1725">
        <v>13</v>
      </c>
      <c r="F1725">
        <v>4</v>
      </c>
      <c r="G1725">
        <v>1</v>
      </c>
      <c r="H1725">
        <f>표2[[#This Row],[공격성공횟수]]/(표2[[#This Row],[공격실패횟수]]+표2[[#This Row],[공격성공횟수]])</f>
        <v>7.1428571428571425E-2</v>
      </c>
    </row>
    <row r="1726" spans="1:8" x14ac:dyDescent="0.4">
      <c r="A1726">
        <v>863</v>
      </c>
      <c r="B1726" t="s">
        <v>0</v>
      </c>
      <c r="C1726">
        <v>0</v>
      </c>
      <c r="D1726">
        <v>3</v>
      </c>
      <c r="E1726">
        <v>13</v>
      </c>
      <c r="F1726">
        <v>4</v>
      </c>
      <c r="G1726">
        <v>1</v>
      </c>
      <c r="H1726">
        <f>표2[[#This Row],[공격성공횟수]]/(표2[[#This Row],[공격실패횟수]]+표2[[#This Row],[공격성공횟수]])</f>
        <v>0.1875</v>
      </c>
    </row>
    <row r="1727" spans="1:8" hidden="1" x14ac:dyDescent="0.4">
      <c r="A1727">
        <v>863</v>
      </c>
      <c r="B1727" t="s">
        <v>2</v>
      </c>
      <c r="C1727">
        <v>1</v>
      </c>
      <c r="D1727">
        <v>4</v>
      </c>
      <c r="E1727">
        <v>14</v>
      </c>
      <c r="F1727">
        <v>3</v>
      </c>
      <c r="G1727">
        <v>0</v>
      </c>
      <c r="H1727">
        <f>표2[[#This Row],[공격성공횟수]]/(표2[[#This Row],[공격실패횟수]]+표2[[#This Row],[공격성공횟수]])</f>
        <v>0.22222222222222221</v>
      </c>
    </row>
    <row r="1728" spans="1:8" x14ac:dyDescent="0.4">
      <c r="A1728">
        <v>864</v>
      </c>
      <c r="B1728" t="s">
        <v>0</v>
      </c>
      <c r="C1728">
        <v>1</v>
      </c>
      <c r="D1728">
        <v>4</v>
      </c>
      <c r="E1728">
        <v>8</v>
      </c>
      <c r="F1728">
        <v>0</v>
      </c>
      <c r="G1728">
        <v>0</v>
      </c>
      <c r="H1728">
        <f>표2[[#This Row],[공격성공횟수]]/(표2[[#This Row],[공격실패횟수]]+표2[[#This Row],[공격성공횟수]])</f>
        <v>0.33333333333333331</v>
      </c>
    </row>
    <row r="1729" spans="1:8" hidden="1" x14ac:dyDescent="0.4">
      <c r="A1729">
        <v>864</v>
      </c>
      <c r="B1729" t="s">
        <v>2</v>
      </c>
      <c r="C1729">
        <v>0</v>
      </c>
      <c r="D1729">
        <v>0</v>
      </c>
      <c r="E1729">
        <v>11</v>
      </c>
      <c r="F1729">
        <v>4</v>
      </c>
      <c r="G1729">
        <v>1</v>
      </c>
      <c r="H1729">
        <f>표2[[#This Row],[공격성공횟수]]/(표2[[#This Row],[공격실패횟수]]+표2[[#This Row],[공격성공횟수]])</f>
        <v>0</v>
      </c>
    </row>
    <row r="1730" spans="1:8" x14ac:dyDescent="0.4">
      <c r="A1730">
        <v>865</v>
      </c>
      <c r="B1730" t="s">
        <v>0</v>
      </c>
      <c r="C1730">
        <v>1</v>
      </c>
      <c r="D1730">
        <v>4</v>
      </c>
      <c r="E1730">
        <v>37</v>
      </c>
      <c r="F1730">
        <v>0</v>
      </c>
      <c r="G1730">
        <v>0</v>
      </c>
      <c r="H1730">
        <f>표2[[#This Row],[공격성공횟수]]/(표2[[#This Row],[공격실패횟수]]+표2[[#This Row],[공격성공횟수]])</f>
        <v>9.7560975609756101E-2</v>
      </c>
    </row>
    <row r="1731" spans="1:8" hidden="1" x14ac:dyDescent="0.4">
      <c r="A1731">
        <v>865</v>
      </c>
      <c r="B1731" t="s">
        <v>2</v>
      </c>
      <c r="C1731">
        <v>0</v>
      </c>
      <c r="D1731">
        <v>0</v>
      </c>
      <c r="E1731">
        <v>41</v>
      </c>
      <c r="F1731">
        <v>4</v>
      </c>
      <c r="G1731">
        <v>1</v>
      </c>
      <c r="H1731">
        <f>표2[[#This Row],[공격성공횟수]]/(표2[[#This Row],[공격실패횟수]]+표2[[#This Row],[공격성공횟수]])</f>
        <v>0</v>
      </c>
    </row>
    <row r="1732" spans="1:8" x14ac:dyDescent="0.4">
      <c r="A1732">
        <v>866</v>
      </c>
      <c r="B1732" t="s">
        <v>0</v>
      </c>
      <c r="C1732">
        <v>1</v>
      </c>
      <c r="D1732">
        <v>4</v>
      </c>
      <c r="E1732">
        <v>89</v>
      </c>
      <c r="F1732">
        <v>2</v>
      </c>
      <c r="G1732">
        <v>0</v>
      </c>
      <c r="H1732">
        <f>표2[[#This Row],[공격성공횟수]]/(표2[[#This Row],[공격실패횟수]]+표2[[#This Row],[공격성공횟수]])</f>
        <v>4.3010752688172046E-2</v>
      </c>
    </row>
    <row r="1733" spans="1:8" hidden="1" x14ac:dyDescent="0.4">
      <c r="A1733">
        <v>866</v>
      </c>
      <c r="B1733" t="s">
        <v>2</v>
      </c>
      <c r="C1733">
        <v>0</v>
      </c>
      <c r="D1733">
        <v>2</v>
      </c>
      <c r="E1733">
        <v>89</v>
      </c>
      <c r="F1733">
        <v>4</v>
      </c>
      <c r="G1733">
        <v>1</v>
      </c>
      <c r="H1733">
        <f>표2[[#This Row],[공격성공횟수]]/(표2[[#This Row],[공격실패횟수]]+표2[[#This Row],[공격성공횟수]])</f>
        <v>2.197802197802198E-2</v>
      </c>
    </row>
    <row r="1734" spans="1:8" x14ac:dyDescent="0.4">
      <c r="A1734">
        <v>867</v>
      </c>
      <c r="B1734" t="s">
        <v>0</v>
      </c>
      <c r="C1734">
        <v>1</v>
      </c>
      <c r="D1734">
        <v>4</v>
      </c>
      <c r="E1734">
        <v>17</v>
      </c>
      <c r="F1734">
        <v>3</v>
      </c>
      <c r="G1734">
        <v>0</v>
      </c>
      <c r="H1734">
        <f>표2[[#This Row],[공격성공횟수]]/(표2[[#This Row],[공격실패횟수]]+표2[[#This Row],[공격성공횟수]])</f>
        <v>0.19047619047619047</v>
      </c>
    </row>
    <row r="1735" spans="1:8" hidden="1" x14ac:dyDescent="0.4">
      <c r="A1735">
        <v>867</v>
      </c>
      <c r="B1735" t="s">
        <v>2</v>
      </c>
      <c r="C1735">
        <v>0</v>
      </c>
      <c r="D1735">
        <v>3</v>
      </c>
      <c r="E1735">
        <v>19</v>
      </c>
      <c r="F1735">
        <v>4</v>
      </c>
      <c r="G1735">
        <v>1</v>
      </c>
      <c r="H1735">
        <f>표2[[#This Row],[공격성공횟수]]/(표2[[#This Row],[공격실패횟수]]+표2[[#This Row],[공격성공횟수]])</f>
        <v>0.13636363636363635</v>
      </c>
    </row>
    <row r="1736" spans="1:8" x14ac:dyDescent="0.4">
      <c r="A1736">
        <v>868</v>
      </c>
      <c r="B1736" t="s">
        <v>0</v>
      </c>
      <c r="C1736">
        <v>0</v>
      </c>
      <c r="D1736">
        <v>2</v>
      </c>
      <c r="E1736">
        <v>9</v>
      </c>
      <c r="F1736">
        <v>4</v>
      </c>
      <c r="G1736">
        <v>1</v>
      </c>
      <c r="H1736">
        <f>표2[[#This Row],[공격성공횟수]]/(표2[[#This Row],[공격실패횟수]]+표2[[#This Row],[공격성공횟수]])</f>
        <v>0.18181818181818182</v>
      </c>
    </row>
    <row r="1737" spans="1:8" hidden="1" x14ac:dyDescent="0.4">
      <c r="A1737">
        <v>868</v>
      </c>
      <c r="B1737" t="s">
        <v>2</v>
      </c>
      <c r="C1737">
        <v>1</v>
      </c>
      <c r="D1737">
        <v>4</v>
      </c>
      <c r="E1737">
        <v>8</v>
      </c>
      <c r="F1737">
        <v>2</v>
      </c>
      <c r="G1737">
        <v>0</v>
      </c>
      <c r="H1737">
        <f>표2[[#This Row],[공격성공횟수]]/(표2[[#This Row],[공격실패횟수]]+표2[[#This Row],[공격성공횟수]])</f>
        <v>0.33333333333333331</v>
      </c>
    </row>
    <row r="1738" spans="1:8" x14ac:dyDescent="0.4">
      <c r="A1738">
        <v>869</v>
      </c>
      <c r="B1738" t="s">
        <v>0</v>
      </c>
      <c r="C1738">
        <v>0</v>
      </c>
      <c r="D1738">
        <v>1</v>
      </c>
      <c r="E1738">
        <v>88</v>
      </c>
      <c r="F1738">
        <v>4</v>
      </c>
      <c r="G1738">
        <v>1</v>
      </c>
      <c r="H1738">
        <f>표2[[#This Row],[공격성공횟수]]/(표2[[#This Row],[공격실패횟수]]+표2[[#This Row],[공격성공횟수]])</f>
        <v>1.1235955056179775E-2</v>
      </c>
    </row>
    <row r="1739" spans="1:8" hidden="1" x14ac:dyDescent="0.4">
      <c r="A1739">
        <v>869</v>
      </c>
      <c r="B1739" t="s">
        <v>2</v>
      </c>
      <c r="C1739">
        <v>1</v>
      </c>
      <c r="D1739">
        <v>4</v>
      </c>
      <c r="E1739">
        <v>85</v>
      </c>
      <c r="F1739">
        <v>1</v>
      </c>
      <c r="G1739">
        <v>0</v>
      </c>
      <c r="H1739">
        <f>표2[[#This Row],[공격성공횟수]]/(표2[[#This Row],[공격실패횟수]]+표2[[#This Row],[공격성공횟수]])</f>
        <v>4.49438202247191E-2</v>
      </c>
    </row>
    <row r="1740" spans="1:8" x14ac:dyDescent="0.4">
      <c r="A1740">
        <v>870</v>
      </c>
      <c r="B1740" t="s">
        <v>0</v>
      </c>
      <c r="C1740">
        <v>1</v>
      </c>
      <c r="D1740">
        <v>4</v>
      </c>
      <c r="E1740">
        <v>19</v>
      </c>
      <c r="F1740">
        <v>1</v>
      </c>
      <c r="G1740">
        <v>0</v>
      </c>
      <c r="H1740">
        <f>표2[[#This Row],[공격성공횟수]]/(표2[[#This Row],[공격실패횟수]]+표2[[#This Row],[공격성공횟수]])</f>
        <v>0.17391304347826086</v>
      </c>
    </row>
    <row r="1741" spans="1:8" hidden="1" x14ac:dyDescent="0.4">
      <c r="A1741">
        <v>870</v>
      </c>
      <c r="B1741" t="s">
        <v>2</v>
      </c>
      <c r="C1741">
        <v>0</v>
      </c>
      <c r="D1741">
        <v>1</v>
      </c>
      <c r="E1741">
        <v>21</v>
      </c>
      <c r="F1741">
        <v>4</v>
      </c>
      <c r="G1741">
        <v>1</v>
      </c>
      <c r="H1741">
        <f>표2[[#This Row],[공격성공횟수]]/(표2[[#This Row],[공격실패횟수]]+표2[[#This Row],[공격성공횟수]])</f>
        <v>4.5454545454545456E-2</v>
      </c>
    </row>
    <row r="1742" spans="1:8" x14ac:dyDescent="0.4">
      <c r="A1742">
        <v>871</v>
      </c>
      <c r="B1742" t="s">
        <v>0</v>
      </c>
      <c r="C1742">
        <v>1</v>
      </c>
      <c r="D1742">
        <v>4</v>
      </c>
      <c r="E1742">
        <v>8</v>
      </c>
      <c r="F1742">
        <v>2</v>
      </c>
      <c r="G1742">
        <v>0</v>
      </c>
      <c r="H1742">
        <f>표2[[#This Row],[공격성공횟수]]/(표2[[#This Row],[공격실패횟수]]+표2[[#This Row],[공격성공횟수]])</f>
        <v>0.33333333333333331</v>
      </c>
    </row>
    <row r="1743" spans="1:8" hidden="1" x14ac:dyDescent="0.4">
      <c r="A1743">
        <v>871</v>
      </c>
      <c r="B1743" t="s">
        <v>2</v>
      </c>
      <c r="C1743">
        <v>0</v>
      </c>
      <c r="D1743">
        <v>2</v>
      </c>
      <c r="E1743">
        <v>10</v>
      </c>
      <c r="F1743">
        <v>4</v>
      </c>
      <c r="G1743">
        <v>1</v>
      </c>
      <c r="H1743">
        <f>표2[[#This Row],[공격성공횟수]]/(표2[[#This Row],[공격실패횟수]]+표2[[#This Row],[공격성공횟수]])</f>
        <v>0.16666666666666666</v>
      </c>
    </row>
    <row r="1744" spans="1:8" x14ac:dyDescent="0.4">
      <c r="A1744">
        <v>872</v>
      </c>
      <c r="B1744" t="s">
        <v>0</v>
      </c>
      <c r="C1744">
        <v>1</v>
      </c>
      <c r="D1744">
        <v>4</v>
      </c>
      <c r="E1744">
        <v>17</v>
      </c>
      <c r="F1744">
        <v>2</v>
      </c>
      <c r="G1744">
        <v>0</v>
      </c>
      <c r="H1744">
        <f>표2[[#This Row],[공격성공횟수]]/(표2[[#This Row],[공격실패횟수]]+표2[[#This Row],[공격성공횟수]])</f>
        <v>0.19047619047619047</v>
      </c>
    </row>
    <row r="1745" spans="1:8" hidden="1" x14ac:dyDescent="0.4">
      <c r="A1745">
        <v>872</v>
      </c>
      <c r="B1745" t="s">
        <v>2</v>
      </c>
      <c r="C1745">
        <v>0</v>
      </c>
      <c r="D1745">
        <v>2</v>
      </c>
      <c r="E1745">
        <v>19</v>
      </c>
      <c r="F1745">
        <v>4</v>
      </c>
      <c r="G1745">
        <v>1</v>
      </c>
      <c r="H1745">
        <f>표2[[#This Row],[공격성공횟수]]/(표2[[#This Row],[공격실패횟수]]+표2[[#This Row],[공격성공횟수]])</f>
        <v>9.5238095238095233E-2</v>
      </c>
    </row>
    <row r="1746" spans="1:8" x14ac:dyDescent="0.4">
      <c r="A1746">
        <v>873</v>
      </c>
      <c r="B1746" t="s">
        <v>0</v>
      </c>
      <c r="C1746">
        <v>1</v>
      </c>
      <c r="D1746">
        <v>4</v>
      </c>
      <c r="E1746">
        <v>7</v>
      </c>
      <c r="F1746">
        <v>2</v>
      </c>
      <c r="G1746">
        <v>0</v>
      </c>
      <c r="H1746">
        <f>표2[[#This Row],[공격성공횟수]]/(표2[[#This Row],[공격실패횟수]]+표2[[#This Row],[공격성공횟수]])</f>
        <v>0.36363636363636365</v>
      </c>
    </row>
    <row r="1747" spans="1:8" hidden="1" x14ac:dyDescent="0.4">
      <c r="A1747">
        <v>873</v>
      </c>
      <c r="B1747" t="s">
        <v>2</v>
      </c>
      <c r="C1747">
        <v>0</v>
      </c>
      <c r="D1747">
        <v>2</v>
      </c>
      <c r="E1747">
        <v>9</v>
      </c>
      <c r="F1747">
        <v>4</v>
      </c>
      <c r="G1747">
        <v>1</v>
      </c>
      <c r="H1747">
        <f>표2[[#This Row],[공격성공횟수]]/(표2[[#This Row],[공격실패횟수]]+표2[[#This Row],[공격성공횟수]])</f>
        <v>0.18181818181818182</v>
      </c>
    </row>
    <row r="1748" spans="1:8" x14ac:dyDescent="0.4">
      <c r="A1748">
        <v>874</v>
      </c>
      <c r="B1748" t="s">
        <v>0</v>
      </c>
      <c r="C1748">
        <v>1</v>
      </c>
      <c r="D1748">
        <v>4</v>
      </c>
      <c r="E1748">
        <v>10</v>
      </c>
      <c r="F1748">
        <v>3</v>
      </c>
      <c r="G1748">
        <v>0</v>
      </c>
      <c r="H1748">
        <f>표2[[#This Row],[공격성공횟수]]/(표2[[#This Row],[공격실패횟수]]+표2[[#This Row],[공격성공횟수]])</f>
        <v>0.2857142857142857</v>
      </c>
    </row>
    <row r="1749" spans="1:8" hidden="1" x14ac:dyDescent="0.4">
      <c r="A1749">
        <v>874</v>
      </c>
      <c r="B1749" t="s">
        <v>2</v>
      </c>
      <c r="C1749">
        <v>0</v>
      </c>
      <c r="D1749">
        <v>3</v>
      </c>
      <c r="E1749">
        <v>11</v>
      </c>
      <c r="F1749">
        <v>4</v>
      </c>
      <c r="G1749">
        <v>1</v>
      </c>
      <c r="H1749">
        <f>표2[[#This Row],[공격성공횟수]]/(표2[[#This Row],[공격실패횟수]]+표2[[#This Row],[공격성공횟수]])</f>
        <v>0.21428571428571427</v>
      </c>
    </row>
    <row r="1750" spans="1:8" x14ac:dyDescent="0.4">
      <c r="A1750">
        <v>875</v>
      </c>
      <c r="B1750" t="s">
        <v>0</v>
      </c>
      <c r="C1750">
        <v>1</v>
      </c>
      <c r="D1750">
        <v>4</v>
      </c>
      <c r="E1750">
        <v>21</v>
      </c>
      <c r="F1750">
        <v>3</v>
      </c>
      <c r="G1750">
        <v>0</v>
      </c>
      <c r="H1750">
        <f>표2[[#This Row],[공격성공횟수]]/(표2[[#This Row],[공격실패횟수]]+표2[[#This Row],[공격성공횟수]])</f>
        <v>0.16</v>
      </c>
    </row>
    <row r="1751" spans="1:8" hidden="1" x14ac:dyDescent="0.4">
      <c r="A1751">
        <v>875</v>
      </c>
      <c r="B1751" t="s">
        <v>2</v>
      </c>
      <c r="C1751">
        <v>0</v>
      </c>
      <c r="D1751">
        <v>3</v>
      </c>
      <c r="E1751">
        <v>23</v>
      </c>
      <c r="F1751">
        <v>4</v>
      </c>
      <c r="G1751">
        <v>1</v>
      </c>
      <c r="H1751">
        <f>표2[[#This Row],[공격성공횟수]]/(표2[[#This Row],[공격실패횟수]]+표2[[#This Row],[공격성공횟수]])</f>
        <v>0.11538461538461539</v>
      </c>
    </row>
    <row r="1752" spans="1:8" x14ac:dyDescent="0.4">
      <c r="A1752">
        <v>876</v>
      </c>
      <c r="B1752" t="s">
        <v>0</v>
      </c>
      <c r="C1752">
        <v>1</v>
      </c>
      <c r="D1752">
        <v>4</v>
      </c>
      <c r="E1752">
        <v>2</v>
      </c>
      <c r="F1752">
        <v>3</v>
      </c>
      <c r="G1752">
        <v>0</v>
      </c>
      <c r="H1752">
        <f>표2[[#This Row],[공격성공횟수]]/(표2[[#This Row],[공격실패횟수]]+표2[[#This Row],[공격성공횟수]])</f>
        <v>0.66666666666666663</v>
      </c>
    </row>
    <row r="1753" spans="1:8" hidden="1" x14ac:dyDescent="0.4">
      <c r="A1753">
        <v>876</v>
      </c>
      <c r="B1753" t="s">
        <v>2</v>
      </c>
      <c r="C1753">
        <v>0</v>
      </c>
      <c r="D1753">
        <v>3</v>
      </c>
      <c r="E1753">
        <v>4</v>
      </c>
      <c r="F1753">
        <v>4</v>
      </c>
      <c r="G1753">
        <v>1</v>
      </c>
      <c r="H1753">
        <f>표2[[#This Row],[공격성공횟수]]/(표2[[#This Row],[공격실패횟수]]+표2[[#This Row],[공격성공횟수]])</f>
        <v>0.42857142857142855</v>
      </c>
    </row>
    <row r="1754" spans="1:8" x14ac:dyDescent="0.4">
      <c r="A1754">
        <v>877</v>
      </c>
      <c r="B1754" t="s">
        <v>0</v>
      </c>
      <c r="C1754">
        <v>1</v>
      </c>
      <c r="D1754">
        <v>4</v>
      </c>
      <c r="E1754">
        <v>7</v>
      </c>
      <c r="F1754">
        <v>2</v>
      </c>
      <c r="G1754">
        <v>0</v>
      </c>
      <c r="H1754">
        <f>표2[[#This Row],[공격성공횟수]]/(표2[[#This Row],[공격실패횟수]]+표2[[#This Row],[공격성공횟수]])</f>
        <v>0.36363636363636365</v>
      </c>
    </row>
    <row r="1755" spans="1:8" hidden="1" x14ac:dyDescent="0.4">
      <c r="A1755">
        <v>877</v>
      </c>
      <c r="B1755" t="s">
        <v>2</v>
      </c>
      <c r="C1755">
        <v>0</v>
      </c>
      <c r="D1755">
        <v>2</v>
      </c>
      <c r="E1755">
        <v>9</v>
      </c>
      <c r="F1755">
        <v>4</v>
      </c>
      <c r="G1755">
        <v>1</v>
      </c>
      <c r="H1755">
        <f>표2[[#This Row],[공격성공횟수]]/(표2[[#This Row],[공격실패횟수]]+표2[[#This Row],[공격성공횟수]])</f>
        <v>0.18181818181818182</v>
      </c>
    </row>
    <row r="1756" spans="1:8" x14ac:dyDescent="0.4">
      <c r="A1756">
        <v>878</v>
      </c>
      <c r="B1756" t="s">
        <v>0</v>
      </c>
      <c r="C1756">
        <v>1</v>
      </c>
      <c r="D1756">
        <v>4</v>
      </c>
      <c r="E1756">
        <v>11</v>
      </c>
      <c r="F1756">
        <v>3</v>
      </c>
      <c r="G1756">
        <v>0</v>
      </c>
      <c r="H1756">
        <f>표2[[#This Row],[공격성공횟수]]/(표2[[#This Row],[공격실패횟수]]+표2[[#This Row],[공격성공횟수]])</f>
        <v>0.26666666666666666</v>
      </c>
    </row>
    <row r="1757" spans="1:8" hidden="1" x14ac:dyDescent="0.4">
      <c r="A1757">
        <v>878</v>
      </c>
      <c r="B1757" t="s">
        <v>2</v>
      </c>
      <c r="C1757">
        <v>0</v>
      </c>
      <c r="D1757">
        <v>3</v>
      </c>
      <c r="E1757">
        <v>12</v>
      </c>
      <c r="F1757">
        <v>4</v>
      </c>
      <c r="G1757">
        <v>1</v>
      </c>
      <c r="H1757">
        <f>표2[[#This Row],[공격성공횟수]]/(표2[[#This Row],[공격실패횟수]]+표2[[#This Row],[공격성공횟수]])</f>
        <v>0.2</v>
      </c>
    </row>
    <row r="1758" spans="1:8" x14ac:dyDescent="0.4">
      <c r="A1758">
        <v>879</v>
      </c>
      <c r="B1758" t="s">
        <v>0</v>
      </c>
      <c r="C1758">
        <v>1</v>
      </c>
      <c r="D1758">
        <v>4</v>
      </c>
      <c r="E1758">
        <v>5</v>
      </c>
      <c r="F1758">
        <v>1</v>
      </c>
      <c r="G1758">
        <v>0</v>
      </c>
      <c r="H1758">
        <f>표2[[#This Row],[공격성공횟수]]/(표2[[#This Row],[공격실패횟수]]+표2[[#This Row],[공격성공횟수]])</f>
        <v>0.44444444444444442</v>
      </c>
    </row>
    <row r="1759" spans="1:8" hidden="1" x14ac:dyDescent="0.4">
      <c r="A1759">
        <v>879</v>
      </c>
      <c r="B1759" t="s">
        <v>2</v>
      </c>
      <c r="C1759">
        <v>0</v>
      </c>
      <c r="D1759">
        <v>1</v>
      </c>
      <c r="E1759">
        <v>8</v>
      </c>
      <c r="F1759">
        <v>4</v>
      </c>
      <c r="G1759">
        <v>1</v>
      </c>
      <c r="H1759">
        <f>표2[[#This Row],[공격성공횟수]]/(표2[[#This Row],[공격실패횟수]]+표2[[#This Row],[공격성공횟수]])</f>
        <v>0.1111111111111111</v>
      </c>
    </row>
    <row r="1760" spans="1:8" x14ac:dyDescent="0.4">
      <c r="A1760">
        <v>880</v>
      </c>
      <c r="B1760" t="s">
        <v>0</v>
      </c>
      <c r="C1760">
        <v>1</v>
      </c>
      <c r="D1760">
        <v>4</v>
      </c>
      <c r="E1760">
        <v>7</v>
      </c>
      <c r="F1760">
        <v>1</v>
      </c>
      <c r="G1760">
        <v>0</v>
      </c>
      <c r="H1760">
        <f>표2[[#This Row],[공격성공횟수]]/(표2[[#This Row],[공격실패횟수]]+표2[[#This Row],[공격성공횟수]])</f>
        <v>0.36363636363636365</v>
      </c>
    </row>
    <row r="1761" spans="1:8" hidden="1" x14ac:dyDescent="0.4">
      <c r="A1761">
        <v>880</v>
      </c>
      <c r="B1761" t="s">
        <v>2</v>
      </c>
      <c r="C1761">
        <v>0</v>
      </c>
      <c r="D1761">
        <v>1</v>
      </c>
      <c r="E1761">
        <v>11</v>
      </c>
      <c r="F1761">
        <v>4</v>
      </c>
      <c r="G1761">
        <v>1</v>
      </c>
      <c r="H1761">
        <f>표2[[#This Row],[공격성공횟수]]/(표2[[#This Row],[공격실패횟수]]+표2[[#This Row],[공격성공횟수]])</f>
        <v>8.3333333333333329E-2</v>
      </c>
    </row>
    <row r="1762" spans="1:8" x14ac:dyDescent="0.4">
      <c r="A1762">
        <v>881</v>
      </c>
      <c r="B1762" t="s">
        <v>0</v>
      </c>
      <c r="C1762">
        <v>1</v>
      </c>
      <c r="D1762">
        <v>4</v>
      </c>
      <c r="E1762">
        <v>3</v>
      </c>
      <c r="F1762">
        <v>1</v>
      </c>
      <c r="G1762">
        <v>0</v>
      </c>
      <c r="H1762">
        <f>표2[[#This Row],[공격성공횟수]]/(표2[[#This Row],[공격실패횟수]]+표2[[#This Row],[공격성공횟수]])</f>
        <v>0.5714285714285714</v>
      </c>
    </row>
    <row r="1763" spans="1:8" hidden="1" x14ac:dyDescent="0.4">
      <c r="A1763">
        <v>881</v>
      </c>
      <c r="B1763" t="s">
        <v>2</v>
      </c>
      <c r="C1763">
        <v>0</v>
      </c>
      <c r="D1763">
        <v>1</v>
      </c>
      <c r="E1763">
        <v>6</v>
      </c>
      <c r="F1763">
        <v>4</v>
      </c>
      <c r="G1763">
        <v>1</v>
      </c>
      <c r="H1763">
        <f>표2[[#This Row],[공격성공횟수]]/(표2[[#This Row],[공격실패횟수]]+표2[[#This Row],[공격성공횟수]])</f>
        <v>0.14285714285714285</v>
      </c>
    </row>
    <row r="1764" spans="1:8" x14ac:dyDescent="0.4">
      <c r="A1764">
        <v>882</v>
      </c>
      <c r="B1764" t="s">
        <v>0</v>
      </c>
      <c r="C1764">
        <v>1</v>
      </c>
      <c r="D1764">
        <v>4</v>
      </c>
      <c r="E1764">
        <v>9</v>
      </c>
      <c r="F1764">
        <v>3</v>
      </c>
      <c r="G1764">
        <v>0</v>
      </c>
      <c r="H1764">
        <f>표2[[#This Row],[공격성공횟수]]/(표2[[#This Row],[공격실패횟수]]+표2[[#This Row],[공격성공횟수]])</f>
        <v>0.30769230769230771</v>
      </c>
    </row>
    <row r="1765" spans="1:8" hidden="1" x14ac:dyDescent="0.4">
      <c r="A1765">
        <v>882</v>
      </c>
      <c r="B1765" t="s">
        <v>2</v>
      </c>
      <c r="C1765">
        <v>0</v>
      </c>
      <c r="D1765">
        <v>3</v>
      </c>
      <c r="E1765">
        <v>11</v>
      </c>
      <c r="F1765">
        <v>4</v>
      </c>
      <c r="G1765">
        <v>1</v>
      </c>
      <c r="H1765">
        <f>표2[[#This Row],[공격성공횟수]]/(표2[[#This Row],[공격실패횟수]]+표2[[#This Row],[공격성공횟수]])</f>
        <v>0.21428571428571427</v>
      </c>
    </row>
    <row r="1766" spans="1:8" x14ac:dyDescent="0.4">
      <c r="A1766">
        <v>883</v>
      </c>
      <c r="B1766" t="s">
        <v>0</v>
      </c>
      <c r="C1766">
        <v>1</v>
      </c>
      <c r="D1766">
        <v>4</v>
      </c>
      <c r="E1766">
        <v>21</v>
      </c>
      <c r="F1766">
        <v>2</v>
      </c>
      <c r="G1766">
        <v>0</v>
      </c>
      <c r="H1766">
        <f>표2[[#This Row],[공격성공횟수]]/(표2[[#This Row],[공격실패횟수]]+표2[[#This Row],[공격성공횟수]])</f>
        <v>0.16</v>
      </c>
    </row>
    <row r="1767" spans="1:8" hidden="1" x14ac:dyDescent="0.4">
      <c r="A1767">
        <v>883</v>
      </c>
      <c r="B1767" t="s">
        <v>2</v>
      </c>
      <c r="C1767">
        <v>0</v>
      </c>
      <c r="D1767">
        <v>2</v>
      </c>
      <c r="E1767">
        <v>23</v>
      </c>
      <c r="F1767">
        <v>4</v>
      </c>
      <c r="G1767">
        <v>1</v>
      </c>
      <c r="H1767">
        <f>표2[[#This Row],[공격성공횟수]]/(표2[[#This Row],[공격실패횟수]]+표2[[#This Row],[공격성공횟수]])</f>
        <v>0.08</v>
      </c>
    </row>
    <row r="1768" spans="1:8" x14ac:dyDescent="0.4">
      <c r="A1768">
        <v>884</v>
      </c>
      <c r="B1768" t="s">
        <v>0</v>
      </c>
      <c r="C1768">
        <v>1</v>
      </c>
      <c r="D1768">
        <v>4</v>
      </c>
      <c r="E1768">
        <v>37</v>
      </c>
      <c r="F1768">
        <v>2</v>
      </c>
      <c r="G1768">
        <v>0</v>
      </c>
      <c r="H1768">
        <f>표2[[#This Row],[공격성공횟수]]/(표2[[#This Row],[공격실패횟수]]+표2[[#This Row],[공격성공횟수]])</f>
        <v>9.7560975609756101E-2</v>
      </c>
    </row>
    <row r="1769" spans="1:8" hidden="1" x14ac:dyDescent="0.4">
      <c r="A1769">
        <v>884</v>
      </c>
      <c r="B1769" t="s">
        <v>2</v>
      </c>
      <c r="C1769">
        <v>0</v>
      </c>
      <c r="D1769">
        <v>2</v>
      </c>
      <c r="E1769">
        <v>37</v>
      </c>
      <c r="F1769">
        <v>4</v>
      </c>
      <c r="G1769">
        <v>1</v>
      </c>
      <c r="H1769">
        <f>표2[[#This Row],[공격성공횟수]]/(표2[[#This Row],[공격실패횟수]]+표2[[#This Row],[공격성공횟수]])</f>
        <v>5.128205128205128E-2</v>
      </c>
    </row>
    <row r="1770" spans="1:8" x14ac:dyDescent="0.4">
      <c r="A1770">
        <v>885</v>
      </c>
      <c r="B1770" t="s">
        <v>0</v>
      </c>
      <c r="C1770">
        <v>1</v>
      </c>
      <c r="D1770">
        <v>4</v>
      </c>
      <c r="E1770">
        <v>4</v>
      </c>
      <c r="F1770">
        <v>2</v>
      </c>
      <c r="G1770">
        <v>0</v>
      </c>
      <c r="H1770">
        <f>표2[[#This Row],[공격성공횟수]]/(표2[[#This Row],[공격실패횟수]]+표2[[#This Row],[공격성공횟수]])</f>
        <v>0.5</v>
      </c>
    </row>
    <row r="1771" spans="1:8" hidden="1" x14ac:dyDescent="0.4">
      <c r="A1771">
        <v>885</v>
      </c>
      <c r="B1771" t="s">
        <v>2</v>
      </c>
      <c r="C1771">
        <v>0</v>
      </c>
      <c r="D1771">
        <v>2</v>
      </c>
      <c r="E1771">
        <v>6</v>
      </c>
      <c r="F1771">
        <v>4</v>
      </c>
      <c r="G1771">
        <v>1</v>
      </c>
      <c r="H1771">
        <f>표2[[#This Row],[공격성공횟수]]/(표2[[#This Row],[공격실패횟수]]+표2[[#This Row],[공격성공횟수]])</f>
        <v>0.25</v>
      </c>
    </row>
    <row r="1772" spans="1:8" x14ac:dyDescent="0.4">
      <c r="A1772">
        <v>886</v>
      </c>
      <c r="B1772" t="s">
        <v>0</v>
      </c>
      <c r="C1772">
        <v>1</v>
      </c>
      <c r="D1772">
        <v>4</v>
      </c>
      <c r="E1772">
        <v>15</v>
      </c>
      <c r="F1772">
        <v>3</v>
      </c>
      <c r="G1772">
        <v>0</v>
      </c>
      <c r="H1772">
        <f>표2[[#This Row],[공격성공횟수]]/(표2[[#This Row],[공격실패횟수]]+표2[[#This Row],[공격성공횟수]])</f>
        <v>0.21052631578947367</v>
      </c>
    </row>
    <row r="1773" spans="1:8" hidden="1" x14ac:dyDescent="0.4">
      <c r="A1773">
        <v>886</v>
      </c>
      <c r="B1773" t="s">
        <v>2</v>
      </c>
      <c r="C1773">
        <v>0</v>
      </c>
      <c r="D1773">
        <v>3</v>
      </c>
      <c r="E1773">
        <v>17</v>
      </c>
      <c r="F1773">
        <v>4</v>
      </c>
      <c r="G1773">
        <v>1</v>
      </c>
      <c r="H1773">
        <f>표2[[#This Row],[공격성공횟수]]/(표2[[#This Row],[공격실패횟수]]+표2[[#This Row],[공격성공횟수]])</f>
        <v>0.15</v>
      </c>
    </row>
    <row r="1774" spans="1:8" x14ac:dyDescent="0.4">
      <c r="A1774">
        <v>887</v>
      </c>
      <c r="B1774" t="s">
        <v>0</v>
      </c>
      <c r="C1774">
        <v>1</v>
      </c>
      <c r="D1774">
        <v>4</v>
      </c>
      <c r="E1774">
        <v>6</v>
      </c>
      <c r="F1774">
        <v>3</v>
      </c>
      <c r="G1774">
        <v>0</v>
      </c>
      <c r="H1774">
        <f>표2[[#This Row],[공격성공횟수]]/(표2[[#This Row],[공격실패횟수]]+표2[[#This Row],[공격성공횟수]])</f>
        <v>0.4</v>
      </c>
    </row>
    <row r="1775" spans="1:8" hidden="1" x14ac:dyDescent="0.4">
      <c r="A1775">
        <v>887</v>
      </c>
      <c r="B1775" t="s">
        <v>2</v>
      </c>
      <c r="C1775">
        <v>0</v>
      </c>
      <c r="D1775">
        <v>3</v>
      </c>
      <c r="E1775">
        <v>7</v>
      </c>
      <c r="F1775">
        <v>4</v>
      </c>
      <c r="G1775">
        <v>1</v>
      </c>
      <c r="H1775">
        <f>표2[[#This Row],[공격성공횟수]]/(표2[[#This Row],[공격실패횟수]]+표2[[#This Row],[공격성공횟수]])</f>
        <v>0.3</v>
      </c>
    </row>
    <row r="1776" spans="1:8" x14ac:dyDescent="0.4">
      <c r="A1776">
        <v>888</v>
      </c>
      <c r="B1776" t="s">
        <v>0</v>
      </c>
      <c r="C1776">
        <v>0</v>
      </c>
      <c r="D1776">
        <v>2</v>
      </c>
      <c r="E1776">
        <v>11</v>
      </c>
      <c r="F1776">
        <v>4</v>
      </c>
      <c r="G1776">
        <v>1</v>
      </c>
      <c r="H1776">
        <f>표2[[#This Row],[공격성공횟수]]/(표2[[#This Row],[공격실패횟수]]+표2[[#This Row],[공격성공횟수]])</f>
        <v>0.15384615384615385</v>
      </c>
    </row>
    <row r="1777" spans="1:8" hidden="1" x14ac:dyDescent="0.4">
      <c r="A1777">
        <v>888</v>
      </c>
      <c r="B1777" t="s">
        <v>2</v>
      </c>
      <c r="C1777">
        <v>1</v>
      </c>
      <c r="D1777">
        <v>4</v>
      </c>
      <c r="E1777">
        <v>11</v>
      </c>
      <c r="F1777">
        <v>2</v>
      </c>
      <c r="G1777">
        <v>0</v>
      </c>
      <c r="H1777">
        <f>표2[[#This Row],[공격성공횟수]]/(표2[[#This Row],[공격실패횟수]]+표2[[#This Row],[공격성공횟수]])</f>
        <v>0.26666666666666666</v>
      </c>
    </row>
    <row r="1778" spans="1:8" x14ac:dyDescent="0.4">
      <c r="A1778">
        <v>889</v>
      </c>
      <c r="B1778" t="s">
        <v>0</v>
      </c>
      <c r="C1778">
        <v>1</v>
      </c>
      <c r="D1778">
        <v>4</v>
      </c>
      <c r="E1778">
        <v>9</v>
      </c>
      <c r="F1778">
        <v>0</v>
      </c>
      <c r="G1778">
        <v>0</v>
      </c>
      <c r="H1778">
        <f>표2[[#This Row],[공격성공횟수]]/(표2[[#This Row],[공격실패횟수]]+표2[[#This Row],[공격성공횟수]])</f>
        <v>0.30769230769230771</v>
      </c>
    </row>
    <row r="1779" spans="1:8" hidden="1" x14ac:dyDescent="0.4">
      <c r="A1779">
        <v>889</v>
      </c>
      <c r="B1779" t="s">
        <v>2</v>
      </c>
      <c r="C1779">
        <v>0</v>
      </c>
      <c r="D1779">
        <v>0</v>
      </c>
      <c r="E1779">
        <v>12</v>
      </c>
      <c r="F1779">
        <v>4</v>
      </c>
      <c r="G1779">
        <v>1</v>
      </c>
      <c r="H1779">
        <f>표2[[#This Row],[공격성공횟수]]/(표2[[#This Row],[공격실패횟수]]+표2[[#This Row],[공격성공횟수]])</f>
        <v>0</v>
      </c>
    </row>
    <row r="1780" spans="1:8" x14ac:dyDescent="0.4">
      <c r="A1780">
        <v>890</v>
      </c>
      <c r="B1780" t="s">
        <v>0</v>
      </c>
      <c r="C1780">
        <v>1</v>
      </c>
      <c r="D1780">
        <v>4</v>
      </c>
      <c r="E1780">
        <v>13</v>
      </c>
      <c r="F1780">
        <v>1</v>
      </c>
      <c r="G1780">
        <v>0</v>
      </c>
      <c r="H1780">
        <f>표2[[#This Row],[공격성공횟수]]/(표2[[#This Row],[공격실패횟수]]+표2[[#This Row],[공격성공횟수]])</f>
        <v>0.23529411764705882</v>
      </c>
    </row>
    <row r="1781" spans="1:8" hidden="1" x14ac:dyDescent="0.4">
      <c r="A1781">
        <v>890</v>
      </c>
      <c r="B1781" t="s">
        <v>2</v>
      </c>
      <c r="C1781">
        <v>0</v>
      </c>
      <c r="D1781">
        <v>1</v>
      </c>
      <c r="E1781">
        <v>16</v>
      </c>
      <c r="F1781">
        <v>4</v>
      </c>
      <c r="G1781">
        <v>1</v>
      </c>
      <c r="H1781">
        <f>표2[[#This Row],[공격성공횟수]]/(표2[[#This Row],[공격실패횟수]]+표2[[#This Row],[공격성공횟수]])</f>
        <v>5.8823529411764705E-2</v>
      </c>
    </row>
    <row r="1782" spans="1:8" x14ac:dyDescent="0.4">
      <c r="A1782">
        <v>891</v>
      </c>
      <c r="B1782" t="s">
        <v>0</v>
      </c>
      <c r="C1782">
        <v>1</v>
      </c>
      <c r="D1782">
        <v>4</v>
      </c>
      <c r="E1782">
        <v>13</v>
      </c>
      <c r="F1782">
        <v>2</v>
      </c>
      <c r="G1782">
        <v>0</v>
      </c>
      <c r="H1782">
        <f>표2[[#This Row],[공격성공횟수]]/(표2[[#This Row],[공격실패횟수]]+표2[[#This Row],[공격성공횟수]])</f>
        <v>0.23529411764705882</v>
      </c>
    </row>
    <row r="1783" spans="1:8" hidden="1" x14ac:dyDescent="0.4">
      <c r="A1783">
        <v>891</v>
      </c>
      <c r="B1783" t="s">
        <v>2</v>
      </c>
      <c r="C1783">
        <v>0</v>
      </c>
      <c r="D1783">
        <v>2</v>
      </c>
      <c r="E1783">
        <v>15</v>
      </c>
      <c r="F1783">
        <v>4</v>
      </c>
      <c r="G1783">
        <v>1</v>
      </c>
      <c r="H1783">
        <f>표2[[#This Row],[공격성공횟수]]/(표2[[#This Row],[공격실패횟수]]+표2[[#This Row],[공격성공횟수]])</f>
        <v>0.11764705882352941</v>
      </c>
    </row>
    <row r="1784" spans="1:8" x14ac:dyDescent="0.4">
      <c r="A1784">
        <v>892</v>
      </c>
      <c r="B1784" t="s">
        <v>0</v>
      </c>
      <c r="C1784">
        <v>1</v>
      </c>
      <c r="D1784">
        <v>4</v>
      </c>
      <c r="E1784">
        <v>20</v>
      </c>
      <c r="F1784">
        <v>3</v>
      </c>
      <c r="G1784">
        <v>0</v>
      </c>
      <c r="H1784">
        <f>표2[[#This Row],[공격성공횟수]]/(표2[[#This Row],[공격실패횟수]]+표2[[#This Row],[공격성공횟수]])</f>
        <v>0.16666666666666666</v>
      </c>
    </row>
    <row r="1785" spans="1:8" hidden="1" x14ac:dyDescent="0.4">
      <c r="A1785">
        <v>892</v>
      </c>
      <c r="B1785" t="s">
        <v>2</v>
      </c>
      <c r="C1785">
        <v>0</v>
      </c>
      <c r="D1785">
        <v>3</v>
      </c>
      <c r="E1785">
        <v>21</v>
      </c>
      <c r="F1785">
        <v>4</v>
      </c>
      <c r="G1785">
        <v>1</v>
      </c>
      <c r="H1785">
        <f>표2[[#This Row],[공격성공횟수]]/(표2[[#This Row],[공격실패횟수]]+표2[[#This Row],[공격성공횟수]])</f>
        <v>0.125</v>
      </c>
    </row>
    <row r="1786" spans="1:8" x14ac:dyDescent="0.4">
      <c r="A1786">
        <v>893</v>
      </c>
      <c r="B1786" t="s">
        <v>0</v>
      </c>
      <c r="C1786">
        <v>0</v>
      </c>
      <c r="D1786">
        <v>0</v>
      </c>
      <c r="E1786">
        <v>9</v>
      </c>
      <c r="F1786">
        <v>4</v>
      </c>
      <c r="G1786">
        <v>1</v>
      </c>
      <c r="H1786">
        <f>표2[[#This Row],[공격성공횟수]]/(표2[[#This Row],[공격실패횟수]]+표2[[#This Row],[공격성공횟수]])</f>
        <v>0</v>
      </c>
    </row>
    <row r="1787" spans="1:8" hidden="1" x14ac:dyDescent="0.4">
      <c r="A1787">
        <v>893</v>
      </c>
      <c r="B1787" t="s">
        <v>2</v>
      </c>
      <c r="C1787">
        <v>1</v>
      </c>
      <c r="D1787">
        <v>4</v>
      </c>
      <c r="E1787">
        <v>7</v>
      </c>
      <c r="F1787">
        <v>0</v>
      </c>
      <c r="G1787">
        <v>0</v>
      </c>
      <c r="H1787">
        <f>표2[[#This Row],[공격성공횟수]]/(표2[[#This Row],[공격실패횟수]]+표2[[#This Row],[공격성공횟수]])</f>
        <v>0.36363636363636365</v>
      </c>
    </row>
    <row r="1788" spans="1:8" x14ac:dyDescent="0.4">
      <c r="A1788">
        <v>894</v>
      </c>
      <c r="B1788" t="s">
        <v>0</v>
      </c>
      <c r="C1788">
        <v>1</v>
      </c>
      <c r="D1788">
        <v>4</v>
      </c>
      <c r="E1788">
        <v>12</v>
      </c>
      <c r="F1788">
        <v>3</v>
      </c>
      <c r="G1788">
        <v>0</v>
      </c>
      <c r="H1788">
        <f>표2[[#This Row],[공격성공횟수]]/(표2[[#This Row],[공격실패횟수]]+표2[[#This Row],[공격성공횟수]])</f>
        <v>0.25</v>
      </c>
    </row>
    <row r="1789" spans="1:8" hidden="1" x14ac:dyDescent="0.4">
      <c r="A1789">
        <v>894</v>
      </c>
      <c r="B1789" t="s">
        <v>2</v>
      </c>
      <c r="C1789">
        <v>0</v>
      </c>
      <c r="D1789">
        <v>3</v>
      </c>
      <c r="E1789">
        <v>11</v>
      </c>
      <c r="F1789">
        <v>4</v>
      </c>
      <c r="G1789">
        <v>1</v>
      </c>
      <c r="H1789">
        <f>표2[[#This Row],[공격성공횟수]]/(표2[[#This Row],[공격실패횟수]]+표2[[#This Row],[공격성공횟수]])</f>
        <v>0.21428571428571427</v>
      </c>
    </row>
    <row r="1790" spans="1:8" x14ac:dyDescent="0.4">
      <c r="A1790">
        <v>895</v>
      </c>
      <c r="B1790" t="s">
        <v>0</v>
      </c>
      <c r="C1790">
        <v>1</v>
      </c>
      <c r="D1790">
        <v>4</v>
      </c>
      <c r="E1790">
        <v>6</v>
      </c>
      <c r="F1790">
        <v>2</v>
      </c>
      <c r="G1790">
        <v>0</v>
      </c>
      <c r="H1790">
        <f>표2[[#This Row],[공격성공횟수]]/(표2[[#This Row],[공격실패횟수]]+표2[[#This Row],[공격성공횟수]])</f>
        <v>0.4</v>
      </c>
    </row>
    <row r="1791" spans="1:8" hidden="1" x14ac:dyDescent="0.4">
      <c r="A1791">
        <v>895</v>
      </c>
      <c r="B1791" t="s">
        <v>2</v>
      </c>
      <c r="C1791">
        <v>0</v>
      </c>
      <c r="D1791">
        <v>2</v>
      </c>
      <c r="E1791">
        <v>8</v>
      </c>
      <c r="F1791">
        <v>4</v>
      </c>
      <c r="G1791">
        <v>1</v>
      </c>
      <c r="H1791">
        <f>표2[[#This Row],[공격성공횟수]]/(표2[[#This Row],[공격실패횟수]]+표2[[#This Row],[공격성공횟수]])</f>
        <v>0.2</v>
      </c>
    </row>
    <row r="1792" spans="1:8" x14ac:dyDescent="0.4">
      <c r="A1792">
        <v>896</v>
      </c>
      <c r="B1792" t="s">
        <v>0</v>
      </c>
      <c r="C1792">
        <v>1</v>
      </c>
      <c r="D1792">
        <v>4</v>
      </c>
      <c r="E1792">
        <v>14</v>
      </c>
      <c r="F1792">
        <v>1</v>
      </c>
      <c r="G1792">
        <v>0</v>
      </c>
      <c r="H1792">
        <f>표2[[#This Row],[공격성공횟수]]/(표2[[#This Row],[공격실패횟수]]+표2[[#This Row],[공격성공횟수]])</f>
        <v>0.22222222222222221</v>
      </c>
    </row>
    <row r="1793" spans="1:8" hidden="1" x14ac:dyDescent="0.4">
      <c r="A1793">
        <v>896</v>
      </c>
      <c r="B1793" t="s">
        <v>2</v>
      </c>
      <c r="C1793">
        <v>0</v>
      </c>
      <c r="D1793">
        <v>1</v>
      </c>
      <c r="E1793">
        <v>17</v>
      </c>
      <c r="F1793">
        <v>4</v>
      </c>
      <c r="G1793">
        <v>1</v>
      </c>
      <c r="H1793">
        <f>표2[[#This Row],[공격성공횟수]]/(표2[[#This Row],[공격실패횟수]]+표2[[#This Row],[공격성공횟수]])</f>
        <v>5.5555555555555552E-2</v>
      </c>
    </row>
    <row r="1794" spans="1:8" x14ac:dyDescent="0.4">
      <c r="A1794">
        <v>897</v>
      </c>
      <c r="B1794" t="s">
        <v>0</v>
      </c>
      <c r="C1794">
        <v>1</v>
      </c>
      <c r="D1794">
        <v>4</v>
      </c>
      <c r="E1794">
        <v>3</v>
      </c>
      <c r="F1794">
        <v>1</v>
      </c>
      <c r="G1794">
        <v>0</v>
      </c>
      <c r="H1794">
        <f>표2[[#This Row],[공격성공횟수]]/(표2[[#This Row],[공격실패횟수]]+표2[[#This Row],[공격성공횟수]])</f>
        <v>0.5714285714285714</v>
      </c>
    </row>
    <row r="1795" spans="1:8" hidden="1" x14ac:dyDescent="0.4">
      <c r="A1795">
        <v>897</v>
      </c>
      <c r="B1795" t="s">
        <v>2</v>
      </c>
      <c r="C1795">
        <v>0</v>
      </c>
      <c r="D1795">
        <v>1</v>
      </c>
      <c r="E1795">
        <v>6</v>
      </c>
      <c r="F1795">
        <v>4</v>
      </c>
      <c r="G1795">
        <v>1</v>
      </c>
      <c r="H1795">
        <f>표2[[#This Row],[공격성공횟수]]/(표2[[#This Row],[공격실패횟수]]+표2[[#This Row],[공격성공횟수]])</f>
        <v>0.14285714285714285</v>
      </c>
    </row>
    <row r="1796" spans="1:8" x14ac:dyDescent="0.4">
      <c r="A1796">
        <v>898</v>
      </c>
      <c r="B1796" t="s">
        <v>0</v>
      </c>
      <c r="C1796">
        <v>1</v>
      </c>
      <c r="D1796">
        <v>4</v>
      </c>
      <c r="E1796">
        <v>99</v>
      </c>
      <c r="F1796">
        <v>2</v>
      </c>
      <c r="G1796">
        <v>0</v>
      </c>
      <c r="H1796">
        <f>표2[[#This Row],[공격성공횟수]]/(표2[[#This Row],[공격실패횟수]]+표2[[#This Row],[공격성공횟수]])</f>
        <v>3.8834951456310676E-2</v>
      </c>
    </row>
    <row r="1797" spans="1:8" hidden="1" x14ac:dyDescent="0.4">
      <c r="A1797">
        <v>898</v>
      </c>
      <c r="B1797" t="s">
        <v>2</v>
      </c>
      <c r="C1797">
        <v>0</v>
      </c>
      <c r="D1797">
        <v>2</v>
      </c>
      <c r="E1797">
        <v>100</v>
      </c>
      <c r="F1797">
        <v>4</v>
      </c>
      <c r="G1797">
        <v>1</v>
      </c>
      <c r="H1797">
        <f>표2[[#This Row],[공격성공횟수]]/(표2[[#This Row],[공격실패횟수]]+표2[[#This Row],[공격성공횟수]])</f>
        <v>1.9607843137254902E-2</v>
      </c>
    </row>
    <row r="1798" spans="1:8" x14ac:dyDescent="0.4">
      <c r="A1798">
        <v>899</v>
      </c>
      <c r="B1798" t="s">
        <v>0</v>
      </c>
      <c r="C1798">
        <v>1</v>
      </c>
      <c r="D1798">
        <v>4</v>
      </c>
      <c r="E1798">
        <v>17</v>
      </c>
      <c r="F1798">
        <v>1</v>
      </c>
      <c r="G1798">
        <v>0</v>
      </c>
      <c r="H1798">
        <f>표2[[#This Row],[공격성공횟수]]/(표2[[#This Row],[공격실패횟수]]+표2[[#This Row],[공격성공횟수]])</f>
        <v>0.19047619047619047</v>
      </c>
    </row>
    <row r="1799" spans="1:8" hidden="1" x14ac:dyDescent="0.4">
      <c r="A1799">
        <v>899</v>
      </c>
      <c r="B1799" t="s">
        <v>2</v>
      </c>
      <c r="C1799">
        <v>0</v>
      </c>
      <c r="D1799">
        <v>1</v>
      </c>
      <c r="E1799">
        <v>20</v>
      </c>
      <c r="F1799">
        <v>4</v>
      </c>
      <c r="G1799">
        <v>1</v>
      </c>
      <c r="H1799">
        <f>표2[[#This Row],[공격성공횟수]]/(표2[[#This Row],[공격실패횟수]]+표2[[#This Row],[공격성공횟수]])</f>
        <v>4.7619047619047616E-2</v>
      </c>
    </row>
    <row r="1800" spans="1:8" x14ac:dyDescent="0.4">
      <c r="A1800">
        <v>900</v>
      </c>
      <c r="B1800" t="s">
        <v>0</v>
      </c>
      <c r="C1800">
        <v>1</v>
      </c>
      <c r="D1800">
        <v>4</v>
      </c>
      <c r="E1800">
        <v>22</v>
      </c>
      <c r="F1800">
        <v>3</v>
      </c>
      <c r="G1800">
        <v>0</v>
      </c>
      <c r="H1800">
        <f>표2[[#This Row],[공격성공횟수]]/(표2[[#This Row],[공격실패횟수]]+표2[[#This Row],[공격성공횟수]])</f>
        <v>0.15384615384615385</v>
      </c>
    </row>
    <row r="1801" spans="1:8" hidden="1" x14ac:dyDescent="0.4">
      <c r="A1801">
        <v>900</v>
      </c>
      <c r="B1801" t="s">
        <v>2</v>
      </c>
      <c r="C1801">
        <v>0</v>
      </c>
      <c r="D1801">
        <v>3</v>
      </c>
      <c r="E1801">
        <v>22</v>
      </c>
      <c r="F1801">
        <v>4</v>
      </c>
      <c r="G1801">
        <v>1</v>
      </c>
      <c r="H1801">
        <f>표2[[#This Row],[공격성공횟수]]/(표2[[#This Row],[공격실패횟수]]+표2[[#This Row],[공격성공횟수]])</f>
        <v>0.12</v>
      </c>
    </row>
    <row r="1802" spans="1:8" x14ac:dyDescent="0.4">
      <c r="A1802">
        <v>901</v>
      </c>
      <c r="B1802" t="s">
        <v>0</v>
      </c>
      <c r="C1802">
        <v>1</v>
      </c>
      <c r="D1802">
        <v>4</v>
      </c>
      <c r="E1802">
        <v>6</v>
      </c>
      <c r="F1802">
        <v>1</v>
      </c>
      <c r="G1802">
        <v>0</v>
      </c>
      <c r="H1802">
        <f>표2[[#This Row],[공격성공횟수]]/(표2[[#This Row],[공격실패횟수]]+표2[[#This Row],[공격성공횟수]])</f>
        <v>0.4</v>
      </c>
    </row>
    <row r="1803" spans="1:8" hidden="1" x14ac:dyDescent="0.4">
      <c r="A1803">
        <v>901</v>
      </c>
      <c r="B1803" t="s">
        <v>2</v>
      </c>
      <c r="C1803">
        <v>0</v>
      </c>
      <c r="D1803">
        <v>1</v>
      </c>
      <c r="E1803">
        <v>9</v>
      </c>
      <c r="F1803">
        <v>4</v>
      </c>
      <c r="G1803">
        <v>1</v>
      </c>
      <c r="H1803">
        <f>표2[[#This Row],[공격성공횟수]]/(표2[[#This Row],[공격실패횟수]]+표2[[#This Row],[공격성공횟수]])</f>
        <v>0.1</v>
      </c>
    </row>
    <row r="1804" spans="1:8" x14ac:dyDescent="0.4">
      <c r="A1804">
        <v>902</v>
      </c>
      <c r="B1804" t="s">
        <v>0</v>
      </c>
      <c r="C1804">
        <v>1</v>
      </c>
      <c r="D1804">
        <v>4</v>
      </c>
      <c r="E1804">
        <v>4</v>
      </c>
      <c r="F1804">
        <v>1</v>
      </c>
      <c r="G1804">
        <v>0</v>
      </c>
      <c r="H1804">
        <f>표2[[#This Row],[공격성공횟수]]/(표2[[#This Row],[공격실패횟수]]+표2[[#This Row],[공격성공횟수]])</f>
        <v>0.5</v>
      </c>
    </row>
    <row r="1805" spans="1:8" hidden="1" x14ac:dyDescent="0.4">
      <c r="A1805">
        <v>902</v>
      </c>
      <c r="B1805" t="s">
        <v>2</v>
      </c>
      <c r="C1805">
        <v>0</v>
      </c>
      <c r="D1805">
        <v>1</v>
      </c>
      <c r="E1805">
        <v>8</v>
      </c>
      <c r="F1805">
        <v>4</v>
      </c>
      <c r="G1805">
        <v>1</v>
      </c>
      <c r="H1805">
        <f>표2[[#This Row],[공격성공횟수]]/(표2[[#This Row],[공격실패횟수]]+표2[[#This Row],[공격성공횟수]])</f>
        <v>0.1111111111111111</v>
      </c>
    </row>
    <row r="1806" spans="1:8" x14ac:dyDescent="0.4">
      <c r="A1806">
        <v>903</v>
      </c>
      <c r="B1806" t="s">
        <v>0</v>
      </c>
      <c r="C1806">
        <v>1</v>
      </c>
      <c r="D1806">
        <v>4</v>
      </c>
      <c r="E1806">
        <v>13</v>
      </c>
      <c r="F1806">
        <v>0</v>
      </c>
      <c r="G1806">
        <v>0</v>
      </c>
      <c r="H1806">
        <f>표2[[#This Row],[공격성공횟수]]/(표2[[#This Row],[공격실패횟수]]+표2[[#This Row],[공격성공횟수]])</f>
        <v>0.23529411764705882</v>
      </c>
    </row>
    <row r="1807" spans="1:8" hidden="1" x14ac:dyDescent="0.4">
      <c r="A1807">
        <v>903</v>
      </c>
      <c r="B1807" t="s">
        <v>2</v>
      </c>
      <c r="C1807">
        <v>0</v>
      </c>
      <c r="D1807">
        <v>0</v>
      </c>
      <c r="E1807">
        <v>18</v>
      </c>
      <c r="F1807">
        <v>4</v>
      </c>
      <c r="G1807">
        <v>1</v>
      </c>
      <c r="H1807">
        <f>표2[[#This Row],[공격성공횟수]]/(표2[[#This Row],[공격실패횟수]]+표2[[#This Row],[공격성공횟수]])</f>
        <v>0</v>
      </c>
    </row>
    <row r="1808" spans="1:8" x14ac:dyDescent="0.4">
      <c r="A1808">
        <v>904</v>
      </c>
      <c r="B1808" t="s">
        <v>0</v>
      </c>
      <c r="C1808">
        <v>1</v>
      </c>
      <c r="D1808">
        <v>4</v>
      </c>
      <c r="E1808">
        <v>18</v>
      </c>
      <c r="F1808">
        <v>2</v>
      </c>
      <c r="G1808">
        <v>0</v>
      </c>
      <c r="H1808">
        <f>표2[[#This Row],[공격성공횟수]]/(표2[[#This Row],[공격실패횟수]]+표2[[#This Row],[공격성공횟수]])</f>
        <v>0.18181818181818182</v>
      </c>
    </row>
    <row r="1809" spans="1:8" hidden="1" x14ac:dyDescent="0.4">
      <c r="A1809">
        <v>904</v>
      </c>
      <c r="B1809" t="s">
        <v>2</v>
      </c>
      <c r="C1809">
        <v>0</v>
      </c>
      <c r="D1809">
        <v>2</v>
      </c>
      <c r="E1809">
        <v>20</v>
      </c>
      <c r="F1809">
        <v>4</v>
      </c>
      <c r="G1809">
        <v>1</v>
      </c>
      <c r="H1809">
        <f>표2[[#This Row],[공격성공횟수]]/(표2[[#This Row],[공격실패횟수]]+표2[[#This Row],[공격성공횟수]])</f>
        <v>9.0909090909090912E-2</v>
      </c>
    </row>
    <row r="1810" spans="1:8" x14ac:dyDescent="0.4">
      <c r="A1810">
        <v>905</v>
      </c>
      <c r="B1810" t="s">
        <v>0</v>
      </c>
      <c r="C1810">
        <v>1</v>
      </c>
      <c r="D1810">
        <v>4</v>
      </c>
      <c r="E1810">
        <v>6</v>
      </c>
      <c r="F1810">
        <v>3</v>
      </c>
      <c r="G1810">
        <v>0</v>
      </c>
      <c r="H1810">
        <f>표2[[#This Row],[공격성공횟수]]/(표2[[#This Row],[공격실패횟수]]+표2[[#This Row],[공격성공횟수]])</f>
        <v>0.4</v>
      </c>
    </row>
    <row r="1811" spans="1:8" hidden="1" x14ac:dyDescent="0.4">
      <c r="A1811">
        <v>905</v>
      </c>
      <c r="B1811" t="s">
        <v>2</v>
      </c>
      <c r="C1811">
        <v>0</v>
      </c>
      <c r="D1811">
        <v>3</v>
      </c>
      <c r="E1811">
        <v>7</v>
      </c>
      <c r="F1811">
        <v>4</v>
      </c>
      <c r="G1811">
        <v>1</v>
      </c>
      <c r="H1811">
        <f>표2[[#This Row],[공격성공횟수]]/(표2[[#This Row],[공격실패횟수]]+표2[[#This Row],[공격성공횟수]])</f>
        <v>0.3</v>
      </c>
    </row>
    <row r="1812" spans="1:8" x14ac:dyDescent="0.4">
      <c r="A1812">
        <v>906</v>
      </c>
      <c r="B1812" t="s">
        <v>0</v>
      </c>
      <c r="C1812">
        <v>0</v>
      </c>
      <c r="D1812">
        <v>3</v>
      </c>
      <c r="E1812">
        <v>115</v>
      </c>
      <c r="F1812">
        <v>0</v>
      </c>
      <c r="G1812">
        <v>0</v>
      </c>
      <c r="H1812">
        <f>표2[[#This Row],[공격성공횟수]]/(표2[[#This Row],[공격실패횟수]]+표2[[#This Row],[공격성공횟수]])</f>
        <v>2.5423728813559324E-2</v>
      </c>
    </row>
    <row r="1813" spans="1:8" hidden="1" x14ac:dyDescent="0.4">
      <c r="A1813">
        <v>906</v>
      </c>
      <c r="B1813" t="s">
        <v>2</v>
      </c>
      <c r="C1813">
        <v>0</v>
      </c>
      <c r="D1813">
        <v>0</v>
      </c>
      <c r="E1813">
        <v>116</v>
      </c>
      <c r="F1813">
        <v>3</v>
      </c>
      <c r="G1813">
        <v>0</v>
      </c>
      <c r="H1813">
        <f>표2[[#This Row],[공격성공횟수]]/(표2[[#This Row],[공격실패횟수]]+표2[[#This Row],[공격성공횟수]])</f>
        <v>0</v>
      </c>
    </row>
    <row r="1814" spans="1:8" x14ac:dyDescent="0.4">
      <c r="A1814">
        <v>907</v>
      </c>
      <c r="B1814" t="s">
        <v>0</v>
      </c>
      <c r="C1814">
        <v>1</v>
      </c>
      <c r="D1814">
        <v>4</v>
      </c>
      <c r="E1814">
        <v>10</v>
      </c>
      <c r="F1814">
        <v>1</v>
      </c>
      <c r="G1814">
        <v>0</v>
      </c>
      <c r="H1814">
        <f>표2[[#This Row],[공격성공횟수]]/(표2[[#This Row],[공격실패횟수]]+표2[[#This Row],[공격성공횟수]])</f>
        <v>0.2857142857142857</v>
      </c>
    </row>
    <row r="1815" spans="1:8" hidden="1" x14ac:dyDescent="0.4">
      <c r="A1815">
        <v>907</v>
      </c>
      <c r="B1815" t="s">
        <v>2</v>
      </c>
      <c r="C1815">
        <v>0</v>
      </c>
      <c r="D1815">
        <v>1</v>
      </c>
      <c r="E1815">
        <v>12</v>
      </c>
      <c r="F1815">
        <v>4</v>
      </c>
      <c r="G1815">
        <v>1</v>
      </c>
      <c r="H1815">
        <f>표2[[#This Row],[공격성공횟수]]/(표2[[#This Row],[공격실패횟수]]+표2[[#This Row],[공격성공횟수]])</f>
        <v>7.6923076923076927E-2</v>
      </c>
    </row>
    <row r="1816" spans="1:8" x14ac:dyDescent="0.4">
      <c r="A1816">
        <v>908</v>
      </c>
      <c r="B1816" t="s">
        <v>0</v>
      </c>
      <c r="C1816">
        <v>0</v>
      </c>
      <c r="D1816">
        <v>3</v>
      </c>
      <c r="E1816">
        <v>53</v>
      </c>
      <c r="F1816">
        <v>4</v>
      </c>
      <c r="G1816">
        <v>1</v>
      </c>
      <c r="H1816">
        <f>표2[[#This Row],[공격성공횟수]]/(표2[[#This Row],[공격실패횟수]]+표2[[#This Row],[공격성공횟수]])</f>
        <v>5.3571428571428568E-2</v>
      </c>
    </row>
    <row r="1817" spans="1:8" hidden="1" x14ac:dyDescent="0.4">
      <c r="A1817">
        <v>908</v>
      </c>
      <c r="B1817" t="s">
        <v>2</v>
      </c>
      <c r="C1817">
        <v>1</v>
      </c>
      <c r="D1817">
        <v>4</v>
      </c>
      <c r="E1817">
        <v>54</v>
      </c>
      <c r="F1817">
        <v>3</v>
      </c>
      <c r="G1817">
        <v>0</v>
      </c>
      <c r="H1817">
        <f>표2[[#This Row],[공격성공횟수]]/(표2[[#This Row],[공격실패횟수]]+표2[[#This Row],[공격성공횟수]])</f>
        <v>6.8965517241379309E-2</v>
      </c>
    </row>
    <row r="1818" spans="1:8" x14ac:dyDescent="0.4">
      <c r="A1818">
        <v>909</v>
      </c>
      <c r="B1818" t="s">
        <v>0</v>
      </c>
      <c r="C1818">
        <v>0</v>
      </c>
      <c r="D1818">
        <v>0</v>
      </c>
      <c r="E1818">
        <v>9</v>
      </c>
      <c r="F1818">
        <v>4</v>
      </c>
      <c r="G1818">
        <v>1</v>
      </c>
      <c r="H1818">
        <f>표2[[#This Row],[공격성공횟수]]/(표2[[#This Row],[공격실패횟수]]+표2[[#This Row],[공격성공횟수]])</f>
        <v>0</v>
      </c>
    </row>
    <row r="1819" spans="1:8" hidden="1" x14ac:dyDescent="0.4">
      <c r="A1819">
        <v>909</v>
      </c>
      <c r="B1819" t="s">
        <v>2</v>
      </c>
      <c r="C1819">
        <v>1</v>
      </c>
      <c r="D1819">
        <v>4</v>
      </c>
      <c r="E1819">
        <v>6</v>
      </c>
      <c r="F1819">
        <v>0</v>
      </c>
      <c r="G1819">
        <v>0</v>
      </c>
      <c r="H1819">
        <f>표2[[#This Row],[공격성공횟수]]/(표2[[#This Row],[공격실패횟수]]+표2[[#This Row],[공격성공횟수]])</f>
        <v>0.4</v>
      </c>
    </row>
    <row r="1820" spans="1:8" x14ac:dyDescent="0.4">
      <c r="A1820">
        <v>910</v>
      </c>
      <c r="B1820" t="s">
        <v>0</v>
      </c>
      <c r="C1820">
        <v>1</v>
      </c>
      <c r="D1820">
        <v>4</v>
      </c>
      <c r="E1820">
        <v>88</v>
      </c>
      <c r="F1820">
        <v>3</v>
      </c>
      <c r="G1820">
        <v>0</v>
      </c>
      <c r="H1820">
        <f>표2[[#This Row],[공격성공횟수]]/(표2[[#This Row],[공격실패횟수]]+표2[[#This Row],[공격성공횟수]])</f>
        <v>4.3478260869565216E-2</v>
      </c>
    </row>
    <row r="1821" spans="1:8" hidden="1" x14ac:dyDescent="0.4">
      <c r="A1821">
        <v>910</v>
      </c>
      <c r="B1821" t="s">
        <v>2</v>
      </c>
      <c r="C1821">
        <v>0</v>
      </c>
      <c r="D1821">
        <v>3</v>
      </c>
      <c r="E1821">
        <v>87</v>
      </c>
      <c r="F1821">
        <v>4</v>
      </c>
      <c r="G1821">
        <v>1</v>
      </c>
      <c r="H1821">
        <f>표2[[#This Row],[공격성공횟수]]/(표2[[#This Row],[공격실패횟수]]+표2[[#This Row],[공격성공횟수]])</f>
        <v>3.3333333333333333E-2</v>
      </c>
    </row>
    <row r="1822" spans="1:8" x14ac:dyDescent="0.4">
      <c r="A1822">
        <v>911</v>
      </c>
      <c r="B1822" t="s">
        <v>0</v>
      </c>
      <c r="C1822">
        <v>1</v>
      </c>
      <c r="D1822">
        <v>4</v>
      </c>
      <c r="E1822">
        <v>26</v>
      </c>
      <c r="F1822">
        <v>0</v>
      </c>
      <c r="G1822">
        <v>0</v>
      </c>
      <c r="H1822">
        <f>표2[[#This Row],[공격성공횟수]]/(표2[[#This Row],[공격실패횟수]]+표2[[#This Row],[공격성공횟수]])</f>
        <v>0.13333333333333333</v>
      </c>
    </row>
    <row r="1823" spans="1:8" hidden="1" x14ac:dyDescent="0.4">
      <c r="A1823">
        <v>911</v>
      </c>
      <c r="B1823" t="s">
        <v>2</v>
      </c>
      <c r="C1823">
        <v>0</v>
      </c>
      <c r="D1823">
        <v>0</v>
      </c>
      <c r="E1823">
        <v>29</v>
      </c>
      <c r="F1823">
        <v>4</v>
      </c>
      <c r="G1823">
        <v>1</v>
      </c>
      <c r="H1823">
        <f>표2[[#This Row],[공격성공횟수]]/(표2[[#This Row],[공격실패횟수]]+표2[[#This Row],[공격성공횟수]])</f>
        <v>0</v>
      </c>
    </row>
    <row r="1824" spans="1:8" x14ac:dyDescent="0.4">
      <c r="A1824">
        <v>912</v>
      </c>
      <c r="B1824" t="s">
        <v>0</v>
      </c>
      <c r="C1824">
        <v>1</v>
      </c>
      <c r="D1824">
        <v>4</v>
      </c>
      <c r="E1824">
        <v>13</v>
      </c>
      <c r="F1824">
        <v>3</v>
      </c>
      <c r="G1824">
        <v>0</v>
      </c>
      <c r="H1824">
        <f>표2[[#This Row],[공격성공횟수]]/(표2[[#This Row],[공격실패횟수]]+표2[[#This Row],[공격성공횟수]])</f>
        <v>0.23529411764705882</v>
      </c>
    </row>
    <row r="1825" spans="1:8" hidden="1" x14ac:dyDescent="0.4">
      <c r="A1825">
        <v>912</v>
      </c>
      <c r="B1825" t="s">
        <v>2</v>
      </c>
      <c r="C1825">
        <v>0</v>
      </c>
      <c r="D1825">
        <v>3</v>
      </c>
      <c r="E1825">
        <v>14</v>
      </c>
      <c r="F1825">
        <v>4</v>
      </c>
      <c r="G1825">
        <v>1</v>
      </c>
      <c r="H1825">
        <f>표2[[#This Row],[공격성공횟수]]/(표2[[#This Row],[공격실패횟수]]+표2[[#This Row],[공격성공횟수]])</f>
        <v>0.17647058823529413</v>
      </c>
    </row>
    <row r="1826" spans="1:8" x14ac:dyDescent="0.4">
      <c r="A1826">
        <v>913</v>
      </c>
      <c r="B1826" t="s">
        <v>0</v>
      </c>
      <c r="C1826">
        <v>1</v>
      </c>
      <c r="D1826">
        <v>4</v>
      </c>
      <c r="E1826">
        <v>4</v>
      </c>
      <c r="F1826">
        <v>3</v>
      </c>
      <c r="G1826">
        <v>0</v>
      </c>
      <c r="H1826">
        <f>표2[[#This Row],[공격성공횟수]]/(표2[[#This Row],[공격실패횟수]]+표2[[#This Row],[공격성공횟수]])</f>
        <v>0.5</v>
      </c>
    </row>
    <row r="1827" spans="1:8" hidden="1" x14ac:dyDescent="0.4">
      <c r="A1827">
        <v>913</v>
      </c>
      <c r="B1827" t="s">
        <v>2</v>
      </c>
      <c r="C1827">
        <v>0</v>
      </c>
      <c r="D1827">
        <v>3</v>
      </c>
      <c r="E1827">
        <v>6</v>
      </c>
      <c r="F1827">
        <v>4</v>
      </c>
      <c r="G1827">
        <v>1</v>
      </c>
      <c r="H1827">
        <f>표2[[#This Row],[공격성공횟수]]/(표2[[#This Row],[공격실패횟수]]+표2[[#This Row],[공격성공횟수]])</f>
        <v>0.33333333333333331</v>
      </c>
    </row>
    <row r="1828" spans="1:8" x14ac:dyDescent="0.4">
      <c r="A1828">
        <v>914</v>
      </c>
      <c r="B1828" t="s">
        <v>0</v>
      </c>
      <c r="C1828">
        <v>1</v>
      </c>
      <c r="D1828">
        <v>4</v>
      </c>
      <c r="E1828">
        <v>7</v>
      </c>
      <c r="F1828">
        <v>3</v>
      </c>
      <c r="G1828">
        <v>0</v>
      </c>
      <c r="H1828">
        <f>표2[[#This Row],[공격성공횟수]]/(표2[[#This Row],[공격실패횟수]]+표2[[#This Row],[공격성공횟수]])</f>
        <v>0.36363636363636365</v>
      </c>
    </row>
    <row r="1829" spans="1:8" hidden="1" x14ac:dyDescent="0.4">
      <c r="A1829">
        <v>914</v>
      </c>
      <c r="B1829" t="s">
        <v>2</v>
      </c>
      <c r="C1829">
        <v>0</v>
      </c>
      <c r="D1829">
        <v>3</v>
      </c>
      <c r="E1829">
        <v>8</v>
      </c>
      <c r="F1829">
        <v>4</v>
      </c>
      <c r="G1829">
        <v>1</v>
      </c>
      <c r="H1829">
        <f>표2[[#This Row],[공격성공횟수]]/(표2[[#This Row],[공격실패횟수]]+표2[[#This Row],[공격성공횟수]])</f>
        <v>0.27272727272727271</v>
      </c>
    </row>
    <row r="1830" spans="1:8" x14ac:dyDescent="0.4">
      <c r="A1830">
        <v>915</v>
      </c>
      <c r="B1830" t="s">
        <v>0</v>
      </c>
      <c r="C1830">
        <v>1</v>
      </c>
      <c r="D1830">
        <v>4</v>
      </c>
      <c r="E1830">
        <v>25</v>
      </c>
      <c r="F1830">
        <v>2</v>
      </c>
      <c r="G1830">
        <v>0</v>
      </c>
      <c r="H1830">
        <f>표2[[#This Row],[공격성공횟수]]/(표2[[#This Row],[공격실패횟수]]+표2[[#This Row],[공격성공횟수]])</f>
        <v>0.13793103448275862</v>
      </c>
    </row>
    <row r="1831" spans="1:8" hidden="1" x14ac:dyDescent="0.4">
      <c r="A1831">
        <v>915</v>
      </c>
      <c r="B1831" t="s">
        <v>2</v>
      </c>
      <c r="C1831">
        <v>0</v>
      </c>
      <c r="D1831">
        <v>2</v>
      </c>
      <c r="E1831">
        <v>27</v>
      </c>
      <c r="F1831">
        <v>4</v>
      </c>
      <c r="G1831">
        <v>1</v>
      </c>
      <c r="H1831">
        <f>표2[[#This Row],[공격성공횟수]]/(표2[[#This Row],[공격실패횟수]]+표2[[#This Row],[공격성공횟수]])</f>
        <v>6.8965517241379309E-2</v>
      </c>
    </row>
    <row r="1832" spans="1:8" x14ac:dyDescent="0.4">
      <c r="A1832">
        <v>916</v>
      </c>
      <c r="B1832" t="s">
        <v>0</v>
      </c>
      <c r="C1832">
        <v>1</v>
      </c>
      <c r="D1832">
        <v>4</v>
      </c>
      <c r="E1832">
        <v>7</v>
      </c>
      <c r="F1832">
        <v>0</v>
      </c>
      <c r="G1832">
        <v>0</v>
      </c>
      <c r="H1832">
        <f>표2[[#This Row],[공격성공횟수]]/(표2[[#This Row],[공격실패횟수]]+표2[[#This Row],[공격성공횟수]])</f>
        <v>0.36363636363636365</v>
      </c>
    </row>
    <row r="1833" spans="1:8" hidden="1" x14ac:dyDescent="0.4">
      <c r="A1833">
        <v>916</v>
      </c>
      <c r="B1833" t="s">
        <v>2</v>
      </c>
      <c r="C1833">
        <v>0</v>
      </c>
      <c r="D1833">
        <v>0</v>
      </c>
      <c r="E1833">
        <v>11</v>
      </c>
      <c r="F1833">
        <v>4</v>
      </c>
      <c r="G1833">
        <v>1</v>
      </c>
      <c r="H1833">
        <f>표2[[#This Row],[공격성공횟수]]/(표2[[#This Row],[공격실패횟수]]+표2[[#This Row],[공격성공횟수]])</f>
        <v>0</v>
      </c>
    </row>
    <row r="1834" spans="1:8" x14ac:dyDescent="0.4">
      <c r="A1834">
        <v>917</v>
      </c>
      <c r="B1834" t="s">
        <v>0</v>
      </c>
      <c r="C1834">
        <v>1</v>
      </c>
      <c r="D1834">
        <v>4</v>
      </c>
      <c r="E1834">
        <v>11</v>
      </c>
      <c r="F1834">
        <v>2</v>
      </c>
      <c r="G1834">
        <v>0</v>
      </c>
      <c r="H1834">
        <f>표2[[#This Row],[공격성공횟수]]/(표2[[#This Row],[공격실패횟수]]+표2[[#This Row],[공격성공횟수]])</f>
        <v>0.26666666666666666</v>
      </c>
    </row>
    <row r="1835" spans="1:8" hidden="1" x14ac:dyDescent="0.4">
      <c r="A1835">
        <v>917</v>
      </c>
      <c r="B1835" t="s">
        <v>2</v>
      </c>
      <c r="C1835">
        <v>0</v>
      </c>
      <c r="D1835">
        <v>2</v>
      </c>
      <c r="E1835">
        <v>14</v>
      </c>
      <c r="F1835">
        <v>4</v>
      </c>
      <c r="G1835">
        <v>1</v>
      </c>
      <c r="H1835">
        <f>표2[[#This Row],[공격성공횟수]]/(표2[[#This Row],[공격실패횟수]]+표2[[#This Row],[공격성공횟수]])</f>
        <v>0.125</v>
      </c>
    </row>
    <row r="1836" spans="1:8" x14ac:dyDescent="0.4">
      <c r="A1836">
        <v>918</v>
      </c>
      <c r="B1836" t="s">
        <v>0</v>
      </c>
      <c r="C1836">
        <v>1</v>
      </c>
      <c r="D1836">
        <v>4</v>
      </c>
      <c r="E1836">
        <v>1</v>
      </c>
      <c r="F1836">
        <v>3</v>
      </c>
      <c r="G1836">
        <v>0</v>
      </c>
      <c r="H1836">
        <f>표2[[#This Row],[공격성공횟수]]/(표2[[#This Row],[공격실패횟수]]+표2[[#This Row],[공격성공횟수]])</f>
        <v>0.8</v>
      </c>
    </row>
    <row r="1837" spans="1:8" hidden="1" x14ac:dyDescent="0.4">
      <c r="A1837">
        <v>918</v>
      </c>
      <c r="B1837" t="s">
        <v>2</v>
      </c>
      <c r="C1837">
        <v>0</v>
      </c>
      <c r="D1837">
        <v>3</v>
      </c>
      <c r="E1837">
        <v>3</v>
      </c>
      <c r="F1837">
        <v>4</v>
      </c>
      <c r="G1837">
        <v>1</v>
      </c>
      <c r="H1837">
        <f>표2[[#This Row],[공격성공횟수]]/(표2[[#This Row],[공격실패횟수]]+표2[[#This Row],[공격성공횟수]])</f>
        <v>0.5</v>
      </c>
    </row>
    <row r="1838" spans="1:8" x14ac:dyDescent="0.4">
      <c r="A1838">
        <v>919</v>
      </c>
      <c r="B1838" t="s">
        <v>0</v>
      </c>
      <c r="C1838">
        <v>1</v>
      </c>
      <c r="D1838">
        <v>4</v>
      </c>
      <c r="E1838">
        <v>44</v>
      </c>
      <c r="F1838">
        <v>1</v>
      </c>
      <c r="G1838">
        <v>0</v>
      </c>
      <c r="H1838">
        <f>표2[[#This Row],[공격성공횟수]]/(표2[[#This Row],[공격실패횟수]]+표2[[#This Row],[공격성공횟수]])</f>
        <v>8.3333333333333329E-2</v>
      </c>
    </row>
    <row r="1839" spans="1:8" hidden="1" x14ac:dyDescent="0.4">
      <c r="A1839">
        <v>919</v>
      </c>
      <c r="B1839" t="s">
        <v>2</v>
      </c>
      <c r="C1839">
        <v>0</v>
      </c>
      <c r="D1839">
        <v>1</v>
      </c>
      <c r="E1839">
        <v>47</v>
      </c>
      <c r="F1839">
        <v>4</v>
      </c>
      <c r="G1839">
        <v>1</v>
      </c>
      <c r="H1839">
        <f>표2[[#This Row],[공격성공횟수]]/(표2[[#This Row],[공격실패횟수]]+표2[[#This Row],[공격성공횟수]])</f>
        <v>2.0833333333333332E-2</v>
      </c>
    </row>
    <row r="1840" spans="1:8" x14ac:dyDescent="0.4">
      <c r="A1840">
        <v>920</v>
      </c>
      <c r="B1840" t="s">
        <v>0</v>
      </c>
      <c r="C1840">
        <v>1</v>
      </c>
      <c r="D1840">
        <v>4</v>
      </c>
      <c r="E1840">
        <v>11</v>
      </c>
      <c r="F1840">
        <v>0</v>
      </c>
      <c r="G1840">
        <v>0</v>
      </c>
      <c r="H1840">
        <f>표2[[#This Row],[공격성공횟수]]/(표2[[#This Row],[공격실패횟수]]+표2[[#This Row],[공격성공횟수]])</f>
        <v>0.26666666666666666</v>
      </c>
    </row>
    <row r="1841" spans="1:8" hidden="1" x14ac:dyDescent="0.4">
      <c r="A1841">
        <v>920</v>
      </c>
      <c r="B1841" t="s">
        <v>2</v>
      </c>
      <c r="C1841">
        <v>0</v>
      </c>
      <c r="D1841">
        <v>0</v>
      </c>
      <c r="E1841">
        <v>15</v>
      </c>
      <c r="F1841">
        <v>4</v>
      </c>
      <c r="G1841">
        <v>1</v>
      </c>
      <c r="H1841">
        <f>표2[[#This Row],[공격성공횟수]]/(표2[[#This Row],[공격실패횟수]]+표2[[#This Row],[공격성공횟수]])</f>
        <v>0</v>
      </c>
    </row>
    <row r="1842" spans="1:8" x14ac:dyDescent="0.4">
      <c r="A1842">
        <v>921</v>
      </c>
      <c r="B1842" t="s">
        <v>0</v>
      </c>
      <c r="C1842">
        <v>1</v>
      </c>
      <c r="D1842">
        <v>4</v>
      </c>
      <c r="E1842">
        <v>23</v>
      </c>
      <c r="F1842">
        <v>1</v>
      </c>
      <c r="G1842">
        <v>0</v>
      </c>
      <c r="H1842">
        <f>표2[[#This Row],[공격성공횟수]]/(표2[[#This Row],[공격실패횟수]]+표2[[#This Row],[공격성공횟수]])</f>
        <v>0.14814814814814814</v>
      </c>
    </row>
    <row r="1843" spans="1:8" hidden="1" x14ac:dyDescent="0.4">
      <c r="A1843">
        <v>921</v>
      </c>
      <c r="B1843" t="s">
        <v>2</v>
      </c>
      <c r="C1843">
        <v>0</v>
      </c>
      <c r="D1843">
        <v>1</v>
      </c>
      <c r="E1843">
        <v>26</v>
      </c>
      <c r="F1843">
        <v>4</v>
      </c>
      <c r="G1843">
        <v>1</v>
      </c>
      <c r="H1843">
        <f>표2[[#This Row],[공격성공횟수]]/(표2[[#This Row],[공격실패횟수]]+표2[[#This Row],[공격성공횟수]])</f>
        <v>3.7037037037037035E-2</v>
      </c>
    </row>
    <row r="1844" spans="1:8" x14ac:dyDescent="0.4">
      <c r="A1844">
        <v>922</v>
      </c>
      <c r="B1844" t="s">
        <v>0</v>
      </c>
      <c r="C1844">
        <v>1</v>
      </c>
      <c r="D1844">
        <v>4</v>
      </c>
      <c r="E1844">
        <v>8</v>
      </c>
      <c r="F1844">
        <v>0</v>
      </c>
      <c r="G1844">
        <v>0</v>
      </c>
      <c r="H1844">
        <f>표2[[#This Row],[공격성공횟수]]/(표2[[#This Row],[공격실패횟수]]+표2[[#This Row],[공격성공횟수]])</f>
        <v>0.33333333333333331</v>
      </c>
    </row>
    <row r="1845" spans="1:8" hidden="1" x14ac:dyDescent="0.4">
      <c r="A1845">
        <v>922</v>
      </c>
      <c r="B1845" t="s">
        <v>2</v>
      </c>
      <c r="C1845">
        <v>0</v>
      </c>
      <c r="D1845">
        <v>0</v>
      </c>
      <c r="E1845">
        <v>12</v>
      </c>
      <c r="F1845">
        <v>4</v>
      </c>
      <c r="G1845">
        <v>1</v>
      </c>
      <c r="H1845">
        <f>표2[[#This Row],[공격성공횟수]]/(표2[[#This Row],[공격실패횟수]]+표2[[#This Row],[공격성공횟수]])</f>
        <v>0</v>
      </c>
    </row>
    <row r="1846" spans="1:8" x14ac:dyDescent="0.4">
      <c r="A1846">
        <v>923</v>
      </c>
      <c r="B1846" t="s">
        <v>0</v>
      </c>
      <c r="C1846">
        <v>0</v>
      </c>
      <c r="D1846">
        <v>0</v>
      </c>
      <c r="E1846">
        <v>6</v>
      </c>
      <c r="F1846">
        <v>4</v>
      </c>
      <c r="G1846">
        <v>1</v>
      </c>
      <c r="H1846">
        <f>표2[[#This Row],[공격성공횟수]]/(표2[[#This Row],[공격실패횟수]]+표2[[#This Row],[공격성공횟수]])</f>
        <v>0</v>
      </c>
    </row>
    <row r="1847" spans="1:8" hidden="1" x14ac:dyDescent="0.4">
      <c r="A1847">
        <v>923</v>
      </c>
      <c r="B1847" t="s">
        <v>2</v>
      </c>
      <c r="C1847">
        <v>1</v>
      </c>
      <c r="D1847">
        <v>4</v>
      </c>
      <c r="E1847">
        <v>3</v>
      </c>
      <c r="F1847">
        <v>0</v>
      </c>
      <c r="G1847">
        <v>0</v>
      </c>
      <c r="H1847">
        <f>표2[[#This Row],[공격성공횟수]]/(표2[[#This Row],[공격실패횟수]]+표2[[#This Row],[공격성공횟수]])</f>
        <v>0.5714285714285714</v>
      </c>
    </row>
    <row r="1848" spans="1:8" x14ac:dyDescent="0.4">
      <c r="A1848">
        <v>924</v>
      </c>
      <c r="B1848" t="s">
        <v>0</v>
      </c>
      <c r="C1848">
        <v>1</v>
      </c>
      <c r="D1848">
        <v>4</v>
      </c>
      <c r="E1848">
        <v>16</v>
      </c>
      <c r="F1848">
        <v>1</v>
      </c>
      <c r="G1848">
        <v>0</v>
      </c>
      <c r="H1848">
        <f>표2[[#This Row],[공격성공횟수]]/(표2[[#This Row],[공격실패횟수]]+표2[[#This Row],[공격성공횟수]])</f>
        <v>0.2</v>
      </c>
    </row>
    <row r="1849" spans="1:8" hidden="1" x14ac:dyDescent="0.4">
      <c r="A1849">
        <v>924</v>
      </c>
      <c r="B1849" t="s">
        <v>2</v>
      </c>
      <c r="C1849">
        <v>0</v>
      </c>
      <c r="D1849">
        <v>1</v>
      </c>
      <c r="E1849">
        <v>19</v>
      </c>
      <c r="F1849">
        <v>4</v>
      </c>
      <c r="G1849">
        <v>1</v>
      </c>
      <c r="H1849">
        <f>표2[[#This Row],[공격성공횟수]]/(표2[[#This Row],[공격실패횟수]]+표2[[#This Row],[공격성공횟수]])</f>
        <v>0.05</v>
      </c>
    </row>
    <row r="1850" spans="1:8" x14ac:dyDescent="0.4">
      <c r="A1850">
        <v>925</v>
      </c>
      <c r="B1850" t="s">
        <v>0</v>
      </c>
      <c r="C1850">
        <v>0</v>
      </c>
      <c r="D1850">
        <v>2</v>
      </c>
      <c r="E1850">
        <v>4</v>
      </c>
      <c r="F1850">
        <v>4</v>
      </c>
      <c r="G1850">
        <v>1</v>
      </c>
      <c r="H1850">
        <f>표2[[#This Row],[공격성공횟수]]/(표2[[#This Row],[공격실패횟수]]+표2[[#This Row],[공격성공횟수]])</f>
        <v>0.33333333333333331</v>
      </c>
    </row>
    <row r="1851" spans="1:8" hidden="1" x14ac:dyDescent="0.4">
      <c r="A1851">
        <v>925</v>
      </c>
      <c r="B1851" t="s">
        <v>2</v>
      </c>
      <c r="C1851">
        <v>1</v>
      </c>
      <c r="D1851">
        <v>4</v>
      </c>
      <c r="E1851">
        <v>3</v>
      </c>
      <c r="F1851">
        <v>2</v>
      </c>
      <c r="G1851">
        <v>0</v>
      </c>
      <c r="H1851">
        <f>표2[[#This Row],[공격성공횟수]]/(표2[[#This Row],[공격실패횟수]]+표2[[#This Row],[공격성공횟수]])</f>
        <v>0.5714285714285714</v>
      </c>
    </row>
    <row r="1852" spans="1:8" x14ac:dyDescent="0.4">
      <c r="A1852">
        <v>926</v>
      </c>
      <c r="B1852" t="s">
        <v>0</v>
      </c>
      <c r="C1852">
        <v>1</v>
      </c>
      <c r="D1852">
        <v>4</v>
      </c>
      <c r="E1852">
        <v>6</v>
      </c>
      <c r="F1852">
        <v>3</v>
      </c>
      <c r="G1852">
        <v>0</v>
      </c>
      <c r="H1852">
        <f>표2[[#This Row],[공격성공횟수]]/(표2[[#This Row],[공격실패횟수]]+표2[[#This Row],[공격성공횟수]])</f>
        <v>0.4</v>
      </c>
    </row>
    <row r="1853" spans="1:8" hidden="1" x14ac:dyDescent="0.4">
      <c r="A1853">
        <v>926</v>
      </c>
      <c r="B1853" t="s">
        <v>2</v>
      </c>
      <c r="C1853">
        <v>0</v>
      </c>
      <c r="D1853">
        <v>3</v>
      </c>
      <c r="E1853">
        <v>6</v>
      </c>
      <c r="F1853">
        <v>4</v>
      </c>
      <c r="G1853">
        <v>1</v>
      </c>
      <c r="H1853">
        <f>표2[[#This Row],[공격성공횟수]]/(표2[[#This Row],[공격실패횟수]]+표2[[#This Row],[공격성공횟수]])</f>
        <v>0.33333333333333331</v>
      </c>
    </row>
    <row r="1854" spans="1:8" x14ac:dyDescent="0.4">
      <c r="A1854">
        <v>927</v>
      </c>
      <c r="B1854" t="s">
        <v>0</v>
      </c>
      <c r="C1854">
        <v>1</v>
      </c>
      <c r="D1854">
        <v>4</v>
      </c>
      <c r="E1854">
        <v>9</v>
      </c>
      <c r="F1854">
        <v>1</v>
      </c>
      <c r="G1854">
        <v>0</v>
      </c>
      <c r="H1854">
        <f>표2[[#This Row],[공격성공횟수]]/(표2[[#This Row],[공격실패횟수]]+표2[[#This Row],[공격성공횟수]])</f>
        <v>0.30769230769230771</v>
      </c>
    </row>
    <row r="1855" spans="1:8" hidden="1" x14ac:dyDescent="0.4">
      <c r="A1855">
        <v>927</v>
      </c>
      <c r="B1855" t="s">
        <v>2</v>
      </c>
      <c r="C1855">
        <v>0</v>
      </c>
      <c r="D1855">
        <v>1</v>
      </c>
      <c r="E1855">
        <v>12</v>
      </c>
      <c r="F1855">
        <v>4</v>
      </c>
      <c r="G1855">
        <v>1</v>
      </c>
      <c r="H1855">
        <f>표2[[#This Row],[공격성공횟수]]/(표2[[#This Row],[공격실패횟수]]+표2[[#This Row],[공격성공횟수]])</f>
        <v>7.6923076923076927E-2</v>
      </c>
    </row>
    <row r="1856" spans="1:8" x14ac:dyDescent="0.4">
      <c r="A1856">
        <v>928</v>
      </c>
      <c r="B1856" t="s">
        <v>0</v>
      </c>
      <c r="C1856">
        <v>1</v>
      </c>
      <c r="D1856">
        <v>4</v>
      </c>
      <c r="E1856">
        <v>10</v>
      </c>
      <c r="F1856">
        <v>1</v>
      </c>
      <c r="G1856">
        <v>0</v>
      </c>
      <c r="H1856">
        <f>표2[[#This Row],[공격성공횟수]]/(표2[[#This Row],[공격실패횟수]]+표2[[#This Row],[공격성공횟수]])</f>
        <v>0.2857142857142857</v>
      </c>
    </row>
    <row r="1857" spans="1:8" hidden="1" x14ac:dyDescent="0.4">
      <c r="A1857">
        <v>928</v>
      </c>
      <c r="B1857" t="s">
        <v>2</v>
      </c>
      <c r="C1857">
        <v>0</v>
      </c>
      <c r="D1857">
        <v>1</v>
      </c>
      <c r="E1857">
        <v>13</v>
      </c>
      <c r="F1857">
        <v>4</v>
      </c>
      <c r="G1857">
        <v>1</v>
      </c>
      <c r="H1857">
        <f>표2[[#This Row],[공격성공횟수]]/(표2[[#This Row],[공격실패횟수]]+표2[[#This Row],[공격성공횟수]])</f>
        <v>7.1428571428571425E-2</v>
      </c>
    </row>
    <row r="1858" spans="1:8" x14ac:dyDescent="0.4">
      <c r="A1858">
        <v>929</v>
      </c>
      <c r="B1858" t="s">
        <v>0</v>
      </c>
      <c r="C1858">
        <v>1</v>
      </c>
      <c r="D1858">
        <v>4</v>
      </c>
      <c r="E1858">
        <v>24</v>
      </c>
      <c r="F1858">
        <v>0</v>
      </c>
      <c r="G1858">
        <v>0</v>
      </c>
      <c r="H1858">
        <f>표2[[#This Row],[공격성공횟수]]/(표2[[#This Row],[공격실패횟수]]+표2[[#This Row],[공격성공횟수]])</f>
        <v>0.14285714285714285</v>
      </c>
    </row>
    <row r="1859" spans="1:8" hidden="1" x14ac:dyDescent="0.4">
      <c r="A1859">
        <v>929</v>
      </c>
      <c r="B1859" t="s">
        <v>2</v>
      </c>
      <c r="C1859">
        <v>0</v>
      </c>
      <c r="D1859">
        <v>0</v>
      </c>
      <c r="E1859">
        <v>28</v>
      </c>
      <c r="F1859">
        <v>4</v>
      </c>
      <c r="G1859">
        <v>1</v>
      </c>
      <c r="H1859">
        <f>표2[[#This Row],[공격성공횟수]]/(표2[[#This Row],[공격실패횟수]]+표2[[#This Row],[공격성공횟수]])</f>
        <v>0</v>
      </c>
    </row>
    <row r="1860" spans="1:8" x14ac:dyDescent="0.4">
      <c r="A1860">
        <v>930</v>
      </c>
      <c r="B1860" t="s">
        <v>0</v>
      </c>
      <c r="C1860">
        <v>1</v>
      </c>
      <c r="D1860">
        <v>4</v>
      </c>
      <c r="E1860">
        <v>5</v>
      </c>
      <c r="F1860">
        <v>1</v>
      </c>
      <c r="G1860">
        <v>0</v>
      </c>
      <c r="H1860">
        <f>표2[[#This Row],[공격성공횟수]]/(표2[[#This Row],[공격실패횟수]]+표2[[#This Row],[공격성공횟수]])</f>
        <v>0.44444444444444442</v>
      </c>
    </row>
    <row r="1861" spans="1:8" hidden="1" x14ac:dyDescent="0.4">
      <c r="A1861">
        <v>930</v>
      </c>
      <c r="B1861" t="s">
        <v>2</v>
      </c>
      <c r="C1861">
        <v>0</v>
      </c>
      <c r="D1861">
        <v>1</v>
      </c>
      <c r="E1861">
        <v>8</v>
      </c>
      <c r="F1861">
        <v>4</v>
      </c>
      <c r="G1861">
        <v>1</v>
      </c>
      <c r="H1861">
        <f>표2[[#This Row],[공격성공횟수]]/(표2[[#This Row],[공격실패횟수]]+표2[[#This Row],[공격성공횟수]])</f>
        <v>0.1111111111111111</v>
      </c>
    </row>
    <row r="1862" spans="1:8" x14ac:dyDescent="0.4">
      <c r="A1862">
        <v>931</v>
      </c>
      <c r="B1862" t="s">
        <v>0</v>
      </c>
      <c r="C1862">
        <v>1</v>
      </c>
      <c r="D1862">
        <v>4</v>
      </c>
      <c r="E1862">
        <v>34</v>
      </c>
      <c r="F1862">
        <v>1</v>
      </c>
      <c r="G1862">
        <v>0</v>
      </c>
      <c r="H1862">
        <f>표2[[#This Row],[공격성공횟수]]/(표2[[#This Row],[공격실패횟수]]+표2[[#This Row],[공격성공횟수]])</f>
        <v>0.10526315789473684</v>
      </c>
    </row>
    <row r="1863" spans="1:8" hidden="1" x14ac:dyDescent="0.4">
      <c r="A1863">
        <v>931</v>
      </c>
      <c r="B1863" t="s">
        <v>2</v>
      </c>
      <c r="C1863">
        <v>0</v>
      </c>
      <c r="D1863">
        <v>1</v>
      </c>
      <c r="E1863">
        <v>37</v>
      </c>
      <c r="F1863">
        <v>4</v>
      </c>
      <c r="G1863">
        <v>1</v>
      </c>
      <c r="H1863">
        <f>표2[[#This Row],[공격성공횟수]]/(표2[[#This Row],[공격실패횟수]]+표2[[#This Row],[공격성공횟수]])</f>
        <v>2.6315789473684209E-2</v>
      </c>
    </row>
    <row r="1864" spans="1:8" x14ac:dyDescent="0.4">
      <c r="A1864">
        <v>932</v>
      </c>
      <c r="B1864" t="s">
        <v>0</v>
      </c>
      <c r="C1864">
        <v>1</v>
      </c>
      <c r="D1864">
        <v>4</v>
      </c>
      <c r="E1864">
        <v>48</v>
      </c>
      <c r="F1864">
        <v>1</v>
      </c>
      <c r="G1864">
        <v>0</v>
      </c>
      <c r="H1864">
        <f>표2[[#This Row],[공격성공횟수]]/(표2[[#This Row],[공격실패횟수]]+표2[[#This Row],[공격성공횟수]])</f>
        <v>7.6923076923076927E-2</v>
      </c>
    </row>
    <row r="1865" spans="1:8" hidden="1" x14ac:dyDescent="0.4">
      <c r="A1865">
        <v>932</v>
      </c>
      <c r="B1865" t="s">
        <v>2</v>
      </c>
      <c r="C1865">
        <v>0</v>
      </c>
      <c r="D1865">
        <v>1</v>
      </c>
      <c r="E1865">
        <v>53</v>
      </c>
      <c r="F1865">
        <v>4</v>
      </c>
      <c r="G1865">
        <v>1</v>
      </c>
      <c r="H1865">
        <f>표2[[#This Row],[공격성공횟수]]/(표2[[#This Row],[공격실패횟수]]+표2[[#This Row],[공격성공횟수]])</f>
        <v>1.8518518518518517E-2</v>
      </c>
    </row>
    <row r="1866" spans="1:8" x14ac:dyDescent="0.4">
      <c r="A1866">
        <v>933</v>
      </c>
      <c r="B1866" t="s">
        <v>0</v>
      </c>
      <c r="C1866">
        <v>1</v>
      </c>
      <c r="D1866">
        <v>4</v>
      </c>
      <c r="E1866">
        <v>12</v>
      </c>
      <c r="F1866">
        <v>1</v>
      </c>
      <c r="G1866">
        <v>0</v>
      </c>
      <c r="H1866">
        <f>표2[[#This Row],[공격성공횟수]]/(표2[[#This Row],[공격실패횟수]]+표2[[#This Row],[공격성공횟수]])</f>
        <v>0.25</v>
      </c>
    </row>
    <row r="1867" spans="1:8" hidden="1" x14ac:dyDescent="0.4">
      <c r="A1867">
        <v>933</v>
      </c>
      <c r="B1867" t="s">
        <v>2</v>
      </c>
      <c r="C1867">
        <v>0</v>
      </c>
      <c r="D1867">
        <v>1</v>
      </c>
      <c r="E1867">
        <v>16</v>
      </c>
      <c r="F1867">
        <v>4</v>
      </c>
      <c r="G1867">
        <v>1</v>
      </c>
      <c r="H1867">
        <f>표2[[#This Row],[공격성공횟수]]/(표2[[#This Row],[공격실패횟수]]+표2[[#This Row],[공격성공횟수]])</f>
        <v>5.8823529411764705E-2</v>
      </c>
    </row>
    <row r="1868" spans="1:8" x14ac:dyDescent="0.4">
      <c r="A1868">
        <v>934</v>
      </c>
      <c r="B1868" t="s">
        <v>0</v>
      </c>
      <c r="C1868">
        <v>1</v>
      </c>
      <c r="D1868">
        <v>4</v>
      </c>
      <c r="E1868">
        <v>6</v>
      </c>
      <c r="F1868">
        <v>0</v>
      </c>
      <c r="G1868">
        <v>0</v>
      </c>
      <c r="H1868">
        <f>표2[[#This Row],[공격성공횟수]]/(표2[[#This Row],[공격실패횟수]]+표2[[#This Row],[공격성공횟수]])</f>
        <v>0.4</v>
      </c>
    </row>
    <row r="1869" spans="1:8" hidden="1" x14ac:dyDescent="0.4">
      <c r="A1869">
        <v>934</v>
      </c>
      <c r="B1869" t="s">
        <v>2</v>
      </c>
      <c r="C1869">
        <v>0</v>
      </c>
      <c r="D1869">
        <v>0</v>
      </c>
      <c r="E1869">
        <v>10</v>
      </c>
      <c r="F1869">
        <v>4</v>
      </c>
      <c r="G1869">
        <v>1</v>
      </c>
      <c r="H1869">
        <f>표2[[#This Row],[공격성공횟수]]/(표2[[#This Row],[공격실패횟수]]+표2[[#This Row],[공격성공횟수]])</f>
        <v>0</v>
      </c>
    </row>
    <row r="1870" spans="1:8" x14ac:dyDescent="0.4">
      <c r="A1870">
        <v>935</v>
      </c>
      <c r="B1870" t="s">
        <v>0</v>
      </c>
      <c r="C1870">
        <v>1</v>
      </c>
      <c r="D1870">
        <v>4</v>
      </c>
      <c r="E1870">
        <v>14</v>
      </c>
      <c r="F1870">
        <v>0</v>
      </c>
      <c r="G1870">
        <v>0</v>
      </c>
      <c r="H1870">
        <f>표2[[#This Row],[공격성공횟수]]/(표2[[#This Row],[공격실패횟수]]+표2[[#This Row],[공격성공횟수]])</f>
        <v>0.22222222222222221</v>
      </c>
    </row>
    <row r="1871" spans="1:8" hidden="1" x14ac:dyDescent="0.4">
      <c r="A1871">
        <v>935</v>
      </c>
      <c r="B1871" t="s">
        <v>2</v>
      </c>
      <c r="C1871">
        <v>0</v>
      </c>
      <c r="D1871">
        <v>0</v>
      </c>
      <c r="E1871">
        <v>17</v>
      </c>
      <c r="F1871">
        <v>4</v>
      </c>
      <c r="G1871">
        <v>1</v>
      </c>
      <c r="H1871">
        <f>표2[[#This Row],[공격성공횟수]]/(표2[[#This Row],[공격실패횟수]]+표2[[#This Row],[공격성공횟수]])</f>
        <v>0</v>
      </c>
    </row>
    <row r="1872" spans="1:8" x14ac:dyDescent="0.4">
      <c r="A1872">
        <v>936</v>
      </c>
      <c r="B1872" t="s">
        <v>0</v>
      </c>
      <c r="C1872">
        <v>0</v>
      </c>
      <c r="D1872">
        <v>2</v>
      </c>
      <c r="E1872">
        <v>14</v>
      </c>
      <c r="F1872">
        <v>4</v>
      </c>
      <c r="G1872">
        <v>1</v>
      </c>
      <c r="H1872">
        <f>표2[[#This Row],[공격성공횟수]]/(표2[[#This Row],[공격실패횟수]]+표2[[#This Row],[공격성공횟수]])</f>
        <v>0.125</v>
      </c>
    </row>
    <row r="1873" spans="1:8" hidden="1" x14ac:dyDescent="0.4">
      <c r="A1873">
        <v>936</v>
      </c>
      <c r="B1873" t="s">
        <v>2</v>
      </c>
      <c r="C1873">
        <v>1</v>
      </c>
      <c r="D1873">
        <v>4</v>
      </c>
      <c r="E1873">
        <v>14</v>
      </c>
      <c r="F1873">
        <v>2</v>
      </c>
      <c r="G1873">
        <v>0</v>
      </c>
      <c r="H1873">
        <f>표2[[#This Row],[공격성공횟수]]/(표2[[#This Row],[공격실패횟수]]+표2[[#This Row],[공격성공횟수]])</f>
        <v>0.22222222222222221</v>
      </c>
    </row>
    <row r="1874" spans="1:8" x14ac:dyDescent="0.4">
      <c r="A1874">
        <v>937</v>
      </c>
      <c r="B1874" t="s">
        <v>0</v>
      </c>
      <c r="C1874">
        <v>0</v>
      </c>
      <c r="D1874">
        <v>1</v>
      </c>
      <c r="E1874">
        <v>26</v>
      </c>
      <c r="F1874">
        <v>4</v>
      </c>
      <c r="G1874">
        <v>1</v>
      </c>
      <c r="H1874">
        <f>표2[[#This Row],[공격성공횟수]]/(표2[[#This Row],[공격실패횟수]]+표2[[#This Row],[공격성공횟수]])</f>
        <v>3.7037037037037035E-2</v>
      </c>
    </row>
    <row r="1875" spans="1:8" hidden="1" x14ac:dyDescent="0.4">
      <c r="A1875">
        <v>937</v>
      </c>
      <c r="B1875" t="s">
        <v>2</v>
      </c>
      <c r="C1875">
        <v>1</v>
      </c>
      <c r="D1875">
        <v>4</v>
      </c>
      <c r="E1875">
        <v>25</v>
      </c>
      <c r="F1875">
        <v>1</v>
      </c>
      <c r="G1875">
        <v>0</v>
      </c>
      <c r="H1875">
        <f>표2[[#This Row],[공격성공횟수]]/(표2[[#This Row],[공격실패횟수]]+표2[[#This Row],[공격성공횟수]])</f>
        <v>0.13793103448275862</v>
      </c>
    </row>
    <row r="1876" spans="1:8" x14ac:dyDescent="0.4">
      <c r="A1876">
        <v>938</v>
      </c>
      <c r="B1876" t="s">
        <v>0</v>
      </c>
      <c r="C1876">
        <v>1</v>
      </c>
      <c r="D1876">
        <v>4</v>
      </c>
      <c r="E1876">
        <v>5</v>
      </c>
      <c r="F1876">
        <v>2</v>
      </c>
      <c r="G1876">
        <v>0</v>
      </c>
      <c r="H1876">
        <f>표2[[#This Row],[공격성공횟수]]/(표2[[#This Row],[공격실패횟수]]+표2[[#This Row],[공격성공횟수]])</f>
        <v>0.44444444444444442</v>
      </c>
    </row>
    <row r="1877" spans="1:8" hidden="1" x14ac:dyDescent="0.4">
      <c r="A1877">
        <v>938</v>
      </c>
      <c r="B1877" t="s">
        <v>2</v>
      </c>
      <c r="C1877">
        <v>0</v>
      </c>
      <c r="D1877">
        <v>2</v>
      </c>
      <c r="E1877">
        <v>6</v>
      </c>
      <c r="F1877">
        <v>4</v>
      </c>
      <c r="G1877">
        <v>1</v>
      </c>
      <c r="H1877">
        <f>표2[[#This Row],[공격성공횟수]]/(표2[[#This Row],[공격실패횟수]]+표2[[#This Row],[공격성공횟수]])</f>
        <v>0.25</v>
      </c>
    </row>
    <row r="1878" spans="1:8" x14ac:dyDescent="0.4">
      <c r="A1878">
        <v>939</v>
      </c>
      <c r="B1878" t="s">
        <v>0</v>
      </c>
      <c r="C1878">
        <v>1</v>
      </c>
      <c r="D1878">
        <v>4</v>
      </c>
      <c r="E1878">
        <v>14</v>
      </c>
      <c r="F1878">
        <v>1</v>
      </c>
      <c r="G1878">
        <v>0</v>
      </c>
      <c r="H1878">
        <f>표2[[#This Row],[공격성공횟수]]/(표2[[#This Row],[공격실패횟수]]+표2[[#This Row],[공격성공횟수]])</f>
        <v>0.22222222222222221</v>
      </c>
    </row>
    <row r="1879" spans="1:8" hidden="1" x14ac:dyDescent="0.4">
      <c r="A1879">
        <v>939</v>
      </c>
      <c r="B1879" t="s">
        <v>2</v>
      </c>
      <c r="C1879">
        <v>0</v>
      </c>
      <c r="D1879">
        <v>1</v>
      </c>
      <c r="E1879">
        <v>16</v>
      </c>
      <c r="F1879">
        <v>4</v>
      </c>
      <c r="G1879">
        <v>1</v>
      </c>
      <c r="H1879">
        <f>표2[[#This Row],[공격성공횟수]]/(표2[[#This Row],[공격실패횟수]]+표2[[#This Row],[공격성공횟수]])</f>
        <v>5.8823529411764705E-2</v>
      </c>
    </row>
    <row r="1880" spans="1:8" x14ac:dyDescent="0.4">
      <c r="A1880">
        <v>940</v>
      </c>
      <c r="B1880" t="s">
        <v>0</v>
      </c>
      <c r="C1880">
        <v>1</v>
      </c>
      <c r="D1880">
        <v>4</v>
      </c>
      <c r="E1880">
        <v>5</v>
      </c>
      <c r="F1880">
        <v>3</v>
      </c>
      <c r="G1880">
        <v>0</v>
      </c>
      <c r="H1880">
        <f>표2[[#This Row],[공격성공횟수]]/(표2[[#This Row],[공격실패횟수]]+표2[[#This Row],[공격성공횟수]])</f>
        <v>0.44444444444444442</v>
      </c>
    </row>
    <row r="1881" spans="1:8" hidden="1" x14ac:dyDescent="0.4">
      <c r="A1881">
        <v>940</v>
      </c>
      <c r="B1881" t="s">
        <v>2</v>
      </c>
      <c r="C1881">
        <v>0</v>
      </c>
      <c r="D1881">
        <v>3</v>
      </c>
      <c r="E1881">
        <v>6</v>
      </c>
      <c r="F1881">
        <v>4</v>
      </c>
      <c r="G1881">
        <v>1</v>
      </c>
      <c r="H1881">
        <f>표2[[#This Row],[공격성공횟수]]/(표2[[#This Row],[공격실패횟수]]+표2[[#This Row],[공격성공횟수]])</f>
        <v>0.33333333333333331</v>
      </c>
    </row>
    <row r="1882" spans="1:8" x14ac:dyDescent="0.4">
      <c r="A1882">
        <v>941</v>
      </c>
      <c r="B1882" t="s">
        <v>0</v>
      </c>
      <c r="C1882">
        <v>1</v>
      </c>
      <c r="D1882">
        <v>4</v>
      </c>
      <c r="E1882">
        <v>9</v>
      </c>
      <c r="F1882">
        <v>3</v>
      </c>
      <c r="G1882">
        <v>0</v>
      </c>
      <c r="H1882">
        <f>표2[[#This Row],[공격성공횟수]]/(표2[[#This Row],[공격실패횟수]]+표2[[#This Row],[공격성공횟수]])</f>
        <v>0.30769230769230771</v>
      </c>
    </row>
    <row r="1883" spans="1:8" hidden="1" x14ac:dyDescent="0.4">
      <c r="A1883">
        <v>941</v>
      </c>
      <c r="B1883" t="s">
        <v>2</v>
      </c>
      <c r="C1883">
        <v>0</v>
      </c>
      <c r="D1883">
        <v>3</v>
      </c>
      <c r="E1883">
        <v>10</v>
      </c>
      <c r="F1883">
        <v>4</v>
      </c>
      <c r="G1883">
        <v>1</v>
      </c>
      <c r="H1883">
        <f>표2[[#This Row],[공격성공횟수]]/(표2[[#This Row],[공격실패횟수]]+표2[[#This Row],[공격성공횟수]])</f>
        <v>0.23076923076923078</v>
      </c>
    </row>
    <row r="1884" spans="1:8" x14ac:dyDescent="0.4">
      <c r="A1884">
        <v>942</v>
      </c>
      <c r="B1884" t="s">
        <v>0</v>
      </c>
      <c r="C1884">
        <v>1</v>
      </c>
      <c r="D1884">
        <v>4</v>
      </c>
      <c r="E1884">
        <v>100</v>
      </c>
      <c r="F1884">
        <v>0</v>
      </c>
      <c r="G1884">
        <v>0</v>
      </c>
      <c r="H1884">
        <f>표2[[#This Row],[공격성공횟수]]/(표2[[#This Row],[공격실패횟수]]+표2[[#This Row],[공격성공횟수]])</f>
        <v>3.8461538461538464E-2</v>
      </c>
    </row>
    <row r="1885" spans="1:8" hidden="1" x14ac:dyDescent="0.4">
      <c r="A1885">
        <v>942</v>
      </c>
      <c r="B1885" t="s">
        <v>2</v>
      </c>
      <c r="C1885">
        <v>0</v>
      </c>
      <c r="D1885">
        <v>0</v>
      </c>
      <c r="E1885">
        <v>104</v>
      </c>
      <c r="F1885">
        <v>4</v>
      </c>
      <c r="G1885">
        <v>1</v>
      </c>
      <c r="H1885">
        <f>표2[[#This Row],[공격성공횟수]]/(표2[[#This Row],[공격실패횟수]]+표2[[#This Row],[공격성공횟수]])</f>
        <v>0</v>
      </c>
    </row>
    <row r="1886" spans="1:8" x14ac:dyDescent="0.4">
      <c r="A1886">
        <v>943</v>
      </c>
      <c r="B1886" t="s">
        <v>0</v>
      </c>
      <c r="C1886">
        <v>1</v>
      </c>
      <c r="D1886">
        <v>4</v>
      </c>
      <c r="E1886">
        <v>12</v>
      </c>
      <c r="F1886">
        <v>1</v>
      </c>
      <c r="G1886">
        <v>0</v>
      </c>
      <c r="H1886">
        <f>표2[[#This Row],[공격성공횟수]]/(표2[[#This Row],[공격실패횟수]]+표2[[#This Row],[공격성공횟수]])</f>
        <v>0.25</v>
      </c>
    </row>
    <row r="1887" spans="1:8" hidden="1" x14ac:dyDescent="0.4">
      <c r="A1887">
        <v>943</v>
      </c>
      <c r="B1887" t="s">
        <v>2</v>
      </c>
      <c r="C1887">
        <v>0</v>
      </c>
      <c r="D1887">
        <v>1</v>
      </c>
      <c r="E1887">
        <v>15</v>
      </c>
      <c r="F1887">
        <v>4</v>
      </c>
      <c r="G1887">
        <v>1</v>
      </c>
      <c r="H1887">
        <f>표2[[#This Row],[공격성공횟수]]/(표2[[#This Row],[공격실패횟수]]+표2[[#This Row],[공격성공횟수]])</f>
        <v>6.25E-2</v>
      </c>
    </row>
    <row r="1888" spans="1:8" x14ac:dyDescent="0.4">
      <c r="A1888">
        <v>944</v>
      </c>
      <c r="B1888" t="s">
        <v>0</v>
      </c>
      <c r="C1888">
        <v>1</v>
      </c>
      <c r="D1888">
        <v>4</v>
      </c>
      <c r="E1888">
        <v>51</v>
      </c>
      <c r="F1888">
        <v>3</v>
      </c>
      <c r="G1888">
        <v>0</v>
      </c>
      <c r="H1888">
        <f>표2[[#This Row],[공격성공횟수]]/(표2[[#This Row],[공격실패횟수]]+표2[[#This Row],[공격성공횟수]])</f>
        <v>7.2727272727272724E-2</v>
      </c>
    </row>
    <row r="1889" spans="1:8" hidden="1" x14ac:dyDescent="0.4">
      <c r="A1889">
        <v>944</v>
      </c>
      <c r="B1889" t="s">
        <v>2</v>
      </c>
      <c r="C1889">
        <v>0</v>
      </c>
      <c r="D1889">
        <v>3</v>
      </c>
      <c r="E1889">
        <v>52</v>
      </c>
      <c r="F1889">
        <v>4</v>
      </c>
      <c r="G1889">
        <v>1</v>
      </c>
      <c r="H1889">
        <f>표2[[#This Row],[공격성공횟수]]/(표2[[#This Row],[공격실패횟수]]+표2[[#This Row],[공격성공횟수]])</f>
        <v>5.4545454545454543E-2</v>
      </c>
    </row>
    <row r="1890" spans="1:8" x14ac:dyDescent="0.4">
      <c r="A1890">
        <v>945</v>
      </c>
      <c r="B1890" t="s">
        <v>0</v>
      </c>
      <c r="C1890">
        <v>1</v>
      </c>
      <c r="D1890">
        <v>4</v>
      </c>
      <c r="E1890">
        <v>3</v>
      </c>
      <c r="F1890">
        <v>3</v>
      </c>
      <c r="G1890">
        <v>0</v>
      </c>
      <c r="H1890">
        <f>표2[[#This Row],[공격성공횟수]]/(표2[[#This Row],[공격실패횟수]]+표2[[#This Row],[공격성공횟수]])</f>
        <v>0.5714285714285714</v>
      </c>
    </row>
    <row r="1891" spans="1:8" hidden="1" x14ac:dyDescent="0.4">
      <c r="A1891">
        <v>945</v>
      </c>
      <c r="B1891" t="s">
        <v>2</v>
      </c>
      <c r="C1891">
        <v>0</v>
      </c>
      <c r="D1891">
        <v>3</v>
      </c>
      <c r="E1891">
        <v>4</v>
      </c>
      <c r="F1891">
        <v>4</v>
      </c>
      <c r="G1891">
        <v>1</v>
      </c>
      <c r="H1891">
        <f>표2[[#This Row],[공격성공횟수]]/(표2[[#This Row],[공격실패횟수]]+표2[[#This Row],[공격성공횟수]])</f>
        <v>0.42857142857142855</v>
      </c>
    </row>
    <row r="1892" spans="1:8" x14ac:dyDescent="0.4">
      <c r="A1892">
        <v>946</v>
      </c>
      <c r="B1892" t="s">
        <v>0</v>
      </c>
      <c r="C1892">
        <v>1</v>
      </c>
      <c r="D1892">
        <v>4</v>
      </c>
      <c r="E1892">
        <v>12</v>
      </c>
      <c r="F1892">
        <v>1</v>
      </c>
      <c r="G1892">
        <v>0</v>
      </c>
      <c r="H1892">
        <f>표2[[#This Row],[공격성공횟수]]/(표2[[#This Row],[공격실패횟수]]+표2[[#This Row],[공격성공횟수]])</f>
        <v>0.25</v>
      </c>
    </row>
    <row r="1893" spans="1:8" hidden="1" x14ac:dyDescent="0.4">
      <c r="A1893">
        <v>946</v>
      </c>
      <c r="B1893" t="s">
        <v>2</v>
      </c>
      <c r="C1893">
        <v>0</v>
      </c>
      <c r="D1893">
        <v>1</v>
      </c>
      <c r="E1893">
        <v>16</v>
      </c>
      <c r="F1893">
        <v>4</v>
      </c>
      <c r="G1893">
        <v>1</v>
      </c>
      <c r="H1893">
        <f>표2[[#This Row],[공격성공횟수]]/(표2[[#This Row],[공격실패횟수]]+표2[[#This Row],[공격성공횟수]])</f>
        <v>5.8823529411764705E-2</v>
      </c>
    </row>
    <row r="1894" spans="1:8" x14ac:dyDescent="0.4">
      <c r="A1894">
        <v>947</v>
      </c>
      <c r="B1894" t="s">
        <v>0</v>
      </c>
      <c r="C1894">
        <v>1</v>
      </c>
      <c r="D1894">
        <v>4</v>
      </c>
      <c r="E1894">
        <v>11</v>
      </c>
      <c r="F1894">
        <v>3</v>
      </c>
      <c r="G1894">
        <v>0</v>
      </c>
      <c r="H1894">
        <f>표2[[#This Row],[공격성공횟수]]/(표2[[#This Row],[공격실패횟수]]+표2[[#This Row],[공격성공횟수]])</f>
        <v>0.26666666666666666</v>
      </c>
    </row>
    <row r="1895" spans="1:8" hidden="1" x14ac:dyDescent="0.4">
      <c r="A1895">
        <v>947</v>
      </c>
      <c r="B1895" t="s">
        <v>2</v>
      </c>
      <c r="C1895">
        <v>0</v>
      </c>
      <c r="D1895">
        <v>3</v>
      </c>
      <c r="E1895">
        <v>13</v>
      </c>
      <c r="F1895">
        <v>4</v>
      </c>
      <c r="G1895">
        <v>1</v>
      </c>
      <c r="H1895">
        <f>표2[[#This Row],[공격성공횟수]]/(표2[[#This Row],[공격실패횟수]]+표2[[#This Row],[공격성공횟수]])</f>
        <v>0.1875</v>
      </c>
    </row>
    <row r="1896" spans="1:8" x14ac:dyDescent="0.4">
      <c r="A1896">
        <v>948</v>
      </c>
      <c r="B1896" t="s">
        <v>0</v>
      </c>
      <c r="C1896">
        <v>1</v>
      </c>
      <c r="D1896">
        <v>4</v>
      </c>
      <c r="E1896">
        <v>17</v>
      </c>
      <c r="F1896">
        <v>2</v>
      </c>
      <c r="G1896">
        <v>0</v>
      </c>
      <c r="H1896">
        <f>표2[[#This Row],[공격성공횟수]]/(표2[[#This Row],[공격실패횟수]]+표2[[#This Row],[공격성공횟수]])</f>
        <v>0.19047619047619047</v>
      </c>
    </row>
    <row r="1897" spans="1:8" hidden="1" x14ac:dyDescent="0.4">
      <c r="A1897">
        <v>948</v>
      </c>
      <c r="B1897" t="s">
        <v>2</v>
      </c>
      <c r="C1897">
        <v>0</v>
      </c>
      <c r="D1897">
        <v>2</v>
      </c>
      <c r="E1897">
        <v>19</v>
      </c>
      <c r="F1897">
        <v>4</v>
      </c>
      <c r="G1897">
        <v>1</v>
      </c>
      <c r="H1897">
        <f>표2[[#This Row],[공격성공횟수]]/(표2[[#This Row],[공격실패횟수]]+표2[[#This Row],[공격성공횟수]])</f>
        <v>9.5238095238095233E-2</v>
      </c>
    </row>
    <row r="1898" spans="1:8" x14ac:dyDescent="0.4">
      <c r="A1898">
        <v>949</v>
      </c>
      <c r="B1898" t="s">
        <v>0</v>
      </c>
      <c r="C1898">
        <v>1</v>
      </c>
      <c r="D1898">
        <v>4</v>
      </c>
      <c r="E1898">
        <v>6</v>
      </c>
      <c r="F1898">
        <v>1</v>
      </c>
      <c r="G1898">
        <v>0</v>
      </c>
      <c r="H1898">
        <f>표2[[#This Row],[공격성공횟수]]/(표2[[#This Row],[공격실패횟수]]+표2[[#This Row],[공격성공횟수]])</f>
        <v>0.4</v>
      </c>
    </row>
    <row r="1899" spans="1:8" hidden="1" x14ac:dyDescent="0.4">
      <c r="A1899">
        <v>949</v>
      </c>
      <c r="B1899" t="s">
        <v>2</v>
      </c>
      <c r="C1899">
        <v>0</v>
      </c>
      <c r="D1899">
        <v>1</v>
      </c>
      <c r="E1899">
        <v>9</v>
      </c>
      <c r="F1899">
        <v>4</v>
      </c>
      <c r="G1899">
        <v>1</v>
      </c>
      <c r="H1899">
        <f>표2[[#This Row],[공격성공횟수]]/(표2[[#This Row],[공격실패횟수]]+표2[[#This Row],[공격성공횟수]])</f>
        <v>0.1</v>
      </c>
    </row>
    <row r="1900" spans="1:8" x14ac:dyDescent="0.4">
      <c r="A1900">
        <v>950</v>
      </c>
      <c r="B1900" t="s">
        <v>0</v>
      </c>
      <c r="C1900">
        <v>0</v>
      </c>
      <c r="D1900">
        <v>3</v>
      </c>
      <c r="E1900">
        <v>8</v>
      </c>
      <c r="F1900">
        <v>4</v>
      </c>
      <c r="G1900">
        <v>1</v>
      </c>
      <c r="H1900">
        <f>표2[[#This Row],[공격성공횟수]]/(표2[[#This Row],[공격실패횟수]]+표2[[#This Row],[공격성공횟수]])</f>
        <v>0.27272727272727271</v>
      </c>
    </row>
    <row r="1901" spans="1:8" hidden="1" x14ac:dyDescent="0.4">
      <c r="A1901">
        <v>950</v>
      </c>
      <c r="B1901" t="s">
        <v>2</v>
      </c>
      <c r="C1901">
        <v>1</v>
      </c>
      <c r="D1901">
        <v>4</v>
      </c>
      <c r="E1901">
        <v>9</v>
      </c>
      <c r="F1901">
        <v>3</v>
      </c>
      <c r="G1901">
        <v>0</v>
      </c>
      <c r="H1901">
        <f>표2[[#This Row],[공격성공횟수]]/(표2[[#This Row],[공격실패횟수]]+표2[[#This Row],[공격성공횟수]])</f>
        <v>0.30769230769230771</v>
      </c>
    </row>
    <row r="1902" spans="1:8" x14ac:dyDescent="0.4">
      <c r="A1902">
        <v>951</v>
      </c>
      <c r="B1902" t="s">
        <v>0</v>
      </c>
      <c r="C1902">
        <v>1</v>
      </c>
      <c r="D1902">
        <v>4</v>
      </c>
      <c r="E1902">
        <v>12</v>
      </c>
      <c r="F1902">
        <v>0</v>
      </c>
      <c r="G1902">
        <v>0</v>
      </c>
      <c r="H1902">
        <f>표2[[#This Row],[공격성공횟수]]/(표2[[#This Row],[공격실패횟수]]+표2[[#This Row],[공격성공횟수]])</f>
        <v>0.25</v>
      </c>
    </row>
    <row r="1903" spans="1:8" hidden="1" x14ac:dyDescent="0.4">
      <c r="A1903">
        <v>951</v>
      </c>
      <c r="B1903" t="s">
        <v>2</v>
      </c>
      <c r="C1903">
        <v>0</v>
      </c>
      <c r="D1903">
        <v>0</v>
      </c>
      <c r="E1903">
        <v>15</v>
      </c>
      <c r="F1903">
        <v>4</v>
      </c>
      <c r="G1903">
        <v>1</v>
      </c>
      <c r="H1903">
        <f>표2[[#This Row],[공격성공횟수]]/(표2[[#This Row],[공격실패횟수]]+표2[[#This Row],[공격성공횟수]])</f>
        <v>0</v>
      </c>
    </row>
    <row r="1904" spans="1:8" x14ac:dyDescent="0.4">
      <c r="A1904">
        <v>952</v>
      </c>
      <c r="B1904" t="s">
        <v>0</v>
      </c>
      <c r="C1904">
        <v>1</v>
      </c>
      <c r="D1904">
        <v>4</v>
      </c>
      <c r="E1904">
        <v>4</v>
      </c>
      <c r="F1904">
        <v>2</v>
      </c>
      <c r="G1904">
        <v>0</v>
      </c>
      <c r="H1904">
        <f>표2[[#This Row],[공격성공횟수]]/(표2[[#This Row],[공격실패횟수]]+표2[[#This Row],[공격성공횟수]])</f>
        <v>0.5</v>
      </c>
    </row>
    <row r="1905" spans="1:8" hidden="1" x14ac:dyDescent="0.4">
      <c r="A1905">
        <v>952</v>
      </c>
      <c r="B1905" t="s">
        <v>2</v>
      </c>
      <c r="C1905">
        <v>0</v>
      </c>
      <c r="D1905">
        <v>2</v>
      </c>
      <c r="E1905">
        <v>6</v>
      </c>
      <c r="F1905">
        <v>4</v>
      </c>
      <c r="G1905">
        <v>1</v>
      </c>
      <c r="H1905">
        <f>표2[[#This Row],[공격성공횟수]]/(표2[[#This Row],[공격실패횟수]]+표2[[#This Row],[공격성공횟수]])</f>
        <v>0.25</v>
      </c>
    </row>
    <row r="1906" spans="1:8" x14ac:dyDescent="0.4">
      <c r="A1906">
        <v>953</v>
      </c>
      <c r="B1906" t="s">
        <v>0</v>
      </c>
      <c r="C1906">
        <v>1</v>
      </c>
      <c r="D1906">
        <v>4</v>
      </c>
      <c r="E1906">
        <v>2</v>
      </c>
      <c r="F1906">
        <v>1</v>
      </c>
      <c r="G1906">
        <v>0</v>
      </c>
      <c r="H1906">
        <f>표2[[#This Row],[공격성공횟수]]/(표2[[#This Row],[공격실패횟수]]+표2[[#This Row],[공격성공횟수]])</f>
        <v>0.66666666666666663</v>
      </c>
    </row>
    <row r="1907" spans="1:8" hidden="1" x14ac:dyDescent="0.4">
      <c r="A1907">
        <v>953</v>
      </c>
      <c r="B1907" t="s">
        <v>2</v>
      </c>
      <c r="C1907">
        <v>0</v>
      </c>
      <c r="D1907">
        <v>1</v>
      </c>
      <c r="E1907">
        <v>5</v>
      </c>
      <c r="F1907">
        <v>4</v>
      </c>
      <c r="G1907">
        <v>1</v>
      </c>
      <c r="H1907">
        <f>표2[[#This Row],[공격성공횟수]]/(표2[[#This Row],[공격실패횟수]]+표2[[#This Row],[공격성공횟수]])</f>
        <v>0.16666666666666666</v>
      </c>
    </row>
    <row r="1908" spans="1:8" x14ac:dyDescent="0.4">
      <c r="A1908">
        <v>954</v>
      </c>
      <c r="B1908" t="s">
        <v>0</v>
      </c>
      <c r="C1908">
        <v>1</v>
      </c>
      <c r="D1908">
        <v>4</v>
      </c>
      <c r="E1908">
        <v>107</v>
      </c>
      <c r="F1908">
        <v>2</v>
      </c>
      <c r="G1908">
        <v>0</v>
      </c>
      <c r="H1908">
        <f>표2[[#This Row],[공격성공횟수]]/(표2[[#This Row],[공격실패횟수]]+표2[[#This Row],[공격성공횟수]])</f>
        <v>3.6036036036036036E-2</v>
      </c>
    </row>
    <row r="1909" spans="1:8" hidden="1" x14ac:dyDescent="0.4">
      <c r="A1909">
        <v>954</v>
      </c>
      <c r="B1909" t="s">
        <v>2</v>
      </c>
      <c r="C1909">
        <v>0</v>
      </c>
      <c r="D1909">
        <v>2</v>
      </c>
      <c r="E1909">
        <v>107</v>
      </c>
      <c r="F1909">
        <v>4</v>
      </c>
      <c r="G1909">
        <v>1</v>
      </c>
      <c r="H1909">
        <f>표2[[#This Row],[공격성공횟수]]/(표2[[#This Row],[공격실패횟수]]+표2[[#This Row],[공격성공횟수]])</f>
        <v>1.834862385321101E-2</v>
      </c>
    </row>
    <row r="1910" spans="1:8" x14ac:dyDescent="0.4">
      <c r="A1910">
        <v>955</v>
      </c>
      <c r="B1910" t="s">
        <v>0</v>
      </c>
      <c r="C1910">
        <v>1</v>
      </c>
      <c r="D1910">
        <v>4</v>
      </c>
      <c r="E1910">
        <v>5</v>
      </c>
      <c r="F1910">
        <v>1</v>
      </c>
      <c r="G1910">
        <v>0</v>
      </c>
      <c r="H1910">
        <f>표2[[#This Row],[공격성공횟수]]/(표2[[#This Row],[공격실패횟수]]+표2[[#This Row],[공격성공횟수]])</f>
        <v>0.44444444444444442</v>
      </c>
    </row>
    <row r="1911" spans="1:8" hidden="1" x14ac:dyDescent="0.4">
      <c r="A1911">
        <v>955</v>
      </c>
      <c r="B1911" t="s">
        <v>2</v>
      </c>
      <c r="C1911">
        <v>0</v>
      </c>
      <c r="D1911">
        <v>1</v>
      </c>
      <c r="E1911">
        <v>9</v>
      </c>
      <c r="F1911">
        <v>4</v>
      </c>
      <c r="G1911">
        <v>1</v>
      </c>
      <c r="H1911">
        <f>표2[[#This Row],[공격성공횟수]]/(표2[[#This Row],[공격실패횟수]]+표2[[#This Row],[공격성공횟수]])</f>
        <v>0.1</v>
      </c>
    </row>
    <row r="1912" spans="1:8" x14ac:dyDescent="0.4">
      <c r="A1912">
        <v>956</v>
      </c>
      <c r="B1912" t="s">
        <v>0</v>
      </c>
      <c r="C1912">
        <v>0</v>
      </c>
      <c r="D1912">
        <v>3</v>
      </c>
      <c r="E1912">
        <v>14</v>
      </c>
      <c r="F1912">
        <v>4</v>
      </c>
      <c r="G1912">
        <v>1</v>
      </c>
      <c r="H1912">
        <f>표2[[#This Row],[공격성공횟수]]/(표2[[#This Row],[공격실패횟수]]+표2[[#This Row],[공격성공횟수]])</f>
        <v>0.17647058823529413</v>
      </c>
    </row>
    <row r="1913" spans="1:8" hidden="1" x14ac:dyDescent="0.4">
      <c r="A1913">
        <v>956</v>
      </c>
      <c r="B1913" t="s">
        <v>2</v>
      </c>
      <c r="C1913">
        <v>1</v>
      </c>
      <c r="D1913">
        <v>4</v>
      </c>
      <c r="E1913">
        <v>14</v>
      </c>
      <c r="F1913">
        <v>3</v>
      </c>
      <c r="G1913">
        <v>0</v>
      </c>
      <c r="H1913">
        <f>표2[[#This Row],[공격성공횟수]]/(표2[[#This Row],[공격실패횟수]]+표2[[#This Row],[공격성공횟수]])</f>
        <v>0.22222222222222221</v>
      </c>
    </row>
    <row r="1914" spans="1:8" x14ac:dyDescent="0.4">
      <c r="A1914">
        <v>957</v>
      </c>
      <c r="B1914" t="s">
        <v>0</v>
      </c>
      <c r="C1914">
        <v>1</v>
      </c>
      <c r="D1914">
        <v>4</v>
      </c>
      <c r="E1914">
        <v>14</v>
      </c>
      <c r="F1914">
        <v>0</v>
      </c>
      <c r="G1914">
        <v>0</v>
      </c>
      <c r="H1914">
        <f>표2[[#This Row],[공격성공횟수]]/(표2[[#This Row],[공격실패횟수]]+표2[[#This Row],[공격성공횟수]])</f>
        <v>0.22222222222222221</v>
      </c>
    </row>
    <row r="1915" spans="1:8" hidden="1" x14ac:dyDescent="0.4">
      <c r="A1915">
        <v>957</v>
      </c>
      <c r="B1915" t="s">
        <v>2</v>
      </c>
      <c r="C1915">
        <v>0</v>
      </c>
      <c r="D1915">
        <v>0</v>
      </c>
      <c r="E1915">
        <v>17</v>
      </c>
      <c r="F1915">
        <v>4</v>
      </c>
      <c r="G1915">
        <v>1</v>
      </c>
      <c r="H1915">
        <f>표2[[#This Row],[공격성공횟수]]/(표2[[#This Row],[공격실패횟수]]+표2[[#This Row],[공격성공횟수]])</f>
        <v>0</v>
      </c>
    </row>
    <row r="1916" spans="1:8" x14ac:dyDescent="0.4">
      <c r="A1916">
        <v>958</v>
      </c>
      <c r="B1916" t="s">
        <v>0</v>
      </c>
      <c r="C1916">
        <v>0</v>
      </c>
      <c r="D1916">
        <v>1</v>
      </c>
      <c r="E1916">
        <v>9</v>
      </c>
      <c r="F1916">
        <v>4</v>
      </c>
      <c r="G1916">
        <v>1</v>
      </c>
      <c r="H1916">
        <f>표2[[#This Row],[공격성공횟수]]/(표2[[#This Row],[공격실패횟수]]+표2[[#This Row],[공격성공횟수]])</f>
        <v>0.1</v>
      </c>
    </row>
    <row r="1917" spans="1:8" hidden="1" x14ac:dyDescent="0.4">
      <c r="A1917">
        <v>958</v>
      </c>
      <c r="B1917" t="s">
        <v>2</v>
      </c>
      <c r="C1917">
        <v>1</v>
      </c>
      <c r="D1917">
        <v>4</v>
      </c>
      <c r="E1917">
        <v>8</v>
      </c>
      <c r="F1917">
        <v>1</v>
      </c>
      <c r="G1917">
        <v>0</v>
      </c>
      <c r="H1917">
        <f>표2[[#This Row],[공격성공횟수]]/(표2[[#This Row],[공격실패횟수]]+표2[[#This Row],[공격성공횟수]])</f>
        <v>0.33333333333333331</v>
      </c>
    </row>
    <row r="1918" spans="1:8" x14ac:dyDescent="0.4">
      <c r="A1918">
        <v>959</v>
      </c>
      <c r="B1918" t="s">
        <v>0</v>
      </c>
      <c r="C1918">
        <v>1</v>
      </c>
      <c r="D1918">
        <v>4</v>
      </c>
      <c r="E1918">
        <v>10</v>
      </c>
      <c r="F1918">
        <v>1</v>
      </c>
      <c r="G1918">
        <v>0</v>
      </c>
      <c r="H1918">
        <f>표2[[#This Row],[공격성공횟수]]/(표2[[#This Row],[공격실패횟수]]+표2[[#This Row],[공격성공횟수]])</f>
        <v>0.2857142857142857</v>
      </c>
    </row>
    <row r="1919" spans="1:8" hidden="1" x14ac:dyDescent="0.4">
      <c r="A1919">
        <v>959</v>
      </c>
      <c r="B1919" t="s">
        <v>2</v>
      </c>
      <c r="C1919">
        <v>0</v>
      </c>
      <c r="D1919">
        <v>1</v>
      </c>
      <c r="E1919">
        <v>12</v>
      </c>
      <c r="F1919">
        <v>4</v>
      </c>
      <c r="G1919">
        <v>1</v>
      </c>
      <c r="H1919">
        <f>표2[[#This Row],[공격성공횟수]]/(표2[[#This Row],[공격실패횟수]]+표2[[#This Row],[공격성공횟수]])</f>
        <v>7.6923076923076927E-2</v>
      </c>
    </row>
    <row r="1920" spans="1:8" x14ac:dyDescent="0.4">
      <c r="A1920">
        <v>960</v>
      </c>
      <c r="B1920" t="s">
        <v>0</v>
      </c>
      <c r="C1920">
        <v>1</v>
      </c>
      <c r="D1920">
        <v>4</v>
      </c>
      <c r="E1920">
        <v>37</v>
      </c>
      <c r="F1920">
        <v>1</v>
      </c>
      <c r="G1920">
        <v>0</v>
      </c>
      <c r="H1920">
        <f>표2[[#This Row],[공격성공횟수]]/(표2[[#This Row],[공격실패횟수]]+표2[[#This Row],[공격성공횟수]])</f>
        <v>9.7560975609756101E-2</v>
      </c>
    </row>
    <row r="1921" spans="1:8" hidden="1" x14ac:dyDescent="0.4">
      <c r="A1921">
        <v>960</v>
      </c>
      <c r="B1921" t="s">
        <v>2</v>
      </c>
      <c r="C1921">
        <v>0</v>
      </c>
      <c r="D1921">
        <v>1</v>
      </c>
      <c r="E1921">
        <v>40</v>
      </c>
      <c r="F1921">
        <v>4</v>
      </c>
      <c r="G1921">
        <v>1</v>
      </c>
      <c r="H1921">
        <f>표2[[#This Row],[공격성공횟수]]/(표2[[#This Row],[공격실패횟수]]+표2[[#This Row],[공격성공횟수]])</f>
        <v>2.4390243902439025E-2</v>
      </c>
    </row>
    <row r="1922" spans="1:8" x14ac:dyDescent="0.4">
      <c r="A1922">
        <v>961</v>
      </c>
      <c r="B1922" t="s">
        <v>0</v>
      </c>
      <c r="C1922">
        <v>1</v>
      </c>
      <c r="D1922">
        <v>4</v>
      </c>
      <c r="E1922">
        <v>45</v>
      </c>
      <c r="F1922">
        <v>1</v>
      </c>
      <c r="G1922">
        <v>0</v>
      </c>
      <c r="H1922">
        <f>표2[[#This Row],[공격성공횟수]]/(표2[[#This Row],[공격실패횟수]]+표2[[#This Row],[공격성공횟수]])</f>
        <v>8.1632653061224483E-2</v>
      </c>
    </row>
    <row r="1923" spans="1:8" hidden="1" x14ac:dyDescent="0.4">
      <c r="A1923">
        <v>961</v>
      </c>
      <c r="B1923" t="s">
        <v>2</v>
      </c>
      <c r="C1923">
        <v>0</v>
      </c>
      <c r="D1923">
        <v>1</v>
      </c>
      <c r="E1923">
        <v>48</v>
      </c>
      <c r="F1923">
        <v>4</v>
      </c>
      <c r="G1923">
        <v>1</v>
      </c>
      <c r="H1923">
        <f>표2[[#This Row],[공격성공횟수]]/(표2[[#This Row],[공격실패횟수]]+표2[[#This Row],[공격성공횟수]])</f>
        <v>2.0408163265306121E-2</v>
      </c>
    </row>
    <row r="1924" spans="1:8" x14ac:dyDescent="0.4">
      <c r="A1924">
        <v>962</v>
      </c>
      <c r="B1924" t="s">
        <v>0</v>
      </c>
      <c r="C1924">
        <v>1</v>
      </c>
      <c r="D1924">
        <v>4</v>
      </c>
      <c r="E1924">
        <v>16</v>
      </c>
      <c r="F1924">
        <v>3</v>
      </c>
      <c r="G1924">
        <v>0</v>
      </c>
      <c r="H1924">
        <f>표2[[#This Row],[공격성공횟수]]/(표2[[#This Row],[공격실패횟수]]+표2[[#This Row],[공격성공횟수]])</f>
        <v>0.2</v>
      </c>
    </row>
    <row r="1925" spans="1:8" hidden="1" x14ac:dyDescent="0.4">
      <c r="A1925">
        <v>962</v>
      </c>
      <c r="B1925" t="s">
        <v>2</v>
      </c>
      <c r="C1925">
        <v>0</v>
      </c>
      <c r="D1925">
        <v>3</v>
      </c>
      <c r="E1925">
        <v>14</v>
      </c>
      <c r="F1925">
        <v>4</v>
      </c>
      <c r="G1925">
        <v>1</v>
      </c>
      <c r="H1925">
        <f>표2[[#This Row],[공격성공횟수]]/(표2[[#This Row],[공격실패횟수]]+표2[[#This Row],[공격성공횟수]])</f>
        <v>0.17647058823529413</v>
      </c>
    </row>
    <row r="1926" spans="1:8" x14ac:dyDescent="0.4">
      <c r="A1926">
        <v>963</v>
      </c>
      <c r="B1926" t="s">
        <v>0</v>
      </c>
      <c r="C1926">
        <v>1</v>
      </c>
      <c r="D1926">
        <v>4</v>
      </c>
      <c r="E1926">
        <v>14</v>
      </c>
      <c r="F1926">
        <v>3</v>
      </c>
      <c r="G1926">
        <v>0</v>
      </c>
      <c r="H1926">
        <f>표2[[#This Row],[공격성공횟수]]/(표2[[#This Row],[공격실패횟수]]+표2[[#This Row],[공격성공횟수]])</f>
        <v>0.22222222222222221</v>
      </c>
    </row>
    <row r="1927" spans="1:8" hidden="1" x14ac:dyDescent="0.4">
      <c r="A1927">
        <v>963</v>
      </c>
      <c r="B1927" t="s">
        <v>2</v>
      </c>
      <c r="C1927">
        <v>0</v>
      </c>
      <c r="D1927">
        <v>3</v>
      </c>
      <c r="E1927">
        <v>15</v>
      </c>
      <c r="F1927">
        <v>4</v>
      </c>
      <c r="G1927">
        <v>1</v>
      </c>
      <c r="H1927">
        <f>표2[[#This Row],[공격성공횟수]]/(표2[[#This Row],[공격실패횟수]]+표2[[#This Row],[공격성공횟수]])</f>
        <v>0.16666666666666666</v>
      </c>
    </row>
    <row r="1928" spans="1:8" x14ac:dyDescent="0.4">
      <c r="A1928">
        <v>964</v>
      </c>
      <c r="B1928" t="s">
        <v>0</v>
      </c>
      <c r="C1928">
        <v>1</v>
      </c>
      <c r="D1928">
        <v>4</v>
      </c>
      <c r="E1928">
        <v>8</v>
      </c>
      <c r="F1928">
        <v>2</v>
      </c>
      <c r="G1928">
        <v>0</v>
      </c>
      <c r="H1928">
        <f>표2[[#This Row],[공격성공횟수]]/(표2[[#This Row],[공격실패횟수]]+표2[[#This Row],[공격성공횟수]])</f>
        <v>0.33333333333333331</v>
      </c>
    </row>
    <row r="1929" spans="1:8" hidden="1" x14ac:dyDescent="0.4">
      <c r="A1929">
        <v>964</v>
      </c>
      <c r="B1929" t="s">
        <v>2</v>
      </c>
      <c r="C1929">
        <v>0</v>
      </c>
      <c r="D1929">
        <v>2</v>
      </c>
      <c r="E1929">
        <v>10</v>
      </c>
      <c r="F1929">
        <v>4</v>
      </c>
      <c r="G1929">
        <v>1</v>
      </c>
      <c r="H1929">
        <f>표2[[#This Row],[공격성공횟수]]/(표2[[#This Row],[공격실패횟수]]+표2[[#This Row],[공격성공횟수]])</f>
        <v>0.16666666666666666</v>
      </c>
    </row>
    <row r="1930" spans="1:8" x14ac:dyDescent="0.4">
      <c r="A1930">
        <v>965</v>
      </c>
      <c r="B1930" t="s">
        <v>0</v>
      </c>
      <c r="C1930">
        <v>0</v>
      </c>
      <c r="D1930">
        <v>3</v>
      </c>
      <c r="E1930">
        <v>17</v>
      </c>
      <c r="F1930">
        <v>4</v>
      </c>
      <c r="G1930">
        <v>1</v>
      </c>
      <c r="H1930">
        <f>표2[[#This Row],[공격성공횟수]]/(표2[[#This Row],[공격실패횟수]]+표2[[#This Row],[공격성공횟수]])</f>
        <v>0.15</v>
      </c>
    </row>
    <row r="1931" spans="1:8" hidden="1" x14ac:dyDescent="0.4">
      <c r="A1931">
        <v>965</v>
      </c>
      <c r="B1931" t="s">
        <v>2</v>
      </c>
      <c r="C1931">
        <v>1</v>
      </c>
      <c r="D1931">
        <v>4</v>
      </c>
      <c r="E1931">
        <v>18</v>
      </c>
      <c r="F1931">
        <v>3</v>
      </c>
      <c r="G1931">
        <v>0</v>
      </c>
      <c r="H1931">
        <f>표2[[#This Row],[공격성공횟수]]/(표2[[#This Row],[공격실패횟수]]+표2[[#This Row],[공격성공횟수]])</f>
        <v>0.18181818181818182</v>
      </c>
    </row>
    <row r="1932" spans="1:8" x14ac:dyDescent="0.4">
      <c r="A1932">
        <v>966</v>
      </c>
      <c r="B1932" t="s">
        <v>0</v>
      </c>
      <c r="C1932">
        <v>1</v>
      </c>
      <c r="D1932">
        <v>4</v>
      </c>
      <c r="E1932">
        <v>29</v>
      </c>
      <c r="F1932">
        <v>1</v>
      </c>
      <c r="G1932">
        <v>0</v>
      </c>
      <c r="H1932">
        <f>표2[[#This Row],[공격성공횟수]]/(표2[[#This Row],[공격실패횟수]]+표2[[#This Row],[공격성공횟수]])</f>
        <v>0.12121212121212122</v>
      </c>
    </row>
    <row r="1933" spans="1:8" hidden="1" x14ac:dyDescent="0.4">
      <c r="A1933">
        <v>966</v>
      </c>
      <c r="B1933" t="s">
        <v>2</v>
      </c>
      <c r="C1933">
        <v>0</v>
      </c>
      <c r="D1933">
        <v>1</v>
      </c>
      <c r="E1933">
        <v>31</v>
      </c>
      <c r="F1933">
        <v>4</v>
      </c>
      <c r="G1933">
        <v>1</v>
      </c>
      <c r="H1933">
        <f>표2[[#This Row],[공격성공횟수]]/(표2[[#This Row],[공격실패횟수]]+표2[[#This Row],[공격성공횟수]])</f>
        <v>3.125E-2</v>
      </c>
    </row>
    <row r="1934" spans="1:8" x14ac:dyDescent="0.4">
      <c r="A1934">
        <v>967</v>
      </c>
      <c r="B1934" t="s">
        <v>0</v>
      </c>
      <c r="C1934">
        <v>1</v>
      </c>
      <c r="D1934">
        <v>4</v>
      </c>
      <c r="E1934">
        <v>4</v>
      </c>
      <c r="F1934">
        <v>3</v>
      </c>
      <c r="G1934">
        <v>0</v>
      </c>
      <c r="H1934">
        <f>표2[[#This Row],[공격성공횟수]]/(표2[[#This Row],[공격실패횟수]]+표2[[#This Row],[공격성공횟수]])</f>
        <v>0.5</v>
      </c>
    </row>
    <row r="1935" spans="1:8" hidden="1" x14ac:dyDescent="0.4">
      <c r="A1935">
        <v>967</v>
      </c>
      <c r="B1935" t="s">
        <v>2</v>
      </c>
      <c r="C1935">
        <v>0</v>
      </c>
      <c r="D1935">
        <v>3</v>
      </c>
      <c r="E1935">
        <v>5</v>
      </c>
      <c r="F1935">
        <v>4</v>
      </c>
      <c r="G1935">
        <v>1</v>
      </c>
      <c r="H1935">
        <f>표2[[#This Row],[공격성공횟수]]/(표2[[#This Row],[공격실패횟수]]+표2[[#This Row],[공격성공횟수]])</f>
        <v>0.375</v>
      </c>
    </row>
    <row r="1936" spans="1:8" x14ac:dyDescent="0.4">
      <c r="A1936">
        <v>968</v>
      </c>
      <c r="B1936" t="s">
        <v>0</v>
      </c>
      <c r="C1936">
        <v>1</v>
      </c>
      <c r="D1936">
        <v>4</v>
      </c>
      <c r="E1936">
        <v>42</v>
      </c>
      <c r="F1936">
        <v>0</v>
      </c>
      <c r="G1936">
        <v>0</v>
      </c>
      <c r="H1936">
        <f>표2[[#This Row],[공격성공횟수]]/(표2[[#This Row],[공격실패횟수]]+표2[[#This Row],[공격성공횟수]])</f>
        <v>8.6956521739130432E-2</v>
      </c>
    </row>
    <row r="1937" spans="1:8" hidden="1" x14ac:dyDescent="0.4">
      <c r="A1937">
        <v>968</v>
      </c>
      <c r="B1937" t="s">
        <v>2</v>
      </c>
      <c r="C1937">
        <v>0</v>
      </c>
      <c r="D1937">
        <v>0</v>
      </c>
      <c r="E1937">
        <v>45</v>
      </c>
      <c r="F1937">
        <v>4</v>
      </c>
      <c r="G1937">
        <v>1</v>
      </c>
      <c r="H1937">
        <f>표2[[#This Row],[공격성공횟수]]/(표2[[#This Row],[공격실패횟수]]+표2[[#This Row],[공격성공횟수]])</f>
        <v>0</v>
      </c>
    </row>
    <row r="1938" spans="1:8" x14ac:dyDescent="0.4">
      <c r="A1938">
        <v>969</v>
      </c>
      <c r="B1938" t="s">
        <v>0</v>
      </c>
      <c r="C1938">
        <v>1</v>
      </c>
      <c r="D1938">
        <v>4</v>
      </c>
      <c r="E1938">
        <v>17</v>
      </c>
      <c r="F1938">
        <v>2</v>
      </c>
      <c r="G1938">
        <v>0</v>
      </c>
      <c r="H1938">
        <f>표2[[#This Row],[공격성공횟수]]/(표2[[#This Row],[공격실패횟수]]+표2[[#This Row],[공격성공횟수]])</f>
        <v>0.19047619047619047</v>
      </c>
    </row>
    <row r="1939" spans="1:8" hidden="1" x14ac:dyDescent="0.4">
      <c r="A1939">
        <v>969</v>
      </c>
      <c r="B1939" t="s">
        <v>2</v>
      </c>
      <c r="C1939">
        <v>0</v>
      </c>
      <c r="D1939">
        <v>2</v>
      </c>
      <c r="E1939">
        <v>19</v>
      </c>
      <c r="F1939">
        <v>4</v>
      </c>
      <c r="G1939">
        <v>1</v>
      </c>
      <c r="H1939">
        <f>표2[[#This Row],[공격성공횟수]]/(표2[[#This Row],[공격실패횟수]]+표2[[#This Row],[공격성공횟수]])</f>
        <v>9.5238095238095233E-2</v>
      </c>
    </row>
    <row r="1940" spans="1:8" x14ac:dyDescent="0.4">
      <c r="A1940">
        <v>970</v>
      </c>
      <c r="B1940" t="s">
        <v>0</v>
      </c>
      <c r="C1940">
        <v>1</v>
      </c>
      <c r="D1940">
        <v>4</v>
      </c>
      <c r="E1940">
        <v>13</v>
      </c>
      <c r="F1940">
        <v>3</v>
      </c>
      <c r="G1940">
        <v>0</v>
      </c>
      <c r="H1940">
        <f>표2[[#This Row],[공격성공횟수]]/(표2[[#This Row],[공격실패횟수]]+표2[[#This Row],[공격성공횟수]])</f>
        <v>0.23529411764705882</v>
      </c>
    </row>
    <row r="1941" spans="1:8" hidden="1" x14ac:dyDescent="0.4">
      <c r="A1941">
        <v>970</v>
      </c>
      <c r="B1941" t="s">
        <v>2</v>
      </c>
      <c r="C1941">
        <v>0</v>
      </c>
      <c r="D1941">
        <v>3</v>
      </c>
      <c r="E1941">
        <v>14</v>
      </c>
      <c r="F1941">
        <v>4</v>
      </c>
      <c r="G1941">
        <v>1</v>
      </c>
      <c r="H1941">
        <f>표2[[#This Row],[공격성공횟수]]/(표2[[#This Row],[공격실패횟수]]+표2[[#This Row],[공격성공횟수]])</f>
        <v>0.17647058823529413</v>
      </c>
    </row>
    <row r="1942" spans="1:8" x14ac:dyDescent="0.4">
      <c r="A1942">
        <v>971</v>
      </c>
      <c r="B1942" t="s">
        <v>0</v>
      </c>
      <c r="C1942">
        <v>1</v>
      </c>
      <c r="D1942">
        <v>4</v>
      </c>
      <c r="E1942">
        <v>16</v>
      </c>
      <c r="F1942">
        <v>2</v>
      </c>
      <c r="G1942">
        <v>0</v>
      </c>
      <c r="H1942">
        <f>표2[[#This Row],[공격성공횟수]]/(표2[[#This Row],[공격실패횟수]]+표2[[#This Row],[공격성공횟수]])</f>
        <v>0.2</v>
      </c>
    </row>
    <row r="1943" spans="1:8" hidden="1" x14ac:dyDescent="0.4">
      <c r="A1943">
        <v>971</v>
      </c>
      <c r="B1943" t="s">
        <v>2</v>
      </c>
      <c r="C1943">
        <v>0</v>
      </c>
      <c r="D1943">
        <v>2</v>
      </c>
      <c r="E1943">
        <v>18</v>
      </c>
      <c r="F1943">
        <v>4</v>
      </c>
      <c r="G1943">
        <v>1</v>
      </c>
      <c r="H1943">
        <f>표2[[#This Row],[공격성공횟수]]/(표2[[#This Row],[공격실패횟수]]+표2[[#This Row],[공격성공횟수]])</f>
        <v>0.1</v>
      </c>
    </row>
    <row r="1944" spans="1:8" x14ac:dyDescent="0.4">
      <c r="A1944">
        <v>972</v>
      </c>
      <c r="B1944" t="s">
        <v>0</v>
      </c>
      <c r="C1944">
        <v>0</v>
      </c>
      <c r="D1944">
        <v>3</v>
      </c>
      <c r="E1944">
        <v>20</v>
      </c>
      <c r="F1944">
        <v>4</v>
      </c>
      <c r="G1944">
        <v>1</v>
      </c>
      <c r="H1944">
        <f>표2[[#This Row],[공격성공횟수]]/(표2[[#This Row],[공격실패횟수]]+표2[[#This Row],[공격성공횟수]])</f>
        <v>0.13043478260869565</v>
      </c>
    </row>
    <row r="1945" spans="1:8" hidden="1" x14ac:dyDescent="0.4">
      <c r="A1945">
        <v>972</v>
      </c>
      <c r="B1945" t="s">
        <v>2</v>
      </c>
      <c r="C1945">
        <v>1</v>
      </c>
      <c r="D1945">
        <v>4</v>
      </c>
      <c r="E1945">
        <v>21</v>
      </c>
      <c r="F1945">
        <v>3</v>
      </c>
      <c r="G1945">
        <v>0</v>
      </c>
      <c r="H1945">
        <f>표2[[#This Row],[공격성공횟수]]/(표2[[#This Row],[공격실패횟수]]+표2[[#This Row],[공격성공횟수]])</f>
        <v>0.16</v>
      </c>
    </row>
    <row r="1946" spans="1:8" x14ac:dyDescent="0.4">
      <c r="A1946">
        <v>973</v>
      </c>
      <c r="B1946" t="s">
        <v>0</v>
      </c>
      <c r="C1946">
        <v>1</v>
      </c>
      <c r="D1946">
        <v>4</v>
      </c>
      <c r="E1946">
        <v>2</v>
      </c>
      <c r="F1946">
        <v>0</v>
      </c>
      <c r="G1946">
        <v>0</v>
      </c>
      <c r="H1946">
        <f>표2[[#This Row],[공격성공횟수]]/(표2[[#This Row],[공격실패횟수]]+표2[[#This Row],[공격성공횟수]])</f>
        <v>0.66666666666666663</v>
      </c>
    </row>
    <row r="1947" spans="1:8" hidden="1" x14ac:dyDescent="0.4">
      <c r="A1947">
        <v>973</v>
      </c>
      <c r="B1947" t="s">
        <v>2</v>
      </c>
      <c r="C1947">
        <v>0</v>
      </c>
      <c r="D1947">
        <v>0</v>
      </c>
      <c r="E1947">
        <v>5</v>
      </c>
      <c r="F1947">
        <v>4</v>
      </c>
      <c r="G1947">
        <v>1</v>
      </c>
      <c r="H1947">
        <f>표2[[#This Row],[공격성공횟수]]/(표2[[#This Row],[공격실패횟수]]+표2[[#This Row],[공격성공횟수]])</f>
        <v>0</v>
      </c>
    </row>
    <row r="1948" spans="1:8" x14ac:dyDescent="0.4">
      <c r="A1948">
        <v>974</v>
      </c>
      <c r="B1948" t="s">
        <v>0</v>
      </c>
      <c r="C1948">
        <v>1</v>
      </c>
      <c r="D1948">
        <v>4</v>
      </c>
      <c r="E1948">
        <v>11</v>
      </c>
      <c r="F1948">
        <v>1</v>
      </c>
      <c r="G1948">
        <v>0</v>
      </c>
      <c r="H1948">
        <f>표2[[#This Row],[공격성공횟수]]/(표2[[#This Row],[공격실패횟수]]+표2[[#This Row],[공격성공횟수]])</f>
        <v>0.26666666666666666</v>
      </c>
    </row>
    <row r="1949" spans="1:8" hidden="1" x14ac:dyDescent="0.4">
      <c r="A1949">
        <v>974</v>
      </c>
      <c r="B1949" t="s">
        <v>2</v>
      </c>
      <c r="C1949">
        <v>0</v>
      </c>
      <c r="D1949">
        <v>1</v>
      </c>
      <c r="E1949">
        <v>14</v>
      </c>
      <c r="F1949">
        <v>4</v>
      </c>
      <c r="G1949">
        <v>1</v>
      </c>
      <c r="H1949">
        <f>표2[[#This Row],[공격성공횟수]]/(표2[[#This Row],[공격실패횟수]]+표2[[#This Row],[공격성공횟수]])</f>
        <v>6.6666666666666666E-2</v>
      </c>
    </row>
    <row r="1950" spans="1:8" x14ac:dyDescent="0.4">
      <c r="A1950">
        <v>975</v>
      </c>
      <c r="B1950" t="s">
        <v>0</v>
      </c>
      <c r="C1950">
        <v>0</v>
      </c>
      <c r="D1950">
        <v>2</v>
      </c>
      <c r="E1950">
        <v>115</v>
      </c>
      <c r="F1950">
        <v>3</v>
      </c>
      <c r="G1950">
        <v>0</v>
      </c>
      <c r="H1950">
        <f>표2[[#This Row],[공격성공횟수]]/(표2[[#This Row],[공격실패횟수]]+표2[[#This Row],[공격성공횟수]])</f>
        <v>1.7094017094017096E-2</v>
      </c>
    </row>
    <row r="1951" spans="1:8" hidden="1" x14ac:dyDescent="0.4">
      <c r="A1951">
        <v>975</v>
      </c>
      <c r="B1951" t="s">
        <v>2</v>
      </c>
      <c r="C1951">
        <v>0</v>
      </c>
      <c r="D1951">
        <v>3</v>
      </c>
      <c r="E1951">
        <v>112</v>
      </c>
      <c r="F1951">
        <v>2</v>
      </c>
      <c r="G1951">
        <v>0</v>
      </c>
      <c r="H1951">
        <f>표2[[#This Row],[공격성공횟수]]/(표2[[#This Row],[공격실패횟수]]+표2[[#This Row],[공격성공횟수]])</f>
        <v>2.6086956521739129E-2</v>
      </c>
    </row>
    <row r="1952" spans="1:8" x14ac:dyDescent="0.4">
      <c r="A1952">
        <v>976</v>
      </c>
      <c r="B1952" t="s">
        <v>0</v>
      </c>
      <c r="C1952">
        <v>1</v>
      </c>
      <c r="D1952">
        <v>4</v>
      </c>
      <c r="E1952">
        <v>19</v>
      </c>
      <c r="F1952">
        <v>3</v>
      </c>
      <c r="G1952">
        <v>0</v>
      </c>
      <c r="H1952">
        <f>표2[[#This Row],[공격성공횟수]]/(표2[[#This Row],[공격실패횟수]]+표2[[#This Row],[공격성공횟수]])</f>
        <v>0.17391304347826086</v>
      </c>
    </row>
    <row r="1953" spans="1:8" hidden="1" x14ac:dyDescent="0.4">
      <c r="A1953">
        <v>976</v>
      </c>
      <c r="B1953" t="s">
        <v>2</v>
      </c>
      <c r="C1953">
        <v>0</v>
      </c>
      <c r="D1953">
        <v>3</v>
      </c>
      <c r="E1953">
        <v>19</v>
      </c>
      <c r="F1953">
        <v>4</v>
      </c>
      <c r="G1953">
        <v>1</v>
      </c>
      <c r="H1953">
        <f>표2[[#This Row],[공격성공횟수]]/(표2[[#This Row],[공격실패횟수]]+표2[[#This Row],[공격성공횟수]])</f>
        <v>0.13636363636363635</v>
      </c>
    </row>
    <row r="1954" spans="1:8" x14ac:dyDescent="0.4">
      <c r="A1954">
        <v>977</v>
      </c>
      <c r="B1954" t="s">
        <v>0</v>
      </c>
      <c r="C1954">
        <v>1</v>
      </c>
      <c r="D1954">
        <v>4</v>
      </c>
      <c r="E1954">
        <v>24</v>
      </c>
      <c r="F1954">
        <v>0</v>
      </c>
      <c r="G1954">
        <v>0</v>
      </c>
      <c r="H1954">
        <f>표2[[#This Row],[공격성공횟수]]/(표2[[#This Row],[공격실패횟수]]+표2[[#This Row],[공격성공횟수]])</f>
        <v>0.14285714285714285</v>
      </c>
    </row>
    <row r="1955" spans="1:8" hidden="1" x14ac:dyDescent="0.4">
      <c r="A1955">
        <v>977</v>
      </c>
      <c r="B1955" t="s">
        <v>2</v>
      </c>
      <c r="C1955">
        <v>0</v>
      </c>
      <c r="D1955">
        <v>0</v>
      </c>
      <c r="E1955">
        <v>29</v>
      </c>
      <c r="F1955">
        <v>4</v>
      </c>
      <c r="G1955">
        <v>1</v>
      </c>
      <c r="H1955">
        <f>표2[[#This Row],[공격성공횟수]]/(표2[[#This Row],[공격실패횟수]]+표2[[#This Row],[공격성공횟수]])</f>
        <v>0</v>
      </c>
    </row>
    <row r="1956" spans="1:8" x14ac:dyDescent="0.4">
      <c r="A1956">
        <v>978</v>
      </c>
      <c r="B1956" t="s">
        <v>0</v>
      </c>
      <c r="C1956">
        <v>0</v>
      </c>
      <c r="D1956">
        <v>2</v>
      </c>
      <c r="E1956">
        <v>23</v>
      </c>
      <c r="F1956">
        <v>4</v>
      </c>
      <c r="G1956">
        <v>1</v>
      </c>
      <c r="H1956">
        <f>표2[[#This Row],[공격성공횟수]]/(표2[[#This Row],[공격실패횟수]]+표2[[#This Row],[공격성공횟수]])</f>
        <v>0.08</v>
      </c>
    </row>
    <row r="1957" spans="1:8" hidden="1" x14ac:dyDescent="0.4">
      <c r="A1957">
        <v>978</v>
      </c>
      <c r="B1957" t="s">
        <v>2</v>
      </c>
      <c r="C1957">
        <v>1</v>
      </c>
      <c r="D1957">
        <v>4</v>
      </c>
      <c r="E1957">
        <v>24</v>
      </c>
      <c r="F1957">
        <v>2</v>
      </c>
      <c r="G1957">
        <v>0</v>
      </c>
      <c r="H1957">
        <f>표2[[#This Row],[공격성공횟수]]/(표2[[#This Row],[공격실패횟수]]+표2[[#This Row],[공격성공횟수]])</f>
        <v>0.14285714285714285</v>
      </c>
    </row>
    <row r="1958" spans="1:8" x14ac:dyDescent="0.4">
      <c r="A1958">
        <v>979</v>
      </c>
      <c r="B1958" t="s">
        <v>0</v>
      </c>
      <c r="C1958">
        <v>1</v>
      </c>
      <c r="D1958">
        <v>4</v>
      </c>
      <c r="E1958">
        <v>33</v>
      </c>
      <c r="F1958">
        <v>1</v>
      </c>
      <c r="G1958">
        <v>0</v>
      </c>
      <c r="H1958">
        <f>표2[[#This Row],[공격성공횟수]]/(표2[[#This Row],[공격실패횟수]]+표2[[#This Row],[공격성공횟수]])</f>
        <v>0.10810810810810811</v>
      </c>
    </row>
    <row r="1959" spans="1:8" hidden="1" x14ac:dyDescent="0.4">
      <c r="A1959">
        <v>979</v>
      </c>
      <c r="B1959" t="s">
        <v>2</v>
      </c>
      <c r="C1959">
        <v>0</v>
      </c>
      <c r="D1959">
        <v>1</v>
      </c>
      <c r="E1959">
        <v>37</v>
      </c>
      <c r="F1959">
        <v>4</v>
      </c>
      <c r="G1959">
        <v>1</v>
      </c>
      <c r="H1959">
        <f>표2[[#This Row],[공격성공횟수]]/(표2[[#This Row],[공격실패횟수]]+표2[[#This Row],[공격성공횟수]])</f>
        <v>2.6315789473684209E-2</v>
      </c>
    </row>
    <row r="1960" spans="1:8" x14ac:dyDescent="0.4">
      <c r="A1960">
        <v>980</v>
      </c>
      <c r="B1960" t="s">
        <v>0</v>
      </c>
      <c r="C1960">
        <v>1</v>
      </c>
      <c r="D1960">
        <v>4</v>
      </c>
      <c r="E1960">
        <v>7</v>
      </c>
      <c r="F1960">
        <v>1</v>
      </c>
      <c r="G1960">
        <v>0</v>
      </c>
      <c r="H1960">
        <f>표2[[#This Row],[공격성공횟수]]/(표2[[#This Row],[공격실패횟수]]+표2[[#This Row],[공격성공횟수]])</f>
        <v>0.36363636363636365</v>
      </c>
    </row>
    <row r="1961" spans="1:8" hidden="1" x14ac:dyDescent="0.4">
      <c r="A1961">
        <v>980</v>
      </c>
      <c r="B1961" t="s">
        <v>2</v>
      </c>
      <c r="C1961">
        <v>0</v>
      </c>
      <c r="D1961">
        <v>1</v>
      </c>
      <c r="E1961">
        <v>10</v>
      </c>
      <c r="F1961">
        <v>4</v>
      </c>
      <c r="G1961">
        <v>1</v>
      </c>
      <c r="H1961">
        <f>표2[[#This Row],[공격성공횟수]]/(표2[[#This Row],[공격실패횟수]]+표2[[#This Row],[공격성공횟수]])</f>
        <v>9.0909090909090912E-2</v>
      </c>
    </row>
    <row r="1962" spans="1:8" x14ac:dyDescent="0.4">
      <c r="A1962">
        <v>981</v>
      </c>
      <c r="B1962" t="s">
        <v>0</v>
      </c>
      <c r="C1962">
        <v>1</v>
      </c>
      <c r="D1962">
        <v>4</v>
      </c>
      <c r="E1962">
        <v>6</v>
      </c>
      <c r="F1962">
        <v>3</v>
      </c>
      <c r="G1962">
        <v>0</v>
      </c>
      <c r="H1962">
        <f>표2[[#This Row],[공격성공횟수]]/(표2[[#This Row],[공격실패횟수]]+표2[[#This Row],[공격성공횟수]])</f>
        <v>0.4</v>
      </c>
    </row>
    <row r="1963" spans="1:8" hidden="1" x14ac:dyDescent="0.4">
      <c r="A1963">
        <v>981</v>
      </c>
      <c r="B1963" t="s">
        <v>2</v>
      </c>
      <c r="C1963">
        <v>0</v>
      </c>
      <c r="D1963">
        <v>3</v>
      </c>
      <c r="E1963">
        <v>8</v>
      </c>
      <c r="F1963">
        <v>4</v>
      </c>
      <c r="G1963">
        <v>1</v>
      </c>
      <c r="H1963">
        <f>표2[[#This Row],[공격성공횟수]]/(표2[[#This Row],[공격실패횟수]]+표2[[#This Row],[공격성공횟수]])</f>
        <v>0.27272727272727271</v>
      </c>
    </row>
    <row r="1964" spans="1:8" x14ac:dyDescent="0.4">
      <c r="A1964">
        <v>982</v>
      </c>
      <c r="B1964" t="s">
        <v>0</v>
      </c>
      <c r="C1964">
        <v>1</v>
      </c>
      <c r="D1964">
        <v>4</v>
      </c>
      <c r="E1964">
        <v>21</v>
      </c>
      <c r="F1964">
        <v>1</v>
      </c>
      <c r="G1964">
        <v>0</v>
      </c>
      <c r="H1964">
        <f>표2[[#This Row],[공격성공횟수]]/(표2[[#This Row],[공격실패횟수]]+표2[[#This Row],[공격성공횟수]])</f>
        <v>0.16</v>
      </c>
    </row>
    <row r="1965" spans="1:8" hidden="1" x14ac:dyDescent="0.4">
      <c r="A1965">
        <v>982</v>
      </c>
      <c r="B1965" t="s">
        <v>2</v>
      </c>
      <c r="C1965">
        <v>0</v>
      </c>
      <c r="D1965">
        <v>1</v>
      </c>
      <c r="E1965">
        <v>24</v>
      </c>
      <c r="F1965">
        <v>4</v>
      </c>
      <c r="G1965">
        <v>1</v>
      </c>
      <c r="H1965">
        <f>표2[[#This Row],[공격성공횟수]]/(표2[[#This Row],[공격실패횟수]]+표2[[#This Row],[공격성공횟수]])</f>
        <v>0.04</v>
      </c>
    </row>
    <row r="1966" spans="1:8" x14ac:dyDescent="0.4">
      <c r="A1966">
        <v>983</v>
      </c>
      <c r="B1966" t="s">
        <v>0</v>
      </c>
      <c r="C1966">
        <v>1</v>
      </c>
      <c r="D1966">
        <v>4</v>
      </c>
      <c r="E1966">
        <v>11</v>
      </c>
      <c r="F1966">
        <v>1</v>
      </c>
      <c r="G1966">
        <v>0</v>
      </c>
      <c r="H1966">
        <f>표2[[#This Row],[공격성공횟수]]/(표2[[#This Row],[공격실패횟수]]+표2[[#This Row],[공격성공횟수]])</f>
        <v>0.26666666666666666</v>
      </c>
    </row>
    <row r="1967" spans="1:8" hidden="1" x14ac:dyDescent="0.4">
      <c r="A1967">
        <v>983</v>
      </c>
      <c r="B1967" t="s">
        <v>2</v>
      </c>
      <c r="C1967">
        <v>0</v>
      </c>
      <c r="D1967">
        <v>1</v>
      </c>
      <c r="E1967">
        <v>14</v>
      </c>
      <c r="F1967">
        <v>4</v>
      </c>
      <c r="G1967">
        <v>1</v>
      </c>
      <c r="H1967">
        <f>표2[[#This Row],[공격성공횟수]]/(표2[[#This Row],[공격실패횟수]]+표2[[#This Row],[공격성공횟수]])</f>
        <v>6.6666666666666666E-2</v>
      </c>
    </row>
    <row r="1968" spans="1:8" x14ac:dyDescent="0.4">
      <c r="A1968">
        <v>984</v>
      </c>
      <c r="B1968" t="s">
        <v>0</v>
      </c>
      <c r="C1968">
        <v>1</v>
      </c>
      <c r="D1968">
        <v>4</v>
      </c>
      <c r="E1968">
        <v>3</v>
      </c>
      <c r="F1968">
        <v>0</v>
      </c>
      <c r="G1968">
        <v>0</v>
      </c>
      <c r="H1968">
        <f>표2[[#This Row],[공격성공횟수]]/(표2[[#This Row],[공격실패횟수]]+표2[[#This Row],[공격성공횟수]])</f>
        <v>0.5714285714285714</v>
      </c>
    </row>
    <row r="1969" spans="1:8" hidden="1" x14ac:dyDescent="0.4">
      <c r="A1969">
        <v>984</v>
      </c>
      <c r="B1969" t="s">
        <v>2</v>
      </c>
      <c r="C1969">
        <v>0</v>
      </c>
      <c r="D1969">
        <v>0</v>
      </c>
      <c r="E1969">
        <v>8</v>
      </c>
      <c r="F1969">
        <v>4</v>
      </c>
      <c r="G1969">
        <v>1</v>
      </c>
      <c r="H1969">
        <f>표2[[#This Row],[공격성공횟수]]/(표2[[#This Row],[공격실패횟수]]+표2[[#This Row],[공격성공횟수]])</f>
        <v>0</v>
      </c>
    </row>
    <row r="1970" spans="1:8" x14ac:dyDescent="0.4">
      <c r="A1970">
        <v>985</v>
      </c>
      <c r="B1970" t="s">
        <v>0</v>
      </c>
      <c r="C1970">
        <v>1</v>
      </c>
      <c r="D1970">
        <v>4</v>
      </c>
      <c r="E1970">
        <v>53</v>
      </c>
      <c r="F1970">
        <v>2</v>
      </c>
      <c r="G1970">
        <v>0</v>
      </c>
      <c r="H1970">
        <f>표2[[#This Row],[공격성공횟수]]/(표2[[#This Row],[공격실패횟수]]+표2[[#This Row],[공격성공횟수]])</f>
        <v>7.0175438596491224E-2</v>
      </c>
    </row>
    <row r="1971" spans="1:8" hidden="1" x14ac:dyDescent="0.4">
      <c r="A1971">
        <v>985</v>
      </c>
      <c r="B1971" t="s">
        <v>2</v>
      </c>
      <c r="C1971">
        <v>0</v>
      </c>
      <c r="D1971">
        <v>2</v>
      </c>
      <c r="E1971">
        <v>55</v>
      </c>
      <c r="F1971">
        <v>4</v>
      </c>
      <c r="G1971">
        <v>1</v>
      </c>
      <c r="H1971">
        <f>표2[[#This Row],[공격성공횟수]]/(표2[[#This Row],[공격실패횟수]]+표2[[#This Row],[공격성공횟수]])</f>
        <v>3.5087719298245612E-2</v>
      </c>
    </row>
    <row r="1972" spans="1:8" x14ac:dyDescent="0.4">
      <c r="A1972">
        <v>986</v>
      </c>
      <c r="B1972" t="s">
        <v>0</v>
      </c>
      <c r="C1972">
        <v>1</v>
      </c>
      <c r="D1972">
        <v>4</v>
      </c>
      <c r="E1972">
        <v>37</v>
      </c>
      <c r="F1972">
        <v>2</v>
      </c>
      <c r="G1972">
        <v>0</v>
      </c>
      <c r="H1972">
        <f>표2[[#This Row],[공격성공횟수]]/(표2[[#This Row],[공격실패횟수]]+표2[[#This Row],[공격성공횟수]])</f>
        <v>9.7560975609756101E-2</v>
      </c>
    </row>
    <row r="1973" spans="1:8" hidden="1" x14ac:dyDescent="0.4">
      <c r="A1973">
        <v>986</v>
      </c>
      <c r="B1973" t="s">
        <v>2</v>
      </c>
      <c r="C1973">
        <v>0</v>
      </c>
      <c r="D1973">
        <v>2</v>
      </c>
      <c r="E1973">
        <v>40</v>
      </c>
      <c r="F1973">
        <v>4</v>
      </c>
      <c r="G1973">
        <v>1</v>
      </c>
      <c r="H1973">
        <f>표2[[#This Row],[공격성공횟수]]/(표2[[#This Row],[공격실패횟수]]+표2[[#This Row],[공격성공횟수]])</f>
        <v>4.7619047619047616E-2</v>
      </c>
    </row>
    <row r="1974" spans="1:8" x14ac:dyDescent="0.4">
      <c r="A1974">
        <v>987</v>
      </c>
      <c r="B1974" t="s">
        <v>0</v>
      </c>
      <c r="C1974">
        <v>1</v>
      </c>
      <c r="D1974">
        <v>4</v>
      </c>
      <c r="E1974">
        <v>39</v>
      </c>
      <c r="F1974">
        <v>0</v>
      </c>
      <c r="G1974">
        <v>0</v>
      </c>
      <c r="H1974">
        <f>표2[[#This Row],[공격성공횟수]]/(표2[[#This Row],[공격실패횟수]]+표2[[#This Row],[공격성공횟수]])</f>
        <v>9.3023255813953487E-2</v>
      </c>
    </row>
    <row r="1975" spans="1:8" hidden="1" x14ac:dyDescent="0.4">
      <c r="A1975">
        <v>987</v>
      </c>
      <c r="B1975" t="s">
        <v>2</v>
      </c>
      <c r="C1975">
        <v>0</v>
      </c>
      <c r="D1975">
        <v>0</v>
      </c>
      <c r="E1975">
        <v>42</v>
      </c>
      <c r="F1975">
        <v>4</v>
      </c>
      <c r="G1975">
        <v>1</v>
      </c>
      <c r="H1975">
        <f>표2[[#This Row],[공격성공횟수]]/(표2[[#This Row],[공격실패횟수]]+표2[[#This Row],[공격성공횟수]])</f>
        <v>0</v>
      </c>
    </row>
    <row r="1976" spans="1:8" x14ac:dyDescent="0.4">
      <c r="A1976">
        <v>988</v>
      </c>
      <c r="B1976" t="s">
        <v>0</v>
      </c>
      <c r="C1976">
        <v>1</v>
      </c>
      <c r="D1976">
        <v>4</v>
      </c>
      <c r="E1976">
        <v>5</v>
      </c>
      <c r="F1976">
        <v>1</v>
      </c>
      <c r="G1976">
        <v>0</v>
      </c>
      <c r="H1976">
        <f>표2[[#This Row],[공격성공횟수]]/(표2[[#This Row],[공격실패횟수]]+표2[[#This Row],[공격성공횟수]])</f>
        <v>0.44444444444444442</v>
      </c>
    </row>
    <row r="1977" spans="1:8" hidden="1" x14ac:dyDescent="0.4">
      <c r="A1977">
        <v>988</v>
      </c>
      <c r="B1977" t="s">
        <v>2</v>
      </c>
      <c r="C1977">
        <v>0</v>
      </c>
      <c r="D1977">
        <v>1</v>
      </c>
      <c r="E1977">
        <v>9</v>
      </c>
      <c r="F1977">
        <v>4</v>
      </c>
      <c r="G1977">
        <v>1</v>
      </c>
      <c r="H1977">
        <f>표2[[#This Row],[공격성공횟수]]/(표2[[#This Row],[공격실패횟수]]+표2[[#This Row],[공격성공횟수]])</f>
        <v>0.1</v>
      </c>
    </row>
    <row r="1978" spans="1:8" x14ac:dyDescent="0.4">
      <c r="A1978">
        <v>989</v>
      </c>
      <c r="B1978" t="s">
        <v>0</v>
      </c>
      <c r="C1978">
        <v>1</v>
      </c>
      <c r="D1978">
        <v>4</v>
      </c>
      <c r="E1978">
        <v>8</v>
      </c>
      <c r="F1978">
        <v>3</v>
      </c>
      <c r="G1978">
        <v>0</v>
      </c>
      <c r="H1978">
        <f>표2[[#This Row],[공격성공횟수]]/(표2[[#This Row],[공격실패횟수]]+표2[[#This Row],[공격성공횟수]])</f>
        <v>0.33333333333333331</v>
      </c>
    </row>
    <row r="1979" spans="1:8" hidden="1" x14ac:dyDescent="0.4">
      <c r="A1979">
        <v>989</v>
      </c>
      <c r="B1979" t="s">
        <v>2</v>
      </c>
      <c r="C1979">
        <v>0</v>
      </c>
      <c r="D1979">
        <v>3</v>
      </c>
      <c r="E1979">
        <v>9</v>
      </c>
      <c r="F1979">
        <v>4</v>
      </c>
      <c r="G1979">
        <v>1</v>
      </c>
      <c r="H1979">
        <f>표2[[#This Row],[공격성공횟수]]/(표2[[#This Row],[공격실패횟수]]+표2[[#This Row],[공격성공횟수]])</f>
        <v>0.25</v>
      </c>
    </row>
    <row r="1980" spans="1:8" x14ac:dyDescent="0.4">
      <c r="A1980">
        <v>990</v>
      </c>
      <c r="B1980" t="s">
        <v>0</v>
      </c>
      <c r="C1980">
        <v>1</v>
      </c>
      <c r="D1980">
        <v>4</v>
      </c>
      <c r="E1980">
        <v>11</v>
      </c>
      <c r="F1980">
        <v>1</v>
      </c>
      <c r="G1980">
        <v>0</v>
      </c>
      <c r="H1980">
        <f>표2[[#This Row],[공격성공횟수]]/(표2[[#This Row],[공격실패횟수]]+표2[[#This Row],[공격성공횟수]])</f>
        <v>0.26666666666666666</v>
      </c>
    </row>
    <row r="1981" spans="1:8" hidden="1" x14ac:dyDescent="0.4">
      <c r="A1981">
        <v>990</v>
      </c>
      <c r="B1981" t="s">
        <v>2</v>
      </c>
      <c r="C1981">
        <v>0</v>
      </c>
      <c r="D1981">
        <v>1</v>
      </c>
      <c r="E1981">
        <v>14</v>
      </c>
      <c r="F1981">
        <v>4</v>
      </c>
      <c r="G1981">
        <v>1</v>
      </c>
      <c r="H1981">
        <f>표2[[#This Row],[공격성공횟수]]/(표2[[#This Row],[공격실패횟수]]+표2[[#This Row],[공격성공횟수]])</f>
        <v>6.6666666666666666E-2</v>
      </c>
    </row>
    <row r="1982" spans="1:8" x14ac:dyDescent="0.4">
      <c r="A1982">
        <v>991</v>
      </c>
      <c r="B1982" t="s">
        <v>0</v>
      </c>
      <c r="C1982">
        <v>1</v>
      </c>
      <c r="D1982">
        <v>4</v>
      </c>
      <c r="E1982">
        <v>23</v>
      </c>
      <c r="F1982">
        <v>1</v>
      </c>
      <c r="G1982">
        <v>0</v>
      </c>
      <c r="H1982">
        <f>표2[[#This Row],[공격성공횟수]]/(표2[[#This Row],[공격실패횟수]]+표2[[#This Row],[공격성공횟수]])</f>
        <v>0.14814814814814814</v>
      </c>
    </row>
    <row r="1983" spans="1:8" hidden="1" x14ac:dyDescent="0.4">
      <c r="A1983">
        <v>991</v>
      </c>
      <c r="B1983" t="s">
        <v>2</v>
      </c>
      <c r="C1983">
        <v>0</v>
      </c>
      <c r="D1983">
        <v>1</v>
      </c>
      <c r="E1983">
        <v>24</v>
      </c>
      <c r="F1983">
        <v>4</v>
      </c>
      <c r="G1983">
        <v>1</v>
      </c>
      <c r="H1983">
        <f>표2[[#This Row],[공격성공횟수]]/(표2[[#This Row],[공격실패횟수]]+표2[[#This Row],[공격성공횟수]])</f>
        <v>0.04</v>
      </c>
    </row>
    <row r="1984" spans="1:8" x14ac:dyDescent="0.4">
      <c r="A1984">
        <v>992</v>
      </c>
      <c r="B1984" t="s">
        <v>0</v>
      </c>
      <c r="C1984">
        <v>1</v>
      </c>
      <c r="D1984">
        <v>4</v>
      </c>
      <c r="E1984">
        <v>6</v>
      </c>
      <c r="F1984">
        <v>1</v>
      </c>
      <c r="G1984">
        <v>0</v>
      </c>
      <c r="H1984">
        <f>표2[[#This Row],[공격성공횟수]]/(표2[[#This Row],[공격실패횟수]]+표2[[#This Row],[공격성공횟수]])</f>
        <v>0.4</v>
      </c>
    </row>
    <row r="1985" spans="1:8" hidden="1" x14ac:dyDescent="0.4">
      <c r="A1985">
        <v>992</v>
      </c>
      <c r="B1985" t="s">
        <v>2</v>
      </c>
      <c r="C1985">
        <v>0</v>
      </c>
      <c r="D1985">
        <v>1</v>
      </c>
      <c r="E1985">
        <v>9</v>
      </c>
      <c r="F1985">
        <v>4</v>
      </c>
      <c r="G1985">
        <v>1</v>
      </c>
      <c r="H1985">
        <f>표2[[#This Row],[공격성공횟수]]/(표2[[#This Row],[공격실패횟수]]+표2[[#This Row],[공격성공횟수]])</f>
        <v>0.1</v>
      </c>
    </row>
    <row r="1986" spans="1:8" x14ac:dyDescent="0.4">
      <c r="A1986">
        <v>993</v>
      </c>
      <c r="B1986" t="s">
        <v>0</v>
      </c>
      <c r="C1986">
        <v>1</v>
      </c>
      <c r="D1986">
        <v>4</v>
      </c>
      <c r="E1986">
        <v>4</v>
      </c>
      <c r="F1986">
        <v>2</v>
      </c>
      <c r="G1986">
        <v>0</v>
      </c>
      <c r="H1986">
        <f>표2[[#This Row],[공격성공횟수]]/(표2[[#This Row],[공격실패횟수]]+표2[[#This Row],[공격성공횟수]])</f>
        <v>0.5</v>
      </c>
    </row>
    <row r="1987" spans="1:8" hidden="1" x14ac:dyDescent="0.4">
      <c r="A1987">
        <v>993</v>
      </c>
      <c r="B1987" t="s">
        <v>2</v>
      </c>
      <c r="C1987">
        <v>0</v>
      </c>
      <c r="D1987">
        <v>2</v>
      </c>
      <c r="E1987">
        <v>7</v>
      </c>
      <c r="F1987">
        <v>4</v>
      </c>
      <c r="G1987">
        <v>1</v>
      </c>
      <c r="H1987">
        <f>표2[[#This Row],[공격성공횟수]]/(표2[[#This Row],[공격실패횟수]]+표2[[#This Row],[공격성공횟수]])</f>
        <v>0.22222222222222221</v>
      </c>
    </row>
    <row r="1988" spans="1:8" x14ac:dyDescent="0.4">
      <c r="A1988">
        <v>994</v>
      </c>
      <c r="B1988" t="s">
        <v>0</v>
      </c>
      <c r="C1988">
        <v>0</v>
      </c>
      <c r="D1988">
        <v>2</v>
      </c>
      <c r="E1988">
        <v>4</v>
      </c>
      <c r="F1988">
        <v>4</v>
      </c>
      <c r="G1988">
        <v>1</v>
      </c>
      <c r="H1988">
        <f>표2[[#This Row],[공격성공횟수]]/(표2[[#This Row],[공격실패횟수]]+표2[[#This Row],[공격성공횟수]])</f>
        <v>0.33333333333333331</v>
      </c>
    </row>
    <row r="1989" spans="1:8" hidden="1" x14ac:dyDescent="0.4">
      <c r="A1989">
        <v>994</v>
      </c>
      <c r="B1989" t="s">
        <v>2</v>
      </c>
      <c r="C1989">
        <v>1</v>
      </c>
      <c r="D1989">
        <v>4</v>
      </c>
      <c r="E1989">
        <v>4</v>
      </c>
      <c r="F1989">
        <v>2</v>
      </c>
      <c r="G1989">
        <v>0</v>
      </c>
      <c r="H1989">
        <f>표2[[#This Row],[공격성공횟수]]/(표2[[#This Row],[공격실패횟수]]+표2[[#This Row],[공격성공횟수]])</f>
        <v>0.5</v>
      </c>
    </row>
    <row r="1990" spans="1:8" x14ac:dyDescent="0.4">
      <c r="A1990">
        <v>995</v>
      </c>
      <c r="B1990" t="s">
        <v>0</v>
      </c>
      <c r="C1990">
        <v>0</v>
      </c>
      <c r="D1990">
        <v>3</v>
      </c>
      <c r="E1990">
        <v>12</v>
      </c>
      <c r="F1990">
        <v>4</v>
      </c>
      <c r="G1990">
        <v>1</v>
      </c>
      <c r="H1990">
        <f>표2[[#This Row],[공격성공횟수]]/(표2[[#This Row],[공격실패횟수]]+표2[[#This Row],[공격성공횟수]])</f>
        <v>0.2</v>
      </c>
    </row>
    <row r="1991" spans="1:8" hidden="1" x14ac:dyDescent="0.4">
      <c r="A1991">
        <v>995</v>
      </c>
      <c r="B1991" t="s">
        <v>2</v>
      </c>
      <c r="C1991">
        <v>1</v>
      </c>
      <c r="D1991">
        <v>4</v>
      </c>
      <c r="E1991">
        <v>11</v>
      </c>
      <c r="F1991">
        <v>3</v>
      </c>
      <c r="G1991">
        <v>0</v>
      </c>
      <c r="H1991">
        <f>표2[[#This Row],[공격성공횟수]]/(표2[[#This Row],[공격실패횟수]]+표2[[#This Row],[공격성공횟수]])</f>
        <v>0.26666666666666666</v>
      </c>
    </row>
    <row r="1992" spans="1:8" x14ac:dyDescent="0.4">
      <c r="A1992">
        <v>996</v>
      </c>
      <c r="B1992" t="s">
        <v>0</v>
      </c>
      <c r="C1992">
        <v>1</v>
      </c>
      <c r="D1992">
        <v>4</v>
      </c>
      <c r="E1992">
        <v>51</v>
      </c>
      <c r="F1992">
        <v>3</v>
      </c>
      <c r="G1992">
        <v>0</v>
      </c>
      <c r="H1992">
        <f>표2[[#This Row],[공격성공횟수]]/(표2[[#This Row],[공격실패횟수]]+표2[[#This Row],[공격성공횟수]])</f>
        <v>7.2727272727272724E-2</v>
      </c>
    </row>
    <row r="1993" spans="1:8" hidden="1" x14ac:dyDescent="0.4">
      <c r="A1993">
        <v>996</v>
      </c>
      <c r="B1993" t="s">
        <v>2</v>
      </c>
      <c r="C1993">
        <v>0</v>
      </c>
      <c r="D1993">
        <v>3</v>
      </c>
      <c r="E1993">
        <v>50</v>
      </c>
      <c r="F1993">
        <v>4</v>
      </c>
      <c r="G1993">
        <v>1</v>
      </c>
      <c r="H1993">
        <f>표2[[#This Row],[공격성공횟수]]/(표2[[#This Row],[공격실패횟수]]+표2[[#This Row],[공격성공횟수]])</f>
        <v>5.6603773584905662E-2</v>
      </c>
    </row>
    <row r="1994" spans="1:8" x14ac:dyDescent="0.4">
      <c r="A1994">
        <v>997</v>
      </c>
      <c r="B1994" t="s">
        <v>0</v>
      </c>
      <c r="C1994">
        <v>1</v>
      </c>
      <c r="D1994">
        <v>4</v>
      </c>
      <c r="E1994">
        <v>5</v>
      </c>
      <c r="F1994">
        <v>0</v>
      </c>
      <c r="G1994">
        <v>0</v>
      </c>
      <c r="H1994">
        <f>표2[[#This Row],[공격성공횟수]]/(표2[[#This Row],[공격실패횟수]]+표2[[#This Row],[공격성공횟수]])</f>
        <v>0.44444444444444442</v>
      </c>
    </row>
    <row r="1995" spans="1:8" hidden="1" x14ac:dyDescent="0.4">
      <c r="A1995">
        <v>997</v>
      </c>
      <c r="B1995" t="s">
        <v>2</v>
      </c>
      <c r="C1995">
        <v>0</v>
      </c>
      <c r="D1995">
        <v>0</v>
      </c>
      <c r="E1995">
        <v>9</v>
      </c>
      <c r="F1995">
        <v>4</v>
      </c>
      <c r="G1995">
        <v>1</v>
      </c>
      <c r="H1995">
        <f>표2[[#This Row],[공격성공횟수]]/(표2[[#This Row],[공격실패횟수]]+표2[[#This Row],[공격성공횟수]])</f>
        <v>0</v>
      </c>
    </row>
    <row r="1996" spans="1:8" x14ac:dyDescent="0.4">
      <c r="A1996">
        <v>998</v>
      </c>
      <c r="B1996" t="s">
        <v>0</v>
      </c>
      <c r="C1996">
        <v>0</v>
      </c>
      <c r="D1996">
        <v>1</v>
      </c>
      <c r="E1996">
        <v>10</v>
      </c>
      <c r="F1996">
        <v>4</v>
      </c>
      <c r="G1996">
        <v>1</v>
      </c>
      <c r="H1996">
        <f>표2[[#This Row],[공격성공횟수]]/(표2[[#This Row],[공격실패횟수]]+표2[[#This Row],[공격성공횟수]])</f>
        <v>9.0909090909090912E-2</v>
      </c>
    </row>
    <row r="1997" spans="1:8" hidden="1" x14ac:dyDescent="0.4">
      <c r="A1997">
        <v>998</v>
      </c>
      <c r="B1997" t="s">
        <v>2</v>
      </c>
      <c r="C1997">
        <v>1</v>
      </c>
      <c r="D1997">
        <v>4</v>
      </c>
      <c r="E1997">
        <v>8</v>
      </c>
      <c r="F1997">
        <v>1</v>
      </c>
      <c r="G1997">
        <v>0</v>
      </c>
      <c r="H1997">
        <f>표2[[#This Row],[공격성공횟수]]/(표2[[#This Row],[공격실패횟수]]+표2[[#This Row],[공격성공횟수]])</f>
        <v>0.33333333333333331</v>
      </c>
    </row>
    <row r="1998" spans="1:8" x14ac:dyDescent="0.4">
      <c r="A1998">
        <v>999</v>
      </c>
      <c r="B1998" t="s">
        <v>0</v>
      </c>
      <c r="C1998">
        <v>0</v>
      </c>
      <c r="D1998">
        <v>2</v>
      </c>
      <c r="E1998">
        <v>14</v>
      </c>
      <c r="F1998">
        <v>4</v>
      </c>
      <c r="G1998">
        <v>1</v>
      </c>
      <c r="H1998">
        <f>표2[[#This Row],[공격성공횟수]]/(표2[[#This Row],[공격실패횟수]]+표2[[#This Row],[공격성공횟수]])</f>
        <v>0.125</v>
      </c>
    </row>
    <row r="1999" spans="1:8" hidden="1" x14ac:dyDescent="0.4">
      <c r="A1999">
        <v>999</v>
      </c>
      <c r="B1999" t="s">
        <v>2</v>
      </c>
      <c r="C1999">
        <v>1</v>
      </c>
      <c r="D1999">
        <v>4</v>
      </c>
      <c r="E1999">
        <v>12</v>
      </c>
      <c r="F1999">
        <v>2</v>
      </c>
      <c r="G1999">
        <v>0</v>
      </c>
      <c r="H1999">
        <f>표2[[#This Row],[공격성공횟수]]/(표2[[#This Row],[공격실패횟수]]+표2[[#This Row],[공격성공횟수]])</f>
        <v>0.25</v>
      </c>
    </row>
    <row r="2000" spans="1:8" x14ac:dyDescent="0.4">
      <c r="A2000">
        <v>1000</v>
      </c>
      <c r="B2000" t="s">
        <v>0</v>
      </c>
      <c r="C2000">
        <v>1</v>
      </c>
      <c r="D2000">
        <v>4</v>
      </c>
      <c r="E2000">
        <v>15</v>
      </c>
      <c r="F2000">
        <v>1</v>
      </c>
      <c r="G2000">
        <v>0</v>
      </c>
      <c r="H2000">
        <f>표2[[#This Row],[공격성공횟수]]/(표2[[#This Row],[공격실패횟수]]+표2[[#This Row],[공격성공횟수]])</f>
        <v>0.21052631578947367</v>
      </c>
    </row>
    <row r="2001" spans="1:10" hidden="1" x14ac:dyDescent="0.4">
      <c r="A2001">
        <v>1000</v>
      </c>
      <c r="B2001" t="s">
        <v>2</v>
      </c>
      <c r="C2001">
        <v>0</v>
      </c>
      <c r="D2001">
        <v>1</v>
      </c>
      <c r="E2001">
        <v>16</v>
      </c>
      <c r="F2001">
        <v>4</v>
      </c>
      <c r="G2001">
        <v>1</v>
      </c>
      <c r="H2001">
        <f>표2[[#This Row],[공격성공횟수]]/(표2[[#This Row],[공격실패횟수]]+표2[[#This Row],[공격성공횟수]])</f>
        <v>5.8823529411764705E-2</v>
      </c>
    </row>
    <row r="2002" spans="1:10" x14ac:dyDescent="0.4">
      <c r="C2002">
        <f xml:space="preserve"> SUBTOTAL(9,C1:C2001)</f>
        <v>797</v>
      </c>
      <c r="D2002">
        <f xml:space="preserve"> SUBTOTAL(9,D1:D2001)</f>
        <v>3560</v>
      </c>
      <c r="E2002">
        <f xml:space="preserve"> SUBTOTAL(9,E1:E2001)</f>
        <v>18974</v>
      </c>
      <c r="F2002">
        <f xml:space="preserve"> SUBTOTAL(9,F1:F2001)</f>
        <v>1900</v>
      </c>
      <c r="G2002">
        <f xml:space="preserve"> SUBTOTAL(9,G1:G2001)</f>
        <v>196</v>
      </c>
      <c r="I2002" t="s">
        <v>5</v>
      </c>
      <c r="J2002">
        <f xml:space="preserve"> 표2[[#Totals],[공격성공횟수]]+표2[[#Totals],[공격실패횟수]]</f>
        <v>22534</v>
      </c>
    </row>
    <row r="2003" spans="1:10" x14ac:dyDescent="0.4">
      <c r="H2003" t="s">
        <v>6</v>
      </c>
      <c r="I2003">
        <f>표2[[#Totals],[공격성공횟수]]/J2002</f>
        <v>0.15798349161267419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66D40-745F-4E6D-805B-AE1290DF3414}">
  <dimension ref="A1:J2003"/>
  <sheetViews>
    <sheetView topLeftCell="A1916" workbookViewId="0">
      <selection activeCell="H1986" sqref="H1986"/>
    </sheetView>
  </sheetViews>
  <sheetFormatPr defaultRowHeight="17.399999999999999" x14ac:dyDescent="0.4"/>
  <cols>
    <col min="6" max="6" width="8.69921875" customWidth="1"/>
  </cols>
  <sheetData>
    <row r="1" spans="1:8" x14ac:dyDescent="0.4">
      <c r="A1" t="s">
        <v>4</v>
      </c>
      <c r="B1" t="s">
        <v>31</v>
      </c>
      <c r="C1" t="s">
        <v>27</v>
      </c>
      <c r="D1" t="s">
        <v>23</v>
      </c>
      <c r="E1" t="s">
        <v>47</v>
      </c>
      <c r="F1" t="s">
        <v>25</v>
      </c>
      <c r="G1" t="s">
        <v>29</v>
      </c>
      <c r="H1" t="s">
        <v>21</v>
      </c>
    </row>
    <row r="2" spans="1:8" x14ac:dyDescent="0.4">
      <c r="A2">
        <v>1</v>
      </c>
      <c r="B2" t="s">
        <v>3</v>
      </c>
      <c r="C2">
        <v>1</v>
      </c>
      <c r="D2">
        <v>4</v>
      </c>
      <c r="E2">
        <v>7</v>
      </c>
      <c r="F2">
        <v>2</v>
      </c>
      <c r="G2">
        <v>0</v>
      </c>
      <c r="H2">
        <f>표3[[#This Row],[공격성공횟수]]/(표3[[#This Row],[공격실패횟수]]+표3[[#This Row],[공격성공횟수]])</f>
        <v>0.36363636363636365</v>
      </c>
    </row>
    <row r="3" spans="1:8" hidden="1" x14ac:dyDescent="0.4">
      <c r="A3">
        <v>1</v>
      </c>
      <c r="B3" t="s">
        <v>1</v>
      </c>
      <c r="C3">
        <v>0</v>
      </c>
      <c r="D3">
        <v>2</v>
      </c>
      <c r="E3">
        <v>9</v>
      </c>
      <c r="F3">
        <v>4</v>
      </c>
      <c r="G3">
        <v>1</v>
      </c>
      <c r="H3">
        <f>표3[[#This Row],[공격성공횟수]]/(표3[[#This Row],[공격실패횟수]]+표3[[#This Row],[공격성공횟수]])</f>
        <v>0.18181818181818182</v>
      </c>
    </row>
    <row r="4" spans="1:8" x14ac:dyDescent="0.4">
      <c r="A4">
        <v>2</v>
      </c>
      <c r="B4" t="s">
        <v>3</v>
      </c>
      <c r="C4">
        <v>1</v>
      </c>
      <c r="D4">
        <v>4</v>
      </c>
      <c r="E4">
        <v>8</v>
      </c>
      <c r="F4">
        <v>2</v>
      </c>
      <c r="G4">
        <v>0</v>
      </c>
      <c r="H4">
        <f>표3[[#This Row],[공격성공횟수]]/(표3[[#This Row],[공격실패횟수]]+표3[[#This Row],[공격성공횟수]])</f>
        <v>0.33333333333333331</v>
      </c>
    </row>
    <row r="5" spans="1:8" hidden="1" x14ac:dyDescent="0.4">
      <c r="A5">
        <v>2</v>
      </c>
      <c r="B5" t="s">
        <v>1</v>
      </c>
      <c r="C5">
        <v>0</v>
      </c>
      <c r="D5">
        <v>2</v>
      </c>
      <c r="E5">
        <v>9</v>
      </c>
      <c r="F5">
        <v>4</v>
      </c>
      <c r="G5">
        <v>1</v>
      </c>
      <c r="H5">
        <f>표3[[#This Row],[공격성공횟수]]/(표3[[#This Row],[공격실패횟수]]+표3[[#This Row],[공격성공횟수]])</f>
        <v>0.18181818181818182</v>
      </c>
    </row>
    <row r="6" spans="1:8" x14ac:dyDescent="0.4">
      <c r="A6">
        <v>3</v>
      </c>
      <c r="B6" t="s">
        <v>3</v>
      </c>
      <c r="C6">
        <v>0</v>
      </c>
      <c r="D6">
        <v>0</v>
      </c>
      <c r="E6">
        <v>6</v>
      </c>
      <c r="F6">
        <v>4</v>
      </c>
      <c r="G6">
        <v>1</v>
      </c>
      <c r="H6">
        <f>표3[[#This Row],[공격성공횟수]]/(표3[[#This Row],[공격실패횟수]]+표3[[#This Row],[공격성공횟수]])</f>
        <v>0</v>
      </c>
    </row>
    <row r="7" spans="1:8" hidden="1" x14ac:dyDescent="0.4">
      <c r="A7">
        <v>3</v>
      </c>
      <c r="B7" t="s">
        <v>1</v>
      </c>
      <c r="C7">
        <v>1</v>
      </c>
      <c r="D7">
        <v>4</v>
      </c>
      <c r="E7">
        <v>18</v>
      </c>
      <c r="F7">
        <v>0</v>
      </c>
      <c r="G7">
        <v>0</v>
      </c>
      <c r="H7">
        <f>표3[[#This Row],[공격성공횟수]]/(표3[[#This Row],[공격실패횟수]]+표3[[#This Row],[공격성공횟수]])</f>
        <v>0.18181818181818182</v>
      </c>
    </row>
    <row r="8" spans="1:8" x14ac:dyDescent="0.4">
      <c r="A8">
        <v>4</v>
      </c>
      <c r="B8" t="s">
        <v>3</v>
      </c>
      <c r="C8">
        <v>0</v>
      </c>
      <c r="D8">
        <v>1</v>
      </c>
      <c r="E8">
        <v>28</v>
      </c>
      <c r="F8">
        <v>4</v>
      </c>
      <c r="G8">
        <v>1</v>
      </c>
      <c r="H8">
        <f>표3[[#This Row],[공격성공횟수]]/(표3[[#This Row],[공격실패횟수]]+표3[[#This Row],[공격성공횟수]])</f>
        <v>3.4482758620689655E-2</v>
      </c>
    </row>
    <row r="9" spans="1:8" hidden="1" x14ac:dyDescent="0.4">
      <c r="A9">
        <v>4</v>
      </c>
      <c r="B9" t="s">
        <v>1</v>
      </c>
      <c r="C9">
        <v>1</v>
      </c>
      <c r="D9">
        <v>4</v>
      </c>
      <c r="E9">
        <v>30</v>
      </c>
      <c r="F9">
        <v>1</v>
      </c>
      <c r="G9">
        <v>0</v>
      </c>
      <c r="H9">
        <f>표3[[#This Row],[공격성공횟수]]/(표3[[#This Row],[공격실패횟수]]+표3[[#This Row],[공격성공횟수]])</f>
        <v>0.11764705882352941</v>
      </c>
    </row>
    <row r="10" spans="1:8" x14ac:dyDescent="0.4">
      <c r="A10">
        <v>5</v>
      </c>
      <c r="B10" t="s">
        <v>3</v>
      </c>
      <c r="C10">
        <v>1</v>
      </c>
      <c r="D10">
        <v>4</v>
      </c>
      <c r="E10">
        <v>12</v>
      </c>
      <c r="F10">
        <v>1</v>
      </c>
      <c r="G10">
        <v>0</v>
      </c>
      <c r="H10">
        <f>표3[[#This Row],[공격성공횟수]]/(표3[[#This Row],[공격실패횟수]]+표3[[#This Row],[공격성공횟수]])</f>
        <v>0.25</v>
      </c>
    </row>
    <row r="11" spans="1:8" hidden="1" x14ac:dyDescent="0.4">
      <c r="A11">
        <v>5</v>
      </c>
      <c r="B11" t="s">
        <v>1</v>
      </c>
      <c r="C11">
        <v>0</v>
      </c>
      <c r="D11">
        <v>1</v>
      </c>
      <c r="E11">
        <v>14</v>
      </c>
      <c r="F11">
        <v>4</v>
      </c>
      <c r="G11">
        <v>1</v>
      </c>
      <c r="H11">
        <f>표3[[#This Row],[공격성공횟수]]/(표3[[#This Row],[공격실패횟수]]+표3[[#This Row],[공격성공횟수]])</f>
        <v>6.6666666666666666E-2</v>
      </c>
    </row>
    <row r="12" spans="1:8" x14ac:dyDescent="0.4">
      <c r="A12">
        <v>6</v>
      </c>
      <c r="B12" t="s">
        <v>3</v>
      </c>
      <c r="C12">
        <v>1</v>
      </c>
      <c r="D12">
        <v>4</v>
      </c>
      <c r="E12">
        <v>10</v>
      </c>
      <c r="F12">
        <v>1</v>
      </c>
      <c r="G12">
        <v>0</v>
      </c>
      <c r="H12">
        <f>표3[[#This Row],[공격성공횟수]]/(표3[[#This Row],[공격실패횟수]]+표3[[#This Row],[공격성공횟수]])</f>
        <v>0.2857142857142857</v>
      </c>
    </row>
    <row r="13" spans="1:8" hidden="1" x14ac:dyDescent="0.4">
      <c r="A13">
        <v>6</v>
      </c>
      <c r="B13" t="s">
        <v>1</v>
      </c>
      <c r="C13">
        <v>0</v>
      </c>
      <c r="D13">
        <v>1</v>
      </c>
      <c r="E13">
        <v>12</v>
      </c>
      <c r="F13">
        <v>4</v>
      </c>
      <c r="G13">
        <v>1</v>
      </c>
      <c r="H13">
        <f>표3[[#This Row],[공격성공횟수]]/(표3[[#This Row],[공격실패횟수]]+표3[[#This Row],[공격성공횟수]])</f>
        <v>7.6923076923076927E-2</v>
      </c>
    </row>
    <row r="14" spans="1:8" x14ac:dyDescent="0.4">
      <c r="A14">
        <v>7</v>
      </c>
      <c r="B14" t="s">
        <v>3</v>
      </c>
      <c r="C14">
        <v>1</v>
      </c>
      <c r="D14">
        <v>4</v>
      </c>
      <c r="E14">
        <v>13</v>
      </c>
      <c r="F14">
        <v>1</v>
      </c>
      <c r="G14">
        <v>0</v>
      </c>
      <c r="H14">
        <f>표3[[#This Row],[공격성공횟수]]/(표3[[#This Row],[공격실패횟수]]+표3[[#This Row],[공격성공횟수]])</f>
        <v>0.23529411764705882</v>
      </c>
    </row>
    <row r="15" spans="1:8" hidden="1" x14ac:dyDescent="0.4">
      <c r="A15">
        <v>7</v>
      </c>
      <c r="B15" t="s">
        <v>1</v>
      </c>
      <c r="C15">
        <v>0</v>
      </c>
      <c r="D15">
        <v>1</v>
      </c>
      <c r="E15">
        <v>15</v>
      </c>
      <c r="F15">
        <v>4</v>
      </c>
      <c r="G15">
        <v>1</v>
      </c>
      <c r="H15">
        <f>표3[[#This Row],[공격성공횟수]]/(표3[[#This Row],[공격실패횟수]]+표3[[#This Row],[공격성공횟수]])</f>
        <v>6.25E-2</v>
      </c>
    </row>
    <row r="16" spans="1:8" x14ac:dyDescent="0.4">
      <c r="A16">
        <v>8</v>
      </c>
      <c r="B16" t="s">
        <v>3</v>
      </c>
      <c r="C16">
        <v>1</v>
      </c>
      <c r="D16">
        <v>4</v>
      </c>
      <c r="E16">
        <v>9</v>
      </c>
      <c r="F16">
        <v>1</v>
      </c>
      <c r="G16">
        <v>0</v>
      </c>
      <c r="H16">
        <f>표3[[#This Row],[공격성공횟수]]/(표3[[#This Row],[공격실패횟수]]+표3[[#This Row],[공격성공횟수]])</f>
        <v>0.30769230769230771</v>
      </c>
    </row>
    <row r="17" spans="1:8" hidden="1" x14ac:dyDescent="0.4">
      <c r="A17">
        <v>8</v>
      </c>
      <c r="B17" t="s">
        <v>1</v>
      </c>
      <c r="C17">
        <v>0</v>
      </c>
      <c r="D17">
        <v>1</v>
      </c>
      <c r="E17">
        <v>12</v>
      </c>
      <c r="F17">
        <v>4</v>
      </c>
      <c r="G17">
        <v>1</v>
      </c>
      <c r="H17">
        <f>표3[[#This Row],[공격성공횟수]]/(표3[[#This Row],[공격실패횟수]]+표3[[#This Row],[공격성공횟수]])</f>
        <v>7.6923076923076927E-2</v>
      </c>
    </row>
    <row r="18" spans="1:8" x14ac:dyDescent="0.4">
      <c r="A18">
        <v>9</v>
      </c>
      <c r="B18" t="s">
        <v>3</v>
      </c>
      <c r="C18">
        <v>1</v>
      </c>
      <c r="D18">
        <v>4</v>
      </c>
      <c r="E18">
        <v>16</v>
      </c>
      <c r="F18">
        <v>1</v>
      </c>
      <c r="G18">
        <v>0</v>
      </c>
      <c r="H18">
        <f>표3[[#This Row],[공격성공횟수]]/(표3[[#This Row],[공격실패횟수]]+표3[[#This Row],[공격성공횟수]])</f>
        <v>0.2</v>
      </c>
    </row>
    <row r="19" spans="1:8" hidden="1" x14ac:dyDescent="0.4">
      <c r="A19">
        <v>9</v>
      </c>
      <c r="B19" t="s">
        <v>1</v>
      </c>
      <c r="C19">
        <v>0</v>
      </c>
      <c r="D19">
        <v>1</v>
      </c>
      <c r="E19">
        <v>17</v>
      </c>
      <c r="F19">
        <v>4</v>
      </c>
      <c r="G19">
        <v>1</v>
      </c>
      <c r="H19">
        <f>표3[[#This Row],[공격성공횟수]]/(표3[[#This Row],[공격실패횟수]]+표3[[#This Row],[공격성공횟수]])</f>
        <v>5.5555555555555552E-2</v>
      </c>
    </row>
    <row r="20" spans="1:8" x14ac:dyDescent="0.4">
      <c r="A20">
        <v>10</v>
      </c>
      <c r="B20" t="s">
        <v>3</v>
      </c>
      <c r="C20">
        <v>1</v>
      </c>
      <c r="D20">
        <v>4</v>
      </c>
      <c r="E20">
        <v>9</v>
      </c>
      <c r="F20">
        <v>0</v>
      </c>
      <c r="G20">
        <v>0</v>
      </c>
      <c r="H20">
        <f>표3[[#This Row],[공격성공횟수]]/(표3[[#This Row],[공격실패횟수]]+표3[[#This Row],[공격성공횟수]])</f>
        <v>0.30769230769230771</v>
      </c>
    </row>
    <row r="21" spans="1:8" hidden="1" x14ac:dyDescent="0.4">
      <c r="A21">
        <v>10</v>
      </c>
      <c r="B21" t="s">
        <v>1</v>
      </c>
      <c r="C21">
        <v>0</v>
      </c>
      <c r="D21">
        <v>0</v>
      </c>
      <c r="E21">
        <v>13</v>
      </c>
      <c r="F21">
        <v>4</v>
      </c>
      <c r="G21">
        <v>1</v>
      </c>
      <c r="H21">
        <f>표3[[#This Row],[공격성공횟수]]/(표3[[#This Row],[공격실패횟수]]+표3[[#This Row],[공격성공횟수]])</f>
        <v>0</v>
      </c>
    </row>
    <row r="22" spans="1:8" x14ac:dyDescent="0.4">
      <c r="A22">
        <v>11</v>
      </c>
      <c r="B22" t="s">
        <v>3</v>
      </c>
      <c r="C22">
        <v>1</v>
      </c>
      <c r="D22">
        <v>4</v>
      </c>
      <c r="E22">
        <v>15</v>
      </c>
      <c r="F22">
        <v>2</v>
      </c>
      <c r="G22">
        <v>0</v>
      </c>
      <c r="H22">
        <f>표3[[#This Row],[공격성공횟수]]/(표3[[#This Row],[공격실패횟수]]+표3[[#This Row],[공격성공횟수]])</f>
        <v>0.21052631578947367</v>
      </c>
    </row>
    <row r="23" spans="1:8" hidden="1" x14ac:dyDescent="0.4">
      <c r="A23">
        <v>11</v>
      </c>
      <c r="B23" t="s">
        <v>1</v>
      </c>
      <c r="C23">
        <v>0</v>
      </c>
      <c r="D23">
        <v>2</v>
      </c>
      <c r="E23">
        <v>16</v>
      </c>
      <c r="F23">
        <v>4</v>
      </c>
      <c r="G23">
        <v>1</v>
      </c>
      <c r="H23">
        <f>표3[[#This Row],[공격성공횟수]]/(표3[[#This Row],[공격실패횟수]]+표3[[#This Row],[공격성공횟수]])</f>
        <v>0.1111111111111111</v>
      </c>
    </row>
    <row r="24" spans="1:8" x14ac:dyDescent="0.4">
      <c r="A24">
        <v>12</v>
      </c>
      <c r="B24" t="s">
        <v>3</v>
      </c>
      <c r="C24">
        <v>1</v>
      </c>
      <c r="D24">
        <v>4</v>
      </c>
      <c r="E24">
        <v>8</v>
      </c>
      <c r="F24">
        <v>2</v>
      </c>
      <c r="G24">
        <v>0</v>
      </c>
      <c r="H24">
        <f>표3[[#This Row],[공격성공횟수]]/(표3[[#This Row],[공격실패횟수]]+표3[[#This Row],[공격성공횟수]])</f>
        <v>0.33333333333333331</v>
      </c>
    </row>
    <row r="25" spans="1:8" hidden="1" x14ac:dyDescent="0.4">
      <c r="A25">
        <v>12</v>
      </c>
      <c r="B25" t="s">
        <v>1</v>
      </c>
      <c r="C25">
        <v>0</v>
      </c>
      <c r="D25">
        <v>2</v>
      </c>
      <c r="E25">
        <v>10</v>
      </c>
      <c r="F25">
        <v>4</v>
      </c>
      <c r="G25">
        <v>1</v>
      </c>
      <c r="H25">
        <f>표3[[#This Row],[공격성공횟수]]/(표3[[#This Row],[공격실패횟수]]+표3[[#This Row],[공격성공횟수]])</f>
        <v>0.16666666666666666</v>
      </c>
    </row>
    <row r="26" spans="1:8" x14ac:dyDescent="0.4">
      <c r="A26">
        <v>13</v>
      </c>
      <c r="B26" t="s">
        <v>3</v>
      </c>
      <c r="C26">
        <v>0</v>
      </c>
      <c r="D26">
        <v>0</v>
      </c>
      <c r="E26">
        <v>16</v>
      </c>
      <c r="F26">
        <v>4</v>
      </c>
      <c r="G26">
        <v>1</v>
      </c>
      <c r="H26">
        <f>표3[[#This Row],[공격성공횟수]]/(표3[[#This Row],[공격실패횟수]]+표3[[#This Row],[공격성공횟수]])</f>
        <v>0</v>
      </c>
    </row>
    <row r="27" spans="1:8" hidden="1" x14ac:dyDescent="0.4">
      <c r="A27">
        <v>13</v>
      </c>
      <c r="B27" t="s">
        <v>1</v>
      </c>
      <c r="C27">
        <v>1</v>
      </c>
      <c r="D27">
        <v>4</v>
      </c>
      <c r="E27">
        <v>16</v>
      </c>
      <c r="F27">
        <v>0</v>
      </c>
      <c r="G27">
        <v>0</v>
      </c>
      <c r="H27">
        <f>표3[[#This Row],[공격성공횟수]]/(표3[[#This Row],[공격실패횟수]]+표3[[#This Row],[공격성공횟수]])</f>
        <v>0.2</v>
      </c>
    </row>
    <row r="28" spans="1:8" x14ac:dyDescent="0.4">
      <c r="A28">
        <v>14</v>
      </c>
      <c r="B28" t="s">
        <v>3</v>
      </c>
      <c r="C28">
        <v>1</v>
      </c>
      <c r="D28">
        <v>4</v>
      </c>
      <c r="E28">
        <v>22</v>
      </c>
      <c r="F28">
        <v>0</v>
      </c>
      <c r="G28">
        <v>0</v>
      </c>
      <c r="H28">
        <f>표3[[#This Row],[공격성공횟수]]/(표3[[#This Row],[공격실패횟수]]+표3[[#This Row],[공격성공횟수]])</f>
        <v>0.15384615384615385</v>
      </c>
    </row>
    <row r="29" spans="1:8" hidden="1" x14ac:dyDescent="0.4">
      <c r="A29">
        <v>14</v>
      </c>
      <c r="B29" t="s">
        <v>1</v>
      </c>
      <c r="C29">
        <v>0</v>
      </c>
      <c r="D29">
        <v>0</v>
      </c>
      <c r="E29">
        <v>24</v>
      </c>
      <c r="F29">
        <v>4</v>
      </c>
      <c r="G29">
        <v>1</v>
      </c>
      <c r="H29">
        <f>표3[[#This Row],[공격성공횟수]]/(표3[[#This Row],[공격실패횟수]]+표3[[#This Row],[공격성공횟수]])</f>
        <v>0</v>
      </c>
    </row>
    <row r="30" spans="1:8" x14ac:dyDescent="0.4">
      <c r="A30">
        <v>15</v>
      </c>
      <c r="B30" t="s">
        <v>3</v>
      </c>
      <c r="C30">
        <v>1</v>
      </c>
      <c r="D30">
        <v>4</v>
      </c>
      <c r="E30">
        <v>6</v>
      </c>
      <c r="F30">
        <v>1</v>
      </c>
      <c r="G30">
        <v>0</v>
      </c>
      <c r="H30">
        <f>표3[[#This Row],[공격성공횟수]]/(표3[[#This Row],[공격실패횟수]]+표3[[#This Row],[공격성공횟수]])</f>
        <v>0.4</v>
      </c>
    </row>
    <row r="31" spans="1:8" hidden="1" x14ac:dyDescent="0.4">
      <c r="A31">
        <v>15</v>
      </c>
      <c r="B31" t="s">
        <v>1</v>
      </c>
      <c r="C31">
        <v>0</v>
      </c>
      <c r="D31">
        <v>1</v>
      </c>
      <c r="E31">
        <v>8</v>
      </c>
      <c r="F31">
        <v>4</v>
      </c>
      <c r="G31">
        <v>1</v>
      </c>
      <c r="H31">
        <f>표3[[#This Row],[공격성공횟수]]/(표3[[#This Row],[공격실패횟수]]+표3[[#This Row],[공격성공횟수]])</f>
        <v>0.1111111111111111</v>
      </c>
    </row>
    <row r="32" spans="1:8" x14ac:dyDescent="0.4">
      <c r="A32">
        <v>16</v>
      </c>
      <c r="B32" t="s">
        <v>3</v>
      </c>
      <c r="C32">
        <v>1</v>
      </c>
      <c r="D32">
        <v>4</v>
      </c>
      <c r="E32">
        <v>5</v>
      </c>
      <c r="F32">
        <v>3</v>
      </c>
      <c r="G32">
        <v>0</v>
      </c>
      <c r="H32">
        <f>표3[[#This Row],[공격성공횟수]]/(표3[[#This Row],[공격실패횟수]]+표3[[#This Row],[공격성공횟수]])</f>
        <v>0.44444444444444442</v>
      </c>
    </row>
    <row r="33" spans="1:8" hidden="1" x14ac:dyDescent="0.4">
      <c r="A33">
        <v>16</v>
      </c>
      <c r="B33" t="s">
        <v>1</v>
      </c>
      <c r="C33">
        <v>0</v>
      </c>
      <c r="D33">
        <v>3</v>
      </c>
      <c r="E33">
        <v>6</v>
      </c>
      <c r="F33">
        <v>4</v>
      </c>
      <c r="G33">
        <v>1</v>
      </c>
      <c r="H33">
        <f>표3[[#This Row],[공격성공횟수]]/(표3[[#This Row],[공격실패횟수]]+표3[[#This Row],[공격성공횟수]])</f>
        <v>0.33333333333333331</v>
      </c>
    </row>
    <row r="34" spans="1:8" x14ac:dyDescent="0.4">
      <c r="A34">
        <v>17</v>
      </c>
      <c r="B34" t="s">
        <v>3</v>
      </c>
      <c r="C34">
        <v>0</v>
      </c>
      <c r="D34">
        <v>0</v>
      </c>
      <c r="E34">
        <v>24</v>
      </c>
      <c r="F34">
        <v>4</v>
      </c>
      <c r="G34">
        <v>1</v>
      </c>
      <c r="H34">
        <f>표3[[#This Row],[공격성공횟수]]/(표3[[#This Row],[공격실패횟수]]+표3[[#This Row],[공격성공횟수]])</f>
        <v>0</v>
      </c>
    </row>
    <row r="35" spans="1:8" hidden="1" x14ac:dyDescent="0.4">
      <c r="A35">
        <v>17</v>
      </c>
      <c r="B35" t="s">
        <v>1</v>
      </c>
      <c r="C35">
        <v>1</v>
      </c>
      <c r="D35">
        <v>4</v>
      </c>
      <c r="E35">
        <v>29</v>
      </c>
      <c r="F35">
        <v>0</v>
      </c>
      <c r="G35">
        <v>0</v>
      </c>
      <c r="H35">
        <f>표3[[#This Row],[공격성공횟수]]/(표3[[#This Row],[공격실패횟수]]+표3[[#This Row],[공격성공횟수]])</f>
        <v>0.12121212121212122</v>
      </c>
    </row>
    <row r="36" spans="1:8" x14ac:dyDescent="0.4">
      <c r="A36">
        <v>18</v>
      </c>
      <c r="B36" t="s">
        <v>3</v>
      </c>
      <c r="C36">
        <v>1</v>
      </c>
      <c r="D36">
        <v>4</v>
      </c>
      <c r="E36">
        <v>6</v>
      </c>
      <c r="F36">
        <v>1</v>
      </c>
      <c r="G36">
        <v>0</v>
      </c>
      <c r="H36">
        <f>표3[[#This Row],[공격성공횟수]]/(표3[[#This Row],[공격실패횟수]]+표3[[#This Row],[공격성공횟수]])</f>
        <v>0.4</v>
      </c>
    </row>
    <row r="37" spans="1:8" hidden="1" x14ac:dyDescent="0.4">
      <c r="A37">
        <v>18</v>
      </c>
      <c r="B37" t="s">
        <v>1</v>
      </c>
      <c r="C37">
        <v>0</v>
      </c>
      <c r="D37">
        <v>1</v>
      </c>
      <c r="E37">
        <v>8</v>
      </c>
      <c r="F37">
        <v>4</v>
      </c>
      <c r="G37">
        <v>1</v>
      </c>
      <c r="H37">
        <f>표3[[#This Row],[공격성공횟수]]/(표3[[#This Row],[공격실패횟수]]+표3[[#This Row],[공격성공횟수]])</f>
        <v>0.1111111111111111</v>
      </c>
    </row>
    <row r="38" spans="1:8" x14ac:dyDescent="0.4">
      <c r="A38">
        <v>19</v>
      </c>
      <c r="B38" t="s">
        <v>3</v>
      </c>
      <c r="C38">
        <v>1</v>
      </c>
      <c r="D38">
        <v>4</v>
      </c>
      <c r="E38">
        <v>6</v>
      </c>
      <c r="F38">
        <v>0</v>
      </c>
      <c r="G38">
        <v>0</v>
      </c>
      <c r="H38">
        <f>표3[[#This Row],[공격성공횟수]]/(표3[[#This Row],[공격실패횟수]]+표3[[#This Row],[공격성공횟수]])</f>
        <v>0.4</v>
      </c>
    </row>
    <row r="39" spans="1:8" hidden="1" x14ac:dyDescent="0.4">
      <c r="A39">
        <v>19</v>
      </c>
      <c r="B39" t="s">
        <v>1</v>
      </c>
      <c r="C39">
        <v>0</v>
      </c>
      <c r="D39">
        <v>0</v>
      </c>
      <c r="E39">
        <v>10</v>
      </c>
      <c r="F39">
        <v>4</v>
      </c>
      <c r="G39">
        <v>1</v>
      </c>
      <c r="H39">
        <f>표3[[#This Row],[공격성공횟수]]/(표3[[#This Row],[공격실패횟수]]+표3[[#This Row],[공격성공횟수]])</f>
        <v>0</v>
      </c>
    </row>
    <row r="40" spans="1:8" x14ac:dyDescent="0.4">
      <c r="A40">
        <v>20</v>
      </c>
      <c r="B40" t="s">
        <v>3</v>
      </c>
      <c r="C40">
        <v>1</v>
      </c>
      <c r="D40">
        <v>4</v>
      </c>
      <c r="E40">
        <v>26</v>
      </c>
      <c r="F40">
        <v>1</v>
      </c>
      <c r="G40">
        <v>0</v>
      </c>
      <c r="H40">
        <f>표3[[#This Row],[공격성공횟수]]/(표3[[#This Row],[공격실패횟수]]+표3[[#This Row],[공격성공횟수]])</f>
        <v>0.13333333333333333</v>
      </c>
    </row>
    <row r="41" spans="1:8" hidden="1" x14ac:dyDescent="0.4">
      <c r="A41">
        <v>20</v>
      </c>
      <c r="B41" t="s">
        <v>1</v>
      </c>
      <c r="C41">
        <v>0</v>
      </c>
      <c r="D41">
        <v>1</v>
      </c>
      <c r="E41">
        <v>28</v>
      </c>
      <c r="F41">
        <v>4</v>
      </c>
      <c r="G41">
        <v>1</v>
      </c>
      <c r="H41">
        <f>표3[[#This Row],[공격성공횟수]]/(표3[[#This Row],[공격실패횟수]]+표3[[#This Row],[공격성공횟수]])</f>
        <v>3.4482758620689655E-2</v>
      </c>
    </row>
    <row r="42" spans="1:8" x14ac:dyDescent="0.4">
      <c r="A42">
        <v>21</v>
      </c>
      <c r="B42" t="s">
        <v>3</v>
      </c>
      <c r="C42">
        <v>1</v>
      </c>
      <c r="D42">
        <v>4</v>
      </c>
      <c r="E42">
        <v>9</v>
      </c>
      <c r="F42">
        <v>0</v>
      </c>
      <c r="G42">
        <v>0</v>
      </c>
      <c r="H42">
        <f>표3[[#This Row],[공격성공횟수]]/(표3[[#This Row],[공격실패횟수]]+표3[[#This Row],[공격성공횟수]])</f>
        <v>0.30769230769230771</v>
      </c>
    </row>
    <row r="43" spans="1:8" hidden="1" x14ac:dyDescent="0.4">
      <c r="A43">
        <v>21</v>
      </c>
      <c r="B43" t="s">
        <v>1</v>
      </c>
      <c r="C43">
        <v>0</v>
      </c>
      <c r="D43">
        <v>0</v>
      </c>
      <c r="E43">
        <v>13</v>
      </c>
      <c r="F43">
        <v>4</v>
      </c>
      <c r="G43">
        <v>1</v>
      </c>
      <c r="H43">
        <f>표3[[#This Row],[공격성공횟수]]/(표3[[#This Row],[공격실패횟수]]+표3[[#This Row],[공격성공횟수]])</f>
        <v>0</v>
      </c>
    </row>
    <row r="44" spans="1:8" x14ac:dyDescent="0.4">
      <c r="A44">
        <v>22</v>
      </c>
      <c r="B44" t="s">
        <v>3</v>
      </c>
      <c r="C44">
        <v>1</v>
      </c>
      <c r="D44">
        <v>4</v>
      </c>
      <c r="E44">
        <v>8</v>
      </c>
      <c r="F44">
        <v>1</v>
      </c>
      <c r="G44">
        <v>0</v>
      </c>
      <c r="H44">
        <f>표3[[#This Row],[공격성공횟수]]/(표3[[#This Row],[공격실패횟수]]+표3[[#This Row],[공격성공횟수]])</f>
        <v>0.33333333333333331</v>
      </c>
    </row>
    <row r="45" spans="1:8" hidden="1" x14ac:dyDescent="0.4">
      <c r="A45">
        <v>22</v>
      </c>
      <c r="B45" t="s">
        <v>1</v>
      </c>
      <c r="C45">
        <v>0</v>
      </c>
      <c r="D45">
        <v>1</v>
      </c>
      <c r="E45">
        <v>10</v>
      </c>
      <c r="F45">
        <v>4</v>
      </c>
      <c r="G45">
        <v>1</v>
      </c>
      <c r="H45">
        <f>표3[[#This Row],[공격성공횟수]]/(표3[[#This Row],[공격실패횟수]]+표3[[#This Row],[공격성공횟수]])</f>
        <v>9.0909090909090912E-2</v>
      </c>
    </row>
    <row r="46" spans="1:8" x14ac:dyDescent="0.4">
      <c r="A46">
        <v>23</v>
      </c>
      <c r="B46" t="s">
        <v>3</v>
      </c>
      <c r="C46">
        <v>1</v>
      </c>
      <c r="D46">
        <v>4</v>
      </c>
      <c r="E46">
        <v>13</v>
      </c>
      <c r="F46">
        <v>1</v>
      </c>
      <c r="G46">
        <v>0</v>
      </c>
      <c r="H46">
        <f>표3[[#This Row],[공격성공횟수]]/(표3[[#This Row],[공격실패횟수]]+표3[[#This Row],[공격성공횟수]])</f>
        <v>0.23529411764705882</v>
      </c>
    </row>
    <row r="47" spans="1:8" hidden="1" x14ac:dyDescent="0.4">
      <c r="A47">
        <v>23</v>
      </c>
      <c r="B47" t="s">
        <v>1</v>
      </c>
      <c r="C47">
        <v>0</v>
      </c>
      <c r="D47">
        <v>1</v>
      </c>
      <c r="E47">
        <v>16</v>
      </c>
      <c r="F47">
        <v>4</v>
      </c>
      <c r="G47">
        <v>1</v>
      </c>
      <c r="H47">
        <f>표3[[#This Row],[공격성공횟수]]/(표3[[#This Row],[공격실패횟수]]+표3[[#This Row],[공격성공횟수]])</f>
        <v>5.8823529411764705E-2</v>
      </c>
    </row>
    <row r="48" spans="1:8" x14ac:dyDescent="0.4">
      <c r="A48">
        <v>24</v>
      </c>
      <c r="B48" t="s">
        <v>3</v>
      </c>
      <c r="C48">
        <v>1</v>
      </c>
      <c r="D48">
        <v>4</v>
      </c>
      <c r="E48">
        <v>9</v>
      </c>
      <c r="F48">
        <v>0</v>
      </c>
      <c r="G48">
        <v>0</v>
      </c>
      <c r="H48">
        <f>표3[[#This Row],[공격성공횟수]]/(표3[[#This Row],[공격실패횟수]]+표3[[#This Row],[공격성공횟수]])</f>
        <v>0.30769230769230771</v>
      </c>
    </row>
    <row r="49" spans="1:8" hidden="1" x14ac:dyDescent="0.4">
      <c r="A49">
        <v>24</v>
      </c>
      <c r="B49" t="s">
        <v>1</v>
      </c>
      <c r="C49">
        <v>0</v>
      </c>
      <c r="D49">
        <v>0</v>
      </c>
      <c r="E49">
        <v>12</v>
      </c>
      <c r="F49">
        <v>4</v>
      </c>
      <c r="G49">
        <v>1</v>
      </c>
      <c r="H49">
        <f>표3[[#This Row],[공격성공횟수]]/(표3[[#This Row],[공격실패횟수]]+표3[[#This Row],[공격성공횟수]])</f>
        <v>0</v>
      </c>
    </row>
    <row r="50" spans="1:8" x14ac:dyDescent="0.4">
      <c r="A50">
        <v>25</v>
      </c>
      <c r="B50" t="s">
        <v>3</v>
      </c>
      <c r="C50">
        <v>0</v>
      </c>
      <c r="D50">
        <v>0</v>
      </c>
      <c r="E50">
        <v>18</v>
      </c>
      <c r="F50">
        <v>4</v>
      </c>
      <c r="G50">
        <v>1</v>
      </c>
      <c r="H50">
        <f>표3[[#This Row],[공격성공횟수]]/(표3[[#This Row],[공격실패횟수]]+표3[[#This Row],[공격성공횟수]])</f>
        <v>0</v>
      </c>
    </row>
    <row r="51" spans="1:8" hidden="1" x14ac:dyDescent="0.4">
      <c r="A51">
        <v>25</v>
      </c>
      <c r="B51" t="s">
        <v>1</v>
      </c>
      <c r="C51">
        <v>1</v>
      </c>
      <c r="D51">
        <v>4</v>
      </c>
      <c r="E51">
        <v>16</v>
      </c>
      <c r="F51">
        <v>0</v>
      </c>
      <c r="G51">
        <v>0</v>
      </c>
      <c r="H51">
        <f>표3[[#This Row],[공격성공횟수]]/(표3[[#This Row],[공격실패횟수]]+표3[[#This Row],[공격성공횟수]])</f>
        <v>0.2</v>
      </c>
    </row>
    <row r="52" spans="1:8" x14ac:dyDescent="0.4">
      <c r="A52">
        <v>26</v>
      </c>
      <c r="B52" t="s">
        <v>3</v>
      </c>
      <c r="C52">
        <v>0</v>
      </c>
      <c r="D52">
        <v>2</v>
      </c>
      <c r="E52">
        <v>17</v>
      </c>
      <c r="F52">
        <v>4</v>
      </c>
      <c r="G52">
        <v>1</v>
      </c>
      <c r="H52">
        <f>표3[[#This Row],[공격성공횟수]]/(표3[[#This Row],[공격실패횟수]]+표3[[#This Row],[공격성공횟수]])</f>
        <v>0.10526315789473684</v>
      </c>
    </row>
    <row r="53" spans="1:8" hidden="1" x14ac:dyDescent="0.4">
      <c r="A53">
        <v>26</v>
      </c>
      <c r="B53" t="s">
        <v>1</v>
      </c>
      <c r="C53">
        <v>1</v>
      </c>
      <c r="D53">
        <v>4</v>
      </c>
      <c r="E53">
        <v>14</v>
      </c>
      <c r="F53">
        <v>2</v>
      </c>
      <c r="G53">
        <v>0</v>
      </c>
      <c r="H53">
        <f>표3[[#This Row],[공격성공횟수]]/(표3[[#This Row],[공격실패횟수]]+표3[[#This Row],[공격성공횟수]])</f>
        <v>0.22222222222222221</v>
      </c>
    </row>
    <row r="54" spans="1:8" x14ac:dyDescent="0.4">
      <c r="A54">
        <v>27</v>
      </c>
      <c r="B54" t="s">
        <v>3</v>
      </c>
      <c r="C54">
        <v>1</v>
      </c>
      <c r="D54">
        <v>4</v>
      </c>
      <c r="E54">
        <v>10</v>
      </c>
      <c r="F54">
        <v>0</v>
      </c>
      <c r="G54">
        <v>0</v>
      </c>
      <c r="H54">
        <f>표3[[#This Row],[공격성공횟수]]/(표3[[#This Row],[공격실패횟수]]+표3[[#This Row],[공격성공횟수]])</f>
        <v>0.2857142857142857</v>
      </c>
    </row>
    <row r="55" spans="1:8" hidden="1" x14ac:dyDescent="0.4">
      <c r="A55">
        <v>27</v>
      </c>
      <c r="B55" t="s">
        <v>1</v>
      </c>
      <c r="C55">
        <v>0</v>
      </c>
      <c r="D55">
        <v>0</v>
      </c>
      <c r="E55">
        <v>12</v>
      </c>
      <c r="F55">
        <v>4</v>
      </c>
      <c r="G55">
        <v>1</v>
      </c>
      <c r="H55">
        <f>표3[[#This Row],[공격성공횟수]]/(표3[[#This Row],[공격실패횟수]]+표3[[#This Row],[공격성공횟수]])</f>
        <v>0</v>
      </c>
    </row>
    <row r="56" spans="1:8" x14ac:dyDescent="0.4">
      <c r="A56">
        <v>28</v>
      </c>
      <c r="B56" t="s">
        <v>3</v>
      </c>
      <c r="C56">
        <v>0</v>
      </c>
      <c r="D56">
        <v>0</v>
      </c>
      <c r="E56">
        <v>15</v>
      </c>
      <c r="F56">
        <v>4</v>
      </c>
      <c r="G56">
        <v>1</v>
      </c>
      <c r="H56">
        <f>표3[[#This Row],[공격성공횟수]]/(표3[[#This Row],[공격실패횟수]]+표3[[#This Row],[공격성공횟수]])</f>
        <v>0</v>
      </c>
    </row>
    <row r="57" spans="1:8" hidden="1" x14ac:dyDescent="0.4">
      <c r="A57">
        <v>28</v>
      </c>
      <c r="B57" t="s">
        <v>1</v>
      </c>
      <c r="C57">
        <v>1</v>
      </c>
      <c r="D57">
        <v>4</v>
      </c>
      <c r="E57">
        <v>16</v>
      </c>
      <c r="F57">
        <v>0</v>
      </c>
      <c r="G57">
        <v>0</v>
      </c>
      <c r="H57">
        <f>표3[[#This Row],[공격성공횟수]]/(표3[[#This Row],[공격실패횟수]]+표3[[#This Row],[공격성공횟수]])</f>
        <v>0.2</v>
      </c>
    </row>
    <row r="58" spans="1:8" x14ac:dyDescent="0.4">
      <c r="A58">
        <v>29</v>
      </c>
      <c r="B58" t="s">
        <v>3</v>
      </c>
      <c r="C58">
        <v>1</v>
      </c>
      <c r="D58">
        <v>4</v>
      </c>
      <c r="E58">
        <v>14</v>
      </c>
      <c r="F58">
        <v>2</v>
      </c>
      <c r="G58">
        <v>0</v>
      </c>
      <c r="H58">
        <f>표3[[#This Row],[공격성공횟수]]/(표3[[#This Row],[공격실패횟수]]+표3[[#This Row],[공격성공횟수]])</f>
        <v>0.22222222222222221</v>
      </c>
    </row>
    <row r="59" spans="1:8" hidden="1" x14ac:dyDescent="0.4">
      <c r="A59">
        <v>29</v>
      </c>
      <c r="B59" t="s">
        <v>1</v>
      </c>
      <c r="C59">
        <v>0</v>
      </c>
      <c r="D59">
        <v>2</v>
      </c>
      <c r="E59">
        <v>14</v>
      </c>
      <c r="F59">
        <v>4</v>
      </c>
      <c r="G59">
        <v>1</v>
      </c>
      <c r="H59">
        <f>표3[[#This Row],[공격성공횟수]]/(표3[[#This Row],[공격실패횟수]]+표3[[#This Row],[공격성공횟수]])</f>
        <v>0.125</v>
      </c>
    </row>
    <row r="60" spans="1:8" x14ac:dyDescent="0.4">
      <c r="A60">
        <v>30</v>
      </c>
      <c r="B60" t="s">
        <v>3</v>
      </c>
      <c r="C60">
        <v>1</v>
      </c>
      <c r="D60">
        <v>4</v>
      </c>
      <c r="E60">
        <v>6</v>
      </c>
      <c r="F60">
        <v>0</v>
      </c>
      <c r="G60">
        <v>0</v>
      </c>
      <c r="H60">
        <f>표3[[#This Row],[공격성공횟수]]/(표3[[#This Row],[공격실패횟수]]+표3[[#This Row],[공격성공횟수]])</f>
        <v>0.4</v>
      </c>
    </row>
    <row r="61" spans="1:8" hidden="1" x14ac:dyDescent="0.4">
      <c r="A61">
        <v>30</v>
      </c>
      <c r="B61" t="s">
        <v>1</v>
      </c>
      <c r="C61">
        <v>0</v>
      </c>
      <c r="D61">
        <v>0</v>
      </c>
      <c r="E61">
        <v>10</v>
      </c>
      <c r="F61">
        <v>4</v>
      </c>
      <c r="G61">
        <v>1</v>
      </c>
      <c r="H61">
        <f>표3[[#This Row],[공격성공횟수]]/(표3[[#This Row],[공격실패횟수]]+표3[[#This Row],[공격성공횟수]])</f>
        <v>0</v>
      </c>
    </row>
    <row r="62" spans="1:8" x14ac:dyDescent="0.4">
      <c r="A62">
        <v>31</v>
      </c>
      <c r="B62" t="s">
        <v>3</v>
      </c>
      <c r="C62">
        <v>1</v>
      </c>
      <c r="D62">
        <v>4</v>
      </c>
      <c r="E62">
        <v>4</v>
      </c>
      <c r="F62">
        <v>0</v>
      </c>
      <c r="G62">
        <v>0</v>
      </c>
      <c r="H62">
        <f>표3[[#This Row],[공격성공횟수]]/(표3[[#This Row],[공격실패횟수]]+표3[[#This Row],[공격성공횟수]])</f>
        <v>0.5</v>
      </c>
    </row>
    <row r="63" spans="1:8" hidden="1" x14ac:dyDescent="0.4">
      <c r="A63">
        <v>31</v>
      </c>
      <c r="B63" t="s">
        <v>1</v>
      </c>
      <c r="C63">
        <v>0</v>
      </c>
      <c r="D63">
        <v>0</v>
      </c>
      <c r="E63">
        <v>8</v>
      </c>
      <c r="F63">
        <v>4</v>
      </c>
      <c r="G63">
        <v>1</v>
      </c>
      <c r="H63">
        <f>표3[[#This Row],[공격성공횟수]]/(표3[[#This Row],[공격실패횟수]]+표3[[#This Row],[공격성공횟수]])</f>
        <v>0</v>
      </c>
    </row>
    <row r="64" spans="1:8" x14ac:dyDescent="0.4">
      <c r="A64">
        <v>32</v>
      </c>
      <c r="B64" t="s">
        <v>3</v>
      </c>
      <c r="C64">
        <v>1</v>
      </c>
      <c r="D64">
        <v>4</v>
      </c>
      <c r="E64">
        <v>18</v>
      </c>
      <c r="F64">
        <v>0</v>
      </c>
      <c r="G64">
        <v>0</v>
      </c>
      <c r="H64">
        <f>표3[[#This Row],[공격성공횟수]]/(표3[[#This Row],[공격실패횟수]]+표3[[#This Row],[공격성공횟수]])</f>
        <v>0.18181818181818182</v>
      </c>
    </row>
    <row r="65" spans="1:8" hidden="1" x14ac:dyDescent="0.4">
      <c r="A65">
        <v>32</v>
      </c>
      <c r="B65" t="s">
        <v>1</v>
      </c>
      <c r="C65">
        <v>0</v>
      </c>
      <c r="D65">
        <v>0</v>
      </c>
      <c r="E65">
        <v>21</v>
      </c>
      <c r="F65">
        <v>4</v>
      </c>
      <c r="G65">
        <v>1</v>
      </c>
      <c r="H65">
        <f>표3[[#This Row],[공격성공횟수]]/(표3[[#This Row],[공격실패횟수]]+표3[[#This Row],[공격성공횟수]])</f>
        <v>0</v>
      </c>
    </row>
    <row r="66" spans="1:8" x14ac:dyDescent="0.4">
      <c r="A66">
        <v>33</v>
      </c>
      <c r="B66" t="s">
        <v>3</v>
      </c>
      <c r="C66">
        <v>0</v>
      </c>
      <c r="D66">
        <v>1</v>
      </c>
      <c r="E66">
        <v>14</v>
      </c>
      <c r="F66">
        <v>4</v>
      </c>
      <c r="G66">
        <v>1</v>
      </c>
      <c r="H66">
        <f>표3[[#This Row],[공격성공횟수]]/(표3[[#This Row],[공격실패횟수]]+표3[[#This Row],[공격성공횟수]])</f>
        <v>6.6666666666666666E-2</v>
      </c>
    </row>
    <row r="67" spans="1:8" hidden="1" x14ac:dyDescent="0.4">
      <c r="A67">
        <v>33</v>
      </c>
      <c r="B67" t="s">
        <v>1</v>
      </c>
      <c r="C67">
        <v>1</v>
      </c>
      <c r="D67">
        <v>4</v>
      </c>
      <c r="E67">
        <v>11</v>
      </c>
      <c r="F67">
        <v>1</v>
      </c>
      <c r="G67">
        <v>0</v>
      </c>
      <c r="H67">
        <f>표3[[#This Row],[공격성공횟수]]/(표3[[#This Row],[공격실패횟수]]+표3[[#This Row],[공격성공횟수]])</f>
        <v>0.26666666666666666</v>
      </c>
    </row>
    <row r="68" spans="1:8" x14ac:dyDescent="0.4">
      <c r="A68">
        <v>34</v>
      </c>
      <c r="B68" t="s">
        <v>3</v>
      </c>
      <c r="C68">
        <v>1</v>
      </c>
      <c r="D68">
        <v>4</v>
      </c>
      <c r="E68">
        <v>6</v>
      </c>
      <c r="F68">
        <v>2</v>
      </c>
      <c r="G68">
        <v>0</v>
      </c>
      <c r="H68">
        <f>표3[[#This Row],[공격성공횟수]]/(표3[[#This Row],[공격실패횟수]]+표3[[#This Row],[공격성공횟수]])</f>
        <v>0.4</v>
      </c>
    </row>
    <row r="69" spans="1:8" hidden="1" x14ac:dyDescent="0.4">
      <c r="A69">
        <v>34</v>
      </c>
      <c r="B69" t="s">
        <v>1</v>
      </c>
      <c r="C69">
        <v>0</v>
      </c>
      <c r="D69">
        <v>2</v>
      </c>
      <c r="E69">
        <v>6</v>
      </c>
      <c r="F69">
        <v>4</v>
      </c>
      <c r="G69">
        <v>1</v>
      </c>
      <c r="H69">
        <f>표3[[#This Row],[공격성공횟수]]/(표3[[#This Row],[공격실패횟수]]+표3[[#This Row],[공격성공횟수]])</f>
        <v>0.25</v>
      </c>
    </row>
    <row r="70" spans="1:8" x14ac:dyDescent="0.4">
      <c r="A70">
        <v>35</v>
      </c>
      <c r="B70" t="s">
        <v>3</v>
      </c>
      <c r="C70">
        <v>1</v>
      </c>
      <c r="D70">
        <v>4</v>
      </c>
      <c r="E70">
        <v>16</v>
      </c>
      <c r="F70">
        <v>1</v>
      </c>
      <c r="G70">
        <v>0</v>
      </c>
      <c r="H70">
        <f>표3[[#This Row],[공격성공횟수]]/(표3[[#This Row],[공격실패횟수]]+표3[[#This Row],[공격성공횟수]])</f>
        <v>0.2</v>
      </c>
    </row>
    <row r="71" spans="1:8" hidden="1" x14ac:dyDescent="0.4">
      <c r="A71">
        <v>35</v>
      </c>
      <c r="B71" t="s">
        <v>1</v>
      </c>
      <c r="C71">
        <v>0</v>
      </c>
      <c r="D71">
        <v>1</v>
      </c>
      <c r="E71">
        <v>19</v>
      </c>
      <c r="F71">
        <v>4</v>
      </c>
      <c r="G71">
        <v>1</v>
      </c>
      <c r="H71">
        <f>표3[[#This Row],[공격성공횟수]]/(표3[[#This Row],[공격실패횟수]]+표3[[#This Row],[공격성공횟수]])</f>
        <v>0.05</v>
      </c>
    </row>
    <row r="72" spans="1:8" x14ac:dyDescent="0.4">
      <c r="A72">
        <v>36</v>
      </c>
      <c r="B72" t="s">
        <v>3</v>
      </c>
      <c r="C72">
        <v>1</v>
      </c>
      <c r="D72">
        <v>4</v>
      </c>
      <c r="E72">
        <v>6</v>
      </c>
      <c r="F72">
        <v>2</v>
      </c>
      <c r="G72">
        <v>0</v>
      </c>
      <c r="H72">
        <f>표3[[#This Row],[공격성공횟수]]/(표3[[#This Row],[공격실패횟수]]+표3[[#This Row],[공격성공횟수]])</f>
        <v>0.4</v>
      </c>
    </row>
    <row r="73" spans="1:8" hidden="1" x14ac:dyDescent="0.4">
      <c r="A73">
        <v>36</v>
      </c>
      <c r="B73" t="s">
        <v>1</v>
      </c>
      <c r="C73">
        <v>0</v>
      </c>
      <c r="D73">
        <v>2</v>
      </c>
      <c r="E73">
        <v>7</v>
      </c>
      <c r="F73">
        <v>4</v>
      </c>
      <c r="G73">
        <v>1</v>
      </c>
      <c r="H73">
        <f>표3[[#This Row],[공격성공횟수]]/(표3[[#This Row],[공격실패횟수]]+표3[[#This Row],[공격성공횟수]])</f>
        <v>0.22222222222222221</v>
      </c>
    </row>
    <row r="74" spans="1:8" x14ac:dyDescent="0.4">
      <c r="A74">
        <v>37</v>
      </c>
      <c r="B74" t="s">
        <v>3</v>
      </c>
      <c r="C74">
        <v>1</v>
      </c>
      <c r="D74">
        <v>4</v>
      </c>
      <c r="E74">
        <v>8</v>
      </c>
      <c r="F74">
        <v>2</v>
      </c>
      <c r="G74">
        <v>0</v>
      </c>
      <c r="H74">
        <f>표3[[#This Row],[공격성공횟수]]/(표3[[#This Row],[공격실패횟수]]+표3[[#This Row],[공격성공횟수]])</f>
        <v>0.33333333333333331</v>
      </c>
    </row>
    <row r="75" spans="1:8" hidden="1" x14ac:dyDescent="0.4">
      <c r="A75">
        <v>37</v>
      </c>
      <c r="B75" t="s">
        <v>1</v>
      </c>
      <c r="C75">
        <v>0</v>
      </c>
      <c r="D75">
        <v>2</v>
      </c>
      <c r="E75">
        <v>10</v>
      </c>
      <c r="F75">
        <v>4</v>
      </c>
      <c r="G75">
        <v>1</v>
      </c>
      <c r="H75">
        <f>표3[[#This Row],[공격성공횟수]]/(표3[[#This Row],[공격실패횟수]]+표3[[#This Row],[공격성공횟수]])</f>
        <v>0.16666666666666666</v>
      </c>
    </row>
    <row r="76" spans="1:8" x14ac:dyDescent="0.4">
      <c r="A76">
        <v>38</v>
      </c>
      <c r="B76" t="s">
        <v>3</v>
      </c>
      <c r="C76">
        <v>0</v>
      </c>
      <c r="D76">
        <v>3</v>
      </c>
      <c r="E76">
        <v>19</v>
      </c>
      <c r="F76">
        <v>4</v>
      </c>
      <c r="G76">
        <v>1</v>
      </c>
      <c r="H76">
        <f>표3[[#This Row],[공격성공횟수]]/(표3[[#This Row],[공격실패횟수]]+표3[[#This Row],[공격성공횟수]])</f>
        <v>0.13636363636363635</v>
      </c>
    </row>
    <row r="77" spans="1:8" hidden="1" x14ac:dyDescent="0.4">
      <c r="A77">
        <v>38</v>
      </c>
      <c r="B77" t="s">
        <v>1</v>
      </c>
      <c r="C77">
        <v>1</v>
      </c>
      <c r="D77">
        <v>4</v>
      </c>
      <c r="E77">
        <v>21</v>
      </c>
      <c r="F77">
        <v>3</v>
      </c>
      <c r="G77">
        <v>0</v>
      </c>
      <c r="H77">
        <f>표3[[#This Row],[공격성공횟수]]/(표3[[#This Row],[공격실패횟수]]+표3[[#This Row],[공격성공횟수]])</f>
        <v>0.16</v>
      </c>
    </row>
    <row r="78" spans="1:8" x14ac:dyDescent="0.4">
      <c r="A78">
        <v>39</v>
      </c>
      <c r="B78" t="s">
        <v>3</v>
      </c>
      <c r="C78">
        <v>1</v>
      </c>
      <c r="D78">
        <v>4</v>
      </c>
      <c r="E78">
        <v>18</v>
      </c>
      <c r="F78">
        <v>2</v>
      </c>
      <c r="G78">
        <v>0</v>
      </c>
      <c r="H78">
        <f>표3[[#This Row],[공격성공횟수]]/(표3[[#This Row],[공격실패횟수]]+표3[[#This Row],[공격성공횟수]])</f>
        <v>0.18181818181818182</v>
      </c>
    </row>
    <row r="79" spans="1:8" hidden="1" x14ac:dyDescent="0.4">
      <c r="A79">
        <v>39</v>
      </c>
      <c r="B79" t="s">
        <v>1</v>
      </c>
      <c r="C79">
        <v>0</v>
      </c>
      <c r="D79">
        <v>2</v>
      </c>
      <c r="E79">
        <v>19</v>
      </c>
      <c r="F79">
        <v>4</v>
      </c>
      <c r="G79">
        <v>1</v>
      </c>
      <c r="H79">
        <f>표3[[#This Row],[공격성공횟수]]/(표3[[#This Row],[공격실패횟수]]+표3[[#This Row],[공격성공횟수]])</f>
        <v>9.5238095238095233E-2</v>
      </c>
    </row>
    <row r="80" spans="1:8" x14ac:dyDescent="0.4">
      <c r="A80">
        <v>40</v>
      </c>
      <c r="B80" t="s">
        <v>3</v>
      </c>
      <c r="C80">
        <v>1</v>
      </c>
      <c r="D80">
        <v>4</v>
      </c>
      <c r="E80">
        <v>10</v>
      </c>
      <c r="F80">
        <v>0</v>
      </c>
      <c r="G80">
        <v>0</v>
      </c>
      <c r="H80">
        <f>표3[[#This Row],[공격성공횟수]]/(표3[[#This Row],[공격실패횟수]]+표3[[#This Row],[공격성공횟수]])</f>
        <v>0.2857142857142857</v>
      </c>
    </row>
    <row r="81" spans="1:8" hidden="1" x14ac:dyDescent="0.4">
      <c r="A81">
        <v>40</v>
      </c>
      <c r="B81" t="s">
        <v>1</v>
      </c>
      <c r="C81">
        <v>0</v>
      </c>
      <c r="D81">
        <v>0</v>
      </c>
      <c r="E81">
        <v>13</v>
      </c>
      <c r="F81">
        <v>4</v>
      </c>
      <c r="G81">
        <v>1</v>
      </c>
      <c r="H81">
        <f>표3[[#This Row],[공격성공횟수]]/(표3[[#This Row],[공격실패횟수]]+표3[[#This Row],[공격성공횟수]])</f>
        <v>0</v>
      </c>
    </row>
    <row r="82" spans="1:8" x14ac:dyDescent="0.4">
      <c r="A82">
        <v>41</v>
      </c>
      <c r="B82" t="s">
        <v>3</v>
      </c>
      <c r="C82">
        <v>1</v>
      </c>
      <c r="D82">
        <v>4</v>
      </c>
      <c r="E82">
        <v>6</v>
      </c>
      <c r="F82">
        <v>1</v>
      </c>
      <c r="G82">
        <v>0</v>
      </c>
      <c r="H82">
        <f>표3[[#This Row],[공격성공횟수]]/(표3[[#This Row],[공격실패횟수]]+표3[[#This Row],[공격성공횟수]])</f>
        <v>0.4</v>
      </c>
    </row>
    <row r="83" spans="1:8" hidden="1" x14ac:dyDescent="0.4">
      <c r="A83">
        <v>41</v>
      </c>
      <c r="B83" t="s">
        <v>1</v>
      </c>
      <c r="C83">
        <v>0</v>
      </c>
      <c r="D83">
        <v>1</v>
      </c>
      <c r="E83">
        <v>9</v>
      </c>
      <c r="F83">
        <v>4</v>
      </c>
      <c r="G83">
        <v>1</v>
      </c>
      <c r="H83">
        <f>표3[[#This Row],[공격성공횟수]]/(표3[[#This Row],[공격실패횟수]]+표3[[#This Row],[공격성공횟수]])</f>
        <v>0.1</v>
      </c>
    </row>
    <row r="84" spans="1:8" x14ac:dyDescent="0.4">
      <c r="A84">
        <v>42</v>
      </c>
      <c r="B84" t="s">
        <v>3</v>
      </c>
      <c r="C84">
        <v>1</v>
      </c>
      <c r="D84">
        <v>4</v>
      </c>
      <c r="E84">
        <v>9</v>
      </c>
      <c r="F84">
        <v>0</v>
      </c>
      <c r="G84">
        <v>0</v>
      </c>
      <c r="H84">
        <f>표3[[#This Row],[공격성공횟수]]/(표3[[#This Row],[공격실패횟수]]+표3[[#This Row],[공격성공횟수]])</f>
        <v>0.30769230769230771</v>
      </c>
    </row>
    <row r="85" spans="1:8" hidden="1" x14ac:dyDescent="0.4">
      <c r="A85">
        <v>42</v>
      </c>
      <c r="B85" t="s">
        <v>1</v>
      </c>
      <c r="C85">
        <v>0</v>
      </c>
      <c r="D85">
        <v>0</v>
      </c>
      <c r="E85">
        <v>13</v>
      </c>
      <c r="F85">
        <v>4</v>
      </c>
      <c r="G85">
        <v>1</v>
      </c>
      <c r="H85">
        <f>표3[[#This Row],[공격성공횟수]]/(표3[[#This Row],[공격실패횟수]]+표3[[#This Row],[공격성공횟수]])</f>
        <v>0</v>
      </c>
    </row>
    <row r="86" spans="1:8" x14ac:dyDescent="0.4">
      <c r="A86">
        <v>43</v>
      </c>
      <c r="B86" t="s">
        <v>3</v>
      </c>
      <c r="C86">
        <v>1</v>
      </c>
      <c r="D86">
        <v>4</v>
      </c>
      <c r="E86">
        <v>9</v>
      </c>
      <c r="F86">
        <v>0</v>
      </c>
      <c r="G86">
        <v>0</v>
      </c>
      <c r="H86">
        <f>표3[[#This Row],[공격성공횟수]]/(표3[[#This Row],[공격실패횟수]]+표3[[#This Row],[공격성공횟수]])</f>
        <v>0.30769230769230771</v>
      </c>
    </row>
    <row r="87" spans="1:8" hidden="1" x14ac:dyDescent="0.4">
      <c r="A87">
        <v>43</v>
      </c>
      <c r="B87" t="s">
        <v>1</v>
      </c>
      <c r="C87">
        <v>0</v>
      </c>
      <c r="D87">
        <v>0</v>
      </c>
      <c r="E87">
        <v>12</v>
      </c>
      <c r="F87">
        <v>4</v>
      </c>
      <c r="G87">
        <v>1</v>
      </c>
      <c r="H87">
        <f>표3[[#This Row],[공격성공횟수]]/(표3[[#This Row],[공격실패횟수]]+표3[[#This Row],[공격성공횟수]])</f>
        <v>0</v>
      </c>
    </row>
    <row r="88" spans="1:8" x14ac:dyDescent="0.4">
      <c r="A88">
        <v>44</v>
      </c>
      <c r="B88" t="s">
        <v>3</v>
      </c>
      <c r="C88">
        <v>1</v>
      </c>
      <c r="D88">
        <v>4</v>
      </c>
      <c r="E88">
        <v>5</v>
      </c>
      <c r="F88">
        <v>0</v>
      </c>
      <c r="G88">
        <v>0</v>
      </c>
      <c r="H88">
        <f>표3[[#This Row],[공격성공횟수]]/(표3[[#This Row],[공격실패횟수]]+표3[[#This Row],[공격성공횟수]])</f>
        <v>0.44444444444444442</v>
      </c>
    </row>
    <row r="89" spans="1:8" hidden="1" x14ac:dyDescent="0.4">
      <c r="A89">
        <v>44</v>
      </c>
      <c r="B89" t="s">
        <v>1</v>
      </c>
      <c r="C89">
        <v>0</v>
      </c>
      <c r="D89">
        <v>0</v>
      </c>
      <c r="E89">
        <v>9</v>
      </c>
      <c r="F89">
        <v>4</v>
      </c>
      <c r="G89">
        <v>1</v>
      </c>
      <c r="H89">
        <f>표3[[#This Row],[공격성공횟수]]/(표3[[#This Row],[공격실패횟수]]+표3[[#This Row],[공격성공횟수]])</f>
        <v>0</v>
      </c>
    </row>
    <row r="90" spans="1:8" x14ac:dyDescent="0.4">
      <c r="A90">
        <v>45</v>
      </c>
      <c r="B90" t="s">
        <v>3</v>
      </c>
      <c r="C90">
        <v>1</v>
      </c>
      <c r="D90">
        <v>4</v>
      </c>
      <c r="E90">
        <v>13</v>
      </c>
      <c r="F90">
        <v>0</v>
      </c>
      <c r="G90">
        <v>0</v>
      </c>
      <c r="H90">
        <f>표3[[#This Row],[공격성공횟수]]/(표3[[#This Row],[공격실패횟수]]+표3[[#This Row],[공격성공횟수]])</f>
        <v>0.23529411764705882</v>
      </c>
    </row>
    <row r="91" spans="1:8" hidden="1" x14ac:dyDescent="0.4">
      <c r="A91">
        <v>45</v>
      </c>
      <c r="B91" t="s">
        <v>1</v>
      </c>
      <c r="C91">
        <v>0</v>
      </c>
      <c r="D91">
        <v>0</v>
      </c>
      <c r="E91">
        <v>16</v>
      </c>
      <c r="F91">
        <v>4</v>
      </c>
      <c r="G91">
        <v>1</v>
      </c>
      <c r="H91">
        <f>표3[[#This Row],[공격성공횟수]]/(표3[[#This Row],[공격실패횟수]]+표3[[#This Row],[공격성공횟수]])</f>
        <v>0</v>
      </c>
    </row>
    <row r="92" spans="1:8" x14ac:dyDescent="0.4">
      <c r="A92">
        <v>46</v>
      </c>
      <c r="B92" t="s">
        <v>3</v>
      </c>
      <c r="C92">
        <v>0</v>
      </c>
      <c r="D92">
        <v>0</v>
      </c>
      <c r="E92">
        <v>18</v>
      </c>
      <c r="F92">
        <v>4</v>
      </c>
      <c r="G92">
        <v>1</v>
      </c>
      <c r="H92">
        <f>표3[[#This Row],[공격성공횟수]]/(표3[[#This Row],[공격실패횟수]]+표3[[#This Row],[공격성공횟수]])</f>
        <v>0</v>
      </c>
    </row>
    <row r="93" spans="1:8" hidden="1" x14ac:dyDescent="0.4">
      <c r="A93">
        <v>46</v>
      </c>
      <c r="B93" t="s">
        <v>1</v>
      </c>
      <c r="C93">
        <v>1</v>
      </c>
      <c r="D93">
        <v>4</v>
      </c>
      <c r="E93">
        <v>15</v>
      </c>
      <c r="F93">
        <v>0</v>
      </c>
      <c r="G93">
        <v>0</v>
      </c>
      <c r="H93">
        <f>표3[[#This Row],[공격성공횟수]]/(표3[[#This Row],[공격실패횟수]]+표3[[#This Row],[공격성공횟수]])</f>
        <v>0.21052631578947367</v>
      </c>
    </row>
    <row r="94" spans="1:8" x14ac:dyDescent="0.4">
      <c r="A94">
        <v>47</v>
      </c>
      <c r="B94" t="s">
        <v>3</v>
      </c>
      <c r="C94">
        <v>0</v>
      </c>
      <c r="D94">
        <v>1</v>
      </c>
      <c r="E94">
        <v>38</v>
      </c>
      <c r="F94">
        <v>4</v>
      </c>
      <c r="G94">
        <v>1</v>
      </c>
      <c r="H94">
        <f>표3[[#This Row],[공격성공횟수]]/(표3[[#This Row],[공격실패횟수]]+표3[[#This Row],[공격성공횟수]])</f>
        <v>2.564102564102564E-2</v>
      </c>
    </row>
    <row r="95" spans="1:8" hidden="1" x14ac:dyDescent="0.4">
      <c r="A95">
        <v>47</v>
      </c>
      <c r="B95" t="s">
        <v>1</v>
      </c>
      <c r="C95">
        <v>1</v>
      </c>
      <c r="D95">
        <v>4</v>
      </c>
      <c r="E95">
        <v>34</v>
      </c>
      <c r="F95">
        <v>1</v>
      </c>
      <c r="G95">
        <v>0</v>
      </c>
      <c r="H95">
        <f>표3[[#This Row],[공격성공횟수]]/(표3[[#This Row],[공격실패횟수]]+표3[[#This Row],[공격성공횟수]])</f>
        <v>0.10526315789473684</v>
      </c>
    </row>
    <row r="96" spans="1:8" x14ac:dyDescent="0.4">
      <c r="A96">
        <v>48</v>
      </c>
      <c r="B96" t="s">
        <v>3</v>
      </c>
      <c r="C96">
        <v>0</v>
      </c>
      <c r="D96">
        <v>1</v>
      </c>
      <c r="E96">
        <v>31</v>
      </c>
      <c r="F96">
        <v>4</v>
      </c>
      <c r="G96">
        <v>1</v>
      </c>
      <c r="H96">
        <f>표3[[#This Row],[공격성공횟수]]/(표3[[#This Row],[공격실패횟수]]+표3[[#This Row],[공격성공횟수]])</f>
        <v>3.125E-2</v>
      </c>
    </row>
    <row r="97" spans="1:8" hidden="1" x14ac:dyDescent="0.4">
      <c r="A97">
        <v>48</v>
      </c>
      <c r="B97" t="s">
        <v>1</v>
      </c>
      <c r="C97">
        <v>1</v>
      </c>
      <c r="D97">
        <v>4</v>
      </c>
      <c r="E97">
        <v>29</v>
      </c>
      <c r="F97">
        <v>1</v>
      </c>
      <c r="G97">
        <v>0</v>
      </c>
      <c r="H97">
        <f>표3[[#This Row],[공격성공횟수]]/(표3[[#This Row],[공격실패횟수]]+표3[[#This Row],[공격성공횟수]])</f>
        <v>0.12121212121212122</v>
      </c>
    </row>
    <row r="98" spans="1:8" x14ac:dyDescent="0.4">
      <c r="A98">
        <v>49</v>
      </c>
      <c r="B98" t="s">
        <v>3</v>
      </c>
      <c r="C98">
        <v>1</v>
      </c>
      <c r="D98">
        <v>4</v>
      </c>
      <c r="E98">
        <v>13</v>
      </c>
      <c r="F98">
        <v>1</v>
      </c>
      <c r="G98">
        <v>0</v>
      </c>
      <c r="H98">
        <f>표3[[#This Row],[공격성공횟수]]/(표3[[#This Row],[공격실패횟수]]+표3[[#This Row],[공격성공횟수]])</f>
        <v>0.23529411764705882</v>
      </c>
    </row>
    <row r="99" spans="1:8" hidden="1" x14ac:dyDescent="0.4">
      <c r="A99">
        <v>49</v>
      </c>
      <c r="B99" t="s">
        <v>1</v>
      </c>
      <c r="C99">
        <v>0</v>
      </c>
      <c r="D99">
        <v>1</v>
      </c>
      <c r="E99">
        <v>15</v>
      </c>
      <c r="F99">
        <v>4</v>
      </c>
      <c r="G99">
        <v>1</v>
      </c>
      <c r="H99">
        <f>표3[[#This Row],[공격성공횟수]]/(표3[[#This Row],[공격실패횟수]]+표3[[#This Row],[공격성공횟수]])</f>
        <v>6.25E-2</v>
      </c>
    </row>
    <row r="100" spans="1:8" x14ac:dyDescent="0.4">
      <c r="A100">
        <v>50</v>
      </c>
      <c r="B100" t="s">
        <v>3</v>
      </c>
      <c r="C100">
        <v>0</v>
      </c>
      <c r="D100">
        <v>0</v>
      </c>
      <c r="E100">
        <v>12</v>
      </c>
      <c r="F100">
        <v>4</v>
      </c>
      <c r="G100">
        <v>1</v>
      </c>
      <c r="H100">
        <f>표3[[#This Row],[공격성공횟수]]/(표3[[#This Row],[공격실패횟수]]+표3[[#This Row],[공격성공횟수]])</f>
        <v>0</v>
      </c>
    </row>
    <row r="101" spans="1:8" hidden="1" x14ac:dyDescent="0.4">
      <c r="A101">
        <v>50</v>
      </c>
      <c r="B101" t="s">
        <v>1</v>
      </c>
      <c r="C101">
        <v>1</v>
      </c>
      <c r="D101">
        <v>4</v>
      </c>
      <c r="E101">
        <v>9</v>
      </c>
      <c r="F101">
        <v>0</v>
      </c>
      <c r="G101">
        <v>0</v>
      </c>
      <c r="H101">
        <f>표3[[#This Row],[공격성공횟수]]/(표3[[#This Row],[공격실패횟수]]+표3[[#This Row],[공격성공횟수]])</f>
        <v>0.30769230769230771</v>
      </c>
    </row>
    <row r="102" spans="1:8" x14ac:dyDescent="0.4">
      <c r="A102">
        <v>51</v>
      </c>
      <c r="B102" t="s">
        <v>3</v>
      </c>
      <c r="C102">
        <v>0</v>
      </c>
      <c r="D102">
        <v>1</v>
      </c>
      <c r="E102">
        <v>29</v>
      </c>
      <c r="F102">
        <v>4</v>
      </c>
      <c r="G102">
        <v>1</v>
      </c>
      <c r="H102">
        <f>표3[[#This Row],[공격성공횟수]]/(표3[[#This Row],[공격실패횟수]]+표3[[#This Row],[공격성공횟수]])</f>
        <v>3.3333333333333333E-2</v>
      </c>
    </row>
    <row r="103" spans="1:8" hidden="1" x14ac:dyDescent="0.4">
      <c r="A103">
        <v>51</v>
      </c>
      <c r="B103" t="s">
        <v>1</v>
      </c>
      <c r="C103">
        <v>1</v>
      </c>
      <c r="D103">
        <v>4</v>
      </c>
      <c r="E103">
        <v>25</v>
      </c>
      <c r="F103">
        <v>1</v>
      </c>
      <c r="G103">
        <v>0</v>
      </c>
      <c r="H103">
        <f>표3[[#This Row],[공격성공횟수]]/(표3[[#This Row],[공격실패횟수]]+표3[[#This Row],[공격성공횟수]])</f>
        <v>0.13793103448275862</v>
      </c>
    </row>
    <row r="104" spans="1:8" x14ac:dyDescent="0.4">
      <c r="A104">
        <v>52</v>
      </c>
      <c r="B104" t="s">
        <v>3</v>
      </c>
      <c r="C104">
        <v>1</v>
      </c>
      <c r="D104">
        <v>4</v>
      </c>
      <c r="E104">
        <v>5</v>
      </c>
      <c r="F104">
        <v>0</v>
      </c>
      <c r="G104">
        <v>0</v>
      </c>
      <c r="H104">
        <f>표3[[#This Row],[공격성공횟수]]/(표3[[#This Row],[공격실패횟수]]+표3[[#This Row],[공격성공횟수]])</f>
        <v>0.44444444444444442</v>
      </c>
    </row>
    <row r="105" spans="1:8" hidden="1" x14ac:dyDescent="0.4">
      <c r="A105">
        <v>52</v>
      </c>
      <c r="B105" t="s">
        <v>1</v>
      </c>
      <c r="C105">
        <v>0</v>
      </c>
      <c r="D105">
        <v>0</v>
      </c>
      <c r="E105">
        <v>8</v>
      </c>
      <c r="F105">
        <v>4</v>
      </c>
      <c r="G105">
        <v>1</v>
      </c>
      <c r="H105">
        <f>표3[[#This Row],[공격성공횟수]]/(표3[[#This Row],[공격실패횟수]]+표3[[#This Row],[공격성공횟수]])</f>
        <v>0</v>
      </c>
    </row>
    <row r="106" spans="1:8" x14ac:dyDescent="0.4">
      <c r="A106">
        <v>53</v>
      </c>
      <c r="B106" t="s">
        <v>3</v>
      </c>
      <c r="C106">
        <v>1</v>
      </c>
      <c r="D106">
        <v>4</v>
      </c>
      <c r="E106">
        <v>10</v>
      </c>
      <c r="F106">
        <v>1</v>
      </c>
      <c r="G106">
        <v>0</v>
      </c>
      <c r="H106">
        <f>표3[[#This Row],[공격성공횟수]]/(표3[[#This Row],[공격실패횟수]]+표3[[#This Row],[공격성공횟수]])</f>
        <v>0.2857142857142857</v>
      </c>
    </row>
    <row r="107" spans="1:8" hidden="1" x14ac:dyDescent="0.4">
      <c r="A107">
        <v>53</v>
      </c>
      <c r="B107" t="s">
        <v>1</v>
      </c>
      <c r="C107">
        <v>0</v>
      </c>
      <c r="D107">
        <v>1</v>
      </c>
      <c r="E107">
        <v>12</v>
      </c>
      <c r="F107">
        <v>4</v>
      </c>
      <c r="G107">
        <v>1</v>
      </c>
      <c r="H107">
        <f>표3[[#This Row],[공격성공횟수]]/(표3[[#This Row],[공격실패횟수]]+표3[[#This Row],[공격성공횟수]])</f>
        <v>7.6923076923076927E-2</v>
      </c>
    </row>
    <row r="108" spans="1:8" x14ac:dyDescent="0.4">
      <c r="A108">
        <v>54</v>
      </c>
      <c r="B108" t="s">
        <v>3</v>
      </c>
      <c r="C108">
        <v>1</v>
      </c>
      <c r="D108">
        <v>4</v>
      </c>
      <c r="E108">
        <v>7</v>
      </c>
      <c r="F108">
        <v>1</v>
      </c>
      <c r="G108">
        <v>0</v>
      </c>
      <c r="H108">
        <f>표3[[#This Row],[공격성공횟수]]/(표3[[#This Row],[공격실패횟수]]+표3[[#This Row],[공격성공횟수]])</f>
        <v>0.36363636363636365</v>
      </c>
    </row>
    <row r="109" spans="1:8" hidden="1" x14ac:dyDescent="0.4">
      <c r="A109">
        <v>54</v>
      </c>
      <c r="B109" t="s">
        <v>1</v>
      </c>
      <c r="C109">
        <v>0</v>
      </c>
      <c r="D109">
        <v>1</v>
      </c>
      <c r="E109">
        <v>9</v>
      </c>
      <c r="F109">
        <v>4</v>
      </c>
      <c r="G109">
        <v>1</v>
      </c>
      <c r="H109">
        <f>표3[[#This Row],[공격성공횟수]]/(표3[[#This Row],[공격실패횟수]]+표3[[#This Row],[공격성공횟수]])</f>
        <v>0.1</v>
      </c>
    </row>
    <row r="110" spans="1:8" x14ac:dyDescent="0.4">
      <c r="A110">
        <v>55</v>
      </c>
      <c r="B110" t="s">
        <v>3</v>
      </c>
      <c r="C110">
        <v>0</v>
      </c>
      <c r="D110">
        <v>0</v>
      </c>
      <c r="E110">
        <v>18</v>
      </c>
      <c r="F110">
        <v>4</v>
      </c>
      <c r="G110">
        <v>1</v>
      </c>
      <c r="H110">
        <f>표3[[#This Row],[공격성공횟수]]/(표3[[#This Row],[공격실패횟수]]+표3[[#This Row],[공격성공횟수]])</f>
        <v>0</v>
      </c>
    </row>
    <row r="111" spans="1:8" hidden="1" x14ac:dyDescent="0.4">
      <c r="A111">
        <v>55</v>
      </c>
      <c r="B111" t="s">
        <v>1</v>
      </c>
      <c r="C111">
        <v>1</v>
      </c>
      <c r="D111">
        <v>4</v>
      </c>
      <c r="E111">
        <v>16</v>
      </c>
      <c r="F111">
        <v>0</v>
      </c>
      <c r="G111">
        <v>0</v>
      </c>
      <c r="H111">
        <f>표3[[#This Row],[공격성공횟수]]/(표3[[#This Row],[공격실패횟수]]+표3[[#This Row],[공격성공횟수]])</f>
        <v>0.2</v>
      </c>
    </row>
    <row r="112" spans="1:8" x14ac:dyDescent="0.4">
      <c r="A112">
        <v>56</v>
      </c>
      <c r="B112" t="s">
        <v>3</v>
      </c>
      <c r="C112">
        <v>1</v>
      </c>
      <c r="D112">
        <v>4</v>
      </c>
      <c r="E112">
        <v>9</v>
      </c>
      <c r="F112">
        <v>1</v>
      </c>
      <c r="G112">
        <v>0</v>
      </c>
      <c r="H112">
        <f>표3[[#This Row],[공격성공횟수]]/(표3[[#This Row],[공격실패횟수]]+표3[[#This Row],[공격성공횟수]])</f>
        <v>0.30769230769230771</v>
      </c>
    </row>
    <row r="113" spans="1:8" hidden="1" x14ac:dyDescent="0.4">
      <c r="A113">
        <v>56</v>
      </c>
      <c r="B113" t="s">
        <v>1</v>
      </c>
      <c r="C113">
        <v>0</v>
      </c>
      <c r="D113">
        <v>1</v>
      </c>
      <c r="E113">
        <v>10</v>
      </c>
      <c r="F113">
        <v>4</v>
      </c>
      <c r="G113">
        <v>1</v>
      </c>
      <c r="H113">
        <f>표3[[#This Row],[공격성공횟수]]/(표3[[#This Row],[공격실패횟수]]+표3[[#This Row],[공격성공횟수]])</f>
        <v>9.0909090909090912E-2</v>
      </c>
    </row>
    <row r="114" spans="1:8" x14ac:dyDescent="0.4">
      <c r="A114">
        <v>57</v>
      </c>
      <c r="B114" t="s">
        <v>3</v>
      </c>
      <c r="C114">
        <v>1</v>
      </c>
      <c r="D114">
        <v>4</v>
      </c>
      <c r="E114">
        <v>13</v>
      </c>
      <c r="F114">
        <v>1</v>
      </c>
      <c r="G114">
        <v>0</v>
      </c>
      <c r="H114">
        <f>표3[[#This Row],[공격성공횟수]]/(표3[[#This Row],[공격실패횟수]]+표3[[#This Row],[공격성공횟수]])</f>
        <v>0.23529411764705882</v>
      </c>
    </row>
    <row r="115" spans="1:8" hidden="1" x14ac:dyDescent="0.4">
      <c r="A115">
        <v>57</v>
      </c>
      <c r="B115" t="s">
        <v>1</v>
      </c>
      <c r="C115">
        <v>0</v>
      </c>
      <c r="D115">
        <v>1</v>
      </c>
      <c r="E115">
        <v>15</v>
      </c>
      <c r="F115">
        <v>4</v>
      </c>
      <c r="G115">
        <v>1</v>
      </c>
      <c r="H115">
        <f>표3[[#This Row],[공격성공횟수]]/(표3[[#This Row],[공격실패횟수]]+표3[[#This Row],[공격성공횟수]])</f>
        <v>6.25E-2</v>
      </c>
    </row>
    <row r="116" spans="1:8" x14ac:dyDescent="0.4">
      <c r="A116">
        <v>58</v>
      </c>
      <c r="B116" t="s">
        <v>3</v>
      </c>
      <c r="C116">
        <v>1</v>
      </c>
      <c r="D116">
        <v>4</v>
      </c>
      <c r="E116">
        <v>16</v>
      </c>
      <c r="F116">
        <v>2</v>
      </c>
      <c r="G116">
        <v>0</v>
      </c>
      <c r="H116">
        <f>표3[[#This Row],[공격성공횟수]]/(표3[[#This Row],[공격실패횟수]]+표3[[#This Row],[공격성공횟수]])</f>
        <v>0.2</v>
      </c>
    </row>
    <row r="117" spans="1:8" hidden="1" x14ac:dyDescent="0.4">
      <c r="A117">
        <v>58</v>
      </c>
      <c r="B117" t="s">
        <v>1</v>
      </c>
      <c r="C117">
        <v>0</v>
      </c>
      <c r="D117">
        <v>2</v>
      </c>
      <c r="E117">
        <v>17</v>
      </c>
      <c r="F117">
        <v>4</v>
      </c>
      <c r="G117">
        <v>1</v>
      </c>
      <c r="H117">
        <f>표3[[#This Row],[공격성공횟수]]/(표3[[#This Row],[공격실패횟수]]+표3[[#This Row],[공격성공횟수]])</f>
        <v>0.10526315789473684</v>
      </c>
    </row>
    <row r="118" spans="1:8" x14ac:dyDescent="0.4">
      <c r="A118">
        <v>59</v>
      </c>
      <c r="B118" t="s">
        <v>3</v>
      </c>
      <c r="C118">
        <v>1</v>
      </c>
      <c r="D118">
        <v>4</v>
      </c>
      <c r="E118">
        <v>5</v>
      </c>
      <c r="F118">
        <v>2</v>
      </c>
      <c r="G118">
        <v>0</v>
      </c>
      <c r="H118">
        <f>표3[[#This Row],[공격성공횟수]]/(표3[[#This Row],[공격실패횟수]]+표3[[#This Row],[공격성공횟수]])</f>
        <v>0.44444444444444442</v>
      </c>
    </row>
    <row r="119" spans="1:8" hidden="1" x14ac:dyDescent="0.4">
      <c r="A119">
        <v>59</v>
      </c>
      <c r="B119" t="s">
        <v>1</v>
      </c>
      <c r="C119">
        <v>0</v>
      </c>
      <c r="D119">
        <v>2</v>
      </c>
      <c r="E119">
        <v>7</v>
      </c>
      <c r="F119">
        <v>4</v>
      </c>
      <c r="G119">
        <v>1</v>
      </c>
      <c r="H119">
        <f>표3[[#This Row],[공격성공횟수]]/(표3[[#This Row],[공격실패횟수]]+표3[[#This Row],[공격성공횟수]])</f>
        <v>0.22222222222222221</v>
      </c>
    </row>
    <row r="120" spans="1:8" x14ac:dyDescent="0.4">
      <c r="A120">
        <v>60</v>
      </c>
      <c r="B120" t="s">
        <v>3</v>
      </c>
      <c r="C120">
        <v>0</v>
      </c>
      <c r="D120">
        <v>0</v>
      </c>
      <c r="E120">
        <v>32</v>
      </c>
      <c r="F120">
        <v>4</v>
      </c>
      <c r="G120">
        <v>1</v>
      </c>
      <c r="H120">
        <f>표3[[#This Row],[공격성공횟수]]/(표3[[#This Row],[공격실패횟수]]+표3[[#This Row],[공격성공횟수]])</f>
        <v>0</v>
      </c>
    </row>
    <row r="121" spans="1:8" hidden="1" x14ac:dyDescent="0.4">
      <c r="A121">
        <v>60</v>
      </c>
      <c r="B121" t="s">
        <v>1</v>
      </c>
      <c r="C121">
        <v>1</v>
      </c>
      <c r="D121">
        <v>4</v>
      </c>
      <c r="E121">
        <v>29</v>
      </c>
      <c r="F121">
        <v>0</v>
      </c>
      <c r="G121">
        <v>0</v>
      </c>
      <c r="H121">
        <f>표3[[#This Row],[공격성공횟수]]/(표3[[#This Row],[공격실패횟수]]+표3[[#This Row],[공격성공횟수]])</f>
        <v>0.12121212121212122</v>
      </c>
    </row>
    <row r="122" spans="1:8" x14ac:dyDescent="0.4">
      <c r="A122">
        <v>61</v>
      </c>
      <c r="B122" t="s">
        <v>3</v>
      </c>
      <c r="C122">
        <v>1</v>
      </c>
      <c r="D122">
        <v>4</v>
      </c>
      <c r="E122">
        <v>18</v>
      </c>
      <c r="F122">
        <v>0</v>
      </c>
      <c r="G122">
        <v>0</v>
      </c>
      <c r="H122">
        <f>표3[[#This Row],[공격성공횟수]]/(표3[[#This Row],[공격실패횟수]]+표3[[#This Row],[공격성공횟수]])</f>
        <v>0.18181818181818182</v>
      </c>
    </row>
    <row r="123" spans="1:8" hidden="1" x14ac:dyDescent="0.4">
      <c r="A123">
        <v>61</v>
      </c>
      <c r="B123" t="s">
        <v>1</v>
      </c>
      <c r="C123">
        <v>0</v>
      </c>
      <c r="D123">
        <v>0</v>
      </c>
      <c r="E123">
        <v>20</v>
      </c>
      <c r="F123">
        <v>4</v>
      </c>
      <c r="G123">
        <v>1</v>
      </c>
      <c r="H123">
        <f>표3[[#This Row],[공격성공횟수]]/(표3[[#This Row],[공격실패횟수]]+표3[[#This Row],[공격성공횟수]])</f>
        <v>0</v>
      </c>
    </row>
    <row r="124" spans="1:8" x14ac:dyDescent="0.4">
      <c r="A124">
        <v>62</v>
      </c>
      <c r="B124" t="s">
        <v>3</v>
      </c>
      <c r="C124">
        <v>1</v>
      </c>
      <c r="D124">
        <v>4</v>
      </c>
      <c r="E124">
        <v>8</v>
      </c>
      <c r="F124">
        <v>0</v>
      </c>
      <c r="G124">
        <v>0</v>
      </c>
      <c r="H124">
        <f>표3[[#This Row],[공격성공횟수]]/(표3[[#This Row],[공격실패횟수]]+표3[[#This Row],[공격성공횟수]])</f>
        <v>0.33333333333333331</v>
      </c>
    </row>
    <row r="125" spans="1:8" hidden="1" x14ac:dyDescent="0.4">
      <c r="A125">
        <v>62</v>
      </c>
      <c r="B125" t="s">
        <v>1</v>
      </c>
      <c r="C125">
        <v>0</v>
      </c>
      <c r="D125">
        <v>0</v>
      </c>
      <c r="E125">
        <v>13</v>
      </c>
      <c r="F125">
        <v>4</v>
      </c>
      <c r="G125">
        <v>1</v>
      </c>
      <c r="H125">
        <f>표3[[#This Row],[공격성공횟수]]/(표3[[#This Row],[공격실패횟수]]+표3[[#This Row],[공격성공횟수]])</f>
        <v>0</v>
      </c>
    </row>
    <row r="126" spans="1:8" x14ac:dyDescent="0.4">
      <c r="A126">
        <v>63</v>
      </c>
      <c r="B126" t="s">
        <v>3</v>
      </c>
      <c r="C126">
        <v>1</v>
      </c>
      <c r="D126">
        <v>4</v>
      </c>
      <c r="E126">
        <v>9</v>
      </c>
      <c r="F126">
        <v>0</v>
      </c>
      <c r="G126">
        <v>0</v>
      </c>
      <c r="H126">
        <f>표3[[#This Row],[공격성공횟수]]/(표3[[#This Row],[공격실패횟수]]+표3[[#This Row],[공격성공횟수]])</f>
        <v>0.30769230769230771</v>
      </c>
    </row>
    <row r="127" spans="1:8" hidden="1" x14ac:dyDescent="0.4">
      <c r="A127">
        <v>63</v>
      </c>
      <c r="B127" t="s">
        <v>1</v>
      </c>
      <c r="C127">
        <v>0</v>
      </c>
      <c r="D127">
        <v>0</v>
      </c>
      <c r="E127">
        <v>13</v>
      </c>
      <c r="F127">
        <v>4</v>
      </c>
      <c r="G127">
        <v>1</v>
      </c>
      <c r="H127">
        <f>표3[[#This Row],[공격성공횟수]]/(표3[[#This Row],[공격실패횟수]]+표3[[#This Row],[공격성공횟수]])</f>
        <v>0</v>
      </c>
    </row>
    <row r="128" spans="1:8" x14ac:dyDescent="0.4">
      <c r="A128">
        <v>64</v>
      </c>
      <c r="B128" t="s">
        <v>3</v>
      </c>
      <c r="C128">
        <v>1</v>
      </c>
      <c r="D128">
        <v>4</v>
      </c>
      <c r="E128">
        <v>16</v>
      </c>
      <c r="F128">
        <v>3</v>
      </c>
      <c r="G128">
        <v>0</v>
      </c>
      <c r="H128">
        <f>표3[[#This Row],[공격성공횟수]]/(표3[[#This Row],[공격실패횟수]]+표3[[#This Row],[공격성공횟수]])</f>
        <v>0.2</v>
      </c>
    </row>
    <row r="129" spans="1:8" hidden="1" x14ac:dyDescent="0.4">
      <c r="A129">
        <v>64</v>
      </c>
      <c r="B129" t="s">
        <v>1</v>
      </c>
      <c r="C129">
        <v>0</v>
      </c>
      <c r="D129">
        <v>3</v>
      </c>
      <c r="E129">
        <v>16</v>
      </c>
      <c r="F129">
        <v>4</v>
      </c>
      <c r="G129">
        <v>1</v>
      </c>
      <c r="H129">
        <f>표3[[#This Row],[공격성공횟수]]/(표3[[#This Row],[공격실패횟수]]+표3[[#This Row],[공격성공횟수]])</f>
        <v>0.15789473684210525</v>
      </c>
    </row>
    <row r="130" spans="1:8" x14ac:dyDescent="0.4">
      <c r="A130">
        <v>65</v>
      </c>
      <c r="B130" t="s">
        <v>3</v>
      </c>
      <c r="C130">
        <v>1</v>
      </c>
      <c r="D130">
        <v>4</v>
      </c>
      <c r="E130">
        <v>6</v>
      </c>
      <c r="F130">
        <v>0</v>
      </c>
      <c r="G130">
        <v>0</v>
      </c>
      <c r="H130">
        <f>표3[[#This Row],[공격성공횟수]]/(표3[[#This Row],[공격실패횟수]]+표3[[#This Row],[공격성공횟수]])</f>
        <v>0.4</v>
      </c>
    </row>
    <row r="131" spans="1:8" hidden="1" x14ac:dyDescent="0.4">
      <c r="A131">
        <v>65</v>
      </c>
      <c r="B131" t="s">
        <v>1</v>
      </c>
      <c r="C131">
        <v>0</v>
      </c>
      <c r="D131">
        <v>0</v>
      </c>
      <c r="E131">
        <v>10</v>
      </c>
      <c r="F131">
        <v>4</v>
      </c>
      <c r="G131">
        <v>1</v>
      </c>
      <c r="H131">
        <f>표3[[#This Row],[공격성공횟수]]/(표3[[#This Row],[공격실패횟수]]+표3[[#This Row],[공격성공횟수]])</f>
        <v>0</v>
      </c>
    </row>
    <row r="132" spans="1:8" x14ac:dyDescent="0.4">
      <c r="A132">
        <v>66</v>
      </c>
      <c r="B132" t="s">
        <v>3</v>
      </c>
      <c r="C132">
        <v>1</v>
      </c>
      <c r="D132">
        <v>4</v>
      </c>
      <c r="E132">
        <v>10</v>
      </c>
      <c r="F132">
        <v>1</v>
      </c>
      <c r="G132">
        <v>0</v>
      </c>
      <c r="H132">
        <f>표3[[#This Row],[공격성공횟수]]/(표3[[#This Row],[공격실패횟수]]+표3[[#This Row],[공격성공횟수]])</f>
        <v>0.2857142857142857</v>
      </c>
    </row>
    <row r="133" spans="1:8" hidden="1" x14ac:dyDescent="0.4">
      <c r="A133">
        <v>66</v>
      </c>
      <c r="B133" t="s">
        <v>1</v>
      </c>
      <c r="C133">
        <v>0</v>
      </c>
      <c r="D133">
        <v>1</v>
      </c>
      <c r="E133">
        <v>12</v>
      </c>
      <c r="F133">
        <v>4</v>
      </c>
      <c r="G133">
        <v>1</v>
      </c>
      <c r="H133">
        <f>표3[[#This Row],[공격성공횟수]]/(표3[[#This Row],[공격실패횟수]]+표3[[#This Row],[공격성공횟수]])</f>
        <v>7.6923076923076927E-2</v>
      </c>
    </row>
    <row r="134" spans="1:8" x14ac:dyDescent="0.4">
      <c r="A134">
        <v>67</v>
      </c>
      <c r="B134" t="s">
        <v>3</v>
      </c>
      <c r="C134">
        <v>1</v>
      </c>
      <c r="D134">
        <v>4</v>
      </c>
      <c r="E134">
        <v>8</v>
      </c>
      <c r="F134">
        <v>0</v>
      </c>
      <c r="G134">
        <v>0</v>
      </c>
      <c r="H134">
        <f>표3[[#This Row],[공격성공횟수]]/(표3[[#This Row],[공격실패횟수]]+표3[[#This Row],[공격성공횟수]])</f>
        <v>0.33333333333333331</v>
      </c>
    </row>
    <row r="135" spans="1:8" hidden="1" x14ac:dyDescent="0.4">
      <c r="A135">
        <v>67</v>
      </c>
      <c r="B135" t="s">
        <v>1</v>
      </c>
      <c r="C135">
        <v>0</v>
      </c>
      <c r="D135">
        <v>0</v>
      </c>
      <c r="E135">
        <v>12</v>
      </c>
      <c r="F135">
        <v>4</v>
      </c>
      <c r="G135">
        <v>1</v>
      </c>
      <c r="H135">
        <f>표3[[#This Row],[공격성공횟수]]/(표3[[#This Row],[공격실패횟수]]+표3[[#This Row],[공격성공횟수]])</f>
        <v>0</v>
      </c>
    </row>
    <row r="136" spans="1:8" x14ac:dyDescent="0.4">
      <c r="A136">
        <v>68</v>
      </c>
      <c r="B136" t="s">
        <v>3</v>
      </c>
      <c r="C136">
        <v>1</v>
      </c>
      <c r="D136">
        <v>4</v>
      </c>
      <c r="E136">
        <v>11</v>
      </c>
      <c r="F136">
        <v>0</v>
      </c>
      <c r="G136">
        <v>0</v>
      </c>
      <c r="H136">
        <f>표3[[#This Row],[공격성공횟수]]/(표3[[#This Row],[공격실패횟수]]+표3[[#This Row],[공격성공횟수]])</f>
        <v>0.26666666666666666</v>
      </c>
    </row>
    <row r="137" spans="1:8" hidden="1" x14ac:dyDescent="0.4">
      <c r="A137">
        <v>68</v>
      </c>
      <c r="B137" t="s">
        <v>1</v>
      </c>
      <c r="C137">
        <v>0</v>
      </c>
      <c r="D137">
        <v>0</v>
      </c>
      <c r="E137">
        <v>14</v>
      </c>
      <c r="F137">
        <v>4</v>
      </c>
      <c r="G137">
        <v>1</v>
      </c>
      <c r="H137">
        <f>표3[[#This Row],[공격성공횟수]]/(표3[[#This Row],[공격실패횟수]]+표3[[#This Row],[공격성공횟수]])</f>
        <v>0</v>
      </c>
    </row>
    <row r="138" spans="1:8" x14ac:dyDescent="0.4">
      <c r="A138">
        <v>69</v>
      </c>
      <c r="B138" t="s">
        <v>3</v>
      </c>
      <c r="C138">
        <v>1</v>
      </c>
      <c r="D138">
        <v>4</v>
      </c>
      <c r="E138">
        <v>16</v>
      </c>
      <c r="F138">
        <v>2</v>
      </c>
      <c r="G138">
        <v>0</v>
      </c>
      <c r="H138">
        <f>표3[[#This Row],[공격성공횟수]]/(표3[[#This Row],[공격실패횟수]]+표3[[#This Row],[공격성공횟수]])</f>
        <v>0.2</v>
      </c>
    </row>
    <row r="139" spans="1:8" hidden="1" x14ac:dyDescent="0.4">
      <c r="A139">
        <v>69</v>
      </c>
      <c r="B139" t="s">
        <v>1</v>
      </c>
      <c r="C139">
        <v>0</v>
      </c>
      <c r="D139">
        <v>2</v>
      </c>
      <c r="E139">
        <v>22</v>
      </c>
      <c r="F139">
        <v>4</v>
      </c>
      <c r="G139">
        <v>1</v>
      </c>
      <c r="H139">
        <f>표3[[#This Row],[공격성공횟수]]/(표3[[#This Row],[공격실패횟수]]+표3[[#This Row],[공격성공횟수]])</f>
        <v>8.3333333333333329E-2</v>
      </c>
    </row>
    <row r="140" spans="1:8" x14ac:dyDescent="0.4">
      <c r="A140">
        <v>70</v>
      </c>
      <c r="B140" t="s">
        <v>3</v>
      </c>
      <c r="C140">
        <v>1</v>
      </c>
      <c r="D140">
        <v>4</v>
      </c>
      <c r="E140">
        <v>8</v>
      </c>
      <c r="F140">
        <v>0</v>
      </c>
      <c r="G140">
        <v>0</v>
      </c>
      <c r="H140">
        <f>표3[[#This Row],[공격성공횟수]]/(표3[[#This Row],[공격실패횟수]]+표3[[#This Row],[공격성공횟수]])</f>
        <v>0.33333333333333331</v>
      </c>
    </row>
    <row r="141" spans="1:8" hidden="1" x14ac:dyDescent="0.4">
      <c r="A141">
        <v>70</v>
      </c>
      <c r="B141" t="s">
        <v>1</v>
      </c>
      <c r="C141">
        <v>0</v>
      </c>
      <c r="D141">
        <v>0</v>
      </c>
      <c r="E141">
        <v>11</v>
      </c>
      <c r="F141">
        <v>4</v>
      </c>
      <c r="G141">
        <v>1</v>
      </c>
      <c r="H141">
        <f>표3[[#This Row],[공격성공횟수]]/(표3[[#This Row],[공격실패횟수]]+표3[[#This Row],[공격성공횟수]])</f>
        <v>0</v>
      </c>
    </row>
    <row r="142" spans="1:8" x14ac:dyDescent="0.4">
      <c r="A142">
        <v>71</v>
      </c>
      <c r="B142" t="s">
        <v>3</v>
      </c>
      <c r="C142">
        <v>1</v>
      </c>
      <c r="D142">
        <v>4</v>
      </c>
      <c r="E142">
        <v>19</v>
      </c>
      <c r="F142">
        <v>1</v>
      </c>
      <c r="G142">
        <v>0</v>
      </c>
      <c r="H142">
        <f>표3[[#This Row],[공격성공횟수]]/(표3[[#This Row],[공격실패횟수]]+표3[[#This Row],[공격성공횟수]])</f>
        <v>0.17391304347826086</v>
      </c>
    </row>
    <row r="143" spans="1:8" hidden="1" x14ac:dyDescent="0.4">
      <c r="A143">
        <v>71</v>
      </c>
      <c r="B143" t="s">
        <v>1</v>
      </c>
      <c r="C143">
        <v>0</v>
      </c>
      <c r="D143">
        <v>1</v>
      </c>
      <c r="E143">
        <v>22</v>
      </c>
      <c r="F143">
        <v>4</v>
      </c>
      <c r="G143">
        <v>1</v>
      </c>
      <c r="H143">
        <f>표3[[#This Row],[공격성공횟수]]/(표3[[#This Row],[공격실패횟수]]+표3[[#This Row],[공격성공횟수]])</f>
        <v>4.3478260869565216E-2</v>
      </c>
    </row>
    <row r="144" spans="1:8" x14ac:dyDescent="0.4">
      <c r="A144">
        <v>72</v>
      </c>
      <c r="B144" t="s">
        <v>3</v>
      </c>
      <c r="C144">
        <v>0</v>
      </c>
      <c r="D144">
        <v>1</v>
      </c>
      <c r="E144">
        <v>23</v>
      </c>
      <c r="F144">
        <v>4</v>
      </c>
      <c r="G144">
        <v>1</v>
      </c>
      <c r="H144">
        <f>표3[[#This Row],[공격성공횟수]]/(표3[[#This Row],[공격실패횟수]]+표3[[#This Row],[공격성공횟수]])</f>
        <v>4.1666666666666664E-2</v>
      </c>
    </row>
    <row r="145" spans="1:8" hidden="1" x14ac:dyDescent="0.4">
      <c r="A145">
        <v>72</v>
      </c>
      <c r="B145" t="s">
        <v>1</v>
      </c>
      <c r="C145">
        <v>1</v>
      </c>
      <c r="D145">
        <v>4</v>
      </c>
      <c r="E145">
        <v>24</v>
      </c>
      <c r="F145">
        <v>1</v>
      </c>
      <c r="G145">
        <v>0</v>
      </c>
      <c r="H145">
        <f>표3[[#This Row],[공격성공횟수]]/(표3[[#This Row],[공격실패횟수]]+표3[[#This Row],[공격성공횟수]])</f>
        <v>0.14285714285714285</v>
      </c>
    </row>
    <row r="146" spans="1:8" x14ac:dyDescent="0.4">
      <c r="A146">
        <v>73</v>
      </c>
      <c r="B146" t="s">
        <v>3</v>
      </c>
      <c r="C146">
        <v>0</v>
      </c>
      <c r="D146">
        <v>1</v>
      </c>
      <c r="E146">
        <v>22</v>
      </c>
      <c r="F146">
        <v>4</v>
      </c>
      <c r="G146">
        <v>1</v>
      </c>
      <c r="H146">
        <f>표3[[#This Row],[공격성공횟수]]/(표3[[#This Row],[공격실패횟수]]+표3[[#This Row],[공격성공횟수]])</f>
        <v>4.3478260869565216E-2</v>
      </c>
    </row>
    <row r="147" spans="1:8" hidden="1" x14ac:dyDescent="0.4">
      <c r="A147">
        <v>73</v>
      </c>
      <c r="B147" t="s">
        <v>1</v>
      </c>
      <c r="C147">
        <v>1</v>
      </c>
      <c r="D147">
        <v>4</v>
      </c>
      <c r="E147">
        <v>19</v>
      </c>
      <c r="F147">
        <v>1</v>
      </c>
      <c r="G147">
        <v>0</v>
      </c>
      <c r="H147">
        <f>표3[[#This Row],[공격성공횟수]]/(표3[[#This Row],[공격실패횟수]]+표3[[#This Row],[공격성공횟수]])</f>
        <v>0.17391304347826086</v>
      </c>
    </row>
    <row r="148" spans="1:8" x14ac:dyDescent="0.4">
      <c r="A148">
        <v>74</v>
      </c>
      <c r="B148" t="s">
        <v>3</v>
      </c>
      <c r="C148">
        <v>1</v>
      </c>
      <c r="D148">
        <v>4</v>
      </c>
      <c r="E148">
        <v>8</v>
      </c>
      <c r="F148">
        <v>0</v>
      </c>
      <c r="G148">
        <v>0</v>
      </c>
      <c r="H148">
        <f>표3[[#This Row],[공격성공횟수]]/(표3[[#This Row],[공격실패횟수]]+표3[[#This Row],[공격성공횟수]])</f>
        <v>0.33333333333333331</v>
      </c>
    </row>
    <row r="149" spans="1:8" hidden="1" x14ac:dyDescent="0.4">
      <c r="A149">
        <v>74</v>
      </c>
      <c r="B149" t="s">
        <v>1</v>
      </c>
      <c r="C149">
        <v>0</v>
      </c>
      <c r="D149">
        <v>0</v>
      </c>
      <c r="E149">
        <v>11</v>
      </c>
      <c r="F149">
        <v>4</v>
      </c>
      <c r="G149">
        <v>1</v>
      </c>
      <c r="H149">
        <f>표3[[#This Row],[공격성공횟수]]/(표3[[#This Row],[공격실패횟수]]+표3[[#This Row],[공격성공횟수]])</f>
        <v>0</v>
      </c>
    </row>
    <row r="150" spans="1:8" x14ac:dyDescent="0.4">
      <c r="A150">
        <v>75</v>
      </c>
      <c r="B150" t="s">
        <v>3</v>
      </c>
      <c r="C150">
        <v>1</v>
      </c>
      <c r="D150">
        <v>4</v>
      </c>
      <c r="E150">
        <v>5</v>
      </c>
      <c r="F150">
        <v>1</v>
      </c>
      <c r="G150">
        <v>0</v>
      </c>
      <c r="H150">
        <f>표3[[#This Row],[공격성공횟수]]/(표3[[#This Row],[공격실패횟수]]+표3[[#This Row],[공격성공횟수]])</f>
        <v>0.44444444444444442</v>
      </c>
    </row>
    <row r="151" spans="1:8" hidden="1" x14ac:dyDescent="0.4">
      <c r="A151">
        <v>75</v>
      </c>
      <c r="B151" t="s">
        <v>1</v>
      </c>
      <c r="C151">
        <v>0</v>
      </c>
      <c r="D151">
        <v>1</v>
      </c>
      <c r="E151">
        <v>8</v>
      </c>
      <c r="F151">
        <v>4</v>
      </c>
      <c r="G151">
        <v>1</v>
      </c>
      <c r="H151">
        <f>표3[[#This Row],[공격성공횟수]]/(표3[[#This Row],[공격실패횟수]]+표3[[#This Row],[공격성공횟수]])</f>
        <v>0.1111111111111111</v>
      </c>
    </row>
    <row r="152" spans="1:8" x14ac:dyDescent="0.4">
      <c r="A152">
        <v>76</v>
      </c>
      <c r="B152" t="s">
        <v>3</v>
      </c>
      <c r="C152">
        <v>1</v>
      </c>
      <c r="D152">
        <v>4</v>
      </c>
      <c r="E152">
        <v>5</v>
      </c>
      <c r="F152">
        <v>0</v>
      </c>
      <c r="G152">
        <v>0</v>
      </c>
      <c r="H152">
        <f>표3[[#This Row],[공격성공횟수]]/(표3[[#This Row],[공격실패횟수]]+표3[[#This Row],[공격성공횟수]])</f>
        <v>0.44444444444444442</v>
      </c>
    </row>
    <row r="153" spans="1:8" hidden="1" x14ac:dyDescent="0.4">
      <c r="A153">
        <v>76</v>
      </c>
      <c r="B153" t="s">
        <v>1</v>
      </c>
      <c r="C153">
        <v>0</v>
      </c>
      <c r="D153">
        <v>0</v>
      </c>
      <c r="E153">
        <v>9</v>
      </c>
      <c r="F153">
        <v>4</v>
      </c>
      <c r="G153">
        <v>1</v>
      </c>
      <c r="H153">
        <f>표3[[#This Row],[공격성공횟수]]/(표3[[#This Row],[공격실패횟수]]+표3[[#This Row],[공격성공횟수]])</f>
        <v>0</v>
      </c>
    </row>
    <row r="154" spans="1:8" x14ac:dyDescent="0.4">
      <c r="A154">
        <v>77</v>
      </c>
      <c r="B154" t="s">
        <v>3</v>
      </c>
      <c r="C154">
        <v>1</v>
      </c>
      <c r="D154">
        <v>4</v>
      </c>
      <c r="E154">
        <v>11</v>
      </c>
      <c r="F154">
        <v>1</v>
      </c>
      <c r="G154">
        <v>0</v>
      </c>
      <c r="H154">
        <f>표3[[#This Row],[공격성공횟수]]/(표3[[#This Row],[공격실패횟수]]+표3[[#This Row],[공격성공횟수]])</f>
        <v>0.26666666666666666</v>
      </c>
    </row>
    <row r="155" spans="1:8" hidden="1" x14ac:dyDescent="0.4">
      <c r="A155">
        <v>77</v>
      </c>
      <c r="B155" t="s">
        <v>1</v>
      </c>
      <c r="C155">
        <v>0</v>
      </c>
      <c r="D155">
        <v>1</v>
      </c>
      <c r="E155">
        <v>13</v>
      </c>
      <c r="F155">
        <v>4</v>
      </c>
      <c r="G155">
        <v>1</v>
      </c>
      <c r="H155">
        <f>표3[[#This Row],[공격성공횟수]]/(표3[[#This Row],[공격실패횟수]]+표3[[#This Row],[공격성공횟수]])</f>
        <v>7.1428571428571425E-2</v>
      </c>
    </row>
    <row r="156" spans="1:8" x14ac:dyDescent="0.4">
      <c r="A156">
        <v>78</v>
      </c>
      <c r="B156" t="s">
        <v>3</v>
      </c>
      <c r="C156">
        <v>0</v>
      </c>
      <c r="D156">
        <v>0</v>
      </c>
      <c r="E156">
        <v>17</v>
      </c>
      <c r="F156">
        <v>4</v>
      </c>
      <c r="G156">
        <v>1</v>
      </c>
      <c r="H156">
        <f>표3[[#This Row],[공격성공횟수]]/(표3[[#This Row],[공격실패횟수]]+표3[[#This Row],[공격성공횟수]])</f>
        <v>0</v>
      </c>
    </row>
    <row r="157" spans="1:8" hidden="1" x14ac:dyDescent="0.4">
      <c r="A157">
        <v>78</v>
      </c>
      <c r="B157" t="s">
        <v>1</v>
      </c>
      <c r="C157">
        <v>1</v>
      </c>
      <c r="D157">
        <v>4</v>
      </c>
      <c r="E157">
        <v>16</v>
      </c>
      <c r="F157">
        <v>0</v>
      </c>
      <c r="G157">
        <v>0</v>
      </c>
      <c r="H157">
        <f>표3[[#This Row],[공격성공횟수]]/(표3[[#This Row],[공격실패횟수]]+표3[[#This Row],[공격성공횟수]])</f>
        <v>0.2</v>
      </c>
    </row>
    <row r="158" spans="1:8" x14ac:dyDescent="0.4">
      <c r="A158">
        <v>79</v>
      </c>
      <c r="B158" t="s">
        <v>3</v>
      </c>
      <c r="C158">
        <v>1</v>
      </c>
      <c r="D158">
        <v>4</v>
      </c>
      <c r="E158">
        <v>7</v>
      </c>
      <c r="F158">
        <v>0</v>
      </c>
      <c r="G158">
        <v>0</v>
      </c>
      <c r="H158">
        <f>표3[[#This Row],[공격성공횟수]]/(표3[[#This Row],[공격실패횟수]]+표3[[#This Row],[공격성공횟수]])</f>
        <v>0.36363636363636365</v>
      </c>
    </row>
    <row r="159" spans="1:8" hidden="1" x14ac:dyDescent="0.4">
      <c r="A159">
        <v>79</v>
      </c>
      <c r="B159" t="s">
        <v>1</v>
      </c>
      <c r="C159">
        <v>0</v>
      </c>
      <c r="D159">
        <v>0</v>
      </c>
      <c r="E159">
        <v>10</v>
      </c>
      <c r="F159">
        <v>4</v>
      </c>
      <c r="G159">
        <v>1</v>
      </c>
      <c r="H159">
        <f>표3[[#This Row],[공격성공횟수]]/(표3[[#This Row],[공격실패횟수]]+표3[[#This Row],[공격성공횟수]])</f>
        <v>0</v>
      </c>
    </row>
    <row r="160" spans="1:8" x14ac:dyDescent="0.4">
      <c r="A160">
        <v>80</v>
      </c>
      <c r="B160" t="s">
        <v>3</v>
      </c>
      <c r="C160">
        <v>1</v>
      </c>
      <c r="D160">
        <v>4</v>
      </c>
      <c r="E160">
        <v>9</v>
      </c>
      <c r="F160">
        <v>1</v>
      </c>
      <c r="G160">
        <v>0</v>
      </c>
      <c r="H160">
        <f>표3[[#This Row],[공격성공횟수]]/(표3[[#This Row],[공격실패횟수]]+표3[[#This Row],[공격성공횟수]])</f>
        <v>0.30769230769230771</v>
      </c>
    </row>
    <row r="161" spans="1:8" hidden="1" x14ac:dyDescent="0.4">
      <c r="A161">
        <v>80</v>
      </c>
      <c r="B161" t="s">
        <v>1</v>
      </c>
      <c r="C161">
        <v>0</v>
      </c>
      <c r="D161">
        <v>1</v>
      </c>
      <c r="E161">
        <v>12</v>
      </c>
      <c r="F161">
        <v>4</v>
      </c>
      <c r="G161">
        <v>1</v>
      </c>
      <c r="H161">
        <f>표3[[#This Row],[공격성공횟수]]/(표3[[#This Row],[공격실패횟수]]+표3[[#This Row],[공격성공횟수]])</f>
        <v>7.6923076923076927E-2</v>
      </c>
    </row>
    <row r="162" spans="1:8" x14ac:dyDescent="0.4">
      <c r="A162">
        <v>81</v>
      </c>
      <c r="B162" t="s">
        <v>3</v>
      </c>
      <c r="C162">
        <v>1</v>
      </c>
      <c r="D162">
        <v>4</v>
      </c>
      <c r="E162">
        <v>21</v>
      </c>
      <c r="F162">
        <v>0</v>
      </c>
      <c r="G162">
        <v>0</v>
      </c>
      <c r="H162">
        <f>표3[[#This Row],[공격성공횟수]]/(표3[[#This Row],[공격실패횟수]]+표3[[#This Row],[공격성공횟수]])</f>
        <v>0.16</v>
      </c>
    </row>
    <row r="163" spans="1:8" hidden="1" x14ac:dyDescent="0.4">
      <c r="A163">
        <v>81</v>
      </c>
      <c r="B163" t="s">
        <v>1</v>
      </c>
      <c r="C163">
        <v>0</v>
      </c>
      <c r="D163">
        <v>0</v>
      </c>
      <c r="E163">
        <v>24</v>
      </c>
      <c r="F163">
        <v>4</v>
      </c>
      <c r="G163">
        <v>1</v>
      </c>
      <c r="H163">
        <f>표3[[#This Row],[공격성공횟수]]/(표3[[#This Row],[공격실패횟수]]+표3[[#This Row],[공격성공횟수]])</f>
        <v>0</v>
      </c>
    </row>
    <row r="164" spans="1:8" x14ac:dyDescent="0.4">
      <c r="A164">
        <v>82</v>
      </c>
      <c r="B164" t="s">
        <v>3</v>
      </c>
      <c r="C164">
        <v>1</v>
      </c>
      <c r="D164">
        <v>4</v>
      </c>
      <c r="E164">
        <v>24</v>
      </c>
      <c r="F164">
        <v>3</v>
      </c>
      <c r="G164">
        <v>0</v>
      </c>
      <c r="H164">
        <f>표3[[#This Row],[공격성공횟수]]/(표3[[#This Row],[공격실패횟수]]+표3[[#This Row],[공격성공횟수]])</f>
        <v>0.14285714285714285</v>
      </c>
    </row>
    <row r="165" spans="1:8" hidden="1" x14ac:dyDescent="0.4">
      <c r="A165">
        <v>82</v>
      </c>
      <c r="B165" t="s">
        <v>1</v>
      </c>
      <c r="C165">
        <v>0</v>
      </c>
      <c r="D165">
        <v>3</v>
      </c>
      <c r="E165">
        <v>24</v>
      </c>
      <c r="F165">
        <v>4</v>
      </c>
      <c r="G165">
        <v>1</v>
      </c>
      <c r="H165">
        <f>표3[[#This Row],[공격성공횟수]]/(표3[[#This Row],[공격실패횟수]]+표3[[#This Row],[공격성공횟수]])</f>
        <v>0.1111111111111111</v>
      </c>
    </row>
    <row r="166" spans="1:8" x14ac:dyDescent="0.4">
      <c r="A166">
        <v>83</v>
      </c>
      <c r="B166" t="s">
        <v>3</v>
      </c>
      <c r="C166">
        <v>1</v>
      </c>
      <c r="D166">
        <v>4</v>
      </c>
      <c r="E166">
        <v>11</v>
      </c>
      <c r="F166">
        <v>2</v>
      </c>
      <c r="G166">
        <v>0</v>
      </c>
      <c r="H166">
        <f>표3[[#This Row],[공격성공횟수]]/(표3[[#This Row],[공격실패횟수]]+표3[[#This Row],[공격성공횟수]])</f>
        <v>0.26666666666666666</v>
      </c>
    </row>
    <row r="167" spans="1:8" hidden="1" x14ac:dyDescent="0.4">
      <c r="A167">
        <v>83</v>
      </c>
      <c r="B167" t="s">
        <v>1</v>
      </c>
      <c r="C167">
        <v>0</v>
      </c>
      <c r="D167">
        <v>2</v>
      </c>
      <c r="E167">
        <v>13</v>
      </c>
      <c r="F167">
        <v>4</v>
      </c>
      <c r="G167">
        <v>1</v>
      </c>
      <c r="H167">
        <f>표3[[#This Row],[공격성공횟수]]/(표3[[#This Row],[공격실패횟수]]+표3[[#This Row],[공격성공횟수]])</f>
        <v>0.13333333333333333</v>
      </c>
    </row>
    <row r="168" spans="1:8" x14ac:dyDescent="0.4">
      <c r="A168">
        <v>84</v>
      </c>
      <c r="B168" t="s">
        <v>3</v>
      </c>
      <c r="C168">
        <v>0</v>
      </c>
      <c r="D168">
        <v>0</v>
      </c>
      <c r="E168">
        <v>17</v>
      </c>
      <c r="F168">
        <v>4</v>
      </c>
      <c r="G168">
        <v>1</v>
      </c>
      <c r="H168">
        <f>표3[[#This Row],[공격성공횟수]]/(표3[[#This Row],[공격실패횟수]]+표3[[#This Row],[공격성공횟수]])</f>
        <v>0</v>
      </c>
    </row>
    <row r="169" spans="1:8" hidden="1" x14ac:dyDescent="0.4">
      <c r="A169">
        <v>84</v>
      </c>
      <c r="B169" t="s">
        <v>1</v>
      </c>
      <c r="C169">
        <v>1</v>
      </c>
      <c r="D169">
        <v>4</v>
      </c>
      <c r="E169">
        <v>14</v>
      </c>
      <c r="F169">
        <v>0</v>
      </c>
      <c r="G169">
        <v>0</v>
      </c>
      <c r="H169">
        <f>표3[[#This Row],[공격성공횟수]]/(표3[[#This Row],[공격실패횟수]]+표3[[#This Row],[공격성공횟수]])</f>
        <v>0.22222222222222221</v>
      </c>
    </row>
    <row r="170" spans="1:8" x14ac:dyDescent="0.4">
      <c r="A170">
        <v>85</v>
      </c>
      <c r="B170" t="s">
        <v>3</v>
      </c>
      <c r="C170">
        <v>1</v>
      </c>
      <c r="D170">
        <v>4</v>
      </c>
      <c r="E170">
        <v>5</v>
      </c>
      <c r="F170">
        <v>2</v>
      </c>
      <c r="G170">
        <v>0</v>
      </c>
      <c r="H170">
        <f>표3[[#This Row],[공격성공횟수]]/(표3[[#This Row],[공격실패횟수]]+표3[[#This Row],[공격성공횟수]])</f>
        <v>0.44444444444444442</v>
      </c>
    </row>
    <row r="171" spans="1:8" hidden="1" x14ac:dyDescent="0.4">
      <c r="A171">
        <v>85</v>
      </c>
      <c r="B171" t="s">
        <v>1</v>
      </c>
      <c r="C171">
        <v>0</v>
      </c>
      <c r="D171">
        <v>2</v>
      </c>
      <c r="E171">
        <v>6</v>
      </c>
      <c r="F171">
        <v>4</v>
      </c>
      <c r="G171">
        <v>1</v>
      </c>
      <c r="H171">
        <f>표3[[#This Row],[공격성공횟수]]/(표3[[#This Row],[공격실패횟수]]+표3[[#This Row],[공격성공횟수]])</f>
        <v>0.25</v>
      </c>
    </row>
    <row r="172" spans="1:8" x14ac:dyDescent="0.4">
      <c r="A172">
        <v>86</v>
      </c>
      <c r="B172" t="s">
        <v>3</v>
      </c>
      <c r="C172">
        <v>1</v>
      </c>
      <c r="D172">
        <v>4</v>
      </c>
      <c r="E172">
        <v>14</v>
      </c>
      <c r="F172">
        <v>1</v>
      </c>
      <c r="G172">
        <v>0</v>
      </c>
      <c r="H172">
        <f>표3[[#This Row],[공격성공횟수]]/(표3[[#This Row],[공격실패횟수]]+표3[[#This Row],[공격성공횟수]])</f>
        <v>0.22222222222222221</v>
      </c>
    </row>
    <row r="173" spans="1:8" hidden="1" x14ac:dyDescent="0.4">
      <c r="A173">
        <v>86</v>
      </c>
      <c r="B173" t="s">
        <v>1</v>
      </c>
      <c r="C173">
        <v>0</v>
      </c>
      <c r="D173">
        <v>1</v>
      </c>
      <c r="E173">
        <v>16</v>
      </c>
      <c r="F173">
        <v>4</v>
      </c>
      <c r="G173">
        <v>1</v>
      </c>
      <c r="H173">
        <f>표3[[#This Row],[공격성공횟수]]/(표3[[#This Row],[공격실패횟수]]+표3[[#This Row],[공격성공횟수]])</f>
        <v>5.8823529411764705E-2</v>
      </c>
    </row>
    <row r="174" spans="1:8" x14ac:dyDescent="0.4">
      <c r="A174">
        <v>87</v>
      </c>
      <c r="B174" t="s">
        <v>3</v>
      </c>
      <c r="C174">
        <v>1</v>
      </c>
      <c r="D174">
        <v>4</v>
      </c>
      <c r="E174">
        <v>7</v>
      </c>
      <c r="F174">
        <v>0</v>
      </c>
      <c r="G174">
        <v>0</v>
      </c>
      <c r="H174">
        <f>표3[[#This Row],[공격성공횟수]]/(표3[[#This Row],[공격실패횟수]]+표3[[#This Row],[공격성공횟수]])</f>
        <v>0.36363636363636365</v>
      </c>
    </row>
    <row r="175" spans="1:8" hidden="1" x14ac:dyDescent="0.4">
      <c r="A175">
        <v>87</v>
      </c>
      <c r="B175" t="s">
        <v>1</v>
      </c>
      <c r="C175">
        <v>0</v>
      </c>
      <c r="D175">
        <v>0</v>
      </c>
      <c r="E175">
        <v>11</v>
      </c>
      <c r="F175">
        <v>4</v>
      </c>
      <c r="G175">
        <v>1</v>
      </c>
      <c r="H175">
        <f>표3[[#This Row],[공격성공횟수]]/(표3[[#This Row],[공격실패횟수]]+표3[[#This Row],[공격성공횟수]])</f>
        <v>0</v>
      </c>
    </row>
    <row r="176" spans="1:8" x14ac:dyDescent="0.4">
      <c r="A176">
        <v>88</v>
      </c>
      <c r="B176" t="s">
        <v>3</v>
      </c>
      <c r="C176">
        <v>1</v>
      </c>
      <c r="D176">
        <v>4</v>
      </c>
      <c r="E176">
        <v>9</v>
      </c>
      <c r="F176">
        <v>1</v>
      </c>
      <c r="G176">
        <v>0</v>
      </c>
      <c r="H176">
        <f>표3[[#This Row],[공격성공횟수]]/(표3[[#This Row],[공격실패횟수]]+표3[[#This Row],[공격성공횟수]])</f>
        <v>0.30769230769230771</v>
      </c>
    </row>
    <row r="177" spans="1:8" hidden="1" x14ac:dyDescent="0.4">
      <c r="A177">
        <v>88</v>
      </c>
      <c r="B177" t="s">
        <v>1</v>
      </c>
      <c r="C177">
        <v>0</v>
      </c>
      <c r="D177">
        <v>1</v>
      </c>
      <c r="E177">
        <v>11</v>
      </c>
      <c r="F177">
        <v>4</v>
      </c>
      <c r="G177">
        <v>1</v>
      </c>
      <c r="H177">
        <f>표3[[#This Row],[공격성공횟수]]/(표3[[#This Row],[공격실패횟수]]+표3[[#This Row],[공격성공횟수]])</f>
        <v>8.3333333333333329E-2</v>
      </c>
    </row>
    <row r="178" spans="1:8" x14ac:dyDescent="0.4">
      <c r="A178">
        <v>89</v>
      </c>
      <c r="B178" t="s">
        <v>3</v>
      </c>
      <c r="C178">
        <v>1</v>
      </c>
      <c r="D178">
        <v>4</v>
      </c>
      <c r="E178">
        <v>7</v>
      </c>
      <c r="F178">
        <v>1</v>
      </c>
      <c r="G178">
        <v>0</v>
      </c>
      <c r="H178">
        <f>표3[[#This Row],[공격성공횟수]]/(표3[[#This Row],[공격실패횟수]]+표3[[#This Row],[공격성공횟수]])</f>
        <v>0.36363636363636365</v>
      </c>
    </row>
    <row r="179" spans="1:8" hidden="1" x14ac:dyDescent="0.4">
      <c r="A179">
        <v>89</v>
      </c>
      <c r="B179" t="s">
        <v>1</v>
      </c>
      <c r="C179">
        <v>0</v>
      </c>
      <c r="D179">
        <v>1</v>
      </c>
      <c r="E179">
        <v>9</v>
      </c>
      <c r="F179">
        <v>4</v>
      </c>
      <c r="G179">
        <v>1</v>
      </c>
      <c r="H179">
        <f>표3[[#This Row],[공격성공횟수]]/(표3[[#This Row],[공격실패횟수]]+표3[[#This Row],[공격성공횟수]])</f>
        <v>0.1</v>
      </c>
    </row>
    <row r="180" spans="1:8" x14ac:dyDescent="0.4">
      <c r="A180">
        <v>90</v>
      </c>
      <c r="B180" t="s">
        <v>3</v>
      </c>
      <c r="C180">
        <v>1</v>
      </c>
      <c r="D180">
        <v>4</v>
      </c>
      <c r="E180">
        <v>27</v>
      </c>
      <c r="F180">
        <v>2</v>
      </c>
      <c r="G180">
        <v>0</v>
      </c>
      <c r="H180">
        <f>표3[[#This Row],[공격성공횟수]]/(표3[[#This Row],[공격실패횟수]]+표3[[#This Row],[공격성공횟수]])</f>
        <v>0.12903225806451613</v>
      </c>
    </row>
    <row r="181" spans="1:8" hidden="1" x14ac:dyDescent="0.4">
      <c r="A181">
        <v>90</v>
      </c>
      <c r="B181" t="s">
        <v>1</v>
      </c>
      <c r="C181">
        <v>0</v>
      </c>
      <c r="D181">
        <v>2</v>
      </c>
      <c r="E181">
        <v>33</v>
      </c>
      <c r="F181">
        <v>4</v>
      </c>
      <c r="G181">
        <v>1</v>
      </c>
      <c r="H181">
        <f>표3[[#This Row],[공격성공횟수]]/(표3[[#This Row],[공격실패횟수]]+표3[[#This Row],[공격성공횟수]])</f>
        <v>5.7142857142857141E-2</v>
      </c>
    </row>
    <row r="182" spans="1:8" x14ac:dyDescent="0.4">
      <c r="A182">
        <v>91</v>
      </c>
      <c r="B182" t="s">
        <v>3</v>
      </c>
      <c r="C182">
        <v>0</v>
      </c>
      <c r="D182">
        <v>3</v>
      </c>
      <c r="E182">
        <v>49</v>
      </c>
      <c r="F182">
        <v>4</v>
      </c>
      <c r="G182">
        <v>1</v>
      </c>
      <c r="H182">
        <f>표3[[#This Row],[공격성공횟수]]/(표3[[#This Row],[공격실패횟수]]+표3[[#This Row],[공격성공횟수]])</f>
        <v>5.7692307692307696E-2</v>
      </c>
    </row>
    <row r="183" spans="1:8" hidden="1" x14ac:dyDescent="0.4">
      <c r="A183">
        <v>91</v>
      </c>
      <c r="B183" t="s">
        <v>1</v>
      </c>
      <c r="C183">
        <v>1</v>
      </c>
      <c r="D183">
        <v>4</v>
      </c>
      <c r="E183">
        <v>49</v>
      </c>
      <c r="F183">
        <v>3</v>
      </c>
      <c r="G183">
        <v>0</v>
      </c>
      <c r="H183">
        <f>표3[[#This Row],[공격성공횟수]]/(표3[[#This Row],[공격실패횟수]]+표3[[#This Row],[공격성공횟수]])</f>
        <v>7.5471698113207544E-2</v>
      </c>
    </row>
    <row r="184" spans="1:8" x14ac:dyDescent="0.4">
      <c r="A184">
        <v>92</v>
      </c>
      <c r="B184" t="s">
        <v>3</v>
      </c>
      <c r="C184">
        <v>1</v>
      </c>
      <c r="D184">
        <v>4</v>
      </c>
      <c r="E184">
        <v>28</v>
      </c>
      <c r="F184">
        <v>0</v>
      </c>
      <c r="G184">
        <v>0</v>
      </c>
      <c r="H184">
        <f>표3[[#This Row],[공격성공횟수]]/(표3[[#This Row],[공격실패횟수]]+표3[[#This Row],[공격성공횟수]])</f>
        <v>0.125</v>
      </c>
    </row>
    <row r="185" spans="1:8" hidden="1" x14ac:dyDescent="0.4">
      <c r="A185">
        <v>92</v>
      </c>
      <c r="B185" t="s">
        <v>1</v>
      </c>
      <c r="C185">
        <v>0</v>
      </c>
      <c r="D185">
        <v>0</v>
      </c>
      <c r="E185">
        <v>29</v>
      </c>
      <c r="F185">
        <v>4</v>
      </c>
      <c r="G185">
        <v>1</v>
      </c>
      <c r="H185">
        <f>표3[[#This Row],[공격성공횟수]]/(표3[[#This Row],[공격실패횟수]]+표3[[#This Row],[공격성공횟수]])</f>
        <v>0</v>
      </c>
    </row>
    <row r="186" spans="1:8" x14ac:dyDescent="0.4">
      <c r="A186">
        <v>93</v>
      </c>
      <c r="B186" t="s">
        <v>3</v>
      </c>
      <c r="C186">
        <v>1</v>
      </c>
      <c r="D186">
        <v>4</v>
      </c>
      <c r="E186">
        <v>18</v>
      </c>
      <c r="F186">
        <v>2</v>
      </c>
      <c r="G186">
        <v>0</v>
      </c>
      <c r="H186">
        <f>표3[[#This Row],[공격성공횟수]]/(표3[[#This Row],[공격실패횟수]]+표3[[#This Row],[공격성공횟수]])</f>
        <v>0.18181818181818182</v>
      </c>
    </row>
    <row r="187" spans="1:8" hidden="1" x14ac:dyDescent="0.4">
      <c r="A187">
        <v>93</v>
      </c>
      <c r="B187" t="s">
        <v>1</v>
      </c>
      <c r="C187">
        <v>0</v>
      </c>
      <c r="D187">
        <v>2</v>
      </c>
      <c r="E187">
        <v>24</v>
      </c>
      <c r="F187">
        <v>4</v>
      </c>
      <c r="G187">
        <v>1</v>
      </c>
      <c r="H187">
        <f>표3[[#This Row],[공격성공횟수]]/(표3[[#This Row],[공격실패횟수]]+표3[[#This Row],[공격성공횟수]])</f>
        <v>7.6923076923076927E-2</v>
      </c>
    </row>
    <row r="188" spans="1:8" x14ac:dyDescent="0.4">
      <c r="A188">
        <v>94</v>
      </c>
      <c r="B188" t="s">
        <v>3</v>
      </c>
      <c r="C188">
        <v>1</v>
      </c>
      <c r="D188">
        <v>4</v>
      </c>
      <c r="E188">
        <v>8</v>
      </c>
      <c r="F188">
        <v>0</v>
      </c>
      <c r="G188">
        <v>0</v>
      </c>
      <c r="H188">
        <f>표3[[#This Row],[공격성공횟수]]/(표3[[#This Row],[공격실패횟수]]+표3[[#This Row],[공격성공횟수]])</f>
        <v>0.33333333333333331</v>
      </c>
    </row>
    <row r="189" spans="1:8" hidden="1" x14ac:dyDescent="0.4">
      <c r="A189">
        <v>94</v>
      </c>
      <c r="B189" t="s">
        <v>1</v>
      </c>
      <c r="C189">
        <v>0</v>
      </c>
      <c r="D189">
        <v>0</v>
      </c>
      <c r="E189">
        <v>11</v>
      </c>
      <c r="F189">
        <v>4</v>
      </c>
      <c r="G189">
        <v>1</v>
      </c>
      <c r="H189">
        <f>표3[[#This Row],[공격성공횟수]]/(표3[[#This Row],[공격실패횟수]]+표3[[#This Row],[공격성공횟수]])</f>
        <v>0</v>
      </c>
    </row>
    <row r="190" spans="1:8" x14ac:dyDescent="0.4">
      <c r="A190">
        <v>95</v>
      </c>
      <c r="B190" t="s">
        <v>3</v>
      </c>
      <c r="C190">
        <v>1</v>
      </c>
      <c r="D190">
        <v>4</v>
      </c>
      <c r="E190">
        <v>20</v>
      </c>
      <c r="F190">
        <v>0</v>
      </c>
      <c r="G190">
        <v>0</v>
      </c>
      <c r="H190">
        <f>표3[[#This Row],[공격성공횟수]]/(표3[[#This Row],[공격실패횟수]]+표3[[#This Row],[공격성공횟수]])</f>
        <v>0.16666666666666666</v>
      </c>
    </row>
    <row r="191" spans="1:8" hidden="1" x14ac:dyDescent="0.4">
      <c r="A191">
        <v>95</v>
      </c>
      <c r="B191" t="s">
        <v>1</v>
      </c>
      <c r="C191">
        <v>0</v>
      </c>
      <c r="D191">
        <v>0</v>
      </c>
      <c r="E191">
        <v>24</v>
      </c>
      <c r="F191">
        <v>4</v>
      </c>
      <c r="G191">
        <v>1</v>
      </c>
      <c r="H191">
        <f>표3[[#This Row],[공격성공횟수]]/(표3[[#This Row],[공격실패횟수]]+표3[[#This Row],[공격성공횟수]])</f>
        <v>0</v>
      </c>
    </row>
    <row r="192" spans="1:8" x14ac:dyDescent="0.4">
      <c r="A192">
        <v>96</v>
      </c>
      <c r="B192" t="s">
        <v>3</v>
      </c>
      <c r="C192">
        <v>1</v>
      </c>
      <c r="D192">
        <v>4</v>
      </c>
      <c r="E192">
        <v>10</v>
      </c>
      <c r="F192">
        <v>1</v>
      </c>
      <c r="G192">
        <v>0</v>
      </c>
      <c r="H192">
        <f>표3[[#This Row],[공격성공횟수]]/(표3[[#This Row],[공격실패횟수]]+표3[[#This Row],[공격성공횟수]])</f>
        <v>0.2857142857142857</v>
      </c>
    </row>
    <row r="193" spans="1:8" hidden="1" x14ac:dyDescent="0.4">
      <c r="A193">
        <v>96</v>
      </c>
      <c r="B193" t="s">
        <v>1</v>
      </c>
      <c r="C193">
        <v>0</v>
      </c>
      <c r="D193">
        <v>1</v>
      </c>
      <c r="E193">
        <v>12</v>
      </c>
      <c r="F193">
        <v>4</v>
      </c>
      <c r="G193">
        <v>1</v>
      </c>
      <c r="H193">
        <f>표3[[#This Row],[공격성공횟수]]/(표3[[#This Row],[공격실패횟수]]+표3[[#This Row],[공격성공횟수]])</f>
        <v>7.6923076923076927E-2</v>
      </c>
    </row>
    <row r="194" spans="1:8" x14ac:dyDescent="0.4">
      <c r="A194">
        <v>97</v>
      </c>
      <c r="B194" t="s">
        <v>3</v>
      </c>
      <c r="C194">
        <v>1</v>
      </c>
      <c r="D194">
        <v>4</v>
      </c>
      <c r="E194">
        <v>12</v>
      </c>
      <c r="F194">
        <v>0</v>
      </c>
      <c r="G194">
        <v>0</v>
      </c>
      <c r="H194">
        <f>표3[[#This Row],[공격성공횟수]]/(표3[[#This Row],[공격실패횟수]]+표3[[#This Row],[공격성공횟수]])</f>
        <v>0.25</v>
      </c>
    </row>
    <row r="195" spans="1:8" hidden="1" x14ac:dyDescent="0.4">
      <c r="A195">
        <v>97</v>
      </c>
      <c r="B195" t="s">
        <v>1</v>
      </c>
      <c r="C195">
        <v>0</v>
      </c>
      <c r="D195">
        <v>0</v>
      </c>
      <c r="E195">
        <v>15</v>
      </c>
      <c r="F195">
        <v>4</v>
      </c>
      <c r="G195">
        <v>1</v>
      </c>
      <c r="H195">
        <f>표3[[#This Row],[공격성공횟수]]/(표3[[#This Row],[공격실패횟수]]+표3[[#This Row],[공격성공횟수]])</f>
        <v>0</v>
      </c>
    </row>
    <row r="196" spans="1:8" x14ac:dyDescent="0.4">
      <c r="A196">
        <v>98</v>
      </c>
      <c r="B196" t="s">
        <v>3</v>
      </c>
      <c r="C196">
        <v>1</v>
      </c>
      <c r="D196">
        <v>4</v>
      </c>
      <c r="E196">
        <v>12</v>
      </c>
      <c r="F196">
        <v>0</v>
      </c>
      <c r="G196">
        <v>0</v>
      </c>
      <c r="H196">
        <f>표3[[#This Row],[공격성공횟수]]/(표3[[#This Row],[공격실패횟수]]+표3[[#This Row],[공격성공횟수]])</f>
        <v>0.25</v>
      </c>
    </row>
    <row r="197" spans="1:8" hidden="1" x14ac:dyDescent="0.4">
      <c r="A197">
        <v>98</v>
      </c>
      <c r="B197" t="s">
        <v>1</v>
      </c>
      <c r="C197">
        <v>0</v>
      </c>
      <c r="D197">
        <v>0</v>
      </c>
      <c r="E197">
        <v>16</v>
      </c>
      <c r="F197">
        <v>4</v>
      </c>
      <c r="G197">
        <v>1</v>
      </c>
      <c r="H197">
        <f>표3[[#This Row],[공격성공횟수]]/(표3[[#This Row],[공격실패횟수]]+표3[[#This Row],[공격성공횟수]])</f>
        <v>0</v>
      </c>
    </row>
    <row r="198" spans="1:8" x14ac:dyDescent="0.4">
      <c r="A198">
        <v>99</v>
      </c>
      <c r="B198" t="s">
        <v>3</v>
      </c>
      <c r="C198">
        <v>1</v>
      </c>
      <c r="D198">
        <v>4</v>
      </c>
      <c r="E198">
        <v>20</v>
      </c>
      <c r="F198">
        <v>0</v>
      </c>
      <c r="G198">
        <v>0</v>
      </c>
      <c r="H198">
        <f>표3[[#This Row],[공격성공횟수]]/(표3[[#This Row],[공격실패횟수]]+표3[[#This Row],[공격성공횟수]])</f>
        <v>0.16666666666666666</v>
      </c>
    </row>
    <row r="199" spans="1:8" hidden="1" x14ac:dyDescent="0.4">
      <c r="A199">
        <v>99</v>
      </c>
      <c r="B199" t="s">
        <v>1</v>
      </c>
      <c r="C199">
        <v>0</v>
      </c>
      <c r="D199">
        <v>0</v>
      </c>
      <c r="E199">
        <v>23</v>
      </c>
      <c r="F199">
        <v>4</v>
      </c>
      <c r="G199">
        <v>1</v>
      </c>
      <c r="H199">
        <f>표3[[#This Row],[공격성공횟수]]/(표3[[#This Row],[공격실패횟수]]+표3[[#This Row],[공격성공횟수]])</f>
        <v>0</v>
      </c>
    </row>
    <row r="200" spans="1:8" x14ac:dyDescent="0.4">
      <c r="A200">
        <v>100</v>
      </c>
      <c r="B200" t="s">
        <v>3</v>
      </c>
      <c r="C200">
        <v>1</v>
      </c>
      <c r="D200">
        <v>4</v>
      </c>
      <c r="E200">
        <v>25</v>
      </c>
      <c r="F200">
        <v>1</v>
      </c>
      <c r="G200">
        <v>0</v>
      </c>
      <c r="H200">
        <f>표3[[#This Row],[공격성공횟수]]/(표3[[#This Row],[공격실패횟수]]+표3[[#This Row],[공격성공횟수]])</f>
        <v>0.13793103448275862</v>
      </c>
    </row>
    <row r="201" spans="1:8" hidden="1" x14ac:dyDescent="0.4">
      <c r="A201">
        <v>100</v>
      </c>
      <c r="B201" t="s">
        <v>1</v>
      </c>
      <c r="C201">
        <v>0</v>
      </c>
      <c r="D201">
        <v>1</v>
      </c>
      <c r="E201">
        <v>27</v>
      </c>
      <c r="F201">
        <v>4</v>
      </c>
      <c r="G201">
        <v>1</v>
      </c>
      <c r="H201">
        <f>표3[[#This Row],[공격성공횟수]]/(표3[[#This Row],[공격실패횟수]]+표3[[#This Row],[공격성공횟수]])</f>
        <v>3.5714285714285712E-2</v>
      </c>
    </row>
    <row r="202" spans="1:8" x14ac:dyDescent="0.4">
      <c r="A202">
        <v>101</v>
      </c>
      <c r="B202" t="s">
        <v>3</v>
      </c>
      <c r="C202">
        <v>1</v>
      </c>
      <c r="D202">
        <v>4</v>
      </c>
      <c r="E202">
        <v>11</v>
      </c>
      <c r="F202">
        <v>3</v>
      </c>
      <c r="G202">
        <v>0</v>
      </c>
      <c r="H202">
        <f>표3[[#This Row],[공격성공횟수]]/(표3[[#This Row],[공격실패횟수]]+표3[[#This Row],[공격성공횟수]])</f>
        <v>0.26666666666666666</v>
      </c>
    </row>
    <row r="203" spans="1:8" hidden="1" x14ac:dyDescent="0.4">
      <c r="A203">
        <v>101</v>
      </c>
      <c r="B203" t="s">
        <v>1</v>
      </c>
      <c r="C203">
        <v>0</v>
      </c>
      <c r="D203">
        <v>3</v>
      </c>
      <c r="E203">
        <v>11</v>
      </c>
      <c r="F203">
        <v>4</v>
      </c>
      <c r="G203">
        <v>1</v>
      </c>
      <c r="H203">
        <f>표3[[#This Row],[공격성공횟수]]/(표3[[#This Row],[공격실패횟수]]+표3[[#This Row],[공격성공횟수]])</f>
        <v>0.21428571428571427</v>
      </c>
    </row>
    <row r="204" spans="1:8" x14ac:dyDescent="0.4">
      <c r="A204">
        <v>102</v>
      </c>
      <c r="B204" t="s">
        <v>3</v>
      </c>
      <c r="C204">
        <v>1</v>
      </c>
      <c r="D204">
        <v>4</v>
      </c>
      <c r="E204">
        <v>9</v>
      </c>
      <c r="F204">
        <v>0</v>
      </c>
      <c r="G204">
        <v>0</v>
      </c>
      <c r="H204">
        <f>표3[[#This Row],[공격성공횟수]]/(표3[[#This Row],[공격실패횟수]]+표3[[#This Row],[공격성공횟수]])</f>
        <v>0.30769230769230771</v>
      </c>
    </row>
    <row r="205" spans="1:8" hidden="1" x14ac:dyDescent="0.4">
      <c r="A205">
        <v>102</v>
      </c>
      <c r="B205" t="s">
        <v>1</v>
      </c>
      <c r="C205">
        <v>0</v>
      </c>
      <c r="D205">
        <v>0</v>
      </c>
      <c r="E205">
        <v>13</v>
      </c>
      <c r="F205">
        <v>4</v>
      </c>
      <c r="G205">
        <v>1</v>
      </c>
      <c r="H205">
        <f>표3[[#This Row],[공격성공횟수]]/(표3[[#This Row],[공격실패횟수]]+표3[[#This Row],[공격성공횟수]])</f>
        <v>0</v>
      </c>
    </row>
    <row r="206" spans="1:8" x14ac:dyDescent="0.4">
      <c r="A206">
        <v>103</v>
      </c>
      <c r="B206" t="s">
        <v>3</v>
      </c>
      <c r="C206">
        <v>1</v>
      </c>
      <c r="D206">
        <v>4</v>
      </c>
      <c r="E206">
        <v>10</v>
      </c>
      <c r="F206">
        <v>0</v>
      </c>
      <c r="G206">
        <v>0</v>
      </c>
      <c r="H206">
        <f>표3[[#This Row],[공격성공횟수]]/(표3[[#This Row],[공격실패횟수]]+표3[[#This Row],[공격성공횟수]])</f>
        <v>0.2857142857142857</v>
      </c>
    </row>
    <row r="207" spans="1:8" hidden="1" x14ac:dyDescent="0.4">
      <c r="A207">
        <v>103</v>
      </c>
      <c r="B207" t="s">
        <v>1</v>
      </c>
      <c r="C207">
        <v>0</v>
      </c>
      <c r="D207">
        <v>0</v>
      </c>
      <c r="E207">
        <v>13</v>
      </c>
      <c r="F207">
        <v>4</v>
      </c>
      <c r="G207">
        <v>1</v>
      </c>
      <c r="H207">
        <f>표3[[#This Row],[공격성공횟수]]/(표3[[#This Row],[공격실패횟수]]+표3[[#This Row],[공격성공횟수]])</f>
        <v>0</v>
      </c>
    </row>
    <row r="208" spans="1:8" x14ac:dyDescent="0.4">
      <c r="A208">
        <v>104</v>
      </c>
      <c r="B208" t="s">
        <v>3</v>
      </c>
      <c r="C208">
        <v>1</v>
      </c>
      <c r="D208">
        <v>4</v>
      </c>
      <c r="E208">
        <v>7</v>
      </c>
      <c r="F208">
        <v>2</v>
      </c>
      <c r="G208">
        <v>0</v>
      </c>
      <c r="H208">
        <f>표3[[#This Row],[공격성공횟수]]/(표3[[#This Row],[공격실패횟수]]+표3[[#This Row],[공격성공횟수]])</f>
        <v>0.36363636363636365</v>
      </c>
    </row>
    <row r="209" spans="1:8" hidden="1" x14ac:dyDescent="0.4">
      <c r="A209">
        <v>104</v>
      </c>
      <c r="B209" t="s">
        <v>1</v>
      </c>
      <c r="C209">
        <v>0</v>
      </c>
      <c r="D209">
        <v>2</v>
      </c>
      <c r="E209">
        <v>9</v>
      </c>
      <c r="F209">
        <v>4</v>
      </c>
      <c r="G209">
        <v>1</v>
      </c>
      <c r="H209">
        <f>표3[[#This Row],[공격성공횟수]]/(표3[[#This Row],[공격실패횟수]]+표3[[#This Row],[공격성공횟수]])</f>
        <v>0.18181818181818182</v>
      </c>
    </row>
    <row r="210" spans="1:8" x14ac:dyDescent="0.4">
      <c r="A210">
        <v>105</v>
      </c>
      <c r="B210" t="s">
        <v>3</v>
      </c>
      <c r="C210">
        <v>1</v>
      </c>
      <c r="D210">
        <v>4</v>
      </c>
      <c r="E210">
        <v>9</v>
      </c>
      <c r="F210">
        <v>1</v>
      </c>
      <c r="G210">
        <v>0</v>
      </c>
      <c r="H210">
        <f>표3[[#This Row],[공격성공횟수]]/(표3[[#This Row],[공격실패횟수]]+표3[[#This Row],[공격성공횟수]])</f>
        <v>0.30769230769230771</v>
      </c>
    </row>
    <row r="211" spans="1:8" hidden="1" x14ac:dyDescent="0.4">
      <c r="A211">
        <v>105</v>
      </c>
      <c r="B211" t="s">
        <v>1</v>
      </c>
      <c r="C211">
        <v>0</v>
      </c>
      <c r="D211">
        <v>1</v>
      </c>
      <c r="E211">
        <v>12</v>
      </c>
      <c r="F211">
        <v>4</v>
      </c>
      <c r="G211">
        <v>1</v>
      </c>
      <c r="H211">
        <f>표3[[#This Row],[공격성공횟수]]/(표3[[#This Row],[공격실패횟수]]+표3[[#This Row],[공격성공횟수]])</f>
        <v>7.6923076923076927E-2</v>
      </c>
    </row>
    <row r="212" spans="1:8" x14ac:dyDescent="0.4">
      <c r="A212">
        <v>106</v>
      </c>
      <c r="B212" t="s">
        <v>3</v>
      </c>
      <c r="C212">
        <v>0</v>
      </c>
      <c r="D212">
        <v>1</v>
      </c>
      <c r="E212">
        <v>9</v>
      </c>
      <c r="F212">
        <v>4</v>
      </c>
      <c r="G212">
        <v>1</v>
      </c>
      <c r="H212">
        <f>표3[[#This Row],[공격성공횟수]]/(표3[[#This Row],[공격실패횟수]]+표3[[#This Row],[공격성공횟수]])</f>
        <v>0.1</v>
      </c>
    </row>
    <row r="213" spans="1:8" hidden="1" x14ac:dyDescent="0.4">
      <c r="A213">
        <v>106</v>
      </c>
      <c r="B213" t="s">
        <v>1</v>
      </c>
      <c r="C213">
        <v>1</v>
      </c>
      <c r="D213">
        <v>4</v>
      </c>
      <c r="E213">
        <v>6</v>
      </c>
      <c r="F213">
        <v>1</v>
      </c>
      <c r="G213">
        <v>0</v>
      </c>
      <c r="H213">
        <f>표3[[#This Row],[공격성공횟수]]/(표3[[#This Row],[공격실패횟수]]+표3[[#This Row],[공격성공횟수]])</f>
        <v>0.4</v>
      </c>
    </row>
    <row r="214" spans="1:8" x14ac:dyDescent="0.4">
      <c r="A214">
        <v>107</v>
      </c>
      <c r="B214" t="s">
        <v>3</v>
      </c>
      <c r="C214">
        <v>1</v>
      </c>
      <c r="D214">
        <v>4</v>
      </c>
      <c r="E214">
        <v>7</v>
      </c>
      <c r="F214">
        <v>1</v>
      </c>
      <c r="G214">
        <v>0</v>
      </c>
      <c r="H214">
        <f>표3[[#This Row],[공격성공횟수]]/(표3[[#This Row],[공격실패횟수]]+표3[[#This Row],[공격성공횟수]])</f>
        <v>0.36363636363636365</v>
      </c>
    </row>
    <row r="215" spans="1:8" hidden="1" x14ac:dyDescent="0.4">
      <c r="A215">
        <v>107</v>
      </c>
      <c r="B215" t="s">
        <v>1</v>
      </c>
      <c r="C215">
        <v>0</v>
      </c>
      <c r="D215">
        <v>1</v>
      </c>
      <c r="E215">
        <v>9</v>
      </c>
      <c r="F215">
        <v>4</v>
      </c>
      <c r="G215">
        <v>1</v>
      </c>
      <c r="H215">
        <f>표3[[#This Row],[공격성공횟수]]/(표3[[#This Row],[공격실패횟수]]+표3[[#This Row],[공격성공횟수]])</f>
        <v>0.1</v>
      </c>
    </row>
    <row r="216" spans="1:8" x14ac:dyDescent="0.4">
      <c r="A216">
        <v>108</v>
      </c>
      <c r="B216" t="s">
        <v>3</v>
      </c>
      <c r="C216">
        <v>1</v>
      </c>
      <c r="D216">
        <v>4</v>
      </c>
      <c r="E216">
        <v>17</v>
      </c>
      <c r="F216">
        <v>3</v>
      </c>
      <c r="G216">
        <v>0</v>
      </c>
      <c r="H216">
        <f>표3[[#This Row],[공격성공횟수]]/(표3[[#This Row],[공격실패횟수]]+표3[[#This Row],[공격성공횟수]])</f>
        <v>0.19047619047619047</v>
      </c>
    </row>
    <row r="217" spans="1:8" hidden="1" x14ac:dyDescent="0.4">
      <c r="A217">
        <v>108</v>
      </c>
      <c r="B217" t="s">
        <v>1</v>
      </c>
      <c r="C217">
        <v>0</v>
      </c>
      <c r="D217">
        <v>3</v>
      </c>
      <c r="E217">
        <v>24</v>
      </c>
      <c r="F217">
        <v>4</v>
      </c>
      <c r="G217">
        <v>1</v>
      </c>
      <c r="H217">
        <f>표3[[#This Row],[공격성공횟수]]/(표3[[#This Row],[공격실패횟수]]+표3[[#This Row],[공격성공횟수]])</f>
        <v>0.1111111111111111</v>
      </c>
    </row>
    <row r="218" spans="1:8" x14ac:dyDescent="0.4">
      <c r="A218">
        <v>109</v>
      </c>
      <c r="B218" t="s">
        <v>3</v>
      </c>
      <c r="C218">
        <v>1</v>
      </c>
      <c r="D218">
        <v>4</v>
      </c>
      <c r="E218">
        <v>16</v>
      </c>
      <c r="F218">
        <v>1</v>
      </c>
      <c r="G218">
        <v>0</v>
      </c>
      <c r="H218">
        <f>표3[[#This Row],[공격성공횟수]]/(표3[[#This Row],[공격실패횟수]]+표3[[#This Row],[공격성공횟수]])</f>
        <v>0.2</v>
      </c>
    </row>
    <row r="219" spans="1:8" hidden="1" x14ac:dyDescent="0.4">
      <c r="A219">
        <v>109</v>
      </c>
      <c r="B219" t="s">
        <v>1</v>
      </c>
      <c r="C219">
        <v>0</v>
      </c>
      <c r="D219">
        <v>1</v>
      </c>
      <c r="E219">
        <v>18</v>
      </c>
      <c r="F219">
        <v>4</v>
      </c>
      <c r="G219">
        <v>1</v>
      </c>
      <c r="H219">
        <f>표3[[#This Row],[공격성공횟수]]/(표3[[#This Row],[공격실패횟수]]+표3[[#This Row],[공격성공횟수]])</f>
        <v>5.2631578947368418E-2</v>
      </c>
    </row>
    <row r="220" spans="1:8" x14ac:dyDescent="0.4">
      <c r="A220">
        <v>110</v>
      </c>
      <c r="B220" t="s">
        <v>3</v>
      </c>
      <c r="C220">
        <v>1</v>
      </c>
      <c r="D220">
        <v>4</v>
      </c>
      <c r="E220">
        <v>6</v>
      </c>
      <c r="F220">
        <v>0</v>
      </c>
      <c r="G220">
        <v>0</v>
      </c>
      <c r="H220">
        <f>표3[[#This Row],[공격성공횟수]]/(표3[[#This Row],[공격실패횟수]]+표3[[#This Row],[공격성공횟수]])</f>
        <v>0.4</v>
      </c>
    </row>
    <row r="221" spans="1:8" hidden="1" x14ac:dyDescent="0.4">
      <c r="A221">
        <v>110</v>
      </c>
      <c r="B221" t="s">
        <v>1</v>
      </c>
      <c r="C221">
        <v>0</v>
      </c>
      <c r="D221">
        <v>0</v>
      </c>
      <c r="E221">
        <v>10</v>
      </c>
      <c r="F221">
        <v>4</v>
      </c>
      <c r="G221">
        <v>1</v>
      </c>
      <c r="H221">
        <f>표3[[#This Row],[공격성공횟수]]/(표3[[#This Row],[공격실패횟수]]+표3[[#This Row],[공격성공횟수]])</f>
        <v>0</v>
      </c>
    </row>
    <row r="222" spans="1:8" x14ac:dyDescent="0.4">
      <c r="A222">
        <v>111</v>
      </c>
      <c r="B222" t="s">
        <v>3</v>
      </c>
      <c r="C222">
        <v>1</v>
      </c>
      <c r="D222">
        <v>4</v>
      </c>
      <c r="E222">
        <v>11</v>
      </c>
      <c r="F222">
        <v>1</v>
      </c>
      <c r="G222">
        <v>0</v>
      </c>
      <c r="H222">
        <f>표3[[#This Row],[공격성공횟수]]/(표3[[#This Row],[공격실패횟수]]+표3[[#This Row],[공격성공횟수]])</f>
        <v>0.26666666666666666</v>
      </c>
    </row>
    <row r="223" spans="1:8" hidden="1" x14ac:dyDescent="0.4">
      <c r="A223">
        <v>111</v>
      </c>
      <c r="B223" t="s">
        <v>1</v>
      </c>
      <c r="C223">
        <v>0</v>
      </c>
      <c r="D223">
        <v>1</v>
      </c>
      <c r="E223">
        <v>14</v>
      </c>
      <c r="F223">
        <v>4</v>
      </c>
      <c r="G223">
        <v>1</v>
      </c>
      <c r="H223">
        <f>표3[[#This Row],[공격성공횟수]]/(표3[[#This Row],[공격실패횟수]]+표3[[#This Row],[공격성공횟수]])</f>
        <v>6.6666666666666666E-2</v>
      </c>
    </row>
    <row r="224" spans="1:8" x14ac:dyDescent="0.4">
      <c r="A224">
        <v>112</v>
      </c>
      <c r="B224" t="s">
        <v>3</v>
      </c>
      <c r="C224">
        <v>0</v>
      </c>
      <c r="D224">
        <v>2</v>
      </c>
      <c r="E224">
        <v>28</v>
      </c>
      <c r="F224">
        <v>4</v>
      </c>
      <c r="G224">
        <v>1</v>
      </c>
      <c r="H224">
        <f>표3[[#This Row],[공격성공횟수]]/(표3[[#This Row],[공격실패횟수]]+표3[[#This Row],[공격성공횟수]])</f>
        <v>6.6666666666666666E-2</v>
      </c>
    </row>
    <row r="225" spans="1:8" hidden="1" x14ac:dyDescent="0.4">
      <c r="A225">
        <v>112</v>
      </c>
      <c r="B225" t="s">
        <v>1</v>
      </c>
      <c r="C225">
        <v>1</v>
      </c>
      <c r="D225">
        <v>4</v>
      </c>
      <c r="E225">
        <v>25</v>
      </c>
      <c r="F225">
        <v>2</v>
      </c>
      <c r="G225">
        <v>0</v>
      </c>
      <c r="H225">
        <f>표3[[#This Row],[공격성공횟수]]/(표3[[#This Row],[공격실패횟수]]+표3[[#This Row],[공격성공횟수]])</f>
        <v>0.13793103448275862</v>
      </c>
    </row>
    <row r="226" spans="1:8" x14ac:dyDescent="0.4">
      <c r="A226">
        <v>113</v>
      </c>
      <c r="B226" t="s">
        <v>3</v>
      </c>
      <c r="C226">
        <v>1</v>
      </c>
      <c r="D226">
        <v>4</v>
      </c>
      <c r="E226">
        <v>18</v>
      </c>
      <c r="F226">
        <v>3</v>
      </c>
      <c r="G226">
        <v>0</v>
      </c>
      <c r="H226">
        <f>표3[[#This Row],[공격성공횟수]]/(표3[[#This Row],[공격실패횟수]]+표3[[#This Row],[공격성공횟수]])</f>
        <v>0.18181818181818182</v>
      </c>
    </row>
    <row r="227" spans="1:8" hidden="1" x14ac:dyDescent="0.4">
      <c r="A227">
        <v>113</v>
      </c>
      <c r="B227" t="s">
        <v>1</v>
      </c>
      <c r="C227">
        <v>0</v>
      </c>
      <c r="D227">
        <v>3</v>
      </c>
      <c r="E227">
        <v>18</v>
      </c>
      <c r="F227">
        <v>4</v>
      </c>
      <c r="G227">
        <v>1</v>
      </c>
      <c r="H227">
        <f>표3[[#This Row],[공격성공횟수]]/(표3[[#This Row],[공격실패횟수]]+표3[[#This Row],[공격성공횟수]])</f>
        <v>0.14285714285714285</v>
      </c>
    </row>
    <row r="228" spans="1:8" x14ac:dyDescent="0.4">
      <c r="A228">
        <v>114</v>
      </c>
      <c r="B228" t="s">
        <v>3</v>
      </c>
      <c r="C228">
        <v>1</v>
      </c>
      <c r="D228">
        <v>4</v>
      </c>
      <c r="E228">
        <v>5</v>
      </c>
      <c r="F228">
        <v>1</v>
      </c>
      <c r="G228">
        <v>0</v>
      </c>
      <c r="H228">
        <f>표3[[#This Row],[공격성공횟수]]/(표3[[#This Row],[공격실패횟수]]+표3[[#This Row],[공격성공횟수]])</f>
        <v>0.44444444444444442</v>
      </c>
    </row>
    <row r="229" spans="1:8" hidden="1" x14ac:dyDescent="0.4">
      <c r="A229">
        <v>114</v>
      </c>
      <c r="B229" t="s">
        <v>1</v>
      </c>
      <c r="C229">
        <v>0</v>
      </c>
      <c r="D229">
        <v>1</v>
      </c>
      <c r="E229">
        <v>7</v>
      </c>
      <c r="F229">
        <v>4</v>
      </c>
      <c r="G229">
        <v>1</v>
      </c>
      <c r="H229">
        <f>표3[[#This Row],[공격성공횟수]]/(표3[[#This Row],[공격실패횟수]]+표3[[#This Row],[공격성공횟수]])</f>
        <v>0.125</v>
      </c>
    </row>
    <row r="230" spans="1:8" x14ac:dyDescent="0.4">
      <c r="A230">
        <v>115</v>
      </c>
      <c r="B230" t="s">
        <v>3</v>
      </c>
      <c r="C230">
        <v>1</v>
      </c>
      <c r="D230">
        <v>4</v>
      </c>
      <c r="E230">
        <v>6</v>
      </c>
      <c r="F230">
        <v>0</v>
      </c>
      <c r="G230">
        <v>0</v>
      </c>
      <c r="H230">
        <f>표3[[#This Row],[공격성공횟수]]/(표3[[#This Row],[공격실패횟수]]+표3[[#This Row],[공격성공횟수]])</f>
        <v>0.4</v>
      </c>
    </row>
    <row r="231" spans="1:8" hidden="1" x14ac:dyDescent="0.4">
      <c r="A231">
        <v>115</v>
      </c>
      <c r="B231" t="s">
        <v>1</v>
      </c>
      <c r="C231">
        <v>0</v>
      </c>
      <c r="D231">
        <v>0</v>
      </c>
      <c r="E231">
        <v>10</v>
      </c>
      <c r="F231">
        <v>4</v>
      </c>
      <c r="G231">
        <v>1</v>
      </c>
      <c r="H231">
        <f>표3[[#This Row],[공격성공횟수]]/(표3[[#This Row],[공격실패횟수]]+표3[[#This Row],[공격성공횟수]])</f>
        <v>0</v>
      </c>
    </row>
    <row r="232" spans="1:8" x14ac:dyDescent="0.4">
      <c r="A232">
        <v>116</v>
      </c>
      <c r="B232" t="s">
        <v>3</v>
      </c>
      <c r="C232">
        <v>1</v>
      </c>
      <c r="D232">
        <v>4</v>
      </c>
      <c r="E232">
        <v>7</v>
      </c>
      <c r="F232">
        <v>0</v>
      </c>
      <c r="G232">
        <v>0</v>
      </c>
      <c r="H232">
        <f>표3[[#This Row],[공격성공횟수]]/(표3[[#This Row],[공격실패횟수]]+표3[[#This Row],[공격성공횟수]])</f>
        <v>0.36363636363636365</v>
      </c>
    </row>
    <row r="233" spans="1:8" hidden="1" x14ac:dyDescent="0.4">
      <c r="A233">
        <v>116</v>
      </c>
      <c r="B233" t="s">
        <v>1</v>
      </c>
      <c r="C233">
        <v>0</v>
      </c>
      <c r="D233">
        <v>0</v>
      </c>
      <c r="E233">
        <v>10</v>
      </c>
      <c r="F233">
        <v>4</v>
      </c>
      <c r="G233">
        <v>1</v>
      </c>
      <c r="H233">
        <f>표3[[#This Row],[공격성공횟수]]/(표3[[#This Row],[공격실패횟수]]+표3[[#This Row],[공격성공횟수]])</f>
        <v>0</v>
      </c>
    </row>
    <row r="234" spans="1:8" x14ac:dyDescent="0.4">
      <c r="A234">
        <v>117</v>
      </c>
      <c r="B234" t="s">
        <v>3</v>
      </c>
      <c r="C234">
        <v>1</v>
      </c>
      <c r="D234">
        <v>4</v>
      </c>
      <c r="E234">
        <v>25</v>
      </c>
      <c r="F234">
        <v>1</v>
      </c>
      <c r="G234">
        <v>0</v>
      </c>
      <c r="H234">
        <f>표3[[#This Row],[공격성공횟수]]/(표3[[#This Row],[공격실패횟수]]+표3[[#This Row],[공격성공횟수]])</f>
        <v>0.13793103448275862</v>
      </c>
    </row>
    <row r="235" spans="1:8" hidden="1" x14ac:dyDescent="0.4">
      <c r="A235">
        <v>117</v>
      </c>
      <c r="B235" t="s">
        <v>1</v>
      </c>
      <c r="C235">
        <v>0</v>
      </c>
      <c r="D235">
        <v>1</v>
      </c>
      <c r="E235">
        <v>27</v>
      </c>
      <c r="F235">
        <v>4</v>
      </c>
      <c r="G235">
        <v>1</v>
      </c>
      <c r="H235">
        <f>표3[[#This Row],[공격성공횟수]]/(표3[[#This Row],[공격실패횟수]]+표3[[#This Row],[공격성공횟수]])</f>
        <v>3.5714285714285712E-2</v>
      </c>
    </row>
    <row r="236" spans="1:8" x14ac:dyDescent="0.4">
      <c r="A236">
        <v>118</v>
      </c>
      <c r="B236" t="s">
        <v>3</v>
      </c>
      <c r="C236">
        <v>1</v>
      </c>
      <c r="D236">
        <v>4</v>
      </c>
      <c r="E236">
        <v>15</v>
      </c>
      <c r="F236">
        <v>1</v>
      </c>
      <c r="G236">
        <v>0</v>
      </c>
      <c r="H236">
        <f>표3[[#This Row],[공격성공횟수]]/(표3[[#This Row],[공격실패횟수]]+표3[[#This Row],[공격성공횟수]])</f>
        <v>0.21052631578947367</v>
      </c>
    </row>
    <row r="237" spans="1:8" hidden="1" x14ac:dyDescent="0.4">
      <c r="A237">
        <v>118</v>
      </c>
      <c r="B237" t="s">
        <v>1</v>
      </c>
      <c r="C237">
        <v>0</v>
      </c>
      <c r="D237">
        <v>1</v>
      </c>
      <c r="E237">
        <v>17</v>
      </c>
      <c r="F237">
        <v>4</v>
      </c>
      <c r="G237">
        <v>1</v>
      </c>
      <c r="H237">
        <f>표3[[#This Row],[공격성공횟수]]/(표3[[#This Row],[공격실패횟수]]+표3[[#This Row],[공격성공횟수]])</f>
        <v>5.5555555555555552E-2</v>
      </c>
    </row>
    <row r="238" spans="1:8" x14ac:dyDescent="0.4">
      <c r="A238">
        <v>119</v>
      </c>
      <c r="B238" t="s">
        <v>3</v>
      </c>
      <c r="C238">
        <v>1</v>
      </c>
      <c r="D238">
        <v>4</v>
      </c>
      <c r="E238">
        <v>8</v>
      </c>
      <c r="F238">
        <v>2</v>
      </c>
      <c r="G238">
        <v>0</v>
      </c>
      <c r="H238">
        <f>표3[[#This Row],[공격성공횟수]]/(표3[[#This Row],[공격실패횟수]]+표3[[#This Row],[공격성공횟수]])</f>
        <v>0.33333333333333331</v>
      </c>
    </row>
    <row r="239" spans="1:8" hidden="1" x14ac:dyDescent="0.4">
      <c r="A239">
        <v>119</v>
      </c>
      <c r="B239" t="s">
        <v>1</v>
      </c>
      <c r="C239">
        <v>0</v>
      </c>
      <c r="D239">
        <v>2</v>
      </c>
      <c r="E239">
        <v>10</v>
      </c>
      <c r="F239">
        <v>4</v>
      </c>
      <c r="G239">
        <v>1</v>
      </c>
      <c r="H239">
        <f>표3[[#This Row],[공격성공횟수]]/(표3[[#This Row],[공격실패횟수]]+표3[[#This Row],[공격성공횟수]])</f>
        <v>0.16666666666666666</v>
      </c>
    </row>
    <row r="240" spans="1:8" x14ac:dyDescent="0.4">
      <c r="A240">
        <v>120</v>
      </c>
      <c r="B240" t="s">
        <v>3</v>
      </c>
      <c r="C240">
        <v>1</v>
      </c>
      <c r="D240">
        <v>4</v>
      </c>
      <c r="E240">
        <v>41</v>
      </c>
      <c r="F240">
        <v>1</v>
      </c>
      <c r="G240">
        <v>0</v>
      </c>
      <c r="H240">
        <f>표3[[#This Row],[공격성공횟수]]/(표3[[#This Row],[공격실패횟수]]+표3[[#This Row],[공격성공횟수]])</f>
        <v>8.8888888888888892E-2</v>
      </c>
    </row>
    <row r="241" spans="1:8" hidden="1" x14ac:dyDescent="0.4">
      <c r="A241">
        <v>120</v>
      </c>
      <c r="B241" t="s">
        <v>1</v>
      </c>
      <c r="C241">
        <v>0</v>
      </c>
      <c r="D241">
        <v>1</v>
      </c>
      <c r="E241">
        <v>43</v>
      </c>
      <c r="F241">
        <v>4</v>
      </c>
      <c r="G241">
        <v>1</v>
      </c>
      <c r="H241">
        <f>표3[[#This Row],[공격성공횟수]]/(표3[[#This Row],[공격실패횟수]]+표3[[#This Row],[공격성공횟수]])</f>
        <v>2.2727272727272728E-2</v>
      </c>
    </row>
    <row r="242" spans="1:8" x14ac:dyDescent="0.4">
      <c r="A242">
        <v>121</v>
      </c>
      <c r="B242" t="s">
        <v>3</v>
      </c>
      <c r="C242">
        <v>1</v>
      </c>
      <c r="D242">
        <v>4</v>
      </c>
      <c r="E242">
        <v>22</v>
      </c>
      <c r="F242">
        <v>0</v>
      </c>
      <c r="G242">
        <v>0</v>
      </c>
      <c r="H242">
        <f>표3[[#This Row],[공격성공횟수]]/(표3[[#This Row],[공격실패횟수]]+표3[[#This Row],[공격성공횟수]])</f>
        <v>0.15384615384615385</v>
      </c>
    </row>
    <row r="243" spans="1:8" hidden="1" x14ac:dyDescent="0.4">
      <c r="A243">
        <v>121</v>
      </c>
      <c r="B243" t="s">
        <v>1</v>
      </c>
      <c r="C243">
        <v>0</v>
      </c>
      <c r="D243">
        <v>0</v>
      </c>
      <c r="E243">
        <v>25</v>
      </c>
      <c r="F243">
        <v>4</v>
      </c>
      <c r="G243">
        <v>1</v>
      </c>
      <c r="H243">
        <f>표3[[#This Row],[공격성공횟수]]/(표3[[#This Row],[공격실패횟수]]+표3[[#This Row],[공격성공횟수]])</f>
        <v>0</v>
      </c>
    </row>
    <row r="244" spans="1:8" x14ac:dyDescent="0.4">
      <c r="A244">
        <v>122</v>
      </c>
      <c r="B244" t="s">
        <v>3</v>
      </c>
      <c r="C244">
        <v>1</v>
      </c>
      <c r="D244">
        <v>4</v>
      </c>
      <c r="E244">
        <v>14</v>
      </c>
      <c r="F244">
        <v>2</v>
      </c>
      <c r="G244">
        <v>0</v>
      </c>
      <c r="H244">
        <f>표3[[#This Row],[공격성공횟수]]/(표3[[#This Row],[공격실패횟수]]+표3[[#This Row],[공격성공횟수]])</f>
        <v>0.22222222222222221</v>
      </c>
    </row>
    <row r="245" spans="1:8" hidden="1" x14ac:dyDescent="0.4">
      <c r="A245">
        <v>122</v>
      </c>
      <c r="B245" t="s">
        <v>1</v>
      </c>
      <c r="C245">
        <v>0</v>
      </c>
      <c r="D245">
        <v>2</v>
      </c>
      <c r="E245">
        <v>15</v>
      </c>
      <c r="F245">
        <v>4</v>
      </c>
      <c r="G245">
        <v>1</v>
      </c>
      <c r="H245">
        <f>표3[[#This Row],[공격성공횟수]]/(표3[[#This Row],[공격실패횟수]]+표3[[#This Row],[공격성공횟수]])</f>
        <v>0.11764705882352941</v>
      </c>
    </row>
    <row r="246" spans="1:8" x14ac:dyDescent="0.4">
      <c r="A246">
        <v>123</v>
      </c>
      <c r="B246" t="s">
        <v>3</v>
      </c>
      <c r="C246">
        <v>1</v>
      </c>
      <c r="D246">
        <v>4</v>
      </c>
      <c r="E246">
        <v>6</v>
      </c>
      <c r="F246">
        <v>2</v>
      </c>
      <c r="G246">
        <v>0</v>
      </c>
      <c r="H246">
        <f>표3[[#This Row],[공격성공횟수]]/(표3[[#This Row],[공격실패횟수]]+표3[[#This Row],[공격성공횟수]])</f>
        <v>0.4</v>
      </c>
    </row>
    <row r="247" spans="1:8" hidden="1" x14ac:dyDescent="0.4">
      <c r="A247">
        <v>123</v>
      </c>
      <c r="B247" t="s">
        <v>1</v>
      </c>
      <c r="C247">
        <v>0</v>
      </c>
      <c r="D247">
        <v>2</v>
      </c>
      <c r="E247">
        <v>7</v>
      </c>
      <c r="F247">
        <v>4</v>
      </c>
      <c r="G247">
        <v>1</v>
      </c>
      <c r="H247">
        <f>표3[[#This Row],[공격성공횟수]]/(표3[[#This Row],[공격실패횟수]]+표3[[#This Row],[공격성공횟수]])</f>
        <v>0.22222222222222221</v>
      </c>
    </row>
    <row r="248" spans="1:8" x14ac:dyDescent="0.4">
      <c r="A248">
        <v>124</v>
      </c>
      <c r="B248" t="s">
        <v>3</v>
      </c>
      <c r="C248">
        <v>1</v>
      </c>
      <c r="D248">
        <v>4</v>
      </c>
      <c r="E248">
        <v>10</v>
      </c>
      <c r="F248">
        <v>1</v>
      </c>
      <c r="G248">
        <v>0</v>
      </c>
      <c r="H248">
        <f>표3[[#This Row],[공격성공횟수]]/(표3[[#This Row],[공격실패횟수]]+표3[[#This Row],[공격성공횟수]])</f>
        <v>0.2857142857142857</v>
      </c>
    </row>
    <row r="249" spans="1:8" hidden="1" x14ac:dyDescent="0.4">
      <c r="A249">
        <v>124</v>
      </c>
      <c r="B249" t="s">
        <v>1</v>
      </c>
      <c r="C249">
        <v>0</v>
      </c>
      <c r="D249">
        <v>1</v>
      </c>
      <c r="E249">
        <v>13</v>
      </c>
      <c r="F249">
        <v>4</v>
      </c>
      <c r="G249">
        <v>1</v>
      </c>
      <c r="H249">
        <f>표3[[#This Row],[공격성공횟수]]/(표3[[#This Row],[공격실패횟수]]+표3[[#This Row],[공격성공횟수]])</f>
        <v>7.1428571428571425E-2</v>
      </c>
    </row>
    <row r="250" spans="1:8" x14ac:dyDescent="0.4">
      <c r="A250">
        <v>125</v>
      </c>
      <c r="B250" t="s">
        <v>3</v>
      </c>
      <c r="C250">
        <v>1</v>
      </c>
      <c r="D250">
        <v>4</v>
      </c>
      <c r="E250">
        <v>17</v>
      </c>
      <c r="F250">
        <v>2</v>
      </c>
      <c r="G250">
        <v>0</v>
      </c>
      <c r="H250">
        <f>표3[[#This Row],[공격성공횟수]]/(표3[[#This Row],[공격실패횟수]]+표3[[#This Row],[공격성공횟수]])</f>
        <v>0.19047619047619047</v>
      </c>
    </row>
    <row r="251" spans="1:8" hidden="1" x14ac:dyDescent="0.4">
      <c r="A251">
        <v>125</v>
      </c>
      <c r="B251" t="s">
        <v>1</v>
      </c>
      <c r="C251">
        <v>0</v>
      </c>
      <c r="D251">
        <v>2</v>
      </c>
      <c r="E251">
        <v>18</v>
      </c>
      <c r="F251">
        <v>4</v>
      </c>
      <c r="G251">
        <v>1</v>
      </c>
      <c r="H251">
        <f>표3[[#This Row],[공격성공횟수]]/(표3[[#This Row],[공격실패횟수]]+표3[[#This Row],[공격성공횟수]])</f>
        <v>0.1</v>
      </c>
    </row>
    <row r="252" spans="1:8" x14ac:dyDescent="0.4">
      <c r="A252">
        <v>126</v>
      </c>
      <c r="B252" t="s">
        <v>3</v>
      </c>
      <c r="C252">
        <v>1</v>
      </c>
      <c r="D252">
        <v>4</v>
      </c>
      <c r="E252">
        <v>6</v>
      </c>
      <c r="F252">
        <v>3</v>
      </c>
      <c r="G252">
        <v>0</v>
      </c>
      <c r="H252">
        <f>표3[[#This Row],[공격성공횟수]]/(표3[[#This Row],[공격실패횟수]]+표3[[#This Row],[공격성공횟수]])</f>
        <v>0.4</v>
      </c>
    </row>
    <row r="253" spans="1:8" hidden="1" x14ac:dyDescent="0.4">
      <c r="A253">
        <v>126</v>
      </c>
      <c r="B253" t="s">
        <v>1</v>
      </c>
      <c r="C253">
        <v>0</v>
      </c>
      <c r="D253">
        <v>3</v>
      </c>
      <c r="E253">
        <v>7</v>
      </c>
      <c r="F253">
        <v>4</v>
      </c>
      <c r="G253">
        <v>1</v>
      </c>
      <c r="H253">
        <f>표3[[#This Row],[공격성공횟수]]/(표3[[#This Row],[공격실패횟수]]+표3[[#This Row],[공격성공횟수]])</f>
        <v>0.3</v>
      </c>
    </row>
    <row r="254" spans="1:8" x14ac:dyDescent="0.4">
      <c r="A254">
        <v>127</v>
      </c>
      <c r="B254" t="s">
        <v>3</v>
      </c>
      <c r="C254">
        <v>1</v>
      </c>
      <c r="D254">
        <v>4</v>
      </c>
      <c r="E254">
        <v>7</v>
      </c>
      <c r="F254">
        <v>0</v>
      </c>
      <c r="G254">
        <v>0</v>
      </c>
      <c r="H254">
        <f>표3[[#This Row],[공격성공횟수]]/(표3[[#This Row],[공격실패횟수]]+표3[[#This Row],[공격성공횟수]])</f>
        <v>0.36363636363636365</v>
      </c>
    </row>
    <row r="255" spans="1:8" hidden="1" x14ac:dyDescent="0.4">
      <c r="A255">
        <v>127</v>
      </c>
      <c r="B255" t="s">
        <v>1</v>
      </c>
      <c r="C255">
        <v>0</v>
      </c>
      <c r="D255">
        <v>0</v>
      </c>
      <c r="E255">
        <v>10</v>
      </c>
      <c r="F255">
        <v>4</v>
      </c>
      <c r="G255">
        <v>1</v>
      </c>
      <c r="H255">
        <f>표3[[#This Row],[공격성공횟수]]/(표3[[#This Row],[공격실패횟수]]+표3[[#This Row],[공격성공횟수]])</f>
        <v>0</v>
      </c>
    </row>
    <row r="256" spans="1:8" x14ac:dyDescent="0.4">
      <c r="A256">
        <v>128</v>
      </c>
      <c r="B256" t="s">
        <v>3</v>
      </c>
      <c r="C256">
        <v>1</v>
      </c>
      <c r="D256">
        <v>4</v>
      </c>
      <c r="E256">
        <v>26</v>
      </c>
      <c r="F256">
        <v>0</v>
      </c>
      <c r="G256">
        <v>0</v>
      </c>
      <c r="H256">
        <f>표3[[#This Row],[공격성공횟수]]/(표3[[#This Row],[공격실패횟수]]+표3[[#This Row],[공격성공횟수]])</f>
        <v>0.13333333333333333</v>
      </c>
    </row>
    <row r="257" spans="1:8" hidden="1" x14ac:dyDescent="0.4">
      <c r="A257">
        <v>128</v>
      </c>
      <c r="B257" t="s">
        <v>1</v>
      </c>
      <c r="C257">
        <v>0</v>
      </c>
      <c r="D257">
        <v>0</v>
      </c>
      <c r="E257">
        <v>29</v>
      </c>
      <c r="F257">
        <v>4</v>
      </c>
      <c r="G257">
        <v>1</v>
      </c>
      <c r="H257">
        <f>표3[[#This Row],[공격성공횟수]]/(표3[[#This Row],[공격실패횟수]]+표3[[#This Row],[공격성공횟수]])</f>
        <v>0</v>
      </c>
    </row>
    <row r="258" spans="1:8" x14ac:dyDescent="0.4">
      <c r="A258">
        <v>129</v>
      </c>
      <c r="B258" t="s">
        <v>3</v>
      </c>
      <c r="C258">
        <v>1</v>
      </c>
      <c r="D258">
        <v>4</v>
      </c>
      <c r="E258">
        <v>10</v>
      </c>
      <c r="F258">
        <v>1</v>
      </c>
      <c r="G258">
        <v>0</v>
      </c>
      <c r="H258">
        <f>표3[[#This Row],[공격성공횟수]]/(표3[[#This Row],[공격실패횟수]]+표3[[#This Row],[공격성공횟수]])</f>
        <v>0.2857142857142857</v>
      </c>
    </row>
    <row r="259" spans="1:8" hidden="1" x14ac:dyDescent="0.4">
      <c r="A259">
        <v>129</v>
      </c>
      <c r="B259" t="s">
        <v>1</v>
      </c>
      <c r="C259">
        <v>0</v>
      </c>
      <c r="D259">
        <v>1</v>
      </c>
      <c r="E259">
        <v>12</v>
      </c>
      <c r="F259">
        <v>4</v>
      </c>
      <c r="G259">
        <v>1</v>
      </c>
      <c r="H259">
        <f>표3[[#This Row],[공격성공횟수]]/(표3[[#This Row],[공격실패횟수]]+표3[[#This Row],[공격성공횟수]])</f>
        <v>7.6923076923076927E-2</v>
      </c>
    </row>
    <row r="260" spans="1:8" x14ac:dyDescent="0.4">
      <c r="A260">
        <v>130</v>
      </c>
      <c r="B260" t="s">
        <v>3</v>
      </c>
      <c r="C260">
        <v>1</v>
      </c>
      <c r="D260">
        <v>4</v>
      </c>
      <c r="E260">
        <v>10</v>
      </c>
      <c r="F260">
        <v>0</v>
      </c>
      <c r="G260">
        <v>0</v>
      </c>
      <c r="H260">
        <f>표3[[#This Row],[공격성공횟수]]/(표3[[#This Row],[공격실패횟수]]+표3[[#This Row],[공격성공횟수]])</f>
        <v>0.2857142857142857</v>
      </c>
    </row>
    <row r="261" spans="1:8" hidden="1" x14ac:dyDescent="0.4">
      <c r="A261">
        <v>130</v>
      </c>
      <c r="B261" t="s">
        <v>1</v>
      </c>
      <c r="C261">
        <v>0</v>
      </c>
      <c r="D261">
        <v>0</v>
      </c>
      <c r="E261">
        <v>14</v>
      </c>
      <c r="F261">
        <v>4</v>
      </c>
      <c r="G261">
        <v>1</v>
      </c>
      <c r="H261">
        <f>표3[[#This Row],[공격성공횟수]]/(표3[[#This Row],[공격실패횟수]]+표3[[#This Row],[공격성공횟수]])</f>
        <v>0</v>
      </c>
    </row>
    <row r="262" spans="1:8" x14ac:dyDescent="0.4">
      <c r="A262">
        <v>131</v>
      </c>
      <c r="B262" t="s">
        <v>3</v>
      </c>
      <c r="C262">
        <v>1</v>
      </c>
      <c r="D262">
        <v>4</v>
      </c>
      <c r="E262">
        <v>8</v>
      </c>
      <c r="F262">
        <v>0</v>
      </c>
      <c r="G262">
        <v>0</v>
      </c>
      <c r="H262">
        <f>표3[[#This Row],[공격성공횟수]]/(표3[[#This Row],[공격실패횟수]]+표3[[#This Row],[공격성공횟수]])</f>
        <v>0.33333333333333331</v>
      </c>
    </row>
    <row r="263" spans="1:8" hidden="1" x14ac:dyDescent="0.4">
      <c r="A263">
        <v>131</v>
      </c>
      <c r="B263" t="s">
        <v>1</v>
      </c>
      <c r="C263">
        <v>0</v>
      </c>
      <c r="D263">
        <v>0</v>
      </c>
      <c r="E263">
        <v>11</v>
      </c>
      <c r="F263">
        <v>4</v>
      </c>
      <c r="G263">
        <v>1</v>
      </c>
      <c r="H263">
        <f>표3[[#This Row],[공격성공횟수]]/(표3[[#This Row],[공격실패횟수]]+표3[[#This Row],[공격성공횟수]])</f>
        <v>0</v>
      </c>
    </row>
    <row r="264" spans="1:8" x14ac:dyDescent="0.4">
      <c r="A264">
        <v>132</v>
      </c>
      <c r="B264" t="s">
        <v>3</v>
      </c>
      <c r="C264">
        <v>1</v>
      </c>
      <c r="D264">
        <v>4</v>
      </c>
      <c r="E264">
        <v>16</v>
      </c>
      <c r="F264">
        <v>2</v>
      </c>
      <c r="G264">
        <v>0</v>
      </c>
      <c r="H264">
        <f>표3[[#This Row],[공격성공횟수]]/(표3[[#This Row],[공격실패횟수]]+표3[[#This Row],[공격성공횟수]])</f>
        <v>0.2</v>
      </c>
    </row>
    <row r="265" spans="1:8" hidden="1" x14ac:dyDescent="0.4">
      <c r="A265">
        <v>132</v>
      </c>
      <c r="B265" t="s">
        <v>1</v>
      </c>
      <c r="C265">
        <v>0</v>
      </c>
      <c r="D265">
        <v>2</v>
      </c>
      <c r="E265">
        <v>18</v>
      </c>
      <c r="F265">
        <v>4</v>
      </c>
      <c r="G265">
        <v>1</v>
      </c>
      <c r="H265">
        <f>표3[[#This Row],[공격성공횟수]]/(표3[[#This Row],[공격실패횟수]]+표3[[#This Row],[공격성공횟수]])</f>
        <v>0.1</v>
      </c>
    </row>
    <row r="266" spans="1:8" x14ac:dyDescent="0.4">
      <c r="A266">
        <v>133</v>
      </c>
      <c r="B266" t="s">
        <v>3</v>
      </c>
      <c r="C266">
        <v>1</v>
      </c>
      <c r="D266">
        <v>4</v>
      </c>
      <c r="E266">
        <v>7</v>
      </c>
      <c r="F266">
        <v>1</v>
      </c>
      <c r="G266">
        <v>0</v>
      </c>
      <c r="H266">
        <f>표3[[#This Row],[공격성공횟수]]/(표3[[#This Row],[공격실패횟수]]+표3[[#This Row],[공격성공횟수]])</f>
        <v>0.36363636363636365</v>
      </c>
    </row>
    <row r="267" spans="1:8" hidden="1" x14ac:dyDescent="0.4">
      <c r="A267">
        <v>133</v>
      </c>
      <c r="B267" t="s">
        <v>1</v>
      </c>
      <c r="C267">
        <v>0</v>
      </c>
      <c r="D267">
        <v>1</v>
      </c>
      <c r="E267">
        <v>9</v>
      </c>
      <c r="F267">
        <v>4</v>
      </c>
      <c r="G267">
        <v>1</v>
      </c>
      <c r="H267">
        <f>표3[[#This Row],[공격성공횟수]]/(표3[[#This Row],[공격실패횟수]]+표3[[#This Row],[공격성공횟수]])</f>
        <v>0.1</v>
      </c>
    </row>
    <row r="268" spans="1:8" x14ac:dyDescent="0.4">
      <c r="A268">
        <v>134</v>
      </c>
      <c r="B268" t="s">
        <v>3</v>
      </c>
      <c r="C268">
        <v>1</v>
      </c>
      <c r="D268">
        <v>4</v>
      </c>
      <c r="E268">
        <v>12</v>
      </c>
      <c r="F268">
        <v>0</v>
      </c>
      <c r="G268">
        <v>0</v>
      </c>
      <c r="H268">
        <f>표3[[#This Row],[공격성공횟수]]/(표3[[#This Row],[공격실패횟수]]+표3[[#This Row],[공격성공횟수]])</f>
        <v>0.25</v>
      </c>
    </row>
    <row r="269" spans="1:8" hidden="1" x14ac:dyDescent="0.4">
      <c r="A269">
        <v>134</v>
      </c>
      <c r="B269" t="s">
        <v>1</v>
      </c>
      <c r="C269">
        <v>0</v>
      </c>
      <c r="D269">
        <v>0</v>
      </c>
      <c r="E269">
        <v>15</v>
      </c>
      <c r="F269">
        <v>4</v>
      </c>
      <c r="G269">
        <v>1</v>
      </c>
      <c r="H269">
        <f>표3[[#This Row],[공격성공횟수]]/(표3[[#This Row],[공격실패횟수]]+표3[[#This Row],[공격성공횟수]])</f>
        <v>0</v>
      </c>
    </row>
    <row r="270" spans="1:8" x14ac:dyDescent="0.4">
      <c r="A270">
        <v>135</v>
      </c>
      <c r="B270" t="s">
        <v>3</v>
      </c>
      <c r="C270">
        <v>1</v>
      </c>
      <c r="D270">
        <v>4</v>
      </c>
      <c r="E270">
        <v>14</v>
      </c>
      <c r="F270">
        <v>3</v>
      </c>
      <c r="G270">
        <v>0</v>
      </c>
      <c r="H270">
        <f>표3[[#This Row],[공격성공횟수]]/(표3[[#This Row],[공격실패횟수]]+표3[[#This Row],[공격성공횟수]])</f>
        <v>0.22222222222222221</v>
      </c>
    </row>
    <row r="271" spans="1:8" hidden="1" x14ac:dyDescent="0.4">
      <c r="A271">
        <v>135</v>
      </c>
      <c r="B271" t="s">
        <v>1</v>
      </c>
      <c r="C271">
        <v>0</v>
      </c>
      <c r="D271">
        <v>3</v>
      </c>
      <c r="E271">
        <v>15</v>
      </c>
      <c r="F271">
        <v>4</v>
      </c>
      <c r="G271">
        <v>1</v>
      </c>
      <c r="H271">
        <f>표3[[#This Row],[공격성공횟수]]/(표3[[#This Row],[공격실패횟수]]+표3[[#This Row],[공격성공횟수]])</f>
        <v>0.16666666666666666</v>
      </c>
    </row>
    <row r="272" spans="1:8" x14ac:dyDescent="0.4">
      <c r="A272">
        <v>136</v>
      </c>
      <c r="B272" t="s">
        <v>3</v>
      </c>
      <c r="C272">
        <v>1</v>
      </c>
      <c r="D272">
        <v>4</v>
      </c>
      <c r="E272">
        <v>25</v>
      </c>
      <c r="F272">
        <v>0</v>
      </c>
      <c r="G272">
        <v>0</v>
      </c>
      <c r="H272">
        <f>표3[[#This Row],[공격성공횟수]]/(표3[[#This Row],[공격실패횟수]]+표3[[#This Row],[공격성공횟수]])</f>
        <v>0.13793103448275862</v>
      </c>
    </row>
    <row r="273" spans="1:8" hidden="1" x14ac:dyDescent="0.4">
      <c r="A273">
        <v>136</v>
      </c>
      <c r="B273" t="s">
        <v>1</v>
      </c>
      <c r="C273">
        <v>0</v>
      </c>
      <c r="D273">
        <v>0</v>
      </c>
      <c r="E273">
        <v>28</v>
      </c>
      <c r="F273">
        <v>4</v>
      </c>
      <c r="G273">
        <v>1</v>
      </c>
      <c r="H273">
        <f>표3[[#This Row],[공격성공횟수]]/(표3[[#This Row],[공격실패횟수]]+표3[[#This Row],[공격성공횟수]])</f>
        <v>0</v>
      </c>
    </row>
    <row r="274" spans="1:8" x14ac:dyDescent="0.4">
      <c r="A274">
        <v>137</v>
      </c>
      <c r="B274" t="s">
        <v>3</v>
      </c>
      <c r="C274">
        <v>1</v>
      </c>
      <c r="D274">
        <v>4</v>
      </c>
      <c r="E274">
        <v>11</v>
      </c>
      <c r="F274">
        <v>1</v>
      </c>
      <c r="G274">
        <v>0</v>
      </c>
      <c r="H274">
        <f>표3[[#This Row],[공격성공횟수]]/(표3[[#This Row],[공격실패횟수]]+표3[[#This Row],[공격성공횟수]])</f>
        <v>0.26666666666666666</v>
      </c>
    </row>
    <row r="275" spans="1:8" hidden="1" x14ac:dyDescent="0.4">
      <c r="A275">
        <v>137</v>
      </c>
      <c r="B275" t="s">
        <v>1</v>
      </c>
      <c r="C275">
        <v>0</v>
      </c>
      <c r="D275">
        <v>1</v>
      </c>
      <c r="E275">
        <v>14</v>
      </c>
      <c r="F275">
        <v>4</v>
      </c>
      <c r="G275">
        <v>1</v>
      </c>
      <c r="H275">
        <f>표3[[#This Row],[공격성공횟수]]/(표3[[#This Row],[공격실패횟수]]+표3[[#This Row],[공격성공횟수]])</f>
        <v>6.6666666666666666E-2</v>
      </c>
    </row>
    <row r="276" spans="1:8" x14ac:dyDescent="0.4">
      <c r="A276">
        <v>138</v>
      </c>
      <c r="B276" t="s">
        <v>3</v>
      </c>
      <c r="C276">
        <v>1</v>
      </c>
      <c r="D276">
        <v>4</v>
      </c>
      <c r="E276">
        <v>21</v>
      </c>
      <c r="F276">
        <v>1</v>
      </c>
      <c r="G276">
        <v>0</v>
      </c>
      <c r="H276">
        <f>표3[[#This Row],[공격성공횟수]]/(표3[[#This Row],[공격실패횟수]]+표3[[#This Row],[공격성공횟수]])</f>
        <v>0.16</v>
      </c>
    </row>
    <row r="277" spans="1:8" hidden="1" x14ac:dyDescent="0.4">
      <c r="A277">
        <v>138</v>
      </c>
      <c r="B277" t="s">
        <v>1</v>
      </c>
      <c r="C277">
        <v>0</v>
      </c>
      <c r="D277">
        <v>1</v>
      </c>
      <c r="E277">
        <v>24</v>
      </c>
      <c r="F277">
        <v>4</v>
      </c>
      <c r="G277">
        <v>1</v>
      </c>
      <c r="H277">
        <f>표3[[#This Row],[공격성공횟수]]/(표3[[#This Row],[공격실패횟수]]+표3[[#This Row],[공격성공횟수]])</f>
        <v>0.04</v>
      </c>
    </row>
    <row r="278" spans="1:8" x14ac:dyDescent="0.4">
      <c r="A278">
        <v>139</v>
      </c>
      <c r="B278" t="s">
        <v>3</v>
      </c>
      <c r="C278">
        <v>1</v>
      </c>
      <c r="D278">
        <v>4</v>
      </c>
      <c r="E278">
        <v>7</v>
      </c>
      <c r="F278">
        <v>1</v>
      </c>
      <c r="G278">
        <v>0</v>
      </c>
      <c r="H278">
        <f>표3[[#This Row],[공격성공횟수]]/(표3[[#This Row],[공격실패횟수]]+표3[[#This Row],[공격성공횟수]])</f>
        <v>0.36363636363636365</v>
      </c>
    </row>
    <row r="279" spans="1:8" hidden="1" x14ac:dyDescent="0.4">
      <c r="A279">
        <v>139</v>
      </c>
      <c r="B279" t="s">
        <v>1</v>
      </c>
      <c r="C279">
        <v>0</v>
      </c>
      <c r="D279">
        <v>1</v>
      </c>
      <c r="E279">
        <v>10</v>
      </c>
      <c r="F279">
        <v>4</v>
      </c>
      <c r="G279">
        <v>1</v>
      </c>
      <c r="H279">
        <f>표3[[#This Row],[공격성공횟수]]/(표3[[#This Row],[공격실패횟수]]+표3[[#This Row],[공격성공횟수]])</f>
        <v>9.0909090909090912E-2</v>
      </c>
    </row>
    <row r="280" spans="1:8" x14ac:dyDescent="0.4">
      <c r="A280">
        <v>140</v>
      </c>
      <c r="B280" t="s">
        <v>3</v>
      </c>
      <c r="C280">
        <v>1</v>
      </c>
      <c r="D280">
        <v>4</v>
      </c>
      <c r="E280">
        <v>19</v>
      </c>
      <c r="F280">
        <v>3</v>
      </c>
      <c r="G280">
        <v>0</v>
      </c>
      <c r="H280">
        <f>표3[[#This Row],[공격성공횟수]]/(표3[[#This Row],[공격실패횟수]]+표3[[#This Row],[공격성공횟수]])</f>
        <v>0.17391304347826086</v>
      </c>
    </row>
    <row r="281" spans="1:8" hidden="1" x14ac:dyDescent="0.4">
      <c r="A281">
        <v>140</v>
      </c>
      <c r="B281" t="s">
        <v>1</v>
      </c>
      <c r="C281">
        <v>0</v>
      </c>
      <c r="D281">
        <v>3</v>
      </c>
      <c r="E281">
        <v>19</v>
      </c>
      <c r="F281">
        <v>4</v>
      </c>
      <c r="G281">
        <v>1</v>
      </c>
      <c r="H281">
        <f>표3[[#This Row],[공격성공횟수]]/(표3[[#This Row],[공격실패횟수]]+표3[[#This Row],[공격성공횟수]])</f>
        <v>0.13636363636363635</v>
      </c>
    </row>
    <row r="282" spans="1:8" x14ac:dyDescent="0.4">
      <c r="A282">
        <v>141</v>
      </c>
      <c r="B282" t="s">
        <v>3</v>
      </c>
      <c r="C282">
        <v>1</v>
      </c>
      <c r="D282">
        <v>4</v>
      </c>
      <c r="E282">
        <v>7</v>
      </c>
      <c r="F282">
        <v>0</v>
      </c>
      <c r="G282">
        <v>0</v>
      </c>
      <c r="H282">
        <f>표3[[#This Row],[공격성공횟수]]/(표3[[#This Row],[공격실패횟수]]+표3[[#This Row],[공격성공횟수]])</f>
        <v>0.36363636363636365</v>
      </c>
    </row>
    <row r="283" spans="1:8" hidden="1" x14ac:dyDescent="0.4">
      <c r="A283">
        <v>141</v>
      </c>
      <c r="B283" t="s">
        <v>1</v>
      </c>
      <c r="C283">
        <v>0</v>
      </c>
      <c r="D283">
        <v>0</v>
      </c>
      <c r="E283">
        <v>11</v>
      </c>
      <c r="F283">
        <v>4</v>
      </c>
      <c r="G283">
        <v>1</v>
      </c>
      <c r="H283">
        <f>표3[[#This Row],[공격성공횟수]]/(표3[[#This Row],[공격실패횟수]]+표3[[#This Row],[공격성공횟수]])</f>
        <v>0</v>
      </c>
    </row>
    <row r="284" spans="1:8" x14ac:dyDescent="0.4">
      <c r="A284">
        <v>142</v>
      </c>
      <c r="B284" t="s">
        <v>3</v>
      </c>
      <c r="C284">
        <v>1</v>
      </c>
      <c r="D284">
        <v>4</v>
      </c>
      <c r="E284">
        <v>7</v>
      </c>
      <c r="F284">
        <v>0</v>
      </c>
      <c r="G284">
        <v>0</v>
      </c>
      <c r="H284">
        <f>표3[[#This Row],[공격성공횟수]]/(표3[[#This Row],[공격실패횟수]]+표3[[#This Row],[공격성공횟수]])</f>
        <v>0.36363636363636365</v>
      </c>
    </row>
    <row r="285" spans="1:8" hidden="1" x14ac:dyDescent="0.4">
      <c r="A285">
        <v>142</v>
      </c>
      <c r="B285" t="s">
        <v>1</v>
      </c>
      <c r="C285">
        <v>0</v>
      </c>
      <c r="D285">
        <v>0</v>
      </c>
      <c r="E285">
        <v>10</v>
      </c>
      <c r="F285">
        <v>4</v>
      </c>
      <c r="G285">
        <v>1</v>
      </c>
      <c r="H285">
        <f>표3[[#This Row],[공격성공횟수]]/(표3[[#This Row],[공격실패횟수]]+표3[[#This Row],[공격성공횟수]])</f>
        <v>0</v>
      </c>
    </row>
    <row r="286" spans="1:8" x14ac:dyDescent="0.4">
      <c r="A286">
        <v>143</v>
      </c>
      <c r="B286" t="s">
        <v>3</v>
      </c>
      <c r="C286">
        <v>1</v>
      </c>
      <c r="D286">
        <v>4</v>
      </c>
      <c r="E286">
        <v>7</v>
      </c>
      <c r="F286">
        <v>1</v>
      </c>
      <c r="G286">
        <v>0</v>
      </c>
      <c r="H286">
        <f>표3[[#This Row],[공격성공횟수]]/(표3[[#This Row],[공격실패횟수]]+표3[[#This Row],[공격성공횟수]])</f>
        <v>0.36363636363636365</v>
      </c>
    </row>
    <row r="287" spans="1:8" hidden="1" x14ac:dyDescent="0.4">
      <c r="A287">
        <v>143</v>
      </c>
      <c r="B287" t="s">
        <v>1</v>
      </c>
      <c r="C287">
        <v>0</v>
      </c>
      <c r="D287">
        <v>1</v>
      </c>
      <c r="E287">
        <v>10</v>
      </c>
      <c r="F287">
        <v>4</v>
      </c>
      <c r="G287">
        <v>1</v>
      </c>
      <c r="H287">
        <f>표3[[#This Row],[공격성공횟수]]/(표3[[#This Row],[공격실패횟수]]+표3[[#This Row],[공격성공횟수]])</f>
        <v>9.0909090909090912E-2</v>
      </c>
    </row>
    <row r="288" spans="1:8" x14ac:dyDescent="0.4">
      <c r="A288">
        <v>144</v>
      </c>
      <c r="B288" t="s">
        <v>3</v>
      </c>
      <c r="C288">
        <v>1</v>
      </c>
      <c r="D288">
        <v>4</v>
      </c>
      <c r="E288">
        <v>7</v>
      </c>
      <c r="F288">
        <v>0</v>
      </c>
      <c r="G288">
        <v>0</v>
      </c>
      <c r="H288">
        <f>표3[[#This Row],[공격성공횟수]]/(표3[[#This Row],[공격실패횟수]]+표3[[#This Row],[공격성공횟수]])</f>
        <v>0.36363636363636365</v>
      </c>
    </row>
    <row r="289" spans="1:8" hidden="1" x14ac:dyDescent="0.4">
      <c r="A289">
        <v>144</v>
      </c>
      <c r="B289" t="s">
        <v>1</v>
      </c>
      <c r="C289">
        <v>0</v>
      </c>
      <c r="D289">
        <v>0</v>
      </c>
      <c r="E289">
        <v>11</v>
      </c>
      <c r="F289">
        <v>4</v>
      </c>
      <c r="G289">
        <v>1</v>
      </c>
      <c r="H289">
        <f>표3[[#This Row],[공격성공횟수]]/(표3[[#This Row],[공격실패횟수]]+표3[[#This Row],[공격성공횟수]])</f>
        <v>0</v>
      </c>
    </row>
    <row r="290" spans="1:8" x14ac:dyDescent="0.4">
      <c r="A290">
        <v>145</v>
      </c>
      <c r="B290" t="s">
        <v>3</v>
      </c>
      <c r="C290">
        <v>1</v>
      </c>
      <c r="D290">
        <v>4</v>
      </c>
      <c r="E290">
        <v>6</v>
      </c>
      <c r="F290">
        <v>0</v>
      </c>
      <c r="G290">
        <v>0</v>
      </c>
      <c r="H290">
        <f>표3[[#This Row],[공격성공횟수]]/(표3[[#This Row],[공격실패횟수]]+표3[[#This Row],[공격성공횟수]])</f>
        <v>0.4</v>
      </c>
    </row>
    <row r="291" spans="1:8" hidden="1" x14ac:dyDescent="0.4">
      <c r="A291">
        <v>145</v>
      </c>
      <c r="B291" t="s">
        <v>1</v>
      </c>
      <c r="C291">
        <v>0</v>
      </c>
      <c r="D291">
        <v>0</v>
      </c>
      <c r="E291">
        <v>9</v>
      </c>
      <c r="F291">
        <v>4</v>
      </c>
      <c r="G291">
        <v>1</v>
      </c>
      <c r="H291">
        <f>표3[[#This Row],[공격성공횟수]]/(표3[[#This Row],[공격실패횟수]]+표3[[#This Row],[공격성공횟수]])</f>
        <v>0</v>
      </c>
    </row>
    <row r="292" spans="1:8" x14ac:dyDescent="0.4">
      <c r="A292">
        <v>146</v>
      </c>
      <c r="B292" t="s">
        <v>3</v>
      </c>
      <c r="C292">
        <v>1</v>
      </c>
      <c r="D292">
        <v>4</v>
      </c>
      <c r="E292">
        <v>8</v>
      </c>
      <c r="F292">
        <v>1</v>
      </c>
      <c r="G292">
        <v>0</v>
      </c>
      <c r="H292">
        <f>표3[[#This Row],[공격성공횟수]]/(표3[[#This Row],[공격실패횟수]]+표3[[#This Row],[공격성공횟수]])</f>
        <v>0.33333333333333331</v>
      </c>
    </row>
    <row r="293" spans="1:8" hidden="1" x14ac:dyDescent="0.4">
      <c r="A293">
        <v>146</v>
      </c>
      <c r="B293" t="s">
        <v>1</v>
      </c>
      <c r="C293">
        <v>0</v>
      </c>
      <c r="D293">
        <v>1</v>
      </c>
      <c r="E293">
        <v>11</v>
      </c>
      <c r="F293">
        <v>4</v>
      </c>
      <c r="G293">
        <v>1</v>
      </c>
      <c r="H293">
        <f>표3[[#This Row],[공격성공횟수]]/(표3[[#This Row],[공격실패횟수]]+표3[[#This Row],[공격성공횟수]])</f>
        <v>8.3333333333333329E-2</v>
      </c>
    </row>
    <row r="294" spans="1:8" x14ac:dyDescent="0.4">
      <c r="A294">
        <v>147</v>
      </c>
      <c r="B294" t="s">
        <v>3</v>
      </c>
      <c r="C294">
        <v>1</v>
      </c>
      <c r="D294">
        <v>4</v>
      </c>
      <c r="E294">
        <v>9</v>
      </c>
      <c r="F294">
        <v>1</v>
      </c>
      <c r="G294">
        <v>0</v>
      </c>
      <c r="H294">
        <f>표3[[#This Row],[공격성공횟수]]/(표3[[#This Row],[공격실패횟수]]+표3[[#This Row],[공격성공횟수]])</f>
        <v>0.30769230769230771</v>
      </c>
    </row>
    <row r="295" spans="1:8" hidden="1" x14ac:dyDescent="0.4">
      <c r="A295">
        <v>147</v>
      </c>
      <c r="B295" t="s">
        <v>1</v>
      </c>
      <c r="C295">
        <v>0</v>
      </c>
      <c r="D295">
        <v>1</v>
      </c>
      <c r="E295">
        <v>12</v>
      </c>
      <c r="F295">
        <v>4</v>
      </c>
      <c r="G295">
        <v>1</v>
      </c>
      <c r="H295">
        <f>표3[[#This Row],[공격성공횟수]]/(표3[[#This Row],[공격실패횟수]]+표3[[#This Row],[공격성공횟수]])</f>
        <v>7.6923076923076927E-2</v>
      </c>
    </row>
    <row r="296" spans="1:8" x14ac:dyDescent="0.4">
      <c r="A296">
        <v>148</v>
      </c>
      <c r="B296" t="s">
        <v>3</v>
      </c>
      <c r="C296">
        <v>1</v>
      </c>
      <c r="D296">
        <v>4</v>
      </c>
      <c r="E296">
        <v>11</v>
      </c>
      <c r="F296">
        <v>3</v>
      </c>
      <c r="G296">
        <v>0</v>
      </c>
      <c r="H296">
        <f>표3[[#This Row],[공격성공횟수]]/(표3[[#This Row],[공격실패횟수]]+표3[[#This Row],[공격성공횟수]])</f>
        <v>0.26666666666666666</v>
      </c>
    </row>
    <row r="297" spans="1:8" hidden="1" x14ac:dyDescent="0.4">
      <c r="A297">
        <v>148</v>
      </c>
      <c r="B297" t="s">
        <v>1</v>
      </c>
      <c r="C297">
        <v>0</v>
      </c>
      <c r="D297">
        <v>3</v>
      </c>
      <c r="E297">
        <v>11</v>
      </c>
      <c r="F297">
        <v>4</v>
      </c>
      <c r="G297">
        <v>1</v>
      </c>
      <c r="H297">
        <f>표3[[#This Row],[공격성공횟수]]/(표3[[#This Row],[공격실패횟수]]+표3[[#This Row],[공격성공횟수]])</f>
        <v>0.21428571428571427</v>
      </c>
    </row>
    <row r="298" spans="1:8" x14ac:dyDescent="0.4">
      <c r="A298">
        <v>149</v>
      </c>
      <c r="B298" t="s">
        <v>3</v>
      </c>
      <c r="C298">
        <v>1</v>
      </c>
      <c r="D298">
        <v>4</v>
      </c>
      <c r="E298">
        <v>13</v>
      </c>
      <c r="F298">
        <v>1</v>
      </c>
      <c r="G298">
        <v>0</v>
      </c>
      <c r="H298">
        <f>표3[[#This Row],[공격성공횟수]]/(표3[[#This Row],[공격실패횟수]]+표3[[#This Row],[공격성공횟수]])</f>
        <v>0.23529411764705882</v>
      </c>
    </row>
    <row r="299" spans="1:8" hidden="1" x14ac:dyDescent="0.4">
      <c r="A299">
        <v>149</v>
      </c>
      <c r="B299" t="s">
        <v>1</v>
      </c>
      <c r="C299">
        <v>0</v>
      </c>
      <c r="D299">
        <v>1</v>
      </c>
      <c r="E299">
        <v>16</v>
      </c>
      <c r="F299">
        <v>4</v>
      </c>
      <c r="G299">
        <v>1</v>
      </c>
      <c r="H299">
        <f>표3[[#This Row],[공격성공횟수]]/(표3[[#This Row],[공격실패횟수]]+표3[[#This Row],[공격성공횟수]])</f>
        <v>5.8823529411764705E-2</v>
      </c>
    </row>
    <row r="300" spans="1:8" x14ac:dyDescent="0.4">
      <c r="A300">
        <v>150</v>
      </c>
      <c r="B300" t="s">
        <v>3</v>
      </c>
      <c r="C300">
        <v>1</v>
      </c>
      <c r="D300">
        <v>4</v>
      </c>
      <c r="E300">
        <v>11</v>
      </c>
      <c r="F300">
        <v>1</v>
      </c>
      <c r="G300">
        <v>0</v>
      </c>
      <c r="H300">
        <f>표3[[#This Row],[공격성공횟수]]/(표3[[#This Row],[공격실패횟수]]+표3[[#This Row],[공격성공횟수]])</f>
        <v>0.26666666666666666</v>
      </c>
    </row>
    <row r="301" spans="1:8" hidden="1" x14ac:dyDescent="0.4">
      <c r="A301">
        <v>150</v>
      </c>
      <c r="B301" t="s">
        <v>1</v>
      </c>
      <c r="C301">
        <v>0</v>
      </c>
      <c r="D301">
        <v>1</v>
      </c>
      <c r="E301">
        <v>13</v>
      </c>
      <c r="F301">
        <v>4</v>
      </c>
      <c r="G301">
        <v>1</v>
      </c>
      <c r="H301">
        <f>표3[[#This Row],[공격성공횟수]]/(표3[[#This Row],[공격실패횟수]]+표3[[#This Row],[공격성공횟수]])</f>
        <v>7.1428571428571425E-2</v>
      </c>
    </row>
    <row r="302" spans="1:8" x14ac:dyDescent="0.4">
      <c r="A302">
        <v>151</v>
      </c>
      <c r="B302" t="s">
        <v>3</v>
      </c>
      <c r="C302">
        <v>1</v>
      </c>
      <c r="D302">
        <v>4</v>
      </c>
      <c r="E302">
        <v>11</v>
      </c>
      <c r="F302">
        <v>1</v>
      </c>
      <c r="G302">
        <v>0</v>
      </c>
      <c r="H302">
        <f>표3[[#This Row],[공격성공횟수]]/(표3[[#This Row],[공격실패횟수]]+표3[[#This Row],[공격성공횟수]])</f>
        <v>0.26666666666666666</v>
      </c>
    </row>
    <row r="303" spans="1:8" hidden="1" x14ac:dyDescent="0.4">
      <c r="A303">
        <v>151</v>
      </c>
      <c r="B303" t="s">
        <v>1</v>
      </c>
      <c r="C303">
        <v>0</v>
      </c>
      <c r="D303">
        <v>1</v>
      </c>
      <c r="E303">
        <v>13</v>
      </c>
      <c r="F303">
        <v>4</v>
      </c>
      <c r="G303">
        <v>1</v>
      </c>
      <c r="H303">
        <f>표3[[#This Row],[공격성공횟수]]/(표3[[#This Row],[공격실패횟수]]+표3[[#This Row],[공격성공횟수]])</f>
        <v>7.1428571428571425E-2</v>
      </c>
    </row>
    <row r="304" spans="1:8" x14ac:dyDescent="0.4">
      <c r="A304">
        <v>152</v>
      </c>
      <c r="B304" t="s">
        <v>3</v>
      </c>
      <c r="C304">
        <v>1</v>
      </c>
      <c r="D304">
        <v>4</v>
      </c>
      <c r="E304">
        <v>10</v>
      </c>
      <c r="F304">
        <v>2</v>
      </c>
      <c r="G304">
        <v>0</v>
      </c>
      <c r="H304">
        <f>표3[[#This Row],[공격성공횟수]]/(표3[[#This Row],[공격실패횟수]]+표3[[#This Row],[공격성공횟수]])</f>
        <v>0.2857142857142857</v>
      </c>
    </row>
    <row r="305" spans="1:8" hidden="1" x14ac:dyDescent="0.4">
      <c r="A305">
        <v>152</v>
      </c>
      <c r="B305" t="s">
        <v>1</v>
      </c>
      <c r="C305">
        <v>0</v>
      </c>
      <c r="D305">
        <v>2</v>
      </c>
      <c r="E305">
        <v>12</v>
      </c>
      <c r="F305">
        <v>4</v>
      </c>
      <c r="G305">
        <v>1</v>
      </c>
      <c r="H305">
        <f>표3[[#This Row],[공격성공횟수]]/(표3[[#This Row],[공격실패횟수]]+표3[[#This Row],[공격성공횟수]])</f>
        <v>0.14285714285714285</v>
      </c>
    </row>
    <row r="306" spans="1:8" x14ac:dyDescent="0.4">
      <c r="A306">
        <v>153</v>
      </c>
      <c r="B306" t="s">
        <v>3</v>
      </c>
      <c r="C306">
        <v>1</v>
      </c>
      <c r="D306">
        <v>4</v>
      </c>
      <c r="E306">
        <v>11</v>
      </c>
      <c r="F306">
        <v>1</v>
      </c>
      <c r="G306">
        <v>0</v>
      </c>
      <c r="H306">
        <f>표3[[#This Row],[공격성공횟수]]/(표3[[#This Row],[공격실패횟수]]+표3[[#This Row],[공격성공횟수]])</f>
        <v>0.26666666666666666</v>
      </c>
    </row>
    <row r="307" spans="1:8" hidden="1" x14ac:dyDescent="0.4">
      <c r="A307">
        <v>153</v>
      </c>
      <c r="B307" t="s">
        <v>1</v>
      </c>
      <c r="C307">
        <v>0</v>
      </c>
      <c r="D307">
        <v>1</v>
      </c>
      <c r="E307">
        <v>13</v>
      </c>
      <c r="F307">
        <v>4</v>
      </c>
      <c r="G307">
        <v>1</v>
      </c>
      <c r="H307">
        <f>표3[[#This Row],[공격성공횟수]]/(표3[[#This Row],[공격실패횟수]]+표3[[#This Row],[공격성공횟수]])</f>
        <v>7.1428571428571425E-2</v>
      </c>
    </row>
    <row r="308" spans="1:8" x14ac:dyDescent="0.4">
      <c r="A308">
        <v>154</v>
      </c>
      <c r="B308" t="s">
        <v>3</v>
      </c>
      <c r="C308">
        <v>1</v>
      </c>
      <c r="D308">
        <v>4</v>
      </c>
      <c r="E308">
        <v>27</v>
      </c>
      <c r="F308">
        <v>0</v>
      </c>
      <c r="G308">
        <v>0</v>
      </c>
      <c r="H308">
        <f>표3[[#This Row],[공격성공횟수]]/(표3[[#This Row],[공격실패횟수]]+표3[[#This Row],[공격성공횟수]])</f>
        <v>0.12903225806451613</v>
      </c>
    </row>
    <row r="309" spans="1:8" hidden="1" x14ac:dyDescent="0.4">
      <c r="A309">
        <v>154</v>
      </c>
      <c r="B309" t="s">
        <v>1</v>
      </c>
      <c r="C309">
        <v>0</v>
      </c>
      <c r="D309">
        <v>0</v>
      </c>
      <c r="E309">
        <v>31</v>
      </c>
      <c r="F309">
        <v>4</v>
      </c>
      <c r="G309">
        <v>1</v>
      </c>
      <c r="H309">
        <f>표3[[#This Row],[공격성공횟수]]/(표3[[#This Row],[공격실패횟수]]+표3[[#This Row],[공격성공횟수]])</f>
        <v>0</v>
      </c>
    </row>
    <row r="310" spans="1:8" x14ac:dyDescent="0.4">
      <c r="A310">
        <v>155</v>
      </c>
      <c r="B310" t="s">
        <v>3</v>
      </c>
      <c r="C310">
        <v>0</v>
      </c>
      <c r="D310">
        <v>1</v>
      </c>
      <c r="E310">
        <v>15</v>
      </c>
      <c r="F310">
        <v>4</v>
      </c>
      <c r="G310">
        <v>1</v>
      </c>
      <c r="H310">
        <f>표3[[#This Row],[공격성공횟수]]/(표3[[#This Row],[공격실패횟수]]+표3[[#This Row],[공격성공횟수]])</f>
        <v>6.25E-2</v>
      </c>
    </row>
    <row r="311" spans="1:8" hidden="1" x14ac:dyDescent="0.4">
      <c r="A311">
        <v>155</v>
      </c>
      <c r="B311" t="s">
        <v>1</v>
      </c>
      <c r="C311">
        <v>1</v>
      </c>
      <c r="D311">
        <v>4</v>
      </c>
      <c r="E311">
        <v>14</v>
      </c>
      <c r="F311">
        <v>1</v>
      </c>
      <c r="G311">
        <v>0</v>
      </c>
      <c r="H311">
        <f>표3[[#This Row],[공격성공횟수]]/(표3[[#This Row],[공격실패횟수]]+표3[[#This Row],[공격성공횟수]])</f>
        <v>0.22222222222222221</v>
      </c>
    </row>
    <row r="312" spans="1:8" x14ac:dyDescent="0.4">
      <c r="A312">
        <v>156</v>
      </c>
      <c r="B312" t="s">
        <v>3</v>
      </c>
      <c r="C312">
        <v>1</v>
      </c>
      <c r="D312">
        <v>4</v>
      </c>
      <c r="E312">
        <v>17</v>
      </c>
      <c r="F312">
        <v>0</v>
      </c>
      <c r="G312">
        <v>0</v>
      </c>
      <c r="H312">
        <f>표3[[#This Row],[공격성공횟수]]/(표3[[#This Row],[공격실패횟수]]+표3[[#This Row],[공격성공횟수]])</f>
        <v>0.19047619047619047</v>
      </c>
    </row>
    <row r="313" spans="1:8" hidden="1" x14ac:dyDescent="0.4">
      <c r="A313">
        <v>156</v>
      </c>
      <c r="B313" t="s">
        <v>1</v>
      </c>
      <c r="C313">
        <v>0</v>
      </c>
      <c r="D313">
        <v>0</v>
      </c>
      <c r="E313">
        <v>19</v>
      </c>
      <c r="F313">
        <v>4</v>
      </c>
      <c r="G313">
        <v>1</v>
      </c>
      <c r="H313">
        <f>표3[[#This Row],[공격성공횟수]]/(표3[[#This Row],[공격실패횟수]]+표3[[#This Row],[공격성공횟수]])</f>
        <v>0</v>
      </c>
    </row>
    <row r="314" spans="1:8" x14ac:dyDescent="0.4">
      <c r="A314">
        <v>157</v>
      </c>
      <c r="B314" t="s">
        <v>3</v>
      </c>
      <c r="C314">
        <v>1</v>
      </c>
      <c r="D314">
        <v>4</v>
      </c>
      <c r="E314">
        <v>7</v>
      </c>
      <c r="F314">
        <v>3</v>
      </c>
      <c r="G314">
        <v>0</v>
      </c>
      <c r="H314">
        <f>표3[[#This Row],[공격성공횟수]]/(표3[[#This Row],[공격실패횟수]]+표3[[#This Row],[공격성공횟수]])</f>
        <v>0.36363636363636365</v>
      </c>
    </row>
    <row r="315" spans="1:8" hidden="1" x14ac:dyDescent="0.4">
      <c r="A315">
        <v>157</v>
      </c>
      <c r="B315" t="s">
        <v>1</v>
      </c>
      <c r="C315">
        <v>0</v>
      </c>
      <c r="D315">
        <v>3</v>
      </c>
      <c r="E315">
        <v>8</v>
      </c>
      <c r="F315">
        <v>4</v>
      </c>
      <c r="G315">
        <v>1</v>
      </c>
      <c r="H315">
        <f>표3[[#This Row],[공격성공횟수]]/(표3[[#This Row],[공격실패횟수]]+표3[[#This Row],[공격성공횟수]])</f>
        <v>0.27272727272727271</v>
      </c>
    </row>
    <row r="316" spans="1:8" x14ac:dyDescent="0.4">
      <c r="A316">
        <v>158</v>
      </c>
      <c r="B316" t="s">
        <v>3</v>
      </c>
      <c r="C316">
        <v>1</v>
      </c>
      <c r="D316">
        <v>4</v>
      </c>
      <c r="E316">
        <v>4</v>
      </c>
      <c r="F316">
        <v>0</v>
      </c>
      <c r="G316">
        <v>0</v>
      </c>
      <c r="H316">
        <f>표3[[#This Row],[공격성공횟수]]/(표3[[#This Row],[공격실패횟수]]+표3[[#This Row],[공격성공횟수]])</f>
        <v>0.5</v>
      </c>
    </row>
    <row r="317" spans="1:8" hidden="1" x14ac:dyDescent="0.4">
      <c r="A317">
        <v>158</v>
      </c>
      <c r="B317" t="s">
        <v>1</v>
      </c>
      <c r="C317">
        <v>0</v>
      </c>
      <c r="D317">
        <v>0</v>
      </c>
      <c r="E317">
        <v>7</v>
      </c>
      <c r="F317">
        <v>4</v>
      </c>
      <c r="G317">
        <v>1</v>
      </c>
      <c r="H317">
        <f>표3[[#This Row],[공격성공횟수]]/(표3[[#This Row],[공격실패횟수]]+표3[[#This Row],[공격성공횟수]])</f>
        <v>0</v>
      </c>
    </row>
    <row r="318" spans="1:8" x14ac:dyDescent="0.4">
      <c r="A318">
        <v>159</v>
      </c>
      <c r="B318" t="s">
        <v>3</v>
      </c>
      <c r="C318">
        <v>1</v>
      </c>
      <c r="D318">
        <v>4</v>
      </c>
      <c r="E318">
        <v>8</v>
      </c>
      <c r="F318">
        <v>0</v>
      </c>
      <c r="G318">
        <v>0</v>
      </c>
      <c r="H318">
        <f>표3[[#This Row],[공격성공횟수]]/(표3[[#This Row],[공격실패횟수]]+표3[[#This Row],[공격성공횟수]])</f>
        <v>0.33333333333333331</v>
      </c>
    </row>
    <row r="319" spans="1:8" hidden="1" x14ac:dyDescent="0.4">
      <c r="A319">
        <v>159</v>
      </c>
      <c r="B319" t="s">
        <v>1</v>
      </c>
      <c r="C319">
        <v>0</v>
      </c>
      <c r="D319">
        <v>0</v>
      </c>
      <c r="E319">
        <v>12</v>
      </c>
      <c r="F319">
        <v>4</v>
      </c>
      <c r="G319">
        <v>1</v>
      </c>
      <c r="H319">
        <f>표3[[#This Row],[공격성공횟수]]/(표3[[#This Row],[공격실패횟수]]+표3[[#This Row],[공격성공횟수]])</f>
        <v>0</v>
      </c>
    </row>
    <row r="320" spans="1:8" x14ac:dyDescent="0.4">
      <c r="A320">
        <v>160</v>
      </c>
      <c r="B320" t="s">
        <v>3</v>
      </c>
      <c r="C320">
        <v>1</v>
      </c>
      <c r="D320">
        <v>4</v>
      </c>
      <c r="E320">
        <v>16</v>
      </c>
      <c r="F320">
        <v>2</v>
      </c>
      <c r="G320">
        <v>0</v>
      </c>
      <c r="H320">
        <f>표3[[#This Row],[공격성공횟수]]/(표3[[#This Row],[공격실패횟수]]+표3[[#This Row],[공격성공횟수]])</f>
        <v>0.2</v>
      </c>
    </row>
    <row r="321" spans="1:8" hidden="1" x14ac:dyDescent="0.4">
      <c r="A321">
        <v>160</v>
      </c>
      <c r="B321" t="s">
        <v>1</v>
      </c>
      <c r="C321">
        <v>0</v>
      </c>
      <c r="D321">
        <v>2</v>
      </c>
      <c r="E321">
        <v>18</v>
      </c>
      <c r="F321">
        <v>4</v>
      </c>
      <c r="G321">
        <v>1</v>
      </c>
      <c r="H321">
        <f>표3[[#This Row],[공격성공횟수]]/(표3[[#This Row],[공격실패횟수]]+표3[[#This Row],[공격성공횟수]])</f>
        <v>0.1</v>
      </c>
    </row>
    <row r="322" spans="1:8" x14ac:dyDescent="0.4">
      <c r="A322">
        <v>161</v>
      </c>
      <c r="B322" t="s">
        <v>3</v>
      </c>
      <c r="C322">
        <v>1</v>
      </c>
      <c r="D322">
        <v>4</v>
      </c>
      <c r="E322">
        <v>6</v>
      </c>
      <c r="F322">
        <v>1</v>
      </c>
      <c r="G322">
        <v>0</v>
      </c>
      <c r="H322">
        <f>표3[[#This Row],[공격성공횟수]]/(표3[[#This Row],[공격실패횟수]]+표3[[#This Row],[공격성공횟수]])</f>
        <v>0.4</v>
      </c>
    </row>
    <row r="323" spans="1:8" hidden="1" x14ac:dyDescent="0.4">
      <c r="A323">
        <v>161</v>
      </c>
      <c r="B323" t="s">
        <v>1</v>
      </c>
      <c r="C323">
        <v>0</v>
      </c>
      <c r="D323">
        <v>1</v>
      </c>
      <c r="E323">
        <v>9</v>
      </c>
      <c r="F323">
        <v>4</v>
      </c>
      <c r="G323">
        <v>1</v>
      </c>
      <c r="H323">
        <f>표3[[#This Row],[공격성공횟수]]/(표3[[#This Row],[공격실패횟수]]+표3[[#This Row],[공격성공횟수]])</f>
        <v>0.1</v>
      </c>
    </row>
    <row r="324" spans="1:8" x14ac:dyDescent="0.4">
      <c r="A324">
        <v>162</v>
      </c>
      <c r="B324" t="s">
        <v>3</v>
      </c>
      <c r="C324">
        <v>1</v>
      </c>
      <c r="D324">
        <v>4</v>
      </c>
      <c r="E324">
        <v>8</v>
      </c>
      <c r="F324">
        <v>1</v>
      </c>
      <c r="G324">
        <v>0</v>
      </c>
      <c r="H324">
        <f>표3[[#This Row],[공격성공횟수]]/(표3[[#This Row],[공격실패횟수]]+표3[[#This Row],[공격성공횟수]])</f>
        <v>0.33333333333333331</v>
      </c>
    </row>
    <row r="325" spans="1:8" hidden="1" x14ac:dyDescent="0.4">
      <c r="A325">
        <v>162</v>
      </c>
      <c r="B325" t="s">
        <v>1</v>
      </c>
      <c r="C325">
        <v>0</v>
      </c>
      <c r="D325">
        <v>1</v>
      </c>
      <c r="E325">
        <v>10</v>
      </c>
      <c r="F325">
        <v>4</v>
      </c>
      <c r="G325">
        <v>1</v>
      </c>
      <c r="H325">
        <f>표3[[#This Row],[공격성공횟수]]/(표3[[#This Row],[공격실패횟수]]+표3[[#This Row],[공격성공횟수]])</f>
        <v>9.0909090909090912E-2</v>
      </c>
    </row>
    <row r="326" spans="1:8" x14ac:dyDescent="0.4">
      <c r="A326">
        <v>163</v>
      </c>
      <c r="B326" t="s">
        <v>3</v>
      </c>
      <c r="C326">
        <v>1</v>
      </c>
      <c r="D326">
        <v>4</v>
      </c>
      <c r="E326">
        <v>18</v>
      </c>
      <c r="F326">
        <v>1</v>
      </c>
      <c r="G326">
        <v>0</v>
      </c>
      <c r="H326">
        <f>표3[[#This Row],[공격성공횟수]]/(표3[[#This Row],[공격실패횟수]]+표3[[#This Row],[공격성공횟수]])</f>
        <v>0.18181818181818182</v>
      </c>
    </row>
    <row r="327" spans="1:8" hidden="1" x14ac:dyDescent="0.4">
      <c r="A327">
        <v>163</v>
      </c>
      <c r="B327" t="s">
        <v>1</v>
      </c>
      <c r="C327">
        <v>0</v>
      </c>
      <c r="D327">
        <v>1</v>
      </c>
      <c r="E327">
        <v>21</v>
      </c>
      <c r="F327">
        <v>4</v>
      </c>
      <c r="G327">
        <v>1</v>
      </c>
      <c r="H327">
        <f>표3[[#This Row],[공격성공횟수]]/(표3[[#This Row],[공격실패횟수]]+표3[[#This Row],[공격성공횟수]])</f>
        <v>4.5454545454545456E-2</v>
      </c>
    </row>
    <row r="328" spans="1:8" x14ac:dyDescent="0.4">
      <c r="A328">
        <v>164</v>
      </c>
      <c r="B328" t="s">
        <v>3</v>
      </c>
      <c r="C328">
        <v>1</v>
      </c>
      <c r="D328">
        <v>4</v>
      </c>
      <c r="E328">
        <v>7</v>
      </c>
      <c r="F328">
        <v>0</v>
      </c>
      <c r="G328">
        <v>0</v>
      </c>
      <c r="H328">
        <f>표3[[#This Row],[공격성공횟수]]/(표3[[#This Row],[공격실패횟수]]+표3[[#This Row],[공격성공횟수]])</f>
        <v>0.36363636363636365</v>
      </c>
    </row>
    <row r="329" spans="1:8" hidden="1" x14ac:dyDescent="0.4">
      <c r="A329">
        <v>164</v>
      </c>
      <c r="B329" t="s">
        <v>1</v>
      </c>
      <c r="C329">
        <v>0</v>
      </c>
      <c r="D329">
        <v>0</v>
      </c>
      <c r="E329">
        <v>10</v>
      </c>
      <c r="F329">
        <v>4</v>
      </c>
      <c r="G329">
        <v>1</v>
      </c>
      <c r="H329">
        <f>표3[[#This Row],[공격성공횟수]]/(표3[[#This Row],[공격실패횟수]]+표3[[#This Row],[공격성공횟수]])</f>
        <v>0</v>
      </c>
    </row>
    <row r="330" spans="1:8" x14ac:dyDescent="0.4">
      <c r="A330">
        <v>165</v>
      </c>
      <c r="B330" t="s">
        <v>3</v>
      </c>
      <c r="C330">
        <v>1</v>
      </c>
      <c r="D330">
        <v>4</v>
      </c>
      <c r="E330">
        <v>24</v>
      </c>
      <c r="F330">
        <v>0</v>
      </c>
      <c r="G330">
        <v>0</v>
      </c>
      <c r="H330">
        <f>표3[[#This Row],[공격성공횟수]]/(표3[[#This Row],[공격실패횟수]]+표3[[#This Row],[공격성공횟수]])</f>
        <v>0.14285714285714285</v>
      </c>
    </row>
    <row r="331" spans="1:8" hidden="1" x14ac:dyDescent="0.4">
      <c r="A331">
        <v>165</v>
      </c>
      <c r="B331" t="s">
        <v>1</v>
      </c>
      <c r="C331">
        <v>0</v>
      </c>
      <c r="D331">
        <v>0</v>
      </c>
      <c r="E331">
        <v>27</v>
      </c>
      <c r="F331">
        <v>4</v>
      </c>
      <c r="G331">
        <v>1</v>
      </c>
      <c r="H331">
        <f>표3[[#This Row],[공격성공횟수]]/(표3[[#This Row],[공격실패횟수]]+표3[[#This Row],[공격성공횟수]])</f>
        <v>0</v>
      </c>
    </row>
    <row r="332" spans="1:8" x14ac:dyDescent="0.4">
      <c r="A332">
        <v>166</v>
      </c>
      <c r="B332" t="s">
        <v>3</v>
      </c>
      <c r="C332">
        <v>1</v>
      </c>
      <c r="D332">
        <v>4</v>
      </c>
      <c r="E332">
        <v>6</v>
      </c>
      <c r="F332">
        <v>0</v>
      </c>
      <c r="G332">
        <v>0</v>
      </c>
      <c r="H332">
        <f>표3[[#This Row],[공격성공횟수]]/(표3[[#This Row],[공격실패횟수]]+표3[[#This Row],[공격성공횟수]])</f>
        <v>0.4</v>
      </c>
    </row>
    <row r="333" spans="1:8" hidden="1" x14ac:dyDescent="0.4">
      <c r="A333">
        <v>166</v>
      </c>
      <c r="B333" t="s">
        <v>1</v>
      </c>
      <c r="C333">
        <v>0</v>
      </c>
      <c r="D333">
        <v>0</v>
      </c>
      <c r="E333">
        <v>10</v>
      </c>
      <c r="F333">
        <v>4</v>
      </c>
      <c r="G333">
        <v>1</v>
      </c>
      <c r="H333">
        <f>표3[[#This Row],[공격성공횟수]]/(표3[[#This Row],[공격실패횟수]]+표3[[#This Row],[공격성공횟수]])</f>
        <v>0</v>
      </c>
    </row>
    <row r="334" spans="1:8" x14ac:dyDescent="0.4">
      <c r="A334">
        <v>167</v>
      </c>
      <c r="B334" t="s">
        <v>3</v>
      </c>
      <c r="C334">
        <v>1</v>
      </c>
      <c r="D334">
        <v>4</v>
      </c>
      <c r="E334">
        <v>5</v>
      </c>
      <c r="F334">
        <v>0</v>
      </c>
      <c r="G334">
        <v>0</v>
      </c>
      <c r="H334">
        <f>표3[[#This Row],[공격성공횟수]]/(표3[[#This Row],[공격실패횟수]]+표3[[#This Row],[공격성공횟수]])</f>
        <v>0.44444444444444442</v>
      </c>
    </row>
    <row r="335" spans="1:8" hidden="1" x14ac:dyDescent="0.4">
      <c r="A335">
        <v>167</v>
      </c>
      <c r="B335" t="s">
        <v>1</v>
      </c>
      <c r="C335">
        <v>0</v>
      </c>
      <c r="D335">
        <v>0</v>
      </c>
      <c r="E335">
        <v>9</v>
      </c>
      <c r="F335">
        <v>4</v>
      </c>
      <c r="G335">
        <v>1</v>
      </c>
      <c r="H335">
        <f>표3[[#This Row],[공격성공횟수]]/(표3[[#This Row],[공격실패횟수]]+표3[[#This Row],[공격성공횟수]])</f>
        <v>0</v>
      </c>
    </row>
    <row r="336" spans="1:8" x14ac:dyDescent="0.4">
      <c r="A336">
        <v>168</v>
      </c>
      <c r="B336" t="s">
        <v>3</v>
      </c>
      <c r="C336">
        <v>1</v>
      </c>
      <c r="D336">
        <v>4</v>
      </c>
      <c r="E336">
        <v>7</v>
      </c>
      <c r="F336">
        <v>1</v>
      </c>
      <c r="G336">
        <v>0</v>
      </c>
      <c r="H336">
        <f>표3[[#This Row],[공격성공횟수]]/(표3[[#This Row],[공격실패횟수]]+표3[[#This Row],[공격성공횟수]])</f>
        <v>0.36363636363636365</v>
      </c>
    </row>
    <row r="337" spans="1:8" hidden="1" x14ac:dyDescent="0.4">
      <c r="A337">
        <v>168</v>
      </c>
      <c r="B337" t="s">
        <v>1</v>
      </c>
      <c r="C337">
        <v>0</v>
      </c>
      <c r="D337">
        <v>1</v>
      </c>
      <c r="E337">
        <v>9</v>
      </c>
      <c r="F337">
        <v>4</v>
      </c>
      <c r="G337">
        <v>1</v>
      </c>
      <c r="H337">
        <f>표3[[#This Row],[공격성공횟수]]/(표3[[#This Row],[공격실패횟수]]+표3[[#This Row],[공격성공횟수]])</f>
        <v>0.1</v>
      </c>
    </row>
    <row r="338" spans="1:8" x14ac:dyDescent="0.4">
      <c r="A338">
        <v>169</v>
      </c>
      <c r="B338" t="s">
        <v>3</v>
      </c>
      <c r="C338">
        <v>1</v>
      </c>
      <c r="D338">
        <v>4</v>
      </c>
      <c r="E338">
        <v>11</v>
      </c>
      <c r="F338">
        <v>0</v>
      </c>
      <c r="G338">
        <v>0</v>
      </c>
      <c r="H338">
        <f>표3[[#This Row],[공격성공횟수]]/(표3[[#This Row],[공격실패횟수]]+표3[[#This Row],[공격성공횟수]])</f>
        <v>0.26666666666666666</v>
      </c>
    </row>
    <row r="339" spans="1:8" hidden="1" x14ac:dyDescent="0.4">
      <c r="A339">
        <v>169</v>
      </c>
      <c r="B339" t="s">
        <v>1</v>
      </c>
      <c r="C339">
        <v>0</v>
      </c>
      <c r="D339">
        <v>0</v>
      </c>
      <c r="E339">
        <v>15</v>
      </c>
      <c r="F339">
        <v>4</v>
      </c>
      <c r="G339">
        <v>1</v>
      </c>
      <c r="H339">
        <f>표3[[#This Row],[공격성공횟수]]/(표3[[#This Row],[공격실패횟수]]+표3[[#This Row],[공격성공횟수]])</f>
        <v>0</v>
      </c>
    </row>
    <row r="340" spans="1:8" x14ac:dyDescent="0.4">
      <c r="A340">
        <v>170</v>
      </c>
      <c r="B340" t="s">
        <v>3</v>
      </c>
      <c r="C340">
        <v>1</v>
      </c>
      <c r="D340">
        <v>4</v>
      </c>
      <c r="E340">
        <v>3</v>
      </c>
      <c r="F340">
        <v>0</v>
      </c>
      <c r="G340">
        <v>0</v>
      </c>
      <c r="H340">
        <f>표3[[#This Row],[공격성공횟수]]/(표3[[#This Row],[공격실패횟수]]+표3[[#This Row],[공격성공횟수]])</f>
        <v>0.5714285714285714</v>
      </c>
    </row>
    <row r="341" spans="1:8" hidden="1" x14ac:dyDescent="0.4">
      <c r="A341">
        <v>170</v>
      </c>
      <c r="B341" t="s">
        <v>1</v>
      </c>
      <c r="C341">
        <v>0</v>
      </c>
      <c r="D341">
        <v>0</v>
      </c>
      <c r="E341">
        <v>7</v>
      </c>
      <c r="F341">
        <v>4</v>
      </c>
      <c r="G341">
        <v>1</v>
      </c>
      <c r="H341">
        <f>표3[[#This Row],[공격성공횟수]]/(표3[[#This Row],[공격실패횟수]]+표3[[#This Row],[공격성공횟수]])</f>
        <v>0</v>
      </c>
    </row>
    <row r="342" spans="1:8" x14ac:dyDescent="0.4">
      <c r="A342">
        <v>171</v>
      </c>
      <c r="B342" t="s">
        <v>3</v>
      </c>
      <c r="C342">
        <v>1</v>
      </c>
      <c r="D342">
        <v>4</v>
      </c>
      <c r="E342">
        <v>15</v>
      </c>
      <c r="F342">
        <v>3</v>
      </c>
      <c r="G342">
        <v>0</v>
      </c>
      <c r="H342">
        <f>표3[[#This Row],[공격성공횟수]]/(표3[[#This Row],[공격실패횟수]]+표3[[#This Row],[공격성공횟수]])</f>
        <v>0.21052631578947367</v>
      </c>
    </row>
    <row r="343" spans="1:8" hidden="1" x14ac:dyDescent="0.4">
      <c r="A343">
        <v>171</v>
      </c>
      <c r="B343" t="s">
        <v>1</v>
      </c>
      <c r="C343">
        <v>0</v>
      </c>
      <c r="D343">
        <v>3</v>
      </c>
      <c r="E343">
        <v>15</v>
      </c>
      <c r="F343">
        <v>4</v>
      </c>
      <c r="G343">
        <v>1</v>
      </c>
      <c r="H343">
        <f>표3[[#This Row],[공격성공횟수]]/(표3[[#This Row],[공격실패횟수]]+표3[[#This Row],[공격성공횟수]])</f>
        <v>0.16666666666666666</v>
      </c>
    </row>
    <row r="344" spans="1:8" x14ac:dyDescent="0.4">
      <c r="A344">
        <v>172</v>
      </c>
      <c r="B344" t="s">
        <v>3</v>
      </c>
      <c r="C344">
        <v>1</v>
      </c>
      <c r="D344">
        <v>4</v>
      </c>
      <c r="E344">
        <v>13</v>
      </c>
      <c r="F344">
        <v>0</v>
      </c>
      <c r="G344">
        <v>0</v>
      </c>
      <c r="H344">
        <f>표3[[#This Row],[공격성공횟수]]/(표3[[#This Row],[공격실패횟수]]+표3[[#This Row],[공격성공횟수]])</f>
        <v>0.23529411764705882</v>
      </c>
    </row>
    <row r="345" spans="1:8" hidden="1" x14ac:dyDescent="0.4">
      <c r="A345">
        <v>172</v>
      </c>
      <c r="B345" t="s">
        <v>1</v>
      </c>
      <c r="C345">
        <v>0</v>
      </c>
      <c r="D345">
        <v>0</v>
      </c>
      <c r="E345">
        <v>17</v>
      </c>
      <c r="F345">
        <v>4</v>
      </c>
      <c r="G345">
        <v>1</v>
      </c>
      <c r="H345">
        <f>표3[[#This Row],[공격성공횟수]]/(표3[[#This Row],[공격실패횟수]]+표3[[#This Row],[공격성공횟수]])</f>
        <v>0</v>
      </c>
    </row>
    <row r="346" spans="1:8" x14ac:dyDescent="0.4">
      <c r="A346">
        <v>173</v>
      </c>
      <c r="B346" t="s">
        <v>3</v>
      </c>
      <c r="C346">
        <v>0</v>
      </c>
      <c r="D346">
        <v>2</v>
      </c>
      <c r="E346">
        <v>18</v>
      </c>
      <c r="F346">
        <v>4</v>
      </c>
      <c r="G346">
        <v>1</v>
      </c>
      <c r="H346">
        <f>표3[[#This Row],[공격성공횟수]]/(표3[[#This Row],[공격실패횟수]]+표3[[#This Row],[공격성공횟수]])</f>
        <v>0.1</v>
      </c>
    </row>
    <row r="347" spans="1:8" hidden="1" x14ac:dyDescent="0.4">
      <c r="A347">
        <v>173</v>
      </c>
      <c r="B347" t="s">
        <v>1</v>
      </c>
      <c r="C347">
        <v>1</v>
      </c>
      <c r="D347">
        <v>4</v>
      </c>
      <c r="E347">
        <v>18</v>
      </c>
      <c r="F347">
        <v>2</v>
      </c>
      <c r="G347">
        <v>0</v>
      </c>
      <c r="H347">
        <f>표3[[#This Row],[공격성공횟수]]/(표3[[#This Row],[공격실패횟수]]+표3[[#This Row],[공격성공횟수]])</f>
        <v>0.18181818181818182</v>
      </c>
    </row>
    <row r="348" spans="1:8" x14ac:dyDescent="0.4">
      <c r="A348">
        <v>174</v>
      </c>
      <c r="B348" t="s">
        <v>3</v>
      </c>
      <c r="C348">
        <v>1</v>
      </c>
      <c r="D348">
        <v>4</v>
      </c>
      <c r="E348">
        <v>29</v>
      </c>
      <c r="F348">
        <v>3</v>
      </c>
      <c r="G348">
        <v>0</v>
      </c>
      <c r="H348">
        <f>표3[[#This Row],[공격성공횟수]]/(표3[[#This Row],[공격실패횟수]]+표3[[#This Row],[공격성공횟수]])</f>
        <v>0.12121212121212122</v>
      </c>
    </row>
    <row r="349" spans="1:8" hidden="1" x14ac:dyDescent="0.4">
      <c r="A349">
        <v>174</v>
      </c>
      <c r="B349" t="s">
        <v>1</v>
      </c>
      <c r="C349">
        <v>0</v>
      </c>
      <c r="D349">
        <v>3</v>
      </c>
      <c r="E349">
        <v>29</v>
      </c>
      <c r="F349">
        <v>4</v>
      </c>
      <c r="G349">
        <v>1</v>
      </c>
      <c r="H349">
        <f>표3[[#This Row],[공격성공횟수]]/(표3[[#This Row],[공격실패횟수]]+표3[[#This Row],[공격성공횟수]])</f>
        <v>9.375E-2</v>
      </c>
    </row>
    <row r="350" spans="1:8" x14ac:dyDescent="0.4">
      <c r="A350">
        <v>175</v>
      </c>
      <c r="B350" t="s">
        <v>3</v>
      </c>
      <c r="C350">
        <v>1</v>
      </c>
      <c r="D350">
        <v>4</v>
      </c>
      <c r="E350">
        <v>11</v>
      </c>
      <c r="F350">
        <v>2</v>
      </c>
      <c r="G350">
        <v>0</v>
      </c>
      <c r="H350">
        <f>표3[[#This Row],[공격성공횟수]]/(표3[[#This Row],[공격실패횟수]]+표3[[#This Row],[공격성공횟수]])</f>
        <v>0.26666666666666666</v>
      </c>
    </row>
    <row r="351" spans="1:8" hidden="1" x14ac:dyDescent="0.4">
      <c r="A351">
        <v>175</v>
      </c>
      <c r="B351" t="s">
        <v>1</v>
      </c>
      <c r="C351">
        <v>0</v>
      </c>
      <c r="D351">
        <v>2</v>
      </c>
      <c r="E351">
        <v>12</v>
      </c>
      <c r="F351">
        <v>4</v>
      </c>
      <c r="G351">
        <v>1</v>
      </c>
      <c r="H351">
        <f>표3[[#This Row],[공격성공횟수]]/(표3[[#This Row],[공격실패횟수]]+표3[[#This Row],[공격성공횟수]])</f>
        <v>0.14285714285714285</v>
      </c>
    </row>
    <row r="352" spans="1:8" x14ac:dyDescent="0.4">
      <c r="A352">
        <v>176</v>
      </c>
      <c r="B352" t="s">
        <v>3</v>
      </c>
      <c r="C352">
        <v>1</v>
      </c>
      <c r="D352">
        <v>4</v>
      </c>
      <c r="E352">
        <v>5</v>
      </c>
      <c r="F352">
        <v>0</v>
      </c>
      <c r="G352">
        <v>0</v>
      </c>
      <c r="H352">
        <f>표3[[#This Row],[공격성공횟수]]/(표3[[#This Row],[공격실패횟수]]+표3[[#This Row],[공격성공횟수]])</f>
        <v>0.44444444444444442</v>
      </c>
    </row>
    <row r="353" spans="1:8" hidden="1" x14ac:dyDescent="0.4">
      <c r="A353">
        <v>176</v>
      </c>
      <c r="B353" t="s">
        <v>1</v>
      </c>
      <c r="C353">
        <v>0</v>
      </c>
      <c r="D353">
        <v>0</v>
      </c>
      <c r="E353">
        <v>9</v>
      </c>
      <c r="F353">
        <v>4</v>
      </c>
      <c r="G353">
        <v>1</v>
      </c>
      <c r="H353">
        <f>표3[[#This Row],[공격성공횟수]]/(표3[[#This Row],[공격실패횟수]]+표3[[#This Row],[공격성공횟수]])</f>
        <v>0</v>
      </c>
    </row>
    <row r="354" spans="1:8" x14ac:dyDescent="0.4">
      <c r="A354">
        <v>177</v>
      </c>
      <c r="B354" t="s">
        <v>3</v>
      </c>
      <c r="C354">
        <v>1</v>
      </c>
      <c r="D354">
        <v>4</v>
      </c>
      <c r="E354">
        <v>5</v>
      </c>
      <c r="F354">
        <v>1</v>
      </c>
      <c r="G354">
        <v>0</v>
      </c>
      <c r="H354">
        <f>표3[[#This Row],[공격성공횟수]]/(표3[[#This Row],[공격실패횟수]]+표3[[#This Row],[공격성공횟수]])</f>
        <v>0.44444444444444442</v>
      </c>
    </row>
    <row r="355" spans="1:8" hidden="1" x14ac:dyDescent="0.4">
      <c r="A355">
        <v>177</v>
      </c>
      <c r="B355" t="s">
        <v>1</v>
      </c>
      <c r="C355">
        <v>0</v>
      </c>
      <c r="D355">
        <v>1</v>
      </c>
      <c r="E355">
        <v>8</v>
      </c>
      <c r="F355">
        <v>4</v>
      </c>
      <c r="G355">
        <v>1</v>
      </c>
      <c r="H355">
        <f>표3[[#This Row],[공격성공횟수]]/(표3[[#This Row],[공격실패횟수]]+표3[[#This Row],[공격성공횟수]])</f>
        <v>0.1111111111111111</v>
      </c>
    </row>
    <row r="356" spans="1:8" x14ac:dyDescent="0.4">
      <c r="A356">
        <v>178</v>
      </c>
      <c r="B356" t="s">
        <v>3</v>
      </c>
      <c r="C356">
        <v>1</v>
      </c>
      <c r="D356">
        <v>4</v>
      </c>
      <c r="E356">
        <v>16</v>
      </c>
      <c r="F356">
        <v>2</v>
      </c>
      <c r="G356">
        <v>0</v>
      </c>
      <c r="H356">
        <f>표3[[#This Row],[공격성공횟수]]/(표3[[#This Row],[공격실패횟수]]+표3[[#This Row],[공격성공횟수]])</f>
        <v>0.2</v>
      </c>
    </row>
    <row r="357" spans="1:8" hidden="1" x14ac:dyDescent="0.4">
      <c r="A357">
        <v>178</v>
      </c>
      <c r="B357" t="s">
        <v>1</v>
      </c>
      <c r="C357">
        <v>0</v>
      </c>
      <c r="D357">
        <v>2</v>
      </c>
      <c r="E357">
        <v>17</v>
      </c>
      <c r="F357">
        <v>4</v>
      </c>
      <c r="G357">
        <v>1</v>
      </c>
      <c r="H357">
        <f>표3[[#This Row],[공격성공횟수]]/(표3[[#This Row],[공격실패횟수]]+표3[[#This Row],[공격성공횟수]])</f>
        <v>0.10526315789473684</v>
      </c>
    </row>
    <row r="358" spans="1:8" x14ac:dyDescent="0.4">
      <c r="A358">
        <v>179</v>
      </c>
      <c r="B358" t="s">
        <v>3</v>
      </c>
      <c r="C358">
        <v>1</v>
      </c>
      <c r="D358">
        <v>4</v>
      </c>
      <c r="E358">
        <v>9</v>
      </c>
      <c r="F358">
        <v>2</v>
      </c>
      <c r="G358">
        <v>0</v>
      </c>
      <c r="H358">
        <f>표3[[#This Row],[공격성공횟수]]/(표3[[#This Row],[공격실패횟수]]+표3[[#This Row],[공격성공횟수]])</f>
        <v>0.30769230769230771</v>
      </c>
    </row>
    <row r="359" spans="1:8" hidden="1" x14ac:dyDescent="0.4">
      <c r="A359">
        <v>179</v>
      </c>
      <c r="B359" t="s">
        <v>1</v>
      </c>
      <c r="C359">
        <v>0</v>
      </c>
      <c r="D359">
        <v>2</v>
      </c>
      <c r="E359">
        <v>11</v>
      </c>
      <c r="F359">
        <v>4</v>
      </c>
      <c r="G359">
        <v>1</v>
      </c>
      <c r="H359">
        <f>표3[[#This Row],[공격성공횟수]]/(표3[[#This Row],[공격실패횟수]]+표3[[#This Row],[공격성공횟수]])</f>
        <v>0.15384615384615385</v>
      </c>
    </row>
    <row r="360" spans="1:8" x14ac:dyDescent="0.4">
      <c r="A360">
        <v>180</v>
      </c>
      <c r="B360" t="s">
        <v>3</v>
      </c>
      <c r="C360">
        <v>0</v>
      </c>
      <c r="D360">
        <v>0</v>
      </c>
      <c r="E360">
        <v>4</v>
      </c>
      <c r="F360">
        <v>4</v>
      </c>
      <c r="G360">
        <v>1</v>
      </c>
      <c r="H360">
        <f>표3[[#This Row],[공격성공횟수]]/(표3[[#This Row],[공격실패횟수]]+표3[[#This Row],[공격성공횟수]])</f>
        <v>0</v>
      </c>
    </row>
    <row r="361" spans="1:8" hidden="1" x14ac:dyDescent="0.4">
      <c r="A361">
        <v>180</v>
      </c>
      <c r="B361" t="s">
        <v>1</v>
      </c>
      <c r="C361">
        <v>1</v>
      </c>
      <c r="D361">
        <v>4</v>
      </c>
      <c r="E361">
        <v>9</v>
      </c>
      <c r="F361">
        <v>0</v>
      </c>
      <c r="G361">
        <v>0</v>
      </c>
      <c r="H361">
        <f>표3[[#This Row],[공격성공횟수]]/(표3[[#This Row],[공격실패횟수]]+표3[[#This Row],[공격성공횟수]])</f>
        <v>0.30769230769230771</v>
      </c>
    </row>
    <row r="362" spans="1:8" x14ac:dyDescent="0.4">
      <c r="A362">
        <v>181</v>
      </c>
      <c r="B362" t="s">
        <v>3</v>
      </c>
      <c r="C362">
        <v>1</v>
      </c>
      <c r="D362">
        <v>4</v>
      </c>
      <c r="E362">
        <v>9</v>
      </c>
      <c r="F362">
        <v>0</v>
      </c>
      <c r="G362">
        <v>0</v>
      </c>
      <c r="H362">
        <f>표3[[#This Row],[공격성공횟수]]/(표3[[#This Row],[공격실패횟수]]+표3[[#This Row],[공격성공횟수]])</f>
        <v>0.30769230769230771</v>
      </c>
    </row>
    <row r="363" spans="1:8" hidden="1" x14ac:dyDescent="0.4">
      <c r="A363">
        <v>181</v>
      </c>
      <c r="B363" t="s">
        <v>1</v>
      </c>
      <c r="C363">
        <v>0</v>
      </c>
      <c r="D363">
        <v>0</v>
      </c>
      <c r="E363">
        <v>12</v>
      </c>
      <c r="F363">
        <v>4</v>
      </c>
      <c r="G363">
        <v>1</v>
      </c>
      <c r="H363">
        <f>표3[[#This Row],[공격성공횟수]]/(표3[[#This Row],[공격실패횟수]]+표3[[#This Row],[공격성공횟수]])</f>
        <v>0</v>
      </c>
    </row>
    <row r="364" spans="1:8" x14ac:dyDescent="0.4">
      <c r="A364">
        <v>182</v>
      </c>
      <c r="B364" t="s">
        <v>3</v>
      </c>
      <c r="C364">
        <v>1</v>
      </c>
      <c r="D364">
        <v>4</v>
      </c>
      <c r="E364">
        <v>7</v>
      </c>
      <c r="F364">
        <v>1</v>
      </c>
      <c r="G364">
        <v>0</v>
      </c>
      <c r="H364">
        <f>표3[[#This Row],[공격성공횟수]]/(표3[[#This Row],[공격실패횟수]]+표3[[#This Row],[공격성공횟수]])</f>
        <v>0.36363636363636365</v>
      </c>
    </row>
    <row r="365" spans="1:8" hidden="1" x14ac:dyDescent="0.4">
      <c r="A365">
        <v>182</v>
      </c>
      <c r="B365" t="s">
        <v>1</v>
      </c>
      <c r="C365">
        <v>0</v>
      </c>
      <c r="D365">
        <v>1</v>
      </c>
      <c r="E365">
        <v>9</v>
      </c>
      <c r="F365">
        <v>4</v>
      </c>
      <c r="G365">
        <v>1</v>
      </c>
      <c r="H365">
        <f>표3[[#This Row],[공격성공횟수]]/(표3[[#This Row],[공격실패횟수]]+표3[[#This Row],[공격성공횟수]])</f>
        <v>0.1</v>
      </c>
    </row>
    <row r="366" spans="1:8" x14ac:dyDescent="0.4">
      <c r="A366">
        <v>183</v>
      </c>
      <c r="B366" t="s">
        <v>3</v>
      </c>
      <c r="C366">
        <v>1</v>
      </c>
      <c r="D366">
        <v>4</v>
      </c>
      <c r="E366">
        <v>7</v>
      </c>
      <c r="F366">
        <v>3</v>
      </c>
      <c r="G366">
        <v>0</v>
      </c>
      <c r="H366">
        <f>표3[[#This Row],[공격성공횟수]]/(표3[[#This Row],[공격실패횟수]]+표3[[#This Row],[공격성공횟수]])</f>
        <v>0.36363636363636365</v>
      </c>
    </row>
    <row r="367" spans="1:8" hidden="1" x14ac:dyDescent="0.4">
      <c r="A367">
        <v>183</v>
      </c>
      <c r="B367" t="s">
        <v>1</v>
      </c>
      <c r="C367">
        <v>0</v>
      </c>
      <c r="D367">
        <v>3</v>
      </c>
      <c r="E367">
        <v>11</v>
      </c>
      <c r="F367">
        <v>4</v>
      </c>
      <c r="G367">
        <v>1</v>
      </c>
      <c r="H367">
        <f>표3[[#This Row],[공격성공횟수]]/(표3[[#This Row],[공격실패횟수]]+표3[[#This Row],[공격성공횟수]])</f>
        <v>0.21428571428571427</v>
      </c>
    </row>
    <row r="368" spans="1:8" x14ac:dyDescent="0.4">
      <c r="A368">
        <v>184</v>
      </c>
      <c r="B368" t="s">
        <v>3</v>
      </c>
      <c r="C368">
        <v>1</v>
      </c>
      <c r="D368">
        <v>4</v>
      </c>
      <c r="E368">
        <v>26</v>
      </c>
      <c r="F368">
        <v>3</v>
      </c>
      <c r="G368">
        <v>0</v>
      </c>
      <c r="H368">
        <f>표3[[#This Row],[공격성공횟수]]/(표3[[#This Row],[공격실패횟수]]+표3[[#This Row],[공격성공횟수]])</f>
        <v>0.13333333333333333</v>
      </c>
    </row>
    <row r="369" spans="1:8" hidden="1" x14ac:dyDescent="0.4">
      <c r="A369">
        <v>184</v>
      </c>
      <c r="B369" t="s">
        <v>1</v>
      </c>
      <c r="C369">
        <v>0</v>
      </c>
      <c r="D369">
        <v>3</v>
      </c>
      <c r="E369">
        <v>25</v>
      </c>
      <c r="F369">
        <v>4</v>
      </c>
      <c r="G369">
        <v>1</v>
      </c>
      <c r="H369">
        <f>표3[[#This Row],[공격성공횟수]]/(표3[[#This Row],[공격실패횟수]]+표3[[#This Row],[공격성공횟수]])</f>
        <v>0.10714285714285714</v>
      </c>
    </row>
    <row r="370" spans="1:8" x14ac:dyDescent="0.4">
      <c r="A370">
        <v>185</v>
      </c>
      <c r="B370" t="s">
        <v>3</v>
      </c>
      <c r="C370">
        <v>0</v>
      </c>
      <c r="D370">
        <v>3</v>
      </c>
      <c r="E370">
        <v>19</v>
      </c>
      <c r="F370">
        <v>4</v>
      </c>
      <c r="G370">
        <v>1</v>
      </c>
      <c r="H370">
        <f>표3[[#This Row],[공격성공횟수]]/(표3[[#This Row],[공격실패횟수]]+표3[[#This Row],[공격성공횟수]])</f>
        <v>0.13636363636363635</v>
      </c>
    </row>
    <row r="371" spans="1:8" hidden="1" x14ac:dyDescent="0.4">
      <c r="A371">
        <v>185</v>
      </c>
      <c r="B371" t="s">
        <v>1</v>
      </c>
      <c r="C371">
        <v>1</v>
      </c>
      <c r="D371">
        <v>4</v>
      </c>
      <c r="E371">
        <v>18</v>
      </c>
      <c r="F371">
        <v>3</v>
      </c>
      <c r="G371">
        <v>0</v>
      </c>
      <c r="H371">
        <f>표3[[#This Row],[공격성공횟수]]/(표3[[#This Row],[공격실패횟수]]+표3[[#This Row],[공격성공횟수]])</f>
        <v>0.18181818181818182</v>
      </c>
    </row>
    <row r="372" spans="1:8" x14ac:dyDescent="0.4">
      <c r="A372">
        <v>186</v>
      </c>
      <c r="B372" t="s">
        <v>3</v>
      </c>
      <c r="C372">
        <v>1</v>
      </c>
      <c r="D372">
        <v>4</v>
      </c>
      <c r="E372">
        <v>6</v>
      </c>
      <c r="F372">
        <v>1</v>
      </c>
      <c r="G372">
        <v>0</v>
      </c>
      <c r="H372">
        <f>표3[[#This Row],[공격성공횟수]]/(표3[[#This Row],[공격실패횟수]]+표3[[#This Row],[공격성공횟수]])</f>
        <v>0.4</v>
      </c>
    </row>
    <row r="373" spans="1:8" hidden="1" x14ac:dyDescent="0.4">
      <c r="A373">
        <v>186</v>
      </c>
      <c r="B373" t="s">
        <v>1</v>
      </c>
      <c r="C373">
        <v>0</v>
      </c>
      <c r="D373">
        <v>1</v>
      </c>
      <c r="E373">
        <v>8</v>
      </c>
      <c r="F373">
        <v>4</v>
      </c>
      <c r="G373">
        <v>1</v>
      </c>
      <c r="H373">
        <f>표3[[#This Row],[공격성공횟수]]/(표3[[#This Row],[공격실패횟수]]+표3[[#This Row],[공격성공횟수]])</f>
        <v>0.1111111111111111</v>
      </c>
    </row>
    <row r="374" spans="1:8" x14ac:dyDescent="0.4">
      <c r="A374">
        <v>187</v>
      </c>
      <c r="B374" t="s">
        <v>3</v>
      </c>
      <c r="C374">
        <v>0</v>
      </c>
      <c r="D374">
        <v>1</v>
      </c>
      <c r="E374">
        <v>19</v>
      </c>
      <c r="F374">
        <v>4</v>
      </c>
      <c r="G374">
        <v>1</v>
      </c>
      <c r="H374">
        <f>표3[[#This Row],[공격성공횟수]]/(표3[[#This Row],[공격실패횟수]]+표3[[#This Row],[공격성공횟수]])</f>
        <v>0.05</v>
      </c>
    </row>
    <row r="375" spans="1:8" hidden="1" x14ac:dyDescent="0.4">
      <c r="A375">
        <v>187</v>
      </c>
      <c r="B375" t="s">
        <v>1</v>
      </c>
      <c r="C375">
        <v>1</v>
      </c>
      <c r="D375">
        <v>4</v>
      </c>
      <c r="E375">
        <v>17</v>
      </c>
      <c r="F375">
        <v>1</v>
      </c>
      <c r="G375">
        <v>0</v>
      </c>
      <c r="H375">
        <f>표3[[#This Row],[공격성공횟수]]/(표3[[#This Row],[공격실패횟수]]+표3[[#This Row],[공격성공횟수]])</f>
        <v>0.19047619047619047</v>
      </c>
    </row>
    <row r="376" spans="1:8" x14ac:dyDescent="0.4">
      <c r="A376">
        <v>188</v>
      </c>
      <c r="B376" t="s">
        <v>3</v>
      </c>
      <c r="C376">
        <v>1</v>
      </c>
      <c r="D376">
        <v>4</v>
      </c>
      <c r="E376">
        <v>5</v>
      </c>
      <c r="F376">
        <v>2</v>
      </c>
      <c r="G376">
        <v>0</v>
      </c>
      <c r="H376">
        <f>표3[[#This Row],[공격성공횟수]]/(표3[[#This Row],[공격실패횟수]]+표3[[#This Row],[공격성공횟수]])</f>
        <v>0.44444444444444442</v>
      </c>
    </row>
    <row r="377" spans="1:8" hidden="1" x14ac:dyDescent="0.4">
      <c r="A377">
        <v>188</v>
      </c>
      <c r="B377" t="s">
        <v>1</v>
      </c>
      <c r="C377">
        <v>0</v>
      </c>
      <c r="D377">
        <v>2</v>
      </c>
      <c r="E377">
        <v>6</v>
      </c>
      <c r="F377">
        <v>4</v>
      </c>
      <c r="G377">
        <v>1</v>
      </c>
      <c r="H377">
        <f>표3[[#This Row],[공격성공횟수]]/(표3[[#This Row],[공격실패횟수]]+표3[[#This Row],[공격성공횟수]])</f>
        <v>0.25</v>
      </c>
    </row>
    <row r="378" spans="1:8" x14ac:dyDescent="0.4">
      <c r="A378">
        <v>189</v>
      </c>
      <c r="B378" t="s">
        <v>3</v>
      </c>
      <c r="C378">
        <v>1</v>
      </c>
      <c r="D378">
        <v>4</v>
      </c>
      <c r="E378">
        <v>9</v>
      </c>
      <c r="F378">
        <v>3</v>
      </c>
      <c r="G378">
        <v>0</v>
      </c>
      <c r="H378">
        <f>표3[[#This Row],[공격성공횟수]]/(표3[[#This Row],[공격실패횟수]]+표3[[#This Row],[공격성공횟수]])</f>
        <v>0.30769230769230771</v>
      </c>
    </row>
    <row r="379" spans="1:8" hidden="1" x14ac:dyDescent="0.4">
      <c r="A379">
        <v>189</v>
      </c>
      <c r="B379" t="s">
        <v>1</v>
      </c>
      <c r="C379">
        <v>0</v>
      </c>
      <c r="D379">
        <v>3</v>
      </c>
      <c r="E379">
        <v>9</v>
      </c>
      <c r="F379">
        <v>4</v>
      </c>
      <c r="G379">
        <v>1</v>
      </c>
      <c r="H379">
        <f>표3[[#This Row],[공격성공횟수]]/(표3[[#This Row],[공격실패횟수]]+표3[[#This Row],[공격성공횟수]])</f>
        <v>0.25</v>
      </c>
    </row>
    <row r="380" spans="1:8" x14ac:dyDescent="0.4">
      <c r="A380">
        <v>190</v>
      </c>
      <c r="B380" t="s">
        <v>3</v>
      </c>
      <c r="C380">
        <v>1</v>
      </c>
      <c r="D380">
        <v>4</v>
      </c>
      <c r="E380">
        <v>12</v>
      </c>
      <c r="F380">
        <v>0</v>
      </c>
      <c r="G380">
        <v>0</v>
      </c>
      <c r="H380">
        <f>표3[[#This Row],[공격성공횟수]]/(표3[[#This Row],[공격실패횟수]]+표3[[#This Row],[공격성공횟수]])</f>
        <v>0.25</v>
      </c>
    </row>
    <row r="381" spans="1:8" hidden="1" x14ac:dyDescent="0.4">
      <c r="A381">
        <v>190</v>
      </c>
      <c r="B381" t="s">
        <v>1</v>
      </c>
      <c r="C381">
        <v>0</v>
      </c>
      <c r="D381">
        <v>0</v>
      </c>
      <c r="E381">
        <v>15</v>
      </c>
      <c r="F381">
        <v>4</v>
      </c>
      <c r="G381">
        <v>1</v>
      </c>
      <c r="H381">
        <f>표3[[#This Row],[공격성공횟수]]/(표3[[#This Row],[공격실패횟수]]+표3[[#This Row],[공격성공횟수]])</f>
        <v>0</v>
      </c>
    </row>
    <row r="382" spans="1:8" x14ac:dyDescent="0.4">
      <c r="A382">
        <v>191</v>
      </c>
      <c r="B382" t="s">
        <v>3</v>
      </c>
      <c r="C382">
        <v>1</v>
      </c>
      <c r="D382">
        <v>4</v>
      </c>
      <c r="E382">
        <v>16</v>
      </c>
      <c r="F382">
        <v>3</v>
      </c>
      <c r="G382">
        <v>0</v>
      </c>
      <c r="H382">
        <f>표3[[#This Row],[공격성공횟수]]/(표3[[#This Row],[공격실패횟수]]+표3[[#This Row],[공격성공횟수]])</f>
        <v>0.2</v>
      </c>
    </row>
    <row r="383" spans="1:8" hidden="1" x14ac:dyDescent="0.4">
      <c r="A383">
        <v>191</v>
      </c>
      <c r="B383" t="s">
        <v>1</v>
      </c>
      <c r="C383">
        <v>0</v>
      </c>
      <c r="D383">
        <v>3</v>
      </c>
      <c r="E383">
        <v>17</v>
      </c>
      <c r="F383">
        <v>4</v>
      </c>
      <c r="G383">
        <v>1</v>
      </c>
      <c r="H383">
        <f>표3[[#This Row],[공격성공횟수]]/(표3[[#This Row],[공격실패횟수]]+표3[[#This Row],[공격성공횟수]])</f>
        <v>0.15</v>
      </c>
    </row>
    <row r="384" spans="1:8" x14ac:dyDescent="0.4">
      <c r="A384">
        <v>192</v>
      </c>
      <c r="B384" t="s">
        <v>3</v>
      </c>
      <c r="C384">
        <v>1</v>
      </c>
      <c r="D384">
        <v>4</v>
      </c>
      <c r="E384">
        <v>9</v>
      </c>
      <c r="F384">
        <v>1</v>
      </c>
      <c r="G384">
        <v>0</v>
      </c>
      <c r="H384">
        <f>표3[[#This Row],[공격성공횟수]]/(표3[[#This Row],[공격실패횟수]]+표3[[#This Row],[공격성공횟수]])</f>
        <v>0.30769230769230771</v>
      </c>
    </row>
    <row r="385" spans="1:8" hidden="1" x14ac:dyDescent="0.4">
      <c r="A385">
        <v>192</v>
      </c>
      <c r="B385" t="s">
        <v>1</v>
      </c>
      <c r="C385">
        <v>0</v>
      </c>
      <c r="D385">
        <v>1</v>
      </c>
      <c r="E385">
        <v>12</v>
      </c>
      <c r="F385">
        <v>4</v>
      </c>
      <c r="G385">
        <v>1</v>
      </c>
      <c r="H385">
        <f>표3[[#This Row],[공격성공횟수]]/(표3[[#This Row],[공격실패횟수]]+표3[[#This Row],[공격성공횟수]])</f>
        <v>7.6923076923076927E-2</v>
      </c>
    </row>
    <row r="386" spans="1:8" x14ac:dyDescent="0.4">
      <c r="A386">
        <v>193</v>
      </c>
      <c r="B386" t="s">
        <v>3</v>
      </c>
      <c r="C386">
        <v>0</v>
      </c>
      <c r="D386">
        <v>3</v>
      </c>
      <c r="E386">
        <v>27</v>
      </c>
      <c r="F386">
        <v>4</v>
      </c>
      <c r="G386">
        <v>1</v>
      </c>
      <c r="H386">
        <f>표3[[#This Row],[공격성공횟수]]/(표3[[#This Row],[공격실패횟수]]+표3[[#This Row],[공격성공횟수]])</f>
        <v>0.1</v>
      </c>
    </row>
    <row r="387" spans="1:8" hidden="1" x14ac:dyDescent="0.4">
      <c r="A387">
        <v>193</v>
      </c>
      <c r="B387" t="s">
        <v>1</v>
      </c>
      <c r="C387">
        <v>1</v>
      </c>
      <c r="D387">
        <v>4</v>
      </c>
      <c r="E387">
        <v>26</v>
      </c>
      <c r="F387">
        <v>3</v>
      </c>
      <c r="G387">
        <v>0</v>
      </c>
      <c r="H387">
        <f>표3[[#This Row],[공격성공횟수]]/(표3[[#This Row],[공격실패횟수]]+표3[[#This Row],[공격성공횟수]])</f>
        <v>0.13333333333333333</v>
      </c>
    </row>
    <row r="388" spans="1:8" x14ac:dyDescent="0.4">
      <c r="A388">
        <v>194</v>
      </c>
      <c r="B388" t="s">
        <v>3</v>
      </c>
      <c r="C388">
        <v>1</v>
      </c>
      <c r="D388">
        <v>4</v>
      </c>
      <c r="E388">
        <v>7</v>
      </c>
      <c r="F388">
        <v>1</v>
      </c>
      <c r="G388">
        <v>0</v>
      </c>
      <c r="H388">
        <f>표3[[#This Row],[공격성공횟수]]/(표3[[#This Row],[공격실패횟수]]+표3[[#This Row],[공격성공횟수]])</f>
        <v>0.36363636363636365</v>
      </c>
    </row>
    <row r="389" spans="1:8" hidden="1" x14ac:dyDescent="0.4">
      <c r="A389">
        <v>194</v>
      </c>
      <c r="B389" t="s">
        <v>1</v>
      </c>
      <c r="C389">
        <v>0</v>
      </c>
      <c r="D389">
        <v>1</v>
      </c>
      <c r="E389">
        <v>9</v>
      </c>
      <c r="F389">
        <v>4</v>
      </c>
      <c r="G389">
        <v>1</v>
      </c>
      <c r="H389">
        <f>표3[[#This Row],[공격성공횟수]]/(표3[[#This Row],[공격실패횟수]]+표3[[#This Row],[공격성공횟수]])</f>
        <v>0.1</v>
      </c>
    </row>
    <row r="390" spans="1:8" x14ac:dyDescent="0.4">
      <c r="A390">
        <v>195</v>
      </c>
      <c r="B390" t="s">
        <v>3</v>
      </c>
      <c r="C390">
        <v>0</v>
      </c>
      <c r="D390">
        <v>0</v>
      </c>
      <c r="E390">
        <v>29</v>
      </c>
      <c r="F390">
        <v>4</v>
      </c>
      <c r="G390">
        <v>1</v>
      </c>
      <c r="H390">
        <f>표3[[#This Row],[공격성공횟수]]/(표3[[#This Row],[공격실패횟수]]+표3[[#This Row],[공격성공횟수]])</f>
        <v>0</v>
      </c>
    </row>
    <row r="391" spans="1:8" hidden="1" x14ac:dyDescent="0.4">
      <c r="A391">
        <v>195</v>
      </c>
      <c r="B391" t="s">
        <v>1</v>
      </c>
      <c r="C391">
        <v>1</v>
      </c>
      <c r="D391">
        <v>4</v>
      </c>
      <c r="E391">
        <v>26</v>
      </c>
      <c r="F391">
        <v>0</v>
      </c>
      <c r="G391">
        <v>0</v>
      </c>
      <c r="H391">
        <f>표3[[#This Row],[공격성공횟수]]/(표3[[#This Row],[공격실패횟수]]+표3[[#This Row],[공격성공횟수]])</f>
        <v>0.13333333333333333</v>
      </c>
    </row>
    <row r="392" spans="1:8" x14ac:dyDescent="0.4">
      <c r="A392">
        <v>196</v>
      </c>
      <c r="B392" t="s">
        <v>3</v>
      </c>
      <c r="C392">
        <v>0</v>
      </c>
      <c r="D392">
        <v>1</v>
      </c>
      <c r="E392">
        <v>28</v>
      </c>
      <c r="F392">
        <v>4</v>
      </c>
      <c r="G392">
        <v>1</v>
      </c>
      <c r="H392">
        <f>표3[[#This Row],[공격성공횟수]]/(표3[[#This Row],[공격실패횟수]]+표3[[#This Row],[공격성공횟수]])</f>
        <v>3.4482758620689655E-2</v>
      </c>
    </row>
    <row r="393" spans="1:8" hidden="1" x14ac:dyDescent="0.4">
      <c r="A393">
        <v>196</v>
      </c>
      <c r="B393" t="s">
        <v>1</v>
      </c>
      <c r="C393">
        <v>1</v>
      </c>
      <c r="D393">
        <v>4</v>
      </c>
      <c r="E393">
        <v>28</v>
      </c>
      <c r="F393">
        <v>1</v>
      </c>
      <c r="G393">
        <v>0</v>
      </c>
      <c r="H393">
        <f>표3[[#This Row],[공격성공횟수]]/(표3[[#This Row],[공격실패횟수]]+표3[[#This Row],[공격성공횟수]])</f>
        <v>0.125</v>
      </c>
    </row>
    <row r="394" spans="1:8" x14ac:dyDescent="0.4">
      <c r="A394">
        <v>197</v>
      </c>
      <c r="B394" t="s">
        <v>3</v>
      </c>
      <c r="C394">
        <v>1</v>
      </c>
      <c r="D394">
        <v>4</v>
      </c>
      <c r="E394">
        <v>8</v>
      </c>
      <c r="F394">
        <v>0</v>
      </c>
      <c r="G394">
        <v>0</v>
      </c>
      <c r="H394">
        <f>표3[[#This Row],[공격성공횟수]]/(표3[[#This Row],[공격실패횟수]]+표3[[#This Row],[공격성공횟수]])</f>
        <v>0.33333333333333331</v>
      </c>
    </row>
    <row r="395" spans="1:8" hidden="1" x14ac:dyDescent="0.4">
      <c r="A395">
        <v>197</v>
      </c>
      <c r="B395" t="s">
        <v>1</v>
      </c>
      <c r="C395">
        <v>0</v>
      </c>
      <c r="D395">
        <v>0</v>
      </c>
      <c r="E395">
        <v>11</v>
      </c>
      <c r="F395">
        <v>4</v>
      </c>
      <c r="G395">
        <v>1</v>
      </c>
      <c r="H395">
        <f>표3[[#This Row],[공격성공횟수]]/(표3[[#This Row],[공격실패횟수]]+표3[[#This Row],[공격성공횟수]])</f>
        <v>0</v>
      </c>
    </row>
    <row r="396" spans="1:8" x14ac:dyDescent="0.4">
      <c r="A396">
        <v>198</v>
      </c>
      <c r="B396" t="s">
        <v>3</v>
      </c>
      <c r="C396">
        <v>0</v>
      </c>
      <c r="D396">
        <v>3</v>
      </c>
      <c r="E396">
        <v>25</v>
      </c>
      <c r="F396">
        <v>4</v>
      </c>
      <c r="G396">
        <v>1</v>
      </c>
      <c r="H396">
        <f>표3[[#This Row],[공격성공횟수]]/(표3[[#This Row],[공격실패횟수]]+표3[[#This Row],[공격성공횟수]])</f>
        <v>0.10714285714285714</v>
      </c>
    </row>
    <row r="397" spans="1:8" hidden="1" x14ac:dyDescent="0.4">
      <c r="A397">
        <v>198</v>
      </c>
      <c r="B397" t="s">
        <v>1</v>
      </c>
      <c r="C397">
        <v>1</v>
      </c>
      <c r="D397">
        <v>4</v>
      </c>
      <c r="E397">
        <v>34</v>
      </c>
      <c r="F397">
        <v>3</v>
      </c>
      <c r="G397">
        <v>0</v>
      </c>
      <c r="H397">
        <f>표3[[#This Row],[공격성공횟수]]/(표3[[#This Row],[공격실패횟수]]+표3[[#This Row],[공격성공횟수]])</f>
        <v>0.10526315789473684</v>
      </c>
    </row>
    <row r="398" spans="1:8" x14ac:dyDescent="0.4">
      <c r="A398">
        <v>199</v>
      </c>
      <c r="B398" t="s">
        <v>3</v>
      </c>
      <c r="C398">
        <v>1</v>
      </c>
      <c r="D398">
        <v>4</v>
      </c>
      <c r="E398">
        <v>21</v>
      </c>
      <c r="F398">
        <v>2</v>
      </c>
      <c r="G398">
        <v>0</v>
      </c>
      <c r="H398">
        <f>표3[[#This Row],[공격성공횟수]]/(표3[[#This Row],[공격실패횟수]]+표3[[#This Row],[공격성공횟수]])</f>
        <v>0.16</v>
      </c>
    </row>
    <row r="399" spans="1:8" hidden="1" x14ac:dyDescent="0.4">
      <c r="A399">
        <v>199</v>
      </c>
      <c r="B399" t="s">
        <v>1</v>
      </c>
      <c r="C399">
        <v>0</v>
      </c>
      <c r="D399">
        <v>2</v>
      </c>
      <c r="E399">
        <v>21</v>
      </c>
      <c r="F399">
        <v>4</v>
      </c>
      <c r="G399">
        <v>1</v>
      </c>
      <c r="H399">
        <f>표3[[#This Row],[공격성공횟수]]/(표3[[#This Row],[공격실패횟수]]+표3[[#This Row],[공격성공횟수]])</f>
        <v>8.6956521739130432E-2</v>
      </c>
    </row>
    <row r="400" spans="1:8" x14ac:dyDescent="0.4">
      <c r="A400">
        <v>200</v>
      </c>
      <c r="B400" t="s">
        <v>3</v>
      </c>
      <c r="C400">
        <v>1</v>
      </c>
      <c r="D400">
        <v>4</v>
      </c>
      <c r="E400">
        <v>7</v>
      </c>
      <c r="F400">
        <v>1</v>
      </c>
      <c r="G400">
        <v>0</v>
      </c>
      <c r="H400">
        <f>표3[[#This Row],[공격성공횟수]]/(표3[[#This Row],[공격실패횟수]]+표3[[#This Row],[공격성공횟수]])</f>
        <v>0.36363636363636365</v>
      </c>
    </row>
    <row r="401" spans="1:8" hidden="1" x14ac:dyDescent="0.4">
      <c r="A401">
        <v>200</v>
      </c>
      <c r="B401" t="s">
        <v>1</v>
      </c>
      <c r="C401">
        <v>0</v>
      </c>
      <c r="D401">
        <v>1</v>
      </c>
      <c r="E401">
        <v>10</v>
      </c>
      <c r="F401">
        <v>4</v>
      </c>
      <c r="G401">
        <v>1</v>
      </c>
      <c r="H401">
        <f>표3[[#This Row],[공격성공횟수]]/(표3[[#This Row],[공격실패횟수]]+표3[[#This Row],[공격성공횟수]])</f>
        <v>9.0909090909090912E-2</v>
      </c>
    </row>
    <row r="402" spans="1:8" x14ac:dyDescent="0.4">
      <c r="A402">
        <v>201</v>
      </c>
      <c r="B402" t="s">
        <v>3</v>
      </c>
      <c r="C402">
        <v>0</v>
      </c>
      <c r="D402">
        <v>1</v>
      </c>
      <c r="E402">
        <v>11</v>
      </c>
      <c r="F402">
        <v>4</v>
      </c>
      <c r="G402">
        <v>1</v>
      </c>
      <c r="H402">
        <f>표3[[#This Row],[공격성공횟수]]/(표3[[#This Row],[공격실패횟수]]+표3[[#This Row],[공격성공횟수]])</f>
        <v>8.3333333333333329E-2</v>
      </c>
    </row>
    <row r="403" spans="1:8" hidden="1" x14ac:dyDescent="0.4">
      <c r="A403">
        <v>201</v>
      </c>
      <c r="B403" t="s">
        <v>1</v>
      </c>
      <c r="C403">
        <v>1</v>
      </c>
      <c r="D403">
        <v>4</v>
      </c>
      <c r="E403">
        <v>9</v>
      </c>
      <c r="F403">
        <v>1</v>
      </c>
      <c r="G403">
        <v>0</v>
      </c>
      <c r="H403">
        <f>표3[[#This Row],[공격성공횟수]]/(표3[[#This Row],[공격실패횟수]]+표3[[#This Row],[공격성공횟수]])</f>
        <v>0.30769230769230771</v>
      </c>
    </row>
    <row r="404" spans="1:8" x14ac:dyDescent="0.4">
      <c r="A404">
        <v>202</v>
      </c>
      <c r="B404" t="s">
        <v>3</v>
      </c>
      <c r="C404">
        <v>1</v>
      </c>
      <c r="D404">
        <v>4</v>
      </c>
      <c r="E404">
        <v>3</v>
      </c>
      <c r="F404">
        <v>0</v>
      </c>
      <c r="G404">
        <v>0</v>
      </c>
      <c r="H404">
        <f>표3[[#This Row],[공격성공횟수]]/(표3[[#This Row],[공격실패횟수]]+표3[[#This Row],[공격성공횟수]])</f>
        <v>0.5714285714285714</v>
      </c>
    </row>
    <row r="405" spans="1:8" hidden="1" x14ac:dyDescent="0.4">
      <c r="A405">
        <v>202</v>
      </c>
      <c r="B405" t="s">
        <v>1</v>
      </c>
      <c r="C405">
        <v>0</v>
      </c>
      <c r="D405">
        <v>0</v>
      </c>
      <c r="E405">
        <v>8</v>
      </c>
      <c r="F405">
        <v>4</v>
      </c>
      <c r="G405">
        <v>1</v>
      </c>
      <c r="H405">
        <f>표3[[#This Row],[공격성공횟수]]/(표3[[#This Row],[공격실패횟수]]+표3[[#This Row],[공격성공횟수]])</f>
        <v>0</v>
      </c>
    </row>
    <row r="406" spans="1:8" x14ac:dyDescent="0.4">
      <c r="A406">
        <v>203</v>
      </c>
      <c r="B406" t="s">
        <v>3</v>
      </c>
      <c r="C406">
        <v>1</v>
      </c>
      <c r="D406">
        <v>4</v>
      </c>
      <c r="E406">
        <v>25</v>
      </c>
      <c r="F406">
        <v>0</v>
      </c>
      <c r="G406">
        <v>0</v>
      </c>
      <c r="H406">
        <f>표3[[#This Row],[공격성공횟수]]/(표3[[#This Row],[공격실패횟수]]+표3[[#This Row],[공격성공횟수]])</f>
        <v>0.13793103448275862</v>
      </c>
    </row>
    <row r="407" spans="1:8" hidden="1" x14ac:dyDescent="0.4">
      <c r="A407">
        <v>203</v>
      </c>
      <c r="B407" t="s">
        <v>1</v>
      </c>
      <c r="C407">
        <v>0</v>
      </c>
      <c r="D407">
        <v>0</v>
      </c>
      <c r="E407">
        <v>29</v>
      </c>
      <c r="F407">
        <v>4</v>
      </c>
      <c r="G407">
        <v>1</v>
      </c>
      <c r="H407">
        <f>표3[[#This Row],[공격성공횟수]]/(표3[[#This Row],[공격실패횟수]]+표3[[#This Row],[공격성공횟수]])</f>
        <v>0</v>
      </c>
    </row>
    <row r="408" spans="1:8" x14ac:dyDescent="0.4">
      <c r="A408">
        <v>204</v>
      </c>
      <c r="B408" t="s">
        <v>3</v>
      </c>
      <c r="C408">
        <v>1</v>
      </c>
      <c r="D408">
        <v>4</v>
      </c>
      <c r="E408">
        <v>19</v>
      </c>
      <c r="F408">
        <v>0</v>
      </c>
      <c r="G408">
        <v>0</v>
      </c>
      <c r="H408">
        <f>표3[[#This Row],[공격성공횟수]]/(표3[[#This Row],[공격실패횟수]]+표3[[#This Row],[공격성공횟수]])</f>
        <v>0.17391304347826086</v>
      </c>
    </row>
    <row r="409" spans="1:8" hidden="1" x14ac:dyDescent="0.4">
      <c r="A409">
        <v>204</v>
      </c>
      <c r="B409" t="s">
        <v>1</v>
      </c>
      <c r="C409">
        <v>0</v>
      </c>
      <c r="D409">
        <v>0</v>
      </c>
      <c r="E409">
        <v>22</v>
      </c>
      <c r="F409">
        <v>4</v>
      </c>
      <c r="G409">
        <v>1</v>
      </c>
      <c r="H409">
        <f>표3[[#This Row],[공격성공횟수]]/(표3[[#This Row],[공격실패횟수]]+표3[[#This Row],[공격성공횟수]])</f>
        <v>0</v>
      </c>
    </row>
    <row r="410" spans="1:8" x14ac:dyDescent="0.4">
      <c r="A410">
        <v>205</v>
      </c>
      <c r="B410" t="s">
        <v>3</v>
      </c>
      <c r="C410">
        <v>1</v>
      </c>
      <c r="D410">
        <v>4</v>
      </c>
      <c r="E410">
        <v>33</v>
      </c>
      <c r="F410">
        <v>3</v>
      </c>
      <c r="G410">
        <v>0</v>
      </c>
      <c r="H410">
        <f>표3[[#This Row],[공격성공횟수]]/(표3[[#This Row],[공격실패횟수]]+표3[[#This Row],[공격성공횟수]])</f>
        <v>0.10810810810810811</v>
      </c>
    </row>
    <row r="411" spans="1:8" hidden="1" x14ac:dyDescent="0.4">
      <c r="A411">
        <v>205</v>
      </c>
      <c r="B411" t="s">
        <v>1</v>
      </c>
      <c r="C411">
        <v>0</v>
      </c>
      <c r="D411">
        <v>3</v>
      </c>
      <c r="E411">
        <v>32</v>
      </c>
      <c r="F411">
        <v>4</v>
      </c>
      <c r="G411">
        <v>1</v>
      </c>
      <c r="H411">
        <f>표3[[#This Row],[공격성공횟수]]/(표3[[#This Row],[공격실패횟수]]+표3[[#This Row],[공격성공횟수]])</f>
        <v>8.5714285714285715E-2</v>
      </c>
    </row>
    <row r="412" spans="1:8" x14ac:dyDescent="0.4">
      <c r="A412">
        <v>206</v>
      </c>
      <c r="B412" t="s">
        <v>3</v>
      </c>
      <c r="C412">
        <v>0</v>
      </c>
      <c r="D412">
        <v>0</v>
      </c>
      <c r="E412">
        <v>15</v>
      </c>
      <c r="F412">
        <v>4</v>
      </c>
      <c r="G412">
        <v>1</v>
      </c>
      <c r="H412">
        <f>표3[[#This Row],[공격성공횟수]]/(표3[[#This Row],[공격실패횟수]]+표3[[#This Row],[공격성공횟수]])</f>
        <v>0</v>
      </c>
    </row>
    <row r="413" spans="1:8" hidden="1" x14ac:dyDescent="0.4">
      <c r="A413">
        <v>206</v>
      </c>
      <c r="B413" t="s">
        <v>1</v>
      </c>
      <c r="C413">
        <v>1</v>
      </c>
      <c r="D413">
        <v>4</v>
      </c>
      <c r="E413">
        <v>13</v>
      </c>
      <c r="F413">
        <v>0</v>
      </c>
      <c r="G413">
        <v>0</v>
      </c>
      <c r="H413">
        <f>표3[[#This Row],[공격성공횟수]]/(표3[[#This Row],[공격실패횟수]]+표3[[#This Row],[공격성공횟수]])</f>
        <v>0.23529411764705882</v>
      </c>
    </row>
    <row r="414" spans="1:8" x14ac:dyDescent="0.4">
      <c r="A414">
        <v>207</v>
      </c>
      <c r="B414" t="s">
        <v>3</v>
      </c>
      <c r="C414">
        <v>1</v>
      </c>
      <c r="D414">
        <v>4</v>
      </c>
      <c r="E414">
        <v>10</v>
      </c>
      <c r="F414">
        <v>0</v>
      </c>
      <c r="G414">
        <v>0</v>
      </c>
      <c r="H414">
        <f>표3[[#This Row],[공격성공횟수]]/(표3[[#This Row],[공격실패횟수]]+표3[[#This Row],[공격성공횟수]])</f>
        <v>0.2857142857142857</v>
      </c>
    </row>
    <row r="415" spans="1:8" hidden="1" x14ac:dyDescent="0.4">
      <c r="A415">
        <v>207</v>
      </c>
      <c r="B415" t="s">
        <v>1</v>
      </c>
      <c r="C415">
        <v>0</v>
      </c>
      <c r="D415">
        <v>0</v>
      </c>
      <c r="E415">
        <v>12</v>
      </c>
      <c r="F415">
        <v>4</v>
      </c>
      <c r="G415">
        <v>1</v>
      </c>
      <c r="H415">
        <f>표3[[#This Row],[공격성공횟수]]/(표3[[#This Row],[공격실패횟수]]+표3[[#This Row],[공격성공횟수]])</f>
        <v>0</v>
      </c>
    </row>
    <row r="416" spans="1:8" x14ac:dyDescent="0.4">
      <c r="A416">
        <v>208</v>
      </c>
      <c r="B416" t="s">
        <v>3</v>
      </c>
      <c r="C416">
        <v>1</v>
      </c>
      <c r="D416">
        <v>4</v>
      </c>
      <c r="E416">
        <v>14</v>
      </c>
      <c r="F416">
        <v>2</v>
      </c>
      <c r="G416">
        <v>0</v>
      </c>
      <c r="H416">
        <f>표3[[#This Row],[공격성공횟수]]/(표3[[#This Row],[공격실패횟수]]+표3[[#This Row],[공격성공횟수]])</f>
        <v>0.22222222222222221</v>
      </c>
    </row>
    <row r="417" spans="1:8" hidden="1" x14ac:dyDescent="0.4">
      <c r="A417">
        <v>208</v>
      </c>
      <c r="B417" t="s">
        <v>1</v>
      </c>
      <c r="C417">
        <v>0</v>
      </c>
      <c r="D417">
        <v>2</v>
      </c>
      <c r="E417">
        <v>26</v>
      </c>
      <c r="F417">
        <v>4</v>
      </c>
      <c r="G417">
        <v>1</v>
      </c>
      <c r="H417">
        <f>표3[[#This Row],[공격성공횟수]]/(표3[[#This Row],[공격실패횟수]]+표3[[#This Row],[공격성공횟수]])</f>
        <v>7.1428571428571425E-2</v>
      </c>
    </row>
    <row r="418" spans="1:8" x14ac:dyDescent="0.4">
      <c r="A418">
        <v>209</v>
      </c>
      <c r="B418" t="s">
        <v>3</v>
      </c>
      <c r="C418">
        <v>1</v>
      </c>
      <c r="D418">
        <v>4</v>
      </c>
      <c r="E418">
        <v>16</v>
      </c>
      <c r="F418">
        <v>0</v>
      </c>
      <c r="G418">
        <v>0</v>
      </c>
      <c r="H418">
        <f>표3[[#This Row],[공격성공횟수]]/(표3[[#This Row],[공격실패횟수]]+표3[[#This Row],[공격성공횟수]])</f>
        <v>0.2</v>
      </c>
    </row>
    <row r="419" spans="1:8" hidden="1" x14ac:dyDescent="0.4">
      <c r="A419">
        <v>209</v>
      </c>
      <c r="B419" t="s">
        <v>1</v>
      </c>
      <c r="C419">
        <v>0</v>
      </c>
      <c r="D419">
        <v>0</v>
      </c>
      <c r="E419">
        <v>19</v>
      </c>
      <c r="F419">
        <v>4</v>
      </c>
      <c r="G419">
        <v>1</v>
      </c>
      <c r="H419">
        <f>표3[[#This Row],[공격성공횟수]]/(표3[[#This Row],[공격실패횟수]]+표3[[#This Row],[공격성공횟수]])</f>
        <v>0</v>
      </c>
    </row>
    <row r="420" spans="1:8" x14ac:dyDescent="0.4">
      <c r="A420">
        <v>210</v>
      </c>
      <c r="B420" t="s">
        <v>3</v>
      </c>
      <c r="C420">
        <v>1</v>
      </c>
      <c r="D420">
        <v>4</v>
      </c>
      <c r="E420">
        <v>18</v>
      </c>
      <c r="F420">
        <v>1</v>
      </c>
      <c r="G420">
        <v>0</v>
      </c>
      <c r="H420">
        <f>표3[[#This Row],[공격성공횟수]]/(표3[[#This Row],[공격실패횟수]]+표3[[#This Row],[공격성공횟수]])</f>
        <v>0.18181818181818182</v>
      </c>
    </row>
    <row r="421" spans="1:8" hidden="1" x14ac:dyDescent="0.4">
      <c r="A421">
        <v>210</v>
      </c>
      <c r="B421" t="s">
        <v>1</v>
      </c>
      <c r="C421">
        <v>0</v>
      </c>
      <c r="D421">
        <v>1</v>
      </c>
      <c r="E421">
        <v>21</v>
      </c>
      <c r="F421">
        <v>4</v>
      </c>
      <c r="G421">
        <v>1</v>
      </c>
      <c r="H421">
        <f>표3[[#This Row],[공격성공횟수]]/(표3[[#This Row],[공격실패횟수]]+표3[[#This Row],[공격성공횟수]])</f>
        <v>4.5454545454545456E-2</v>
      </c>
    </row>
    <row r="422" spans="1:8" x14ac:dyDescent="0.4">
      <c r="A422">
        <v>211</v>
      </c>
      <c r="B422" t="s">
        <v>3</v>
      </c>
      <c r="C422">
        <v>1</v>
      </c>
      <c r="D422">
        <v>4</v>
      </c>
      <c r="E422">
        <v>20</v>
      </c>
      <c r="F422">
        <v>2</v>
      </c>
      <c r="G422">
        <v>0</v>
      </c>
      <c r="H422">
        <f>표3[[#This Row],[공격성공횟수]]/(표3[[#This Row],[공격실패횟수]]+표3[[#This Row],[공격성공횟수]])</f>
        <v>0.16666666666666666</v>
      </c>
    </row>
    <row r="423" spans="1:8" hidden="1" x14ac:dyDescent="0.4">
      <c r="A423">
        <v>211</v>
      </c>
      <c r="B423" t="s">
        <v>1</v>
      </c>
      <c r="C423">
        <v>0</v>
      </c>
      <c r="D423">
        <v>2</v>
      </c>
      <c r="E423">
        <v>26</v>
      </c>
      <c r="F423">
        <v>4</v>
      </c>
      <c r="G423">
        <v>1</v>
      </c>
      <c r="H423">
        <f>표3[[#This Row],[공격성공횟수]]/(표3[[#This Row],[공격실패횟수]]+표3[[#This Row],[공격성공횟수]])</f>
        <v>7.1428571428571425E-2</v>
      </c>
    </row>
    <row r="424" spans="1:8" x14ac:dyDescent="0.4">
      <c r="A424">
        <v>212</v>
      </c>
      <c r="B424" t="s">
        <v>3</v>
      </c>
      <c r="C424">
        <v>0</v>
      </c>
      <c r="D424">
        <v>0</v>
      </c>
      <c r="E424">
        <v>11</v>
      </c>
      <c r="F424">
        <v>4</v>
      </c>
      <c r="G424">
        <v>1</v>
      </c>
      <c r="H424">
        <f>표3[[#This Row],[공격성공횟수]]/(표3[[#This Row],[공격실패횟수]]+표3[[#This Row],[공격성공횟수]])</f>
        <v>0</v>
      </c>
    </row>
    <row r="425" spans="1:8" hidden="1" x14ac:dyDescent="0.4">
      <c r="A425">
        <v>212</v>
      </c>
      <c r="B425" t="s">
        <v>1</v>
      </c>
      <c r="C425">
        <v>1</v>
      </c>
      <c r="D425">
        <v>4</v>
      </c>
      <c r="E425">
        <v>11</v>
      </c>
      <c r="F425">
        <v>0</v>
      </c>
      <c r="G425">
        <v>0</v>
      </c>
      <c r="H425">
        <f>표3[[#This Row],[공격성공횟수]]/(표3[[#This Row],[공격실패횟수]]+표3[[#This Row],[공격성공횟수]])</f>
        <v>0.26666666666666666</v>
      </c>
    </row>
    <row r="426" spans="1:8" x14ac:dyDescent="0.4">
      <c r="A426">
        <v>213</v>
      </c>
      <c r="B426" t="s">
        <v>3</v>
      </c>
      <c r="C426">
        <v>1</v>
      </c>
      <c r="D426">
        <v>4</v>
      </c>
      <c r="E426">
        <v>10</v>
      </c>
      <c r="F426">
        <v>0</v>
      </c>
      <c r="G426">
        <v>0</v>
      </c>
      <c r="H426">
        <f>표3[[#This Row],[공격성공횟수]]/(표3[[#This Row],[공격실패횟수]]+표3[[#This Row],[공격성공횟수]])</f>
        <v>0.2857142857142857</v>
      </c>
    </row>
    <row r="427" spans="1:8" hidden="1" x14ac:dyDescent="0.4">
      <c r="A427">
        <v>213</v>
      </c>
      <c r="B427" t="s">
        <v>1</v>
      </c>
      <c r="C427">
        <v>0</v>
      </c>
      <c r="D427">
        <v>0</v>
      </c>
      <c r="E427">
        <v>13</v>
      </c>
      <c r="F427">
        <v>4</v>
      </c>
      <c r="G427">
        <v>1</v>
      </c>
      <c r="H427">
        <f>표3[[#This Row],[공격성공횟수]]/(표3[[#This Row],[공격실패횟수]]+표3[[#This Row],[공격성공횟수]])</f>
        <v>0</v>
      </c>
    </row>
    <row r="428" spans="1:8" x14ac:dyDescent="0.4">
      <c r="A428">
        <v>214</v>
      </c>
      <c r="B428" t="s">
        <v>3</v>
      </c>
      <c r="C428">
        <v>1</v>
      </c>
      <c r="D428">
        <v>4</v>
      </c>
      <c r="E428">
        <v>9</v>
      </c>
      <c r="F428">
        <v>2</v>
      </c>
      <c r="G428">
        <v>0</v>
      </c>
      <c r="H428">
        <f>표3[[#This Row],[공격성공횟수]]/(표3[[#This Row],[공격실패횟수]]+표3[[#This Row],[공격성공횟수]])</f>
        <v>0.30769230769230771</v>
      </c>
    </row>
    <row r="429" spans="1:8" hidden="1" x14ac:dyDescent="0.4">
      <c r="A429">
        <v>214</v>
      </c>
      <c r="B429" t="s">
        <v>1</v>
      </c>
      <c r="C429">
        <v>0</v>
      </c>
      <c r="D429">
        <v>2</v>
      </c>
      <c r="E429">
        <v>10</v>
      </c>
      <c r="F429">
        <v>4</v>
      </c>
      <c r="G429">
        <v>1</v>
      </c>
      <c r="H429">
        <f>표3[[#This Row],[공격성공횟수]]/(표3[[#This Row],[공격실패횟수]]+표3[[#This Row],[공격성공횟수]])</f>
        <v>0.16666666666666666</v>
      </c>
    </row>
    <row r="430" spans="1:8" x14ac:dyDescent="0.4">
      <c r="A430">
        <v>215</v>
      </c>
      <c r="B430" t="s">
        <v>3</v>
      </c>
      <c r="C430">
        <v>1</v>
      </c>
      <c r="D430">
        <v>4</v>
      </c>
      <c r="E430">
        <v>16</v>
      </c>
      <c r="F430">
        <v>0</v>
      </c>
      <c r="G430">
        <v>0</v>
      </c>
      <c r="H430">
        <f>표3[[#This Row],[공격성공횟수]]/(표3[[#This Row],[공격실패횟수]]+표3[[#This Row],[공격성공횟수]])</f>
        <v>0.2</v>
      </c>
    </row>
    <row r="431" spans="1:8" hidden="1" x14ac:dyDescent="0.4">
      <c r="A431">
        <v>215</v>
      </c>
      <c r="B431" t="s">
        <v>1</v>
      </c>
      <c r="C431">
        <v>0</v>
      </c>
      <c r="D431">
        <v>0</v>
      </c>
      <c r="E431">
        <v>20</v>
      </c>
      <c r="F431">
        <v>4</v>
      </c>
      <c r="G431">
        <v>1</v>
      </c>
      <c r="H431">
        <f>표3[[#This Row],[공격성공횟수]]/(표3[[#This Row],[공격실패횟수]]+표3[[#This Row],[공격성공횟수]])</f>
        <v>0</v>
      </c>
    </row>
    <row r="432" spans="1:8" x14ac:dyDescent="0.4">
      <c r="A432">
        <v>216</v>
      </c>
      <c r="B432" t="s">
        <v>3</v>
      </c>
      <c r="C432">
        <v>1</v>
      </c>
      <c r="D432">
        <v>4</v>
      </c>
      <c r="E432">
        <v>6</v>
      </c>
      <c r="F432">
        <v>0</v>
      </c>
      <c r="G432">
        <v>0</v>
      </c>
      <c r="H432">
        <f>표3[[#This Row],[공격성공횟수]]/(표3[[#This Row],[공격실패횟수]]+표3[[#This Row],[공격성공횟수]])</f>
        <v>0.4</v>
      </c>
    </row>
    <row r="433" spans="1:8" hidden="1" x14ac:dyDescent="0.4">
      <c r="A433">
        <v>216</v>
      </c>
      <c r="B433" t="s">
        <v>1</v>
      </c>
      <c r="C433">
        <v>0</v>
      </c>
      <c r="D433">
        <v>0</v>
      </c>
      <c r="E433">
        <v>10</v>
      </c>
      <c r="F433">
        <v>4</v>
      </c>
      <c r="G433">
        <v>1</v>
      </c>
      <c r="H433">
        <f>표3[[#This Row],[공격성공횟수]]/(표3[[#This Row],[공격실패횟수]]+표3[[#This Row],[공격성공횟수]])</f>
        <v>0</v>
      </c>
    </row>
    <row r="434" spans="1:8" x14ac:dyDescent="0.4">
      <c r="A434">
        <v>217</v>
      </c>
      <c r="B434" t="s">
        <v>3</v>
      </c>
      <c r="C434">
        <v>0</v>
      </c>
      <c r="D434">
        <v>1</v>
      </c>
      <c r="E434">
        <v>12</v>
      </c>
      <c r="F434">
        <v>4</v>
      </c>
      <c r="G434">
        <v>1</v>
      </c>
      <c r="H434">
        <f>표3[[#This Row],[공격성공횟수]]/(표3[[#This Row],[공격실패횟수]]+표3[[#This Row],[공격성공횟수]])</f>
        <v>7.6923076923076927E-2</v>
      </c>
    </row>
    <row r="435" spans="1:8" hidden="1" x14ac:dyDescent="0.4">
      <c r="A435">
        <v>217</v>
      </c>
      <c r="B435" t="s">
        <v>1</v>
      </c>
      <c r="C435">
        <v>1</v>
      </c>
      <c r="D435">
        <v>4</v>
      </c>
      <c r="E435">
        <v>16</v>
      </c>
      <c r="F435">
        <v>1</v>
      </c>
      <c r="G435">
        <v>0</v>
      </c>
      <c r="H435">
        <f>표3[[#This Row],[공격성공횟수]]/(표3[[#This Row],[공격실패횟수]]+표3[[#This Row],[공격성공횟수]])</f>
        <v>0.2</v>
      </c>
    </row>
    <row r="436" spans="1:8" x14ac:dyDescent="0.4">
      <c r="A436">
        <v>218</v>
      </c>
      <c r="B436" t="s">
        <v>3</v>
      </c>
      <c r="C436">
        <v>1</v>
      </c>
      <c r="D436">
        <v>4</v>
      </c>
      <c r="E436">
        <v>8</v>
      </c>
      <c r="F436">
        <v>1</v>
      </c>
      <c r="G436">
        <v>0</v>
      </c>
      <c r="H436">
        <f>표3[[#This Row],[공격성공횟수]]/(표3[[#This Row],[공격실패횟수]]+표3[[#This Row],[공격성공횟수]])</f>
        <v>0.33333333333333331</v>
      </c>
    </row>
    <row r="437" spans="1:8" hidden="1" x14ac:dyDescent="0.4">
      <c r="A437">
        <v>218</v>
      </c>
      <c r="B437" t="s">
        <v>1</v>
      </c>
      <c r="C437">
        <v>0</v>
      </c>
      <c r="D437">
        <v>1</v>
      </c>
      <c r="E437">
        <v>10</v>
      </c>
      <c r="F437">
        <v>4</v>
      </c>
      <c r="G437">
        <v>1</v>
      </c>
      <c r="H437">
        <f>표3[[#This Row],[공격성공횟수]]/(표3[[#This Row],[공격실패횟수]]+표3[[#This Row],[공격성공횟수]])</f>
        <v>9.0909090909090912E-2</v>
      </c>
    </row>
    <row r="438" spans="1:8" x14ac:dyDescent="0.4">
      <c r="A438">
        <v>219</v>
      </c>
      <c r="B438" t="s">
        <v>3</v>
      </c>
      <c r="C438">
        <v>1</v>
      </c>
      <c r="D438">
        <v>4</v>
      </c>
      <c r="E438">
        <v>11</v>
      </c>
      <c r="F438">
        <v>0</v>
      </c>
      <c r="G438">
        <v>0</v>
      </c>
      <c r="H438">
        <f>표3[[#This Row],[공격성공횟수]]/(표3[[#This Row],[공격실패횟수]]+표3[[#This Row],[공격성공횟수]])</f>
        <v>0.26666666666666666</v>
      </c>
    </row>
    <row r="439" spans="1:8" hidden="1" x14ac:dyDescent="0.4">
      <c r="A439">
        <v>219</v>
      </c>
      <c r="B439" t="s">
        <v>1</v>
      </c>
      <c r="C439">
        <v>0</v>
      </c>
      <c r="D439">
        <v>0</v>
      </c>
      <c r="E439">
        <v>14</v>
      </c>
      <c r="F439">
        <v>4</v>
      </c>
      <c r="G439">
        <v>1</v>
      </c>
      <c r="H439">
        <f>표3[[#This Row],[공격성공횟수]]/(표3[[#This Row],[공격실패횟수]]+표3[[#This Row],[공격성공횟수]])</f>
        <v>0</v>
      </c>
    </row>
    <row r="440" spans="1:8" x14ac:dyDescent="0.4">
      <c r="A440">
        <v>220</v>
      </c>
      <c r="B440" t="s">
        <v>3</v>
      </c>
      <c r="C440">
        <v>1</v>
      </c>
      <c r="D440">
        <v>4</v>
      </c>
      <c r="E440">
        <v>12</v>
      </c>
      <c r="F440">
        <v>2</v>
      </c>
      <c r="G440">
        <v>0</v>
      </c>
      <c r="H440">
        <f>표3[[#This Row],[공격성공횟수]]/(표3[[#This Row],[공격실패횟수]]+표3[[#This Row],[공격성공횟수]])</f>
        <v>0.25</v>
      </c>
    </row>
    <row r="441" spans="1:8" hidden="1" x14ac:dyDescent="0.4">
      <c r="A441">
        <v>220</v>
      </c>
      <c r="B441" t="s">
        <v>1</v>
      </c>
      <c r="C441">
        <v>0</v>
      </c>
      <c r="D441">
        <v>2</v>
      </c>
      <c r="E441">
        <v>14</v>
      </c>
      <c r="F441">
        <v>4</v>
      </c>
      <c r="G441">
        <v>1</v>
      </c>
      <c r="H441">
        <f>표3[[#This Row],[공격성공횟수]]/(표3[[#This Row],[공격실패횟수]]+표3[[#This Row],[공격성공횟수]])</f>
        <v>0.125</v>
      </c>
    </row>
    <row r="442" spans="1:8" x14ac:dyDescent="0.4">
      <c r="A442">
        <v>221</v>
      </c>
      <c r="B442" t="s">
        <v>3</v>
      </c>
      <c r="C442">
        <v>1</v>
      </c>
      <c r="D442">
        <v>4</v>
      </c>
      <c r="E442">
        <v>9</v>
      </c>
      <c r="F442">
        <v>1</v>
      </c>
      <c r="G442">
        <v>0</v>
      </c>
      <c r="H442">
        <f>표3[[#This Row],[공격성공횟수]]/(표3[[#This Row],[공격실패횟수]]+표3[[#This Row],[공격성공횟수]])</f>
        <v>0.30769230769230771</v>
      </c>
    </row>
    <row r="443" spans="1:8" hidden="1" x14ac:dyDescent="0.4">
      <c r="A443">
        <v>221</v>
      </c>
      <c r="B443" t="s">
        <v>1</v>
      </c>
      <c r="C443">
        <v>0</v>
      </c>
      <c r="D443">
        <v>1</v>
      </c>
      <c r="E443">
        <v>12</v>
      </c>
      <c r="F443">
        <v>4</v>
      </c>
      <c r="G443">
        <v>1</v>
      </c>
      <c r="H443">
        <f>표3[[#This Row],[공격성공횟수]]/(표3[[#This Row],[공격실패횟수]]+표3[[#This Row],[공격성공횟수]])</f>
        <v>7.6923076923076927E-2</v>
      </c>
    </row>
    <row r="444" spans="1:8" x14ac:dyDescent="0.4">
      <c r="A444">
        <v>222</v>
      </c>
      <c r="B444" t="s">
        <v>3</v>
      </c>
      <c r="C444">
        <v>1</v>
      </c>
      <c r="D444">
        <v>4</v>
      </c>
      <c r="E444">
        <v>14</v>
      </c>
      <c r="F444">
        <v>0</v>
      </c>
      <c r="G444">
        <v>0</v>
      </c>
      <c r="H444">
        <f>표3[[#This Row],[공격성공횟수]]/(표3[[#This Row],[공격실패횟수]]+표3[[#This Row],[공격성공횟수]])</f>
        <v>0.22222222222222221</v>
      </c>
    </row>
    <row r="445" spans="1:8" hidden="1" x14ac:dyDescent="0.4">
      <c r="A445">
        <v>222</v>
      </c>
      <c r="B445" t="s">
        <v>1</v>
      </c>
      <c r="C445">
        <v>0</v>
      </c>
      <c r="D445">
        <v>0</v>
      </c>
      <c r="E445">
        <v>19</v>
      </c>
      <c r="F445">
        <v>4</v>
      </c>
      <c r="G445">
        <v>1</v>
      </c>
      <c r="H445">
        <f>표3[[#This Row],[공격성공횟수]]/(표3[[#This Row],[공격실패횟수]]+표3[[#This Row],[공격성공횟수]])</f>
        <v>0</v>
      </c>
    </row>
    <row r="446" spans="1:8" x14ac:dyDescent="0.4">
      <c r="A446">
        <v>223</v>
      </c>
      <c r="B446" t="s">
        <v>3</v>
      </c>
      <c r="C446">
        <v>1</v>
      </c>
      <c r="D446">
        <v>4</v>
      </c>
      <c r="E446">
        <v>5</v>
      </c>
      <c r="F446">
        <v>0</v>
      </c>
      <c r="G446">
        <v>0</v>
      </c>
      <c r="H446">
        <f>표3[[#This Row],[공격성공횟수]]/(표3[[#This Row],[공격실패횟수]]+표3[[#This Row],[공격성공횟수]])</f>
        <v>0.44444444444444442</v>
      </c>
    </row>
    <row r="447" spans="1:8" hidden="1" x14ac:dyDescent="0.4">
      <c r="A447">
        <v>223</v>
      </c>
      <c r="B447" t="s">
        <v>1</v>
      </c>
      <c r="C447">
        <v>0</v>
      </c>
      <c r="D447">
        <v>0</v>
      </c>
      <c r="E447">
        <v>9</v>
      </c>
      <c r="F447">
        <v>4</v>
      </c>
      <c r="G447">
        <v>1</v>
      </c>
      <c r="H447">
        <f>표3[[#This Row],[공격성공횟수]]/(표3[[#This Row],[공격실패횟수]]+표3[[#This Row],[공격성공횟수]])</f>
        <v>0</v>
      </c>
    </row>
    <row r="448" spans="1:8" x14ac:dyDescent="0.4">
      <c r="A448">
        <v>224</v>
      </c>
      <c r="B448" t="s">
        <v>3</v>
      </c>
      <c r="C448">
        <v>1</v>
      </c>
      <c r="D448">
        <v>4</v>
      </c>
      <c r="E448">
        <v>12</v>
      </c>
      <c r="F448">
        <v>0</v>
      </c>
      <c r="G448">
        <v>0</v>
      </c>
      <c r="H448">
        <f>표3[[#This Row],[공격성공횟수]]/(표3[[#This Row],[공격실패횟수]]+표3[[#This Row],[공격성공횟수]])</f>
        <v>0.25</v>
      </c>
    </row>
    <row r="449" spans="1:8" hidden="1" x14ac:dyDescent="0.4">
      <c r="A449">
        <v>224</v>
      </c>
      <c r="B449" t="s">
        <v>1</v>
      </c>
      <c r="C449">
        <v>0</v>
      </c>
      <c r="D449">
        <v>0</v>
      </c>
      <c r="E449">
        <v>15</v>
      </c>
      <c r="F449">
        <v>4</v>
      </c>
      <c r="G449">
        <v>1</v>
      </c>
      <c r="H449">
        <f>표3[[#This Row],[공격성공횟수]]/(표3[[#This Row],[공격실패횟수]]+표3[[#This Row],[공격성공횟수]])</f>
        <v>0</v>
      </c>
    </row>
    <row r="450" spans="1:8" x14ac:dyDescent="0.4">
      <c r="A450">
        <v>225</v>
      </c>
      <c r="B450" t="s">
        <v>3</v>
      </c>
      <c r="C450">
        <v>0</v>
      </c>
      <c r="D450">
        <v>0</v>
      </c>
      <c r="E450">
        <v>14</v>
      </c>
      <c r="F450">
        <v>4</v>
      </c>
      <c r="G450">
        <v>1</v>
      </c>
      <c r="H450">
        <f>표3[[#This Row],[공격성공횟수]]/(표3[[#This Row],[공격실패횟수]]+표3[[#This Row],[공격성공횟수]])</f>
        <v>0</v>
      </c>
    </row>
    <row r="451" spans="1:8" hidden="1" x14ac:dyDescent="0.4">
      <c r="A451">
        <v>225</v>
      </c>
      <c r="B451" t="s">
        <v>1</v>
      </c>
      <c r="C451">
        <v>1</v>
      </c>
      <c r="D451">
        <v>4</v>
      </c>
      <c r="E451">
        <v>12</v>
      </c>
      <c r="F451">
        <v>0</v>
      </c>
      <c r="G451">
        <v>0</v>
      </c>
      <c r="H451">
        <f>표3[[#This Row],[공격성공횟수]]/(표3[[#This Row],[공격실패횟수]]+표3[[#This Row],[공격성공횟수]])</f>
        <v>0.25</v>
      </c>
    </row>
    <row r="452" spans="1:8" x14ac:dyDescent="0.4">
      <c r="A452">
        <v>226</v>
      </c>
      <c r="B452" t="s">
        <v>3</v>
      </c>
      <c r="C452">
        <v>1</v>
      </c>
      <c r="D452">
        <v>4</v>
      </c>
      <c r="E452">
        <v>26</v>
      </c>
      <c r="F452">
        <v>2</v>
      </c>
      <c r="G452">
        <v>0</v>
      </c>
      <c r="H452">
        <f>표3[[#This Row],[공격성공횟수]]/(표3[[#This Row],[공격실패횟수]]+표3[[#This Row],[공격성공횟수]])</f>
        <v>0.13333333333333333</v>
      </c>
    </row>
    <row r="453" spans="1:8" hidden="1" x14ac:dyDescent="0.4">
      <c r="A453">
        <v>226</v>
      </c>
      <c r="B453" t="s">
        <v>1</v>
      </c>
      <c r="C453">
        <v>0</v>
      </c>
      <c r="D453">
        <v>2</v>
      </c>
      <c r="E453">
        <v>28</v>
      </c>
      <c r="F453">
        <v>4</v>
      </c>
      <c r="G453">
        <v>1</v>
      </c>
      <c r="H453">
        <f>표3[[#This Row],[공격성공횟수]]/(표3[[#This Row],[공격실패횟수]]+표3[[#This Row],[공격성공횟수]])</f>
        <v>6.6666666666666666E-2</v>
      </c>
    </row>
    <row r="454" spans="1:8" x14ac:dyDescent="0.4">
      <c r="A454">
        <v>227</v>
      </c>
      <c r="B454" t="s">
        <v>3</v>
      </c>
      <c r="C454">
        <v>0</v>
      </c>
      <c r="D454">
        <v>0</v>
      </c>
      <c r="E454">
        <v>21</v>
      </c>
      <c r="F454">
        <v>4</v>
      </c>
      <c r="G454">
        <v>1</v>
      </c>
      <c r="H454">
        <f>표3[[#This Row],[공격성공횟수]]/(표3[[#This Row],[공격실패횟수]]+표3[[#This Row],[공격성공횟수]])</f>
        <v>0</v>
      </c>
    </row>
    <row r="455" spans="1:8" hidden="1" x14ac:dyDescent="0.4">
      <c r="A455">
        <v>227</v>
      </c>
      <c r="B455" t="s">
        <v>1</v>
      </c>
      <c r="C455">
        <v>1</v>
      </c>
      <c r="D455">
        <v>4</v>
      </c>
      <c r="E455">
        <v>17</v>
      </c>
      <c r="F455">
        <v>0</v>
      </c>
      <c r="G455">
        <v>0</v>
      </c>
      <c r="H455">
        <f>표3[[#This Row],[공격성공횟수]]/(표3[[#This Row],[공격실패횟수]]+표3[[#This Row],[공격성공횟수]])</f>
        <v>0.19047619047619047</v>
      </c>
    </row>
    <row r="456" spans="1:8" x14ac:dyDescent="0.4">
      <c r="A456">
        <v>228</v>
      </c>
      <c r="B456" t="s">
        <v>3</v>
      </c>
      <c r="C456">
        <v>0</v>
      </c>
      <c r="D456">
        <v>0</v>
      </c>
      <c r="E456">
        <v>14</v>
      </c>
      <c r="F456">
        <v>4</v>
      </c>
      <c r="G456">
        <v>1</v>
      </c>
      <c r="H456">
        <f>표3[[#This Row],[공격성공횟수]]/(표3[[#This Row],[공격실패횟수]]+표3[[#This Row],[공격성공횟수]])</f>
        <v>0</v>
      </c>
    </row>
    <row r="457" spans="1:8" hidden="1" x14ac:dyDescent="0.4">
      <c r="A457">
        <v>228</v>
      </c>
      <c r="B457" t="s">
        <v>1</v>
      </c>
      <c r="C457">
        <v>1</v>
      </c>
      <c r="D457">
        <v>4</v>
      </c>
      <c r="E457">
        <v>13</v>
      </c>
      <c r="F457">
        <v>0</v>
      </c>
      <c r="G457">
        <v>0</v>
      </c>
      <c r="H457">
        <f>표3[[#This Row],[공격성공횟수]]/(표3[[#This Row],[공격실패횟수]]+표3[[#This Row],[공격성공횟수]])</f>
        <v>0.23529411764705882</v>
      </c>
    </row>
    <row r="458" spans="1:8" x14ac:dyDescent="0.4">
      <c r="A458">
        <v>229</v>
      </c>
      <c r="B458" t="s">
        <v>3</v>
      </c>
      <c r="C458">
        <v>1</v>
      </c>
      <c r="D458">
        <v>4</v>
      </c>
      <c r="E458">
        <v>5</v>
      </c>
      <c r="F458">
        <v>1</v>
      </c>
      <c r="G458">
        <v>0</v>
      </c>
      <c r="H458">
        <f>표3[[#This Row],[공격성공횟수]]/(표3[[#This Row],[공격실패횟수]]+표3[[#This Row],[공격성공횟수]])</f>
        <v>0.44444444444444442</v>
      </c>
    </row>
    <row r="459" spans="1:8" hidden="1" x14ac:dyDescent="0.4">
      <c r="A459">
        <v>229</v>
      </c>
      <c r="B459" t="s">
        <v>1</v>
      </c>
      <c r="C459">
        <v>0</v>
      </c>
      <c r="D459">
        <v>1</v>
      </c>
      <c r="E459">
        <v>7</v>
      </c>
      <c r="F459">
        <v>4</v>
      </c>
      <c r="G459">
        <v>1</v>
      </c>
      <c r="H459">
        <f>표3[[#This Row],[공격성공횟수]]/(표3[[#This Row],[공격실패횟수]]+표3[[#This Row],[공격성공횟수]])</f>
        <v>0.125</v>
      </c>
    </row>
    <row r="460" spans="1:8" x14ac:dyDescent="0.4">
      <c r="A460">
        <v>230</v>
      </c>
      <c r="B460" t="s">
        <v>3</v>
      </c>
      <c r="C460">
        <v>1</v>
      </c>
      <c r="D460">
        <v>4</v>
      </c>
      <c r="E460">
        <v>10</v>
      </c>
      <c r="F460">
        <v>1</v>
      </c>
      <c r="G460">
        <v>0</v>
      </c>
      <c r="H460">
        <f>표3[[#This Row],[공격성공횟수]]/(표3[[#This Row],[공격실패횟수]]+표3[[#This Row],[공격성공횟수]])</f>
        <v>0.2857142857142857</v>
      </c>
    </row>
    <row r="461" spans="1:8" hidden="1" x14ac:dyDescent="0.4">
      <c r="A461">
        <v>230</v>
      </c>
      <c r="B461" t="s">
        <v>1</v>
      </c>
      <c r="C461">
        <v>0</v>
      </c>
      <c r="D461">
        <v>1</v>
      </c>
      <c r="E461">
        <v>12</v>
      </c>
      <c r="F461">
        <v>4</v>
      </c>
      <c r="G461">
        <v>1</v>
      </c>
      <c r="H461">
        <f>표3[[#This Row],[공격성공횟수]]/(표3[[#This Row],[공격실패횟수]]+표3[[#This Row],[공격성공횟수]])</f>
        <v>7.6923076923076927E-2</v>
      </c>
    </row>
    <row r="462" spans="1:8" x14ac:dyDescent="0.4">
      <c r="A462">
        <v>231</v>
      </c>
      <c r="B462" t="s">
        <v>3</v>
      </c>
      <c r="C462">
        <v>1</v>
      </c>
      <c r="D462">
        <v>4</v>
      </c>
      <c r="E462">
        <v>22</v>
      </c>
      <c r="F462">
        <v>3</v>
      </c>
      <c r="G462">
        <v>0</v>
      </c>
      <c r="H462">
        <f>표3[[#This Row],[공격성공횟수]]/(표3[[#This Row],[공격실패횟수]]+표3[[#This Row],[공격성공횟수]])</f>
        <v>0.15384615384615385</v>
      </c>
    </row>
    <row r="463" spans="1:8" hidden="1" x14ac:dyDescent="0.4">
      <c r="A463">
        <v>231</v>
      </c>
      <c r="B463" t="s">
        <v>1</v>
      </c>
      <c r="C463">
        <v>0</v>
      </c>
      <c r="D463">
        <v>3</v>
      </c>
      <c r="E463">
        <v>23</v>
      </c>
      <c r="F463">
        <v>4</v>
      </c>
      <c r="G463">
        <v>1</v>
      </c>
      <c r="H463">
        <f>표3[[#This Row],[공격성공횟수]]/(표3[[#This Row],[공격실패횟수]]+표3[[#This Row],[공격성공횟수]])</f>
        <v>0.11538461538461539</v>
      </c>
    </row>
    <row r="464" spans="1:8" x14ac:dyDescent="0.4">
      <c r="A464">
        <v>232</v>
      </c>
      <c r="B464" t="s">
        <v>3</v>
      </c>
      <c r="C464">
        <v>1</v>
      </c>
      <c r="D464">
        <v>4</v>
      </c>
      <c r="E464">
        <v>5</v>
      </c>
      <c r="F464">
        <v>0</v>
      </c>
      <c r="G464">
        <v>0</v>
      </c>
      <c r="H464">
        <f>표3[[#This Row],[공격성공횟수]]/(표3[[#This Row],[공격실패횟수]]+표3[[#This Row],[공격성공횟수]])</f>
        <v>0.44444444444444442</v>
      </c>
    </row>
    <row r="465" spans="1:8" hidden="1" x14ac:dyDescent="0.4">
      <c r="A465">
        <v>232</v>
      </c>
      <c r="B465" t="s">
        <v>1</v>
      </c>
      <c r="C465">
        <v>0</v>
      </c>
      <c r="D465">
        <v>0</v>
      </c>
      <c r="E465">
        <v>9</v>
      </c>
      <c r="F465">
        <v>4</v>
      </c>
      <c r="G465">
        <v>1</v>
      </c>
      <c r="H465">
        <f>표3[[#This Row],[공격성공횟수]]/(표3[[#This Row],[공격실패횟수]]+표3[[#This Row],[공격성공횟수]])</f>
        <v>0</v>
      </c>
    </row>
    <row r="466" spans="1:8" x14ac:dyDescent="0.4">
      <c r="A466">
        <v>233</v>
      </c>
      <c r="B466" t="s">
        <v>3</v>
      </c>
      <c r="C466">
        <v>1</v>
      </c>
      <c r="D466">
        <v>4</v>
      </c>
      <c r="E466">
        <v>8</v>
      </c>
      <c r="F466">
        <v>0</v>
      </c>
      <c r="G466">
        <v>0</v>
      </c>
      <c r="H466">
        <f>표3[[#This Row],[공격성공횟수]]/(표3[[#This Row],[공격실패횟수]]+표3[[#This Row],[공격성공횟수]])</f>
        <v>0.33333333333333331</v>
      </c>
    </row>
    <row r="467" spans="1:8" hidden="1" x14ac:dyDescent="0.4">
      <c r="A467">
        <v>233</v>
      </c>
      <c r="B467" t="s">
        <v>1</v>
      </c>
      <c r="C467">
        <v>0</v>
      </c>
      <c r="D467">
        <v>0</v>
      </c>
      <c r="E467">
        <v>11</v>
      </c>
      <c r="F467">
        <v>4</v>
      </c>
      <c r="G467">
        <v>1</v>
      </c>
      <c r="H467">
        <f>표3[[#This Row],[공격성공횟수]]/(표3[[#This Row],[공격실패횟수]]+표3[[#This Row],[공격성공횟수]])</f>
        <v>0</v>
      </c>
    </row>
    <row r="468" spans="1:8" x14ac:dyDescent="0.4">
      <c r="A468">
        <v>234</v>
      </c>
      <c r="B468" t="s">
        <v>3</v>
      </c>
      <c r="C468">
        <v>1</v>
      </c>
      <c r="D468">
        <v>4</v>
      </c>
      <c r="E468">
        <v>10</v>
      </c>
      <c r="F468">
        <v>2</v>
      </c>
      <c r="G468">
        <v>0</v>
      </c>
      <c r="H468">
        <f>표3[[#This Row],[공격성공횟수]]/(표3[[#This Row],[공격실패횟수]]+표3[[#This Row],[공격성공횟수]])</f>
        <v>0.2857142857142857</v>
      </c>
    </row>
    <row r="469" spans="1:8" hidden="1" x14ac:dyDescent="0.4">
      <c r="A469">
        <v>234</v>
      </c>
      <c r="B469" t="s">
        <v>1</v>
      </c>
      <c r="C469">
        <v>0</v>
      </c>
      <c r="D469">
        <v>2</v>
      </c>
      <c r="E469">
        <v>12</v>
      </c>
      <c r="F469">
        <v>4</v>
      </c>
      <c r="G469">
        <v>1</v>
      </c>
      <c r="H469">
        <f>표3[[#This Row],[공격성공횟수]]/(표3[[#This Row],[공격실패횟수]]+표3[[#This Row],[공격성공횟수]])</f>
        <v>0.14285714285714285</v>
      </c>
    </row>
    <row r="470" spans="1:8" x14ac:dyDescent="0.4">
      <c r="A470">
        <v>235</v>
      </c>
      <c r="B470" t="s">
        <v>3</v>
      </c>
      <c r="C470">
        <v>1</v>
      </c>
      <c r="D470">
        <v>4</v>
      </c>
      <c r="E470">
        <v>7</v>
      </c>
      <c r="F470">
        <v>1</v>
      </c>
      <c r="G470">
        <v>0</v>
      </c>
      <c r="H470">
        <f>표3[[#This Row],[공격성공횟수]]/(표3[[#This Row],[공격실패횟수]]+표3[[#This Row],[공격성공횟수]])</f>
        <v>0.36363636363636365</v>
      </c>
    </row>
    <row r="471" spans="1:8" hidden="1" x14ac:dyDescent="0.4">
      <c r="A471">
        <v>235</v>
      </c>
      <c r="B471" t="s">
        <v>1</v>
      </c>
      <c r="C471">
        <v>0</v>
      </c>
      <c r="D471">
        <v>1</v>
      </c>
      <c r="E471">
        <v>10</v>
      </c>
      <c r="F471">
        <v>4</v>
      </c>
      <c r="G471">
        <v>1</v>
      </c>
      <c r="H471">
        <f>표3[[#This Row],[공격성공횟수]]/(표3[[#This Row],[공격실패횟수]]+표3[[#This Row],[공격성공횟수]])</f>
        <v>9.0909090909090912E-2</v>
      </c>
    </row>
    <row r="472" spans="1:8" x14ac:dyDescent="0.4">
      <c r="A472">
        <v>236</v>
      </c>
      <c r="B472" t="s">
        <v>3</v>
      </c>
      <c r="C472">
        <v>1</v>
      </c>
      <c r="D472">
        <v>4</v>
      </c>
      <c r="E472">
        <v>4</v>
      </c>
      <c r="F472">
        <v>0</v>
      </c>
      <c r="G472">
        <v>0</v>
      </c>
      <c r="H472">
        <f>표3[[#This Row],[공격성공횟수]]/(표3[[#This Row],[공격실패횟수]]+표3[[#This Row],[공격성공횟수]])</f>
        <v>0.5</v>
      </c>
    </row>
    <row r="473" spans="1:8" hidden="1" x14ac:dyDescent="0.4">
      <c r="A473">
        <v>236</v>
      </c>
      <c r="B473" t="s">
        <v>1</v>
      </c>
      <c r="C473">
        <v>0</v>
      </c>
      <c r="D473">
        <v>0</v>
      </c>
      <c r="E473">
        <v>7</v>
      </c>
      <c r="F473">
        <v>4</v>
      </c>
      <c r="G473">
        <v>1</v>
      </c>
      <c r="H473">
        <f>표3[[#This Row],[공격성공횟수]]/(표3[[#This Row],[공격실패횟수]]+표3[[#This Row],[공격성공횟수]])</f>
        <v>0</v>
      </c>
    </row>
    <row r="474" spans="1:8" x14ac:dyDescent="0.4">
      <c r="A474">
        <v>237</v>
      </c>
      <c r="B474" t="s">
        <v>3</v>
      </c>
      <c r="C474">
        <v>1</v>
      </c>
      <c r="D474">
        <v>4</v>
      </c>
      <c r="E474">
        <v>6</v>
      </c>
      <c r="F474">
        <v>0</v>
      </c>
      <c r="G474">
        <v>0</v>
      </c>
      <c r="H474">
        <f>표3[[#This Row],[공격성공횟수]]/(표3[[#This Row],[공격실패횟수]]+표3[[#This Row],[공격성공횟수]])</f>
        <v>0.4</v>
      </c>
    </row>
    <row r="475" spans="1:8" hidden="1" x14ac:dyDescent="0.4">
      <c r="A475">
        <v>237</v>
      </c>
      <c r="B475" t="s">
        <v>1</v>
      </c>
      <c r="C475">
        <v>0</v>
      </c>
      <c r="D475">
        <v>0</v>
      </c>
      <c r="E475">
        <v>10</v>
      </c>
      <c r="F475">
        <v>4</v>
      </c>
      <c r="G475">
        <v>1</v>
      </c>
      <c r="H475">
        <f>표3[[#This Row],[공격성공횟수]]/(표3[[#This Row],[공격실패횟수]]+표3[[#This Row],[공격성공횟수]])</f>
        <v>0</v>
      </c>
    </row>
    <row r="476" spans="1:8" x14ac:dyDescent="0.4">
      <c r="A476">
        <v>238</v>
      </c>
      <c r="B476" t="s">
        <v>3</v>
      </c>
      <c r="C476">
        <v>1</v>
      </c>
      <c r="D476">
        <v>4</v>
      </c>
      <c r="E476">
        <v>21</v>
      </c>
      <c r="F476">
        <v>2</v>
      </c>
      <c r="G476">
        <v>0</v>
      </c>
      <c r="H476">
        <f>표3[[#This Row],[공격성공횟수]]/(표3[[#This Row],[공격실패횟수]]+표3[[#This Row],[공격성공횟수]])</f>
        <v>0.16</v>
      </c>
    </row>
    <row r="477" spans="1:8" hidden="1" x14ac:dyDescent="0.4">
      <c r="A477">
        <v>238</v>
      </c>
      <c r="B477" t="s">
        <v>1</v>
      </c>
      <c r="C477">
        <v>0</v>
      </c>
      <c r="D477">
        <v>2</v>
      </c>
      <c r="E477">
        <v>23</v>
      </c>
      <c r="F477">
        <v>4</v>
      </c>
      <c r="G477">
        <v>1</v>
      </c>
      <c r="H477">
        <f>표3[[#This Row],[공격성공횟수]]/(표3[[#This Row],[공격실패횟수]]+표3[[#This Row],[공격성공횟수]])</f>
        <v>0.08</v>
      </c>
    </row>
    <row r="478" spans="1:8" x14ac:dyDescent="0.4">
      <c r="A478">
        <v>239</v>
      </c>
      <c r="B478" t="s">
        <v>3</v>
      </c>
      <c r="C478">
        <v>1</v>
      </c>
      <c r="D478">
        <v>4</v>
      </c>
      <c r="E478">
        <v>9</v>
      </c>
      <c r="F478">
        <v>2</v>
      </c>
      <c r="G478">
        <v>0</v>
      </c>
      <c r="H478">
        <f>표3[[#This Row],[공격성공횟수]]/(표3[[#This Row],[공격실패횟수]]+표3[[#This Row],[공격성공횟수]])</f>
        <v>0.30769230769230771</v>
      </c>
    </row>
    <row r="479" spans="1:8" hidden="1" x14ac:dyDescent="0.4">
      <c r="A479">
        <v>239</v>
      </c>
      <c r="B479" t="s">
        <v>1</v>
      </c>
      <c r="C479">
        <v>0</v>
      </c>
      <c r="D479">
        <v>2</v>
      </c>
      <c r="E479">
        <v>10</v>
      </c>
      <c r="F479">
        <v>4</v>
      </c>
      <c r="G479">
        <v>1</v>
      </c>
      <c r="H479">
        <f>표3[[#This Row],[공격성공횟수]]/(표3[[#This Row],[공격실패횟수]]+표3[[#This Row],[공격성공횟수]])</f>
        <v>0.16666666666666666</v>
      </c>
    </row>
    <row r="480" spans="1:8" x14ac:dyDescent="0.4">
      <c r="A480">
        <v>240</v>
      </c>
      <c r="B480" t="s">
        <v>3</v>
      </c>
      <c r="C480">
        <v>1</v>
      </c>
      <c r="D480">
        <v>4</v>
      </c>
      <c r="E480">
        <v>9</v>
      </c>
      <c r="F480">
        <v>0</v>
      </c>
      <c r="G480">
        <v>0</v>
      </c>
      <c r="H480">
        <f>표3[[#This Row],[공격성공횟수]]/(표3[[#This Row],[공격실패횟수]]+표3[[#This Row],[공격성공횟수]])</f>
        <v>0.30769230769230771</v>
      </c>
    </row>
    <row r="481" spans="1:8" hidden="1" x14ac:dyDescent="0.4">
      <c r="A481">
        <v>240</v>
      </c>
      <c r="B481" t="s">
        <v>1</v>
      </c>
      <c r="C481">
        <v>0</v>
      </c>
      <c r="D481">
        <v>0</v>
      </c>
      <c r="E481">
        <v>13</v>
      </c>
      <c r="F481">
        <v>4</v>
      </c>
      <c r="G481">
        <v>1</v>
      </c>
      <c r="H481">
        <f>표3[[#This Row],[공격성공횟수]]/(표3[[#This Row],[공격실패횟수]]+표3[[#This Row],[공격성공횟수]])</f>
        <v>0</v>
      </c>
    </row>
    <row r="482" spans="1:8" x14ac:dyDescent="0.4">
      <c r="A482">
        <v>241</v>
      </c>
      <c r="B482" t="s">
        <v>3</v>
      </c>
      <c r="C482">
        <v>1</v>
      </c>
      <c r="D482">
        <v>4</v>
      </c>
      <c r="E482">
        <v>16</v>
      </c>
      <c r="F482">
        <v>0</v>
      </c>
      <c r="G482">
        <v>0</v>
      </c>
      <c r="H482">
        <f>표3[[#This Row],[공격성공횟수]]/(표3[[#This Row],[공격실패횟수]]+표3[[#This Row],[공격성공횟수]])</f>
        <v>0.2</v>
      </c>
    </row>
    <row r="483" spans="1:8" hidden="1" x14ac:dyDescent="0.4">
      <c r="A483">
        <v>241</v>
      </c>
      <c r="B483" t="s">
        <v>1</v>
      </c>
      <c r="C483">
        <v>0</v>
      </c>
      <c r="D483">
        <v>0</v>
      </c>
      <c r="E483">
        <v>20</v>
      </c>
      <c r="F483">
        <v>4</v>
      </c>
      <c r="G483">
        <v>1</v>
      </c>
      <c r="H483">
        <f>표3[[#This Row],[공격성공횟수]]/(표3[[#This Row],[공격실패횟수]]+표3[[#This Row],[공격성공횟수]])</f>
        <v>0</v>
      </c>
    </row>
    <row r="484" spans="1:8" x14ac:dyDescent="0.4">
      <c r="A484">
        <v>242</v>
      </c>
      <c r="B484" t="s">
        <v>3</v>
      </c>
      <c r="C484">
        <v>1</v>
      </c>
      <c r="D484">
        <v>4</v>
      </c>
      <c r="E484">
        <v>29</v>
      </c>
      <c r="F484">
        <v>0</v>
      </c>
      <c r="G484">
        <v>0</v>
      </c>
      <c r="H484">
        <f>표3[[#This Row],[공격성공횟수]]/(표3[[#This Row],[공격실패횟수]]+표3[[#This Row],[공격성공횟수]])</f>
        <v>0.12121212121212122</v>
      </c>
    </row>
    <row r="485" spans="1:8" hidden="1" x14ac:dyDescent="0.4">
      <c r="A485">
        <v>242</v>
      </c>
      <c r="B485" t="s">
        <v>1</v>
      </c>
      <c r="C485">
        <v>0</v>
      </c>
      <c r="D485">
        <v>0</v>
      </c>
      <c r="E485">
        <v>33</v>
      </c>
      <c r="F485">
        <v>4</v>
      </c>
      <c r="G485">
        <v>1</v>
      </c>
      <c r="H485">
        <f>표3[[#This Row],[공격성공횟수]]/(표3[[#This Row],[공격실패횟수]]+표3[[#This Row],[공격성공횟수]])</f>
        <v>0</v>
      </c>
    </row>
    <row r="486" spans="1:8" x14ac:dyDescent="0.4">
      <c r="A486">
        <v>243</v>
      </c>
      <c r="B486" t="s">
        <v>3</v>
      </c>
      <c r="C486">
        <v>1</v>
      </c>
      <c r="D486">
        <v>4</v>
      </c>
      <c r="E486">
        <v>6</v>
      </c>
      <c r="F486">
        <v>0</v>
      </c>
      <c r="G486">
        <v>0</v>
      </c>
      <c r="H486">
        <f>표3[[#This Row],[공격성공횟수]]/(표3[[#This Row],[공격실패횟수]]+표3[[#This Row],[공격성공횟수]])</f>
        <v>0.4</v>
      </c>
    </row>
    <row r="487" spans="1:8" hidden="1" x14ac:dyDescent="0.4">
      <c r="A487">
        <v>243</v>
      </c>
      <c r="B487" t="s">
        <v>1</v>
      </c>
      <c r="C487">
        <v>0</v>
      </c>
      <c r="D487">
        <v>0</v>
      </c>
      <c r="E487">
        <v>10</v>
      </c>
      <c r="F487">
        <v>4</v>
      </c>
      <c r="G487">
        <v>1</v>
      </c>
      <c r="H487">
        <f>표3[[#This Row],[공격성공횟수]]/(표3[[#This Row],[공격실패횟수]]+표3[[#This Row],[공격성공횟수]])</f>
        <v>0</v>
      </c>
    </row>
    <row r="488" spans="1:8" x14ac:dyDescent="0.4">
      <c r="A488">
        <v>244</v>
      </c>
      <c r="B488" t="s">
        <v>3</v>
      </c>
      <c r="C488">
        <v>1</v>
      </c>
      <c r="D488">
        <v>4</v>
      </c>
      <c r="E488">
        <v>7</v>
      </c>
      <c r="F488">
        <v>2</v>
      </c>
      <c r="G488">
        <v>0</v>
      </c>
      <c r="H488">
        <f>표3[[#This Row],[공격성공횟수]]/(표3[[#This Row],[공격실패횟수]]+표3[[#This Row],[공격성공횟수]])</f>
        <v>0.36363636363636365</v>
      </c>
    </row>
    <row r="489" spans="1:8" hidden="1" x14ac:dyDescent="0.4">
      <c r="A489">
        <v>244</v>
      </c>
      <c r="B489" t="s">
        <v>1</v>
      </c>
      <c r="C489">
        <v>0</v>
      </c>
      <c r="D489">
        <v>2</v>
      </c>
      <c r="E489">
        <v>8</v>
      </c>
      <c r="F489">
        <v>4</v>
      </c>
      <c r="G489">
        <v>1</v>
      </c>
      <c r="H489">
        <f>표3[[#This Row],[공격성공횟수]]/(표3[[#This Row],[공격실패횟수]]+표3[[#This Row],[공격성공횟수]])</f>
        <v>0.2</v>
      </c>
    </row>
    <row r="490" spans="1:8" x14ac:dyDescent="0.4">
      <c r="A490">
        <v>245</v>
      </c>
      <c r="B490" t="s">
        <v>3</v>
      </c>
      <c r="C490">
        <v>1</v>
      </c>
      <c r="D490">
        <v>4</v>
      </c>
      <c r="E490">
        <v>20</v>
      </c>
      <c r="F490">
        <v>1</v>
      </c>
      <c r="G490">
        <v>0</v>
      </c>
      <c r="H490">
        <f>표3[[#This Row],[공격성공횟수]]/(표3[[#This Row],[공격실패횟수]]+표3[[#This Row],[공격성공횟수]])</f>
        <v>0.16666666666666666</v>
      </c>
    </row>
    <row r="491" spans="1:8" hidden="1" x14ac:dyDescent="0.4">
      <c r="A491">
        <v>245</v>
      </c>
      <c r="B491" t="s">
        <v>1</v>
      </c>
      <c r="C491">
        <v>0</v>
      </c>
      <c r="D491">
        <v>1</v>
      </c>
      <c r="E491">
        <v>22</v>
      </c>
      <c r="F491">
        <v>4</v>
      </c>
      <c r="G491">
        <v>1</v>
      </c>
      <c r="H491">
        <f>표3[[#This Row],[공격성공횟수]]/(표3[[#This Row],[공격실패횟수]]+표3[[#This Row],[공격성공횟수]])</f>
        <v>4.3478260869565216E-2</v>
      </c>
    </row>
    <row r="492" spans="1:8" x14ac:dyDescent="0.4">
      <c r="A492">
        <v>246</v>
      </c>
      <c r="B492" t="s">
        <v>3</v>
      </c>
      <c r="C492">
        <v>0</v>
      </c>
      <c r="D492">
        <v>0</v>
      </c>
      <c r="E492">
        <v>24</v>
      </c>
      <c r="F492">
        <v>4</v>
      </c>
      <c r="G492">
        <v>1</v>
      </c>
      <c r="H492">
        <f>표3[[#This Row],[공격성공횟수]]/(표3[[#This Row],[공격실패횟수]]+표3[[#This Row],[공격성공횟수]])</f>
        <v>0</v>
      </c>
    </row>
    <row r="493" spans="1:8" hidden="1" x14ac:dyDescent="0.4">
      <c r="A493">
        <v>246</v>
      </c>
      <c r="B493" t="s">
        <v>1</v>
      </c>
      <c r="C493">
        <v>1</v>
      </c>
      <c r="D493">
        <v>4</v>
      </c>
      <c r="E493">
        <v>21</v>
      </c>
      <c r="F493">
        <v>0</v>
      </c>
      <c r="G493">
        <v>0</v>
      </c>
      <c r="H493">
        <f>표3[[#This Row],[공격성공횟수]]/(표3[[#This Row],[공격실패횟수]]+표3[[#This Row],[공격성공횟수]])</f>
        <v>0.16</v>
      </c>
    </row>
    <row r="494" spans="1:8" x14ac:dyDescent="0.4">
      <c r="A494">
        <v>247</v>
      </c>
      <c r="B494" t="s">
        <v>3</v>
      </c>
      <c r="C494">
        <v>1</v>
      </c>
      <c r="D494">
        <v>4</v>
      </c>
      <c r="E494">
        <v>17</v>
      </c>
      <c r="F494">
        <v>1</v>
      </c>
      <c r="G494">
        <v>0</v>
      </c>
      <c r="H494">
        <f>표3[[#This Row],[공격성공횟수]]/(표3[[#This Row],[공격실패횟수]]+표3[[#This Row],[공격성공횟수]])</f>
        <v>0.19047619047619047</v>
      </c>
    </row>
    <row r="495" spans="1:8" hidden="1" x14ac:dyDescent="0.4">
      <c r="A495">
        <v>247</v>
      </c>
      <c r="B495" t="s">
        <v>1</v>
      </c>
      <c r="C495">
        <v>0</v>
      </c>
      <c r="D495">
        <v>1</v>
      </c>
      <c r="E495">
        <v>28</v>
      </c>
      <c r="F495">
        <v>4</v>
      </c>
      <c r="G495">
        <v>1</v>
      </c>
      <c r="H495">
        <f>표3[[#This Row],[공격성공횟수]]/(표3[[#This Row],[공격실패횟수]]+표3[[#This Row],[공격성공횟수]])</f>
        <v>3.4482758620689655E-2</v>
      </c>
    </row>
    <row r="496" spans="1:8" x14ac:dyDescent="0.4">
      <c r="A496">
        <v>248</v>
      </c>
      <c r="B496" t="s">
        <v>3</v>
      </c>
      <c r="C496">
        <v>1</v>
      </c>
      <c r="D496">
        <v>4</v>
      </c>
      <c r="E496">
        <v>7</v>
      </c>
      <c r="F496">
        <v>1</v>
      </c>
      <c r="G496">
        <v>0</v>
      </c>
      <c r="H496">
        <f>표3[[#This Row],[공격성공횟수]]/(표3[[#This Row],[공격실패횟수]]+표3[[#This Row],[공격성공횟수]])</f>
        <v>0.36363636363636365</v>
      </c>
    </row>
    <row r="497" spans="1:8" hidden="1" x14ac:dyDescent="0.4">
      <c r="A497">
        <v>248</v>
      </c>
      <c r="B497" t="s">
        <v>1</v>
      </c>
      <c r="C497">
        <v>0</v>
      </c>
      <c r="D497">
        <v>1</v>
      </c>
      <c r="E497">
        <v>9</v>
      </c>
      <c r="F497">
        <v>4</v>
      </c>
      <c r="G497">
        <v>1</v>
      </c>
      <c r="H497">
        <f>표3[[#This Row],[공격성공횟수]]/(표3[[#This Row],[공격실패횟수]]+표3[[#This Row],[공격성공횟수]])</f>
        <v>0.1</v>
      </c>
    </row>
    <row r="498" spans="1:8" x14ac:dyDescent="0.4">
      <c r="A498">
        <v>249</v>
      </c>
      <c r="B498" t="s">
        <v>3</v>
      </c>
      <c r="C498">
        <v>0</v>
      </c>
      <c r="D498">
        <v>0</v>
      </c>
      <c r="E498">
        <v>6</v>
      </c>
      <c r="F498">
        <v>4</v>
      </c>
      <c r="G498">
        <v>1</v>
      </c>
      <c r="H498">
        <f>표3[[#This Row],[공격성공횟수]]/(표3[[#This Row],[공격실패횟수]]+표3[[#This Row],[공격성공횟수]])</f>
        <v>0</v>
      </c>
    </row>
    <row r="499" spans="1:8" hidden="1" x14ac:dyDescent="0.4">
      <c r="A499">
        <v>249</v>
      </c>
      <c r="B499" t="s">
        <v>1</v>
      </c>
      <c r="C499">
        <v>1</v>
      </c>
      <c r="D499">
        <v>4</v>
      </c>
      <c r="E499">
        <v>3</v>
      </c>
      <c r="F499">
        <v>0</v>
      </c>
      <c r="G499">
        <v>0</v>
      </c>
      <c r="H499">
        <f>표3[[#This Row],[공격성공횟수]]/(표3[[#This Row],[공격실패횟수]]+표3[[#This Row],[공격성공횟수]])</f>
        <v>0.5714285714285714</v>
      </c>
    </row>
    <row r="500" spans="1:8" x14ac:dyDescent="0.4">
      <c r="A500">
        <v>250</v>
      </c>
      <c r="B500" t="s">
        <v>3</v>
      </c>
      <c r="C500">
        <v>1</v>
      </c>
      <c r="D500">
        <v>4</v>
      </c>
      <c r="E500">
        <v>7</v>
      </c>
      <c r="F500">
        <v>2</v>
      </c>
      <c r="G500">
        <v>0</v>
      </c>
      <c r="H500">
        <f>표3[[#This Row],[공격성공횟수]]/(표3[[#This Row],[공격실패횟수]]+표3[[#This Row],[공격성공횟수]])</f>
        <v>0.36363636363636365</v>
      </c>
    </row>
    <row r="501" spans="1:8" hidden="1" x14ac:dyDescent="0.4">
      <c r="A501">
        <v>250</v>
      </c>
      <c r="B501" t="s">
        <v>1</v>
      </c>
      <c r="C501">
        <v>0</v>
      </c>
      <c r="D501">
        <v>2</v>
      </c>
      <c r="E501">
        <v>8</v>
      </c>
      <c r="F501">
        <v>4</v>
      </c>
      <c r="G501">
        <v>1</v>
      </c>
      <c r="H501">
        <f>표3[[#This Row],[공격성공횟수]]/(표3[[#This Row],[공격실패횟수]]+표3[[#This Row],[공격성공횟수]])</f>
        <v>0.2</v>
      </c>
    </row>
    <row r="502" spans="1:8" x14ac:dyDescent="0.4">
      <c r="A502">
        <v>251</v>
      </c>
      <c r="B502" t="s">
        <v>3</v>
      </c>
      <c r="C502">
        <v>1</v>
      </c>
      <c r="D502">
        <v>4</v>
      </c>
      <c r="E502">
        <v>22</v>
      </c>
      <c r="F502">
        <v>1</v>
      </c>
      <c r="G502">
        <v>0</v>
      </c>
      <c r="H502">
        <f>표3[[#This Row],[공격성공횟수]]/(표3[[#This Row],[공격실패횟수]]+표3[[#This Row],[공격성공횟수]])</f>
        <v>0.15384615384615385</v>
      </c>
    </row>
    <row r="503" spans="1:8" hidden="1" x14ac:dyDescent="0.4">
      <c r="A503">
        <v>251</v>
      </c>
      <c r="B503" t="s">
        <v>1</v>
      </c>
      <c r="C503">
        <v>0</v>
      </c>
      <c r="D503">
        <v>1</v>
      </c>
      <c r="E503">
        <v>25</v>
      </c>
      <c r="F503">
        <v>4</v>
      </c>
      <c r="G503">
        <v>1</v>
      </c>
      <c r="H503">
        <f>표3[[#This Row],[공격성공횟수]]/(표3[[#This Row],[공격실패횟수]]+표3[[#This Row],[공격성공횟수]])</f>
        <v>3.8461538461538464E-2</v>
      </c>
    </row>
    <row r="504" spans="1:8" x14ac:dyDescent="0.4">
      <c r="A504">
        <v>252</v>
      </c>
      <c r="B504" t="s">
        <v>3</v>
      </c>
      <c r="C504">
        <v>0</v>
      </c>
      <c r="D504">
        <v>1</v>
      </c>
      <c r="E504">
        <v>20</v>
      </c>
      <c r="F504">
        <v>4</v>
      </c>
      <c r="G504">
        <v>1</v>
      </c>
      <c r="H504">
        <f>표3[[#This Row],[공격성공횟수]]/(표3[[#This Row],[공격실패횟수]]+표3[[#This Row],[공격성공횟수]])</f>
        <v>4.7619047619047616E-2</v>
      </c>
    </row>
    <row r="505" spans="1:8" hidden="1" x14ac:dyDescent="0.4">
      <c r="A505">
        <v>252</v>
      </c>
      <c r="B505" t="s">
        <v>1</v>
      </c>
      <c r="C505">
        <v>1</v>
      </c>
      <c r="D505">
        <v>4</v>
      </c>
      <c r="E505">
        <v>17</v>
      </c>
      <c r="F505">
        <v>1</v>
      </c>
      <c r="G505">
        <v>0</v>
      </c>
      <c r="H505">
        <f>표3[[#This Row],[공격성공횟수]]/(표3[[#This Row],[공격실패횟수]]+표3[[#This Row],[공격성공횟수]])</f>
        <v>0.19047619047619047</v>
      </c>
    </row>
    <row r="506" spans="1:8" x14ac:dyDescent="0.4">
      <c r="A506">
        <v>253</v>
      </c>
      <c r="B506" t="s">
        <v>3</v>
      </c>
      <c r="C506">
        <v>1</v>
      </c>
      <c r="D506">
        <v>4</v>
      </c>
      <c r="E506">
        <v>10</v>
      </c>
      <c r="F506">
        <v>0</v>
      </c>
      <c r="G506">
        <v>0</v>
      </c>
      <c r="H506">
        <f>표3[[#This Row],[공격성공횟수]]/(표3[[#This Row],[공격실패횟수]]+표3[[#This Row],[공격성공횟수]])</f>
        <v>0.2857142857142857</v>
      </c>
    </row>
    <row r="507" spans="1:8" hidden="1" x14ac:dyDescent="0.4">
      <c r="A507">
        <v>253</v>
      </c>
      <c r="B507" t="s">
        <v>1</v>
      </c>
      <c r="C507">
        <v>0</v>
      </c>
      <c r="D507">
        <v>0</v>
      </c>
      <c r="E507">
        <v>13</v>
      </c>
      <c r="F507">
        <v>4</v>
      </c>
      <c r="G507">
        <v>1</v>
      </c>
      <c r="H507">
        <f>표3[[#This Row],[공격성공횟수]]/(표3[[#This Row],[공격실패횟수]]+표3[[#This Row],[공격성공횟수]])</f>
        <v>0</v>
      </c>
    </row>
    <row r="508" spans="1:8" x14ac:dyDescent="0.4">
      <c r="A508">
        <v>254</v>
      </c>
      <c r="B508" t="s">
        <v>3</v>
      </c>
      <c r="C508">
        <v>0</v>
      </c>
      <c r="D508">
        <v>2</v>
      </c>
      <c r="E508">
        <v>36</v>
      </c>
      <c r="F508">
        <v>4</v>
      </c>
      <c r="G508">
        <v>1</v>
      </c>
      <c r="H508">
        <f>표3[[#This Row],[공격성공횟수]]/(표3[[#This Row],[공격실패횟수]]+표3[[#This Row],[공격성공횟수]])</f>
        <v>5.2631578947368418E-2</v>
      </c>
    </row>
    <row r="509" spans="1:8" hidden="1" x14ac:dyDescent="0.4">
      <c r="A509">
        <v>254</v>
      </c>
      <c r="B509" t="s">
        <v>1</v>
      </c>
      <c r="C509">
        <v>1</v>
      </c>
      <c r="D509">
        <v>4</v>
      </c>
      <c r="E509">
        <v>34</v>
      </c>
      <c r="F509">
        <v>2</v>
      </c>
      <c r="G509">
        <v>0</v>
      </c>
      <c r="H509">
        <f>표3[[#This Row],[공격성공횟수]]/(표3[[#This Row],[공격실패횟수]]+표3[[#This Row],[공격성공횟수]])</f>
        <v>0.10526315789473684</v>
      </c>
    </row>
    <row r="510" spans="1:8" x14ac:dyDescent="0.4">
      <c r="A510">
        <v>255</v>
      </c>
      <c r="B510" t="s">
        <v>3</v>
      </c>
      <c r="C510">
        <v>0</v>
      </c>
      <c r="D510">
        <v>1</v>
      </c>
      <c r="E510">
        <v>24</v>
      </c>
      <c r="F510">
        <v>4</v>
      </c>
      <c r="G510">
        <v>1</v>
      </c>
      <c r="H510">
        <f>표3[[#This Row],[공격성공횟수]]/(표3[[#This Row],[공격실패횟수]]+표3[[#This Row],[공격성공횟수]])</f>
        <v>0.04</v>
      </c>
    </row>
    <row r="511" spans="1:8" hidden="1" x14ac:dyDescent="0.4">
      <c r="A511">
        <v>255</v>
      </c>
      <c r="B511" t="s">
        <v>1</v>
      </c>
      <c r="C511">
        <v>1</v>
      </c>
      <c r="D511">
        <v>4</v>
      </c>
      <c r="E511">
        <v>20</v>
      </c>
      <c r="F511">
        <v>1</v>
      </c>
      <c r="G511">
        <v>0</v>
      </c>
      <c r="H511">
        <f>표3[[#This Row],[공격성공횟수]]/(표3[[#This Row],[공격실패횟수]]+표3[[#This Row],[공격성공횟수]])</f>
        <v>0.16666666666666666</v>
      </c>
    </row>
    <row r="512" spans="1:8" x14ac:dyDescent="0.4">
      <c r="A512">
        <v>256</v>
      </c>
      <c r="B512" t="s">
        <v>3</v>
      </c>
      <c r="C512">
        <v>0</v>
      </c>
      <c r="D512">
        <v>2</v>
      </c>
      <c r="E512">
        <v>39</v>
      </c>
      <c r="F512">
        <v>4</v>
      </c>
      <c r="G512">
        <v>1</v>
      </c>
      <c r="H512">
        <f>표3[[#This Row],[공격성공횟수]]/(표3[[#This Row],[공격실패횟수]]+표3[[#This Row],[공격성공횟수]])</f>
        <v>4.878048780487805E-2</v>
      </c>
    </row>
    <row r="513" spans="1:8" hidden="1" x14ac:dyDescent="0.4">
      <c r="A513">
        <v>256</v>
      </c>
      <c r="B513" t="s">
        <v>1</v>
      </c>
      <c r="C513">
        <v>1</v>
      </c>
      <c r="D513">
        <v>4</v>
      </c>
      <c r="E513">
        <v>38</v>
      </c>
      <c r="F513">
        <v>2</v>
      </c>
      <c r="G513">
        <v>0</v>
      </c>
      <c r="H513">
        <f>표3[[#This Row],[공격성공횟수]]/(표3[[#This Row],[공격실패횟수]]+표3[[#This Row],[공격성공횟수]])</f>
        <v>9.5238095238095233E-2</v>
      </c>
    </row>
    <row r="514" spans="1:8" x14ac:dyDescent="0.4">
      <c r="A514">
        <v>257</v>
      </c>
      <c r="B514" t="s">
        <v>3</v>
      </c>
      <c r="C514">
        <v>1</v>
      </c>
      <c r="D514">
        <v>4</v>
      </c>
      <c r="E514">
        <v>16</v>
      </c>
      <c r="F514">
        <v>2</v>
      </c>
      <c r="G514">
        <v>0</v>
      </c>
      <c r="H514">
        <f>표3[[#This Row],[공격성공횟수]]/(표3[[#This Row],[공격실패횟수]]+표3[[#This Row],[공격성공횟수]])</f>
        <v>0.2</v>
      </c>
    </row>
    <row r="515" spans="1:8" hidden="1" x14ac:dyDescent="0.4">
      <c r="A515">
        <v>257</v>
      </c>
      <c r="B515" t="s">
        <v>1</v>
      </c>
      <c r="C515">
        <v>0</v>
      </c>
      <c r="D515">
        <v>2</v>
      </c>
      <c r="E515">
        <v>17</v>
      </c>
      <c r="F515">
        <v>4</v>
      </c>
      <c r="G515">
        <v>1</v>
      </c>
      <c r="H515">
        <f>표3[[#This Row],[공격성공횟수]]/(표3[[#This Row],[공격실패횟수]]+표3[[#This Row],[공격성공횟수]])</f>
        <v>0.10526315789473684</v>
      </c>
    </row>
    <row r="516" spans="1:8" x14ac:dyDescent="0.4">
      <c r="A516">
        <v>258</v>
      </c>
      <c r="B516" t="s">
        <v>3</v>
      </c>
      <c r="C516">
        <v>1</v>
      </c>
      <c r="D516">
        <v>4</v>
      </c>
      <c r="E516">
        <v>17</v>
      </c>
      <c r="F516">
        <v>2</v>
      </c>
      <c r="G516">
        <v>0</v>
      </c>
      <c r="H516">
        <f>표3[[#This Row],[공격성공횟수]]/(표3[[#This Row],[공격실패횟수]]+표3[[#This Row],[공격성공횟수]])</f>
        <v>0.19047619047619047</v>
      </c>
    </row>
    <row r="517" spans="1:8" hidden="1" x14ac:dyDescent="0.4">
      <c r="A517">
        <v>258</v>
      </c>
      <c r="B517" t="s">
        <v>1</v>
      </c>
      <c r="C517">
        <v>0</v>
      </c>
      <c r="D517">
        <v>2</v>
      </c>
      <c r="E517">
        <v>34</v>
      </c>
      <c r="F517">
        <v>4</v>
      </c>
      <c r="G517">
        <v>1</v>
      </c>
      <c r="H517">
        <f>표3[[#This Row],[공격성공횟수]]/(표3[[#This Row],[공격실패횟수]]+표3[[#This Row],[공격성공횟수]])</f>
        <v>5.5555555555555552E-2</v>
      </c>
    </row>
    <row r="518" spans="1:8" x14ac:dyDescent="0.4">
      <c r="A518">
        <v>259</v>
      </c>
      <c r="B518" t="s">
        <v>3</v>
      </c>
      <c r="C518">
        <v>0</v>
      </c>
      <c r="D518">
        <v>0</v>
      </c>
      <c r="E518">
        <v>15</v>
      </c>
      <c r="F518">
        <v>4</v>
      </c>
      <c r="G518">
        <v>1</v>
      </c>
      <c r="H518">
        <f>표3[[#This Row],[공격성공횟수]]/(표3[[#This Row],[공격실패횟수]]+표3[[#This Row],[공격성공횟수]])</f>
        <v>0</v>
      </c>
    </row>
    <row r="519" spans="1:8" hidden="1" x14ac:dyDescent="0.4">
      <c r="A519">
        <v>259</v>
      </c>
      <c r="B519" t="s">
        <v>1</v>
      </c>
      <c r="C519">
        <v>1</v>
      </c>
      <c r="D519">
        <v>4</v>
      </c>
      <c r="E519">
        <v>17</v>
      </c>
      <c r="F519">
        <v>0</v>
      </c>
      <c r="G519">
        <v>0</v>
      </c>
      <c r="H519">
        <f>표3[[#This Row],[공격성공횟수]]/(표3[[#This Row],[공격실패횟수]]+표3[[#This Row],[공격성공횟수]])</f>
        <v>0.19047619047619047</v>
      </c>
    </row>
    <row r="520" spans="1:8" x14ac:dyDescent="0.4">
      <c r="A520">
        <v>260</v>
      </c>
      <c r="B520" t="s">
        <v>3</v>
      </c>
      <c r="C520">
        <v>1</v>
      </c>
      <c r="D520">
        <v>4</v>
      </c>
      <c r="E520">
        <v>23</v>
      </c>
      <c r="F520">
        <v>1</v>
      </c>
      <c r="G520">
        <v>0</v>
      </c>
      <c r="H520">
        <f>표3[[#This Row],[공격성공횟수]]/(표3[[#This Row],[공격실패횟수]]+표3[[#This Row],[공격성공횟수]])</f>
        <v>0.14814814814814814</v>
      </c>
    </row>
    <row r="521" spans="1:8" hidden="1" x14ac:dyDescent="0.4">
      <c r="A521">
        <v>260</v>
      </c>
      <c r="B521" t="s">
        <v>1</v>
      </c>
      <c r="C521">
        <v>0</v>
      </c>
      <c r="D521">
        <v>1</v>
      </c>
      <c r="E521">
        <v>24</v>
      </c>
      <c r="F521">
        <v>4</v>
      </c>
      <c r="G521">
        <v>1</v>
      </c>
      <c r="H521">
        <f>표3[[#This Row],[공격성공횟수]]/(표3[[#This Row],[공격실패횟수]]+표3[[#This Row],[공격성공횟수]])</f>
        <v>0.04</v>
      </c>
    </row>
    <row r="522" spans="1:8" x14ac:dyDescent="0.4">
      <c r="A522">
        <v>261</v>
      </c>
      <c r="B522" t="s">
        <v>3</v>
      </c>
      <c r="C522">
        <v>1</v>
      </c>
      <c r="D522">
        <v>4</v>
      </c>
      <c r="E522">
        <v>13</v>
      </c>
      <c r="F522">
        <v>1</v>
      </c>
      <c r="G522">
        <v>0</v>
      </c>
      <c r="H522">
        <f>표3[[#This Row],[공격성공횟수]]/(표3[[#This Row],[공격실패횟수]]+표3[[#This Row],[공격성공횟수]])</f>
        <v>0.23529411764705882</v>
      </c>
    </row>
    <row r="523" spans="1:8" hidden="1" x14ac:dyDescent="0.4">
      <c r="A523">
        <v>261</v>
      </c>
      <c r="B523" t="s">
        <v>1</v>
      </c>
      <c r="C523">
        <v>0</v>
      </c>
      <c r="D523">
        <v>1</v>
      </c>
      <c r="E523">
        <v>16</v>
      </c>
      <c r="F523">
        <v>4</v>
      </c>
      <c r="G523">
        <v>1</v>
      </c>
      <c r="H523">
        <f>표3[[#This Row],[공격성공횟수]]/(표3[[#This Row],[공격실패횟수]]+표3[[#This Row],[공격성공횟수]])</f>
        <v>5.8823529411764705E-2</v>
      </c>
    </row>
    <row r="524" spans="1:8" x14ac:dyDescent="0.4">
      <c r="A524">
        <v>262</v>
      </c>
      <c r="B524" t="s">
        <v>3</v>
      </c>
      <c r="C524">
        <v>1</v>
      </c>
      <c r="D524">
        <v>4</v>
      </c>
      <c r="E524">
        <v>5</v>
      </c>
      <c r="F524">
        <v>3</v>
      </c>
      <c r="G524">
        <v>0</v>
      </c>
      <c r="H524">
        <f>표3[[#This Row],[공격성공횟수]]/(표3[[#This Row],[공격실패횟수]]+표3[[#This Row],[공격성공횟수]])</f>
        <v>0.44444444444444442</v>
      </c>
    </row>
    <row r="525" spans="1:8" hidden="1" x14ac:dyDescent="0.4">
      <c r="A525">
        <v>262</v>
      </c>
      <c r="B525" t="s">
        <v>1</v>
      </c>
      <c r="C525">
        <v>0</v>
      </c>
      <c r="D525">
        <v>3</v>
      </c>
      <c r="E525">
        <v>6</v>
      </c>
      <c r="F525">
        <v>4</v>
      </c>
      <c r="G525">
        <v>1</v>
      </c>
      <c r="H525">
        <f>표3[[#This Row],[공격성공횟수]]/(표3[[#This Row],[공격실패횟수]]+표3[[#This Row],[공격성공횟수]])</f>
        <v>0.33333333333333331</v>
      </c>
    </row>
    <row r="526" spans="1:8" x14ac:dyDescent="0.4">
      <c r="A526">
        <v>263</v>
      </c>
      <c r="B526" t="s">
        <v>3</v>
      </c>
      <c r="C526">
        <v>1</v>
      </c>
      <c r="D526">
        <v>4</v>
      </c>
      <c r="E526">
        <v>9</v>
      </c>
      <c r="F526">
        <v>1</v>
      </c>
      <c r="G526">
        <v>0</v>
      </c>
      <c r="H526">
        <f>표3[[#This Row],[공격성공횟수]]/(표3[[#This Row],[공격실패횟수]]+표3[[#This Row],[공격성공횟수]])</f>
        <v>0.30769230769230771</v>
      </c>
    </row>
    <row r="527" spans="1:8" hidden="1" x14ac:dyDescent="0.4">
      <c r="A527">
        <v>263</v>
      </c>
      <c r="B527" t="s">
        <v>1</v>
      </c>
      <c r="C527">
        <v>0</v>
      </c>
      <c r="D527">
        <v>1</v>
      </c>
      <c r="E527">
        <v>11</v>
      </c>
      <c r="F527">
        <v>4</v>
      </c>
      <c r="G527">
        <v>1</v>
      </c>
      <c r="H527">
        <f>표3[[#This Row],[공격성공횟수]]/(표3[[#This Row],[공격실패횟수]]+표3[[#This Row],[공격성공횟수]])</f>
        <v>8.3333333333333329E-2</v>
      </c>
    </row>
    <row r="528" spans="1:8" x14ac:dyDescent="0.4">
      <c r="A528">
        <v>264</v>
      </c>
      <c r="B528" t="s">
        <v>3</v>
      </c>
      <c r="C528">
        <v>1</v>
      </c>
      <c r="D528">
        <v>4</v>
      </c>
      <c r="E528">
        <v>14</v>
      </c>
      <c r="F528">
        <v>2</v>
      </c>
      <c r="G528">
        <v>0</v>
      </c>
      <c r="H528">
        <f>표3[[#This Row],[공격성공횟수]]/(표3[[#This Row],[공격실패횟수]]+표3[[#This Row],[공격성공횟수]])</f>
        <v>0.22222222222222221</v>
      </c>
    </row>
    <row r="529" spans="1:8" hidden="1" x14ac:dyDescent="0.4">
      <c r="A529">
        <v>264</v>
      </c>
      <c r="B529" t="s">
        <v>1</v>
      </c>
      <c r="C529">
        <v>0</v>
      </c>
      <c r="D529">
        <v>2</v>
      </c>
      <c r="E529">
        <v>16</v>
      </c>
      <c r="F529">
        <v>4</v>
      </c>
      <c r="G529">
        <v>1</v>
      </c>
      <c r="H529">
        <f>표3[[#This Row],[공격성공횟수]]/(표3[[#This Row],[공격실패횟수]]+표3[[#This Row],[공격성공횟수]])</f>
        <v>0.1111111111111111</v>
      </c>
    </row>
    <row r="530" spans="1:8" x14ac:dyDescent="0.4">
      <c r="A530">
        <v>265</v>
      </c>
      <c r="B530" t="s">
        <v>3</v>
      </c>
      <c r="C530">
        <v>0</v>
      </c>
      <c r="D530">
        <v>0</v>
      </c>
      <c r="E530">
        <v>13</v>
      </c>
      <c r="F530">
        <v>4</v>
      </c>
      <c r="G530">
        <v>1</v>
      </c>
      <c r="H530">
        <f>표3[[#This Row],[공격성공횟수]]/(표3[[#This Row],[공격실패횟수]]+표3[[#This Row],[공격성공횟수]])</f>
        <v>0</v>
      </c>
    </row>
    <row r="531" spans="1:8" hidden="1" x14ac:dyDescent="0.4">
      <c r="A531">
        <v>265</v>
      </c>
      <c r="B531" t="s">
        <v>1</v>
      </c>
      <c r="C531">
        <v>1</v>
      </c>
      <c r="D531">
        <v>4</v>
      </c>
      <c r="E531">
        <v>11</v>
      </c>
      <c r="F531">
        <v>0</v>
      </c>
      <c r="G531">
        <v>0</v>
      </c>
      <c r="H531">
        <f>표3[[#This Row],[공격성공횟수]]/(표3[[#This Row],[공격실패횟수]]+표3[[#This Row],[공격성공횟수]])</f>
        <v>0.26666666666666666</v>
      </c>
    </row>
    <row r="532" spans="1:8" x14ac:dyDescent="0.4">
      <c r="A532">
        <v>266</v>
      </c>
      <c r="B532" t="s">
        <v>3</v>
      </c>
      <c r="C532">
        <v>1</v>
      </c>
      <c r="D532">
        <v>4</v>
      </c>
      <c r="E532">
        <v>5</v>
      </c>
      <c r="F532">
        <v>0</v>
      </c>
      <c r="G532">
        <v>0</v>
      </c>
      <c r="H532">
        <f>표3[[#This Row],[공격성공횟수]]/(표3[[#This Row],[공격실패횟수]]+표3[[#This Row],[공격성공횟수]])</f>
        <v>0.44444444444444442</v>
      </c>
    </row>
    <row r="533" spans="1:8" hidden="1" x14ac:dyDescent="0.4">
      <c r="A533">
        <v>266</v>
      </c>
      <c r="B533" t="s">
        <v>1</v>
      </c>
      <c r="C533">
        <v>0</v>
      </c>
      <c r="D533">
        <v>0</v>
      </c>
      <c r="E533">
        <v>7</v>
      </c>
      <c r="F533">
        <v>4</v>
      </c>
      <c r="G533">
        <v>1</v>
      </c>
      <c r="H533">
        <f>표3[[#This Row],[공격성공횟수]]/(표3[[#This Row],[공격실패횟수]]+표3[[#This Row],[공격성공횟수]])</f>
        <v>0</v>
      </c>
    </row>
    <row r="534" spans="1:8" x14ac:dyDescent="0.4">
      <c r="A534">
        <v>267</v>
      </c>
      <c r="B534" t="s">
        <v>3</v>
      </c>
      <c r="C534">
        <v>1</v>
      </c>
      <c r="D534">
        <v>4</v>
      </c>
      <c r="E534">
        <v>23</v>
      </c>
      <c r="F534">
        <v>1</v>
      </c>
      <c r="G534">
        <v>0</v>
      </c>
      <c r="H534">
        <f>표3[[#This Row],[공격성공횟수]]/(표3[[#This Row],[공격실패횟수]]+표3[[#This Row],[공격성공횟수]])</f>
        <v>0.14814814814814814</v>
      </c>
    </row>
    <row r="535" spans="1:8" hidden="1" x14ac:dyDescent="0.4">
      <c r="A535">
        <v>267</v>
      </c>
      <c r="B535" t="s">
        <v>1</v>
      </c>
      <c r="C535">
        <v>0</v>
      </c>
      <c r="D535">
        <v>1</v>
      </c>
      <c r="E535">
        <v>28</v>
      </c>
      <c r="F535">
        <v>4</v>
      </c>
      <c r="G535">
        <v>1</v>
      </c>
      <c r="H535">
        <f>표3[[#This Row],[공격성공횟수]]/(표3[[#This Row],[공격실패횟수]]+표3[[#This Row],[공격성공횟수]])</f>
        <v>3.4482758620689655E-2</v>
      </c>
    </row>
    <row r="536" spans="1:8" x14ac:dyDescent="0.4">
      <c r="A536">
        <v>268</v>
      </c>
      <c r="B536" t="s">
        <v>3</v>
      </c>
      <c r="C536">
        <v>0</v>
      </c>
      <c r="D536">
        <v>3</v>
      </c>
      <c r="E536">
        <v>18</v>
      </c>
      <c r="F536">
        <v>4</v>
      </c>
      <c r="G536">
        <v>1</v>
      </c>
      <c r="H536">
        <f>표3[[#This Row],[공격성공횟수]]/(표3[[#This Row],[공격실패횟수]]+표3[[#This Row],[공격성공횟수]])</f>
        <v>0.14285714285714285</v>
      </c>
    </row>
    <row r="537" spans="1:8" hidden="1" x14ac:dyDescent="0.4">
      <c r="A537">
        <v>268</v>
      </c>
      <c r="B537" t="s">
        <v>1</v>
      </c>
      <c r="C537">
        <v>1</v>
      </c>
      <c r="D537">
        <v>4</v>
      </c>
      <c r="E537">
        <v>18</v>
      </c>
      <c r="F537">
        <v>3</v>
      </c>
      <c r="G537">
        <v>0</v>
      </c>
      <c r="H537">
        <f>표3[[#This Row],[공격성공횟수]]/(표3[[#This Row],[공격실패횟수]]+표3[[#This Row],[공격성공횟수]])</f>
        <v>0.18181818181818182</v>
      </c>
    </row>
    <row r="538" spans="1:8" x14ac:dyDescent="0.4">
      <c r="A538">
        <v>269</v>
      </c>
      <c r="B538" t="s">
        <v>3</v>
      </c>
      <c r="C538">
        <v>1</v>
      </c>
      <c r="D538">
        <v>4</v>
      </c>
      <c r="E538">
        <v>8</v>
      </c>
      <c r="F538">
        <v>1</v>
      </c>
      <c r="G538">
        <v>0</v>
      </c>
      <c r="H538">
        <f>표3[[#This Row],[공격성공횟수]]/(표3[[#This Row],[공격실패횟수]]+표3[[#This Row],[공격성공횟수]])</f>
        <v>0.33333333333333331</v>
      </c>
    </row>
    <row r="539" spans="1:8" hidden="1" x14ac:dyDescent="0.4">
      <c r="A539">
        <v>269</v>
      </c>
      <c r="B539" t="s">
        <v>1</v>
      </c>
      <c r="C539">
        <v>0</v>
      </c>
      <c r="D539">
        <v>1</v>
      </c>
      <c r="E539">
        <v>10</v>
      </c>
      <c r="F539">
        <v>4</v>
      </c>
      <c r="G539">
        <v>1</v>
      </c>
      <c r="H539">
        <f>표3[[#This Row],[공격성공횟수]]/(표3[[#This Row],[공격실패횟수]]+표3[[#This Row],[공격성공횟수]])</f>
        <v>9.0909090909090912E-2</v>
      </c>
    </row>
    <row r="540" spans="1:8" x14ac:dyDescent="0.4">
      <c r="A540">
        <v>270</v>
      </c>
      <c r="B540" t="s">
        <v>3</v>
      </c>
      <c r="C540">
        <v>1</v>
      </c>
      <c r="D540">
        <v>4</v>
      </c>
      <c r="E540">
        <v>7</v>
      </c>
      <c r="F540">
        <v>1</v>
      </c>
      <c r="G540">
        <v>0</v>
      </c>
      <c r="H540">
        <f>표3[[#This Row],[공격성공횟수]]/(표3[[#This Row],[공격실패횟수]]+표3[[#This Row],[공격성공횟수]])</f>
        <v>0.36363636363636365</v>
      </c>
    </row>
    <row r="541" spans="1:8" hidden="1" x14ac:dyDescent="0.4">
      <c r="A541">
        <v>270</v>
      </c>
      <c r="B541" t="s">
        <v>1</v>
      </c>
      <c r="C541">
        <v>0</v>
      </c>
      <c r="D541">
        <v>1</v>
      </c>
      <c r="E541">
        <v>9</v>
      </c>
      <c r="F541">
        <v>4</v>
      </c>
      <c r="G541">
        <v>1</v>
      </c>
      <c r="H541">
        <f>표3[[#This Row],[공격성공횟수]]/(표3[[#This Row],[공격실패횟수]]+표3[[#This Row],[공격성공횟수]])</f>
        <v>0.1</v>
      </c>
    </row>
    <row r="542" spans="1:8" x14ac:dyDescent="0.4">
      <c r="A542">
        <v>271</v>
      </c>
      <c r="B542" t="s">
        <v>3</v>
      </c>
      <c r="C542">
        <v>1</v>
      </c>
      <c r="D542">
        <v>4</v>
      </c>
      <c r="E542">
        <v>17</v>
      </c>
      <c r="F542">
        <v>0</v>
      </c>
      <c r="G542">
        <v>0</v>
      </c>
      <c r="H542">
        <f>표3[[#This Row],[공격성공횟수]]/(표3[[#This Row],[공격실패횟수]]+표3[[#This Row],[공격성공횟수]])</f>
        <v>0.19047619047619047</v>
      </c>
    </row>
    <row r="543" spans="1:8" hidden="1" x14ac:dyDescent="0.4">
      <c r="A543">
        <v>271</v>
      </c>
      <c r="B543" t="s">
        <v>1</v>
      </c>
      <c r="C543">
        <v>0</v>
      </c>
      <c r="D543">
        <v>0</v>
      </c>
      <c r="E543">
        <v>20</v>
      </c>
      <c r="F543">
        <v>4</v>
      </c>
      <c r="G543">
        <v>1</v>
      </c>
      <c r="H543">
        <f>표3[[#This Row],[공격성공횟수]]/(표3[[#This Row],[공격실패횟수]]+표3[[#This Row],[공격성공횟수]])</f>
        <v>0</v>
      </c>
    </row>
    <row r="544" spans="1:8" x14ac:dyDescent="0.4">
      <c r="A544">
        <v>272</v>
      </c>
      <c r="B544" t="s">
        <v>3</v>
      </c>
      <c r="C544">
        <v>1</v>
      </c>
      <c r="D544">
        <v>4</v>
      </c>
      <c r="E544">
        <v>6</v>
      </c>
      <c r="F544">
        <v>0</v>
      </c>
      <c r="G544">
        <v>0</v>
      </c>
      <c r="H544">
        <f>표3[[#This Row],[공격성공횟수]]/(표3[[#This Row],[공격실패횟수]]+표3[[#This Row],[공격성공횟수]])</f>
        <v>0.4</v>
      </c>
    </row>
    <row r="545" spans="1:8" hidden="1" x14ac:dyDescent="0.4">
      <c r="A545">
        <v>272</v>
      </c>
      <c r="B545" t="s">
        <v>1</v>
      </c>
      <c r="C545">
        <v>0</v>
      </c>
      <c r="D545">
        <v>0</v>
      </c>
      <c r="E545">
        <v>10</v>
      </c>
      <c r="F545">
        <v>4</v>
      </c>
      <c r="G545">
        <v>1</v>
      </c>
      <c r="H545">
        <f>표3[[#This Row],[공격성공횟수]]/(표3[[#This Row],[공격실패횟수]]+표3[[#This Row],[공격성공횟수]])</f>
        <v>0</v>
      </c>
    </row>
    <row r="546" spans="1:8" x14ac:dyDescent="0.4">
      <c r="A546">
        <v>273</v>
      </c>
      <c r="B546" t="s">
        <v>3</v>
      </c>
      <c r="C546">
        <v>1</v>
      </c>
      <c r="D546">
        <v>4</v>
      </c>
      <c r="E546">
        <v>8</v>
      </c>
      <c r="F546">
        <v>1</v>
      </c>
      <c r="G546">
        <v>0</v>
      </c>
      <c r="H546">
        <f>표3[[#This Row],[공격성공횟수]]/(표3[[#This Row],[공격실패횟수]]+표3[[#This Row],[공격성공횟수]])</f>
        <v>0.33333333333333331</v>
      </c>
    </row>
    <row r="547" spans="1:8" hidden="1" x14ac:dyDescent="0.4">
      <c r="A547">
        <v>273</v>
      </c>
      <c r="B547" t="s">
        <v>1</v>
      </c>
      <c r="C547">
        <v>0</v>
      </c>
      <c r="D547">
        <v>1</v>
      </c>
      <c r="E547">
        <v>10</v>
      </c>
      <c r="F547">
        <v>4</v>
      </c>
      <c r="G547">
        <v>1</v>
      </c>
      <c r="H547">
        <f>표3[[#This Row],[공격성공횟수]]/(표3[[#This Row],[공격실패횟수]]+표3[[#This Row],[공격성공횟수]])</f>
        <v>9.0909090909090912E-2</v>
      </c>
    </row>
    <row r="548" spans="1:8" x14ac:dyDescent="0.4">
      <c r="A548">
        <v>274</v>
      </c>
      <c r="B548" t="s">
        <v>3</v>
      </c>
      <c r="C548">
        <v>1</v>
      </c>
      <c r="D548">
        <v>4</v>
      </c>
      <c r="E548">
        <v>15</v>
      </c>
      <c r="F548">
        <v>0</v>
      </c>
      <c r="G548">
        <v>0</v>
      </c>
      <c r="H548">
        <f>표3[[#This Row],[공격성공횟수]]/(표3[[#This Row],[공격실패횟수]]+표3[[#This Row],[공격성공횟수]])</f>
        <v>0.21052631578947367</v>
      </c>
    </row>
    <row r="549" spans="1:8" hidden="1" x14ac:dyDescent="0.4">
      <c r="A549">
        <v>274</v>
      </c>
      <c r="B549" t="s">
        <v>1</v>
      </c>
      <c r="C549">
        <v>0</v>
      </c>
      <c r="D549">
        <v>0</v>
      </c>
      <c r="E549">
        <v>19</v>
      </c>
      <c r="F549">
        <v>4</v>
      </c>
      <c r="G549">
        <v>1</v>
      </c>
      <c r="H549">
        <f>표3[[#This Row],[공격성공횟수]]/(표3[[#This Row],[공격실패횟수]]+표3[[#This Row],[공격성공횟수]])</f>
        <v>0</v>
      </c>
    </row>
    <row r="550" spans="1:8" x14ac:dyDescent="0.4">
      <c r="A550">
        <v>275</v>
      </c>
      <c r="B550" t="s">
        <v>3</v>
      </c>
      <c r="C550">
        <v>1</v>
      </c>
      <c r="D550">
        <v>4</v>
      </c>
      <c r="E550">
        <v>22</v>
      </c>
      <c r="F550">
        <v>3</v>
      </c>
      <c r="G550">
        <v>0</v>
      </c>
      <c r="H550">
        <f>표3[[#This Row],[공격성공횟수]]/(표3[[#This Row],[공격실패횟수]]+표3[[#This Row],[공격성공횟수]])</f>
        <v>0.15384615384615385</v>
      </c>
    </row>
    <row r="551" spans="1:8" hidden="1" x14ac:dyDescent="0.4">
      <c r="A551">
        <v>275</v>
      </c>
      <c r="B551" t="s">
        <v>1</v>
      </c>
      <c r="C551">
        <v>0</v>
      </c>
      <c r="D551">
        <v>3</v>
      </c>
      <c r="E551">
        <v>22</v>
      </c>
      <c r="F551">
        <v>4</v>
      </c>
      <c r="G551">
        <v>1</v>
      </c>
      <c r="H551">
        <f>표3[[#This Row],[공격성공횟수]]/(표3[[#This Row],[공격실패횟수]]+표3[[#This Row],[공격성공횟수]])</f>
        <v>0.12</v>
      </c>
    </row>
    <row r="552" spans="1:8" x14ac:dyDescent="0.4">
      <c r="A552">
        <v>276</v>
      </c>
      <c r="B552" t="s">
        <v>3</v>
      </c>
      <c r="C552">
        <v>1</v>
      </c>
      <c r="D552">
        <v>4</v>
      </c>
      <c r="E552">
        <v>19</v>
      </c>
      <c r="F552">
        <v>2</v>
      </c>
      <c r="G552">
        <v>0</v>
      </c>
      <c r="H552">
        <f>표3[[#This Row],[공격성공횟수]]/(표3[[#This Row],[공격실패횟수]]+표3[[#This Row],[공격성공횟수]])</f>
        <v>0.17391304347826086</v>
      </c>
    </row>
    <row r="553" spans="1:8" hidden="1" x14ac:dyDescent="0.4">
      <c r="A553">
        <v>276</v>
      </c>
      <c r="B553" t="s">
        <v>1</v>
      </c>
      <c r="C553">
        <v>0</v>
      </c>
      <c r="D553">
        <v>2</v>
      </c>
      <c r="E553">
        <v>21</v>
      </c>
      <c r="F553">
        <v>4</v>
      </c>
      <c r="G553">
        <v>1</v>
      </c>
      <c r="H553">
        <f>표3[[#This Row],[공격성공횟수]]/(표3[[#This Row],[공격실패횟수]]+표3[[#This Row],[공격성공횟수]])</f>
        <v>8.6956521739130432E-2</v>
      </c>
    </row>
    <row r="554" spans="1:8" x14ac:dyDescent="0.4">
      <c r="A554">
        <v>277</v>
      </c>
      <c r="B554" t="s">
        <v>3</v>
      </c>
      <c r="C554">
        <v>1</v>
      </c>
      <c r="D554">
        <v>4</v>
      </c>
      <c r="E554">
        <v>10</v>
      </c>
      <c r="F554">
        <v>3</v>
      </c>
      <c r="G554">
        <v>0</v>
      </c>
      <c r="H554">
        <f>표3[[#This Row],[공격성공횟수]]/(표3[[#This Row],[공격실패횟수]]+표3[[#This Row],[공격성공횟수]])</f>
        <v>0.2857142857142857</v>
      </c>
    </row>
    <row r="555" spans="1:8" hidden="1" x14ac:dyDescent="0.4">
      <c r="A555">
        <v>277</v>
      </c>
      <c r="B555" t="s">
        <v>1</v>
      </c>
      <c r="C555">
        <v>0</v>
      </c>
      <c r="D555">
        <v>3</v>
      </c>
      <c r="E555">
        <v>10</v>
      </c>
      <c r="F555">
        <v>4</v>
      </c>
      <c r="G555">
        <v>1</v>
      </c>
      <c r="H555">
        <f>표3[[#This Row],[공격성공횟수]]/(표3[[#This Row],[공격실패횟수]]+표3[[#This Row],[공격성공횟수]])</f>
        <v>0.23076923076923078</v>
      </c>
    </row>
    <row r="556" spans="1:8" x14ac:dyDescent="0.4">
      <c r="A556">
        <v>278</v>
      </c>
      <c r="B556" t="s">
        <v>3</v>
      </c>
      <c r="C556">
        <v>1</v>
      </c>
      <c r="D556">
        <v>4</v>
      </c>
      <c r="E556">
        <v>20</v>
      </c>
      <c r="F556">
        <v>3</v>
      </c>
      <c r="G556">
        <v>0</v>
      </c>
      <c r="H556">
        <f>표3[[#This Row],[공격성공횟수]]/(표3[[#This Row],[공격실패횟수]]+표3[[#This Row],[공격성공횟수]])</f>
        <v>0.16666666666666666</v>
      </c>
    </row>
    <row r="557" spans="1:8" hidden="1" x14ac:dyDescent="0.4">
      <c r="A557">
        <v>278</v>
      </c>
      <c r="B557" t="s">
        <v>1</v>
      </c>
      <c r="C557">
        <v>0</v>
      </c>
      <c r="D557">
        <v>3</v>
      </c>
      <c r="E557">
        <v>34</v>
      </c>
      <c r="F557">
        <v>4</v>
      </c>
      <c r="G557">
        <v>1</v>
      </c>
      <c r="H557">
        <f>표3[[#This Row],[공격성공횟수]]/(표3[[#This Row],[공격실패횟수]]+표3[[#This Row],[공격성공횟수]])</f>
        <v>8.1081081081081086E-2</v>
      </c>
    </row>
    <row r="558" spans="1:8" x14ac:dyDescent="0.4">
      <c r="A558">
        <v>279</v>
      </c>
      <c r="B558" t="s">
        <v>3</v>
      </c>
      <c r="C558">
        <v>0</v>
      </c>
      <c r="D558">
        <v>1</v>
      </c>
      <c r="E558">
        <v>19</v>
      </c>
      <c r="F558">
        <v>4</v>
      </c>
      <c r="G558">
        <v>1</v>
      </c>
      <c r="H558">
        <f>표3[[#This Row],[공격성공횟수]]/(표3[[#This Row],[공격실패횟수]]+표3[[#This Row],[공격성공횟수]])</f>
        <v>0.05</v>
      </c>
    </row>
    <row r="559" spans="1:8" hidden="1" x14ac:dyDescent="0.4">
      <c r="A559">
        <v>279</v>
      </c>
      <c r="B559" t="s">
        <v>1</v>
      </c>
      <c r="C559">
        <v>1</v>
      </c>
      <c r="D559">
        <v>4</v>
      </c>
      <c r="E559">
        <v>17</v>
      </c>
      <c r="F559">
        <v>1</v>
      </c>
      <c r="G559">
        <v>0</v>
      </c>
      <c r="H559">
        <f>표3[[#This Row],[공격성공횟수]]/(표3[[#This Row],[공격실패횟수]]+표3[[#This Row],[공격성공횟수]])</f>
        <v>0.19047619047619047</v>
      </c>
    </row>
    <row r="560" spans="1:8" x14ac:dyDescent="0.4">
      <c r="A560">
        <v>280</v>
      </c>
      <c r="B560" t="s">
        <v>3</v>
      </c>
      <c r="C560">
        <v>1</v>
      </c>
      <c r="D560">
        <v>4</v>
      </c>
      <c r="E560">
        <v>10</v>
      </c>
      <c r="F560">
        <v>1</v>
      </c>
      <c r="G560">
        <v>0</v>
      </c>
      <c r="H560">
        <f>표3[[#This Row],[공격성공횟수]]/(표3[[#This Row],[공격실패횟수]]+표3[[#This Row],[공격성공횟수]])</f>
        <v>0.2857142857142857</v>
      </c>
    </row>
    <row r="561" spans="1:8" hidden="1" x14ac:dyDescent="0.4">
      <c r="A561">
        <v>280</v>
      </c>
      <c r="B561" t="s">
        <v>1</v>
      </c>
      <c r="C561">
        <v>0</v>
      </c>
      <c r="D561">
        <v>1</v>
      </c>
      <c r="E561">
        <v>12</v>
      </c>
      <c r="F561">
        <v>4</v>
      </c>
      <c r="G561">
        <v>1</v>
      </c>
      <c r="H561">
        <f>표3[[#This Row],[공격성공횟수]]/(표3[[#This Row],[공격실패횟수]]+표3[[#This Row],[공격성공횟수]])</f>
        <v>7.6923076923076927E-2</v>
      </c>
    </row>
    <row r="562" spans="1:8" x14ac:dyDescent="0.4">
      <c r="A562">
        <v>281</v>
      </c>
      <c r="B562" t="s">
        <v>3</v>
      </c>
      <c r="C562">
        <v>1</v>
      </c>
      <c r="D562">
        <v>4</v>
      </c>
      <c r="E562">
        <v>3</v>
      </c>
      <c r="F562">
        <v>0</v>
      </c>
      <c r="G562">
        <v>0</v>
      </c>
      <c r="H562">
        <f>표3[[#This Row],[공격성공횟수]]/(표3[[#This Row],[공격실패횟수]]+표3[[#This Row],[공격성공횟수]])</f>
        <v>0.5714285714285714</v>
      </c>
    </row>
    <row r="563" spans="1:8" hidden="1" x14ac:dyDescent="0.4">
      <c r="A563">
        <v>281</v>
      </c>
      <c r="B563" t="s">
        <v>1</v>
      </c>
      <c r="C563">
        <v>0</v>
      </c>
      <c r="D563">
        <v>0</v>
      </c>
      <c r="E563">
        <v>6</v>
      </c>
      <c r="F563">
        <v>4</v>
      </c>
      <c r="G563">
        <v>1</v>
      </c>
      <c r="H563">
        <f>표3[[#This Row],[공격성공횟수]]/(표3[[#This Row],[공격실패횟수]]+표3[[#This Row],[공격성공횟수]])</f>
        <v>0</v>
      </c>
    </row>
    <row r="564" spans="1:8" x14ac:dyDescent="0.4">
      <c r="A564">
        <v>282</v>
      </c>
      <c r="B564" t="s">
        <v>3</v>
      </c>
      <c r="C564">
        <v>1</v>
      </c>
      <c r="D564">
        <v>4</v>
      </c>
      <c r="E564">
        <v>6</v>
      </c>
      <c r="F564">
        <v>1</v>
      </c>
      <c r="G564">
        <v>0</v>
      </c>
      <c r="H564">
        <f>표3[[#This Row],[공격성공횟수]]/(표3[[#This Row],[공격실패횟수]]+표3[[#This Row],[공격성공횟수]])</f>
        <v>0.4</v>
      </c>
    </row>
    <row r="565" spans="1:8" hidden="1" x14ac:dyDescent="0.4">
      <c r="A565">
        <v>282</v>
      </c>
      <c r="B565" t="s">
        <v>1</v>
      </c>
      <c r="C565">
        <v>0</v>
      </c>
      <c r="D565">
        <v>1</v>
      </c>
      <c r="E565">
        <v>9</v>
      </c>
      <c r="F565">
        <v>4</v>
      </c>
      <c r="G565">
        <v>1</v>
      </c>
      <c r="H565">
        <f>표3[[#This Row],[공격성공횟수]]/(표3[[#This Row],[공격실패횟수]]+표3[[#This Row],[공격성공횟수]])</f>
        <v>0.1</v>
      </c>
    </row>
    <row r="566" spans="1:8" x14ac:dyDescent="0.4">
      <c r="A566">
        <v>283</v>
      </c>
      <c r="B566" t="s">
        <v>3</v>
      </c>
      <c r="C566">
        <v>0</v>
      </c>
      <c r="D566">
        <v>1</v>
      </c>
      <c r="E566">
        <v>34</v>
      </c>
      <c r="F566">
        <v>4</v>
      </c>
      <c r="G566">
        <v>1</v>
      </c>
      <c r="H566">
        <f>표3[[#This Row],[공격성공횟수]]/(표3[[#This Row],[공격실패횟수]]+표3[[#This Row],[공격성공횟수]])</f>
        <v>2.8571428571428571E-2</v>
      </c>
    </row>
    <row r="567" spans="1:8" hidden="1" x14ac:dyDescent="0.4">
      <c r="A567">
        <v>283</v>
      </c>
      <c r="B567" t="s">
        <v>1</v>
      </c>
      <c r="C567">
        <v>1</v>
      </c>
      <c r="D567">
        <v>4</v>
      </c>
      <c r="E567">
        <v>36</v>
      </c>
      <c r="F567">
        <v>1</v>
      </c>
      <c r="G567">
        <v>0</v>
      </c>
      <c r="H567">
        <f>표3[[#This Row],[공격성공횟수]]/(표3[[#This Row],[공격실패횟수]]+표3[[#This Row],[공격성공횟수]])</f>
        <v>0.1</v>
      </c>
    </row>
    <row r="568" spans="1:8" x14ac:dyDescent="0.4">
      <c r="A568">
        <v>284</v>
      </c>
      <c r="B568" t="s">
        <v>3</v>
      </c>
      <c r="C568">
        <v>1</v>
      </c>
      <c r="D568">
        <v>4</v>
      </c>
      <c r="E568">
        <v>25</v>
      </c>
      <c r="F568">
        <v>3</v>
      </c>
      <c r="G568">
        <v>0</v>
      </c>
      <c r="H568">
        <f>표3[[#This Row],[공격성공횟수]]/(표3[[#This Row],[공격실패횟수]]+표3[[#This Row],[공격성공횟수]])</f>
        <v>0.13793103448275862</v>
      </c>
    </row>
    <row r="569" spans="1:8" hidden="1" x14ac:dyDescent="0.4">
      <c r="A569">
        <v>284</v>
      </c>
      <c r="B569" t="s">
        <v>1</v>
      </c>
      <c r="C569">
        <v>0</v>
      </c>
      <c r="D569">
        <v>3</v>
      </c>
      <c r="E569">
        <v>25</v>
      </c>
      <c r="F569">
        <v>4</v>
      </c>
      <c r="G569">
        <v>1</v>
      </c>
      <c r="H569">
        <f>표3[[#This Row],[공격성공횟수]]/(표3[[#This Row],[공격실패횟수]]+표3[[#This Row],[공격성공횟수]])</f>
        <v>0.10714285714285714</v>
      </c>
    </row>
    <row r="570" spans="1:8" x14ac:dyDescent="0.4">
      <c r="A570">
        <v>285</v>
      </c>
      <c r="B570" t="s">
        <v>3</v>
      </c>
      <c r="C570">
        <v>1</v>
      </c>
      <c r="D570">
        <v>4</v>
      </c>
      <c r="E570">
        <v>2</v>
      </c>
      <c r="F570">
        <v>0</v>
      </c>
      <c r="G570">
        <v>0</v>
      </c>
      <c r="H570">
        <f>표3[[#This Row],[공격성공횟수]]/(표3[[#This Row],[공격실패횟수]]+표3[[#This Row],[공격성공횟수]])</f>
        <v>0.66666666666666663</v>
      </c>
    </row>
    <row r="571" spans="1:8" hidden="1" x14ac:dyDescent="0.4">
      <c r="A571">
        <v>285</v>
      </c>
      <c r="B571" t="s">
        <v>1</v>
      </c>
      <c r="C571">
        <v>0</v>
      </c>
      <c r="D571">
        <v>0</v>
      </c>
      <c r="E571">
        <v>6</v>
      </c>
      <c r="F571">
        <v>4</v>
      </c>
      <c r="G571">
        <v>1</v>
      </c>
      <c r="H571">
        <f>표3[[#This Row],[공격성공횟수]]/(표3[[#This Row],[공격실패횟수]]+표3[[#This Row],[공격성공횟수]])</f>
        <v>0</v>
      </c>
    </row>
    <row r="572" spans="1:8" x14ac:dyDescent="0.4">
      <c r="A572">
        <v>286</v>
      </c>
      <c r="B572" t="s">
        <v>3</v>
      </c>
      <c r="C572">
        <v>1</v>
      </c>
      <c r="D572">
        <v>4</v>
      </c>
      <c r="E572">
        <v>7</v>
      </c>
      <c r="F572">
        <v>0</v>
      </c>
      <c r="G572">
        <v>0</v>
      </c>
      <c r="H572">
        <f>표3[[#This Row],[공격성공횟수]]/(표3[[#This Row],[공격실패횟수]]+표3[[#This Row],[공격성공횟수]])</f>
        <v>0.36363636363636365</v>
      </c>
    </row>
    <row r="573" spans="1:8" hidden="1" x14ac:dyDescent="0.4">
      <c r="A573">
        <v>286</v>
      </c>
      <c r="B573" t="s">
        <v>1</v>
      </c>
      <c r="C573">
        <v>0</v>
      </c>
      <c r="D573">
        <v>0</v>
      </c>
      <c r="E573">
        <v>11</v>
      </c>
      <c r="F573">
        <v>4</v>
      </c>
      <c r="G573">
        <v>1</v>
      </c>
      <c r="H573">
        <f>표3[[#This Row],[공격성공횟수]]/(표3[[#This Row],[공격실패횟수]]+표3[[#This Row],[공격성공횟수]])</f>
        <v>0</v>
      </c>
    </row>
    <row r="574" spans="1:8" x14ac:dyDescent="0.4">
      <c r="A574">
        <v>287</v>
      </c>
      <c r="B574" t="s">
        <v>3</v>
      </c>
      <c r="C574">
        <v>1</v>
      </c>
      <c r="D574">
        <v>4</v>
      </c>
      <c r="E574">
        <v>19</v>
      </c>
      <c r="F574">
        <v>1</v>
      </c>
      <c r="G574">
        <v>0</v>
      </c>
      <c r="H574">
        <f>표3[[#This Row],[공격성공횟수]]/(표3[[#This Row],[공격실패횟수]]+표3[[#This Row],[공격성공횟수]])</f>
        <v>0.17391304347826086</v>
      </c>
    </row>
    <row r="575" spans="1:8" hidden="1" x14ac:dyDescent="0.4">
      <c r="A575">
        <v>287</v>
      </c>
      <c r="B575" t="s">
        <v>1</v>
      </c>
      <c r="C575">
        <v>0</v>
      </c>
      <c r="D575">
        <v>1</v>
      </c>
      <c r="E575">
        <v>21</v>
      </c>
      <c r="F575">
        <v>4</v>
      </c>
      <c r="G575">
        <v>1</v>
      </c>
      <c r="H575">
        <f>표3[[#This Row],[공격성공횟수]]/(표3[[#This Row],[공격실패횟수]]+표3[[#This Row],[공격성공횟수]])</f>
        <v>4.5454545454545456E-2</v>
      </c>
    </row>
    <row r="576" spans="1:8" x14ac:dyDescent="0.4">
      <c r="A576">
        <v>288</v>
      </c>
      <c r="B576" t="s">
        <v>3</v>
      </c>
      <c r="C576">
        <v>1</v>
      </c>
      <c r="D576">
        <v>4</v>
      </c>
      <c r="E576">
        <v>15</v>
      </c>
      <c r="F576">
        <v>2</v>
      </c>
      <c r="G576">
        <v>0</v>
      </c>
      <c r="H576">
        <f>표3[[#This Row],[공격성공횟수]]/(표3[[#This Row],[공격실패횟수]]+표3[[#This Row],[공격성공횟수]])</f>
        <v>0.21052631578947367</v>
      </c>
    </row>
    <row r="577" spans="1:8" hidden="1" x14ac:dyDescent="0.4">
      <c r="A577">
        <v>288</v>
      </c>
      <c r="B577" t="s">
        <v>1</v>
      </c>
      <c r="C577">
        <v>0</v>
      </c>
      <c r="D577">
        <v>2</v>
      </c>
      <c r="E577">
        <v>17</v>
      </c>
      <c r="F577">
        <v>4</v>
      </c>
      <c r="G577">
        <v>1</v>
      </c>
      <c r="H577">
        <f>표3[[#This Row],[공격성공횟수]]/(표3[[#This Row],[공격실패횟수]]+표3[[#This Row],[공격성공횟수]])</f>
        <v>0.10526315789473684</v>
      </c>
    </row>
    <row r="578" spans="1:8" x14ac:dyDescent="0.4">
      <c r="A578">
        <v>289</v>
      </c>
      <c r="B578" t="s">
        <v>3</v>
      </c>
      <c r="C578">
        <v>0</v>
      </c>
      <c r="D578">
        <v>2</v>
      </c>
      <c r="E578">
        <v>19</v>
      </c>
      <c r="F578">
        <v>4</v>
      </c>
      <c r="G578">
        <v>1</v>
      </c>
      <c r="H578">
        <f>표3[[#This Row],[공격성공횟수]]/(표3[[#This Row],[공격실패횟수]]+표3[[#This Row],[공격성공횟수]])</f>
        <v>9.5238095238095233E-2</v>
      </c>
    </row>
    <row r="579" spans="1:8" hidden="1" x14ac:dyDescent="0.4">
      <c r="A579">
        <v>289</v>
      </c>
      <c r="B579" t="s">
        <v>1</v>
      </c>
      <c r="C579">
        <v>1</v>
      </c>
      <c r="D579">
        <v>4</v>
      </c>
      <c r="E579">
        <v>23</v>
      </c>
      <c r="F579">
        <v>2</v>
      </c>
      <c r="G579">
        <v>0</v>
      </c>
      <c r="H579">
        <f>표3[[#This Row],[공격성공횟수]]/(표3[[#This Row],[공격실패횟수]]+표3[[#This Row],[공격성공횟수]])</f>
        <v>0.14814814814814814</v>
      </c>
    </row>
    <row r="580" spans="1:8" x14ac:dyDescent="0.4">
      <c r="A580">
        <v>290</v>
      </c>
      <c r="B580" t="s">
        <v>3</v>
      </c>
      <c r="C580">
        <v>1</v>
      </c>
      <c r="D580">
        <v>4</v>
      </c>
      <c r="E580">
        <v>12</v>
      </c>
      <c r="F580">
        <v>0</v>
      </c>
      <c r="G580">
        <v>0</v>
      </c>
      <c r="H580">
        <f>표3[[#This Row],[공격성공횟수]]/(표3[[#This Row],[공격실패횟수]]+표3[[#This Row],[공격성공횟수]])</f>
        <v>0.25</v>
      </c>
    </row>
    <row r="581" spans="1:8" hidden="1" x14ac:dyDescent="0.4">
      <c r="A581">
        <v>290</v>
      </c>
      <c r="B581" t="s">
        <v>1</v>
      </c>
      <c r="C581">
        <v>0</v>
      </c>
      <c r="D581">
        <v>0</v>
      </c>
      <c r="E581">
        <v>15</v>
      </c>
      <c r="F581">
        <v>4</v>
      </c>
      <c r="G581">
        <v>1</v>
      </c>
      <c r="H581">
        <f>표3[[#This Row],[공격성공횟수]]/(표3[[#This Row],[공격실패횟수]]+표3[[#This Row],[공격성공횟수]])</f>
        <v>0</v>
      </c>
    </row>
    <row r="582" spans="1:8" x14ac:dyDescent="0.4">
      <c r="A582">
        <v>291</v>
      </c>
      <c r="B582" t="s">
        <v>3</v>
      </c>
      <c r="C582">
        <v>0</v>
      </c>
      <c r="D582">
        <v>0</v>
      </c>
      <c r="E582">
        <v>11</v>
      </c>
      <c r="F582">
        <v>4</v>
      </c>
      <c r="G582">
        <v>1</v>
      </c>
      <c r="H582">
        <f>표3[[#This Row],[공격성공횟수]]/(표3[[#This Row],[공격실패횟수]]+표3[[#This Row],[공격성공횟수]])</f>
        <v>0</v>
      </c>
    </row>
    <row r="583" spans="1:8" hidden="1" x14ac:dyDescent="0.4">
      <c r="A583">
        <v>291</v>
      </c>
      <c r="B583" t="s">
        <v>1</v>
      </c>
      <c r="C583">
        <v>1</v>
      </c>
      <c r="D583">
        <v>4</v>
      </c>
      <c r="E583">
        <v>9</v>
      </c>
      <c r="F583">
        <v>0</v>
      </c>
      <c r="G583">
        <v>0</v>
      </c>
      <c r="H583">
        <f>표3[[#This Row],[공격성공횟수]]/(표3[[#This Row],[공격실패횟수]]+표3[[#This Row],[공격성공횟수]])</f>
        <v>0.30769230769230771</v>
      </c>
    </row>
    <row r="584" spans="1:8" x14ac:dyDescent="0.4">
      <c r="A584">
        <v>292</v>
      </c>
      <c r="B584" t="s">
        <v>3</v>
      </c>
      <c r="C584">
        <v>1</v>
      </c>
      <c r="D584">
        <v>4</v>
      </c>
      <c r="E584">
        <v>28</v>
      </c>
      <c r="F584">
        <v>0</v>
      </c>
      <c r="G584">
        <v>0</v>
      </c>
      <c r="H584">
        <f>표3[[#This Row],[공격성공횟수]]/(표3[[#This Row],[공격실패횟수]]+표3[[#This Row],[공격성공횟수]])</f>
        <v>0.125</v>
      </c>
    </row>
    <row r="585" spans="1:8" hidden="1" x14ac:dyDescent="0.4">
      <c r="A585">
        <v>292</v>
      </c>
      <c r="B585" t="s">
        <v>1</v>
      </c>
      <c r="C585">
        <v>0</v>
      </c>
      <c r="D585">
        <v>0</v>
      </c>
      <c r="E585">
        <v>32</v>
      </c>
      <c r="F585">
        <v>4</v>
      </c>
      <c r="G585">
        <v>1</v>
      </c>
      <c r="H585">
        <f>표3[[#This Row],[공격성공횟수]]/(표3[[#This Row],[공격실패횟수]]+표3[[#This Row],[공격성공횟수]])</f>
        <v>0</v>
      </c>
    </row>
    <row r="586" spans="1:8" x14ac:dyDescent="0.4">
      <c r="A586">
        <v>293</v>
      </c>
      <c r="B586" t="s">
        <v>3</v>
      </c>
      <c r="C586">
        <v>1</v>
      </c>
      <c r="D586">
        <v>4</v>
      </c>
      <c r="E586">
        <v>6</v>
      </c>
      <c r="F586">
        <v>1</v>
      </c>
      <c r="G586">
        <v>0</v>
      </c>
      <c r="H586">
        <f>표3[[#This Row],[공격성공횟수]]/(표3[[#This Row],[공격실패횟수]]+표3[[#This Row],[공격성공횟수]])</f>
        <v>0.4</v>
      </c>
    </row>
    <row r="587" spans="1:8" hidden="1" x14ac:dyDescent="0.4">
      <c r="A587">
        <v>293</v>
      </c>
      <c r="B587" t="s">
        <v>1</v>
      </c>
      <c r="C587">
        <v>0</v>
      </c>
      <c r="D587">
        <v>1</v>
      </c>
      <c r="E587">
        <v>9</v>
      </c>
      <c r="F587">
        <v>4</v>
      </c>
      <c r="G587">
        <v>1</v>
      </c>
      <c r="H587">
        <f>표3[[#This Row],[공격성공횟수]]/(표3[[#This Row],[공격실패횟수]]+표3[[#This Row],[공격성공횟수]])</f>
        <v>0.1</v>
      </c>
    </row>
    <row r="588" spans="1:8" x14ac:dyDescent="0.4">
      <c r="A588">
        <v>294</v>
      </c>
      <c r="B588" t="s">
        <v>3</v>
      </c>
      <c r="C588">
        <v>0</v>
      </c>
      <c r="D588">
        <v>0</v>
      </c>
      <c r="E588">
        <v>13</v>
      </c>
      <c r="F588">
        <v>4</v>
      </c>
      <c r="G588">
        <v>1</v>
      </c>
      <c r="H588">
        <f>표3[[#This Row],[공격성공횟수]]/(표3[[#This Row],[공격실패횟수]]+표3[[#This Row],[공격성공횟수]])</f>
        <v>0</v>
      </c>
    </row>
    <row r="589" spans="1:8" hidden="1" x14ac:dyDescent="0.4">
      <c r="A589">
        <v>294</v>
      </c>
      <c r="B589" t="s">
        <v>1</v>
      </c>
      <c r="C589">
        <v>1</v>
      </c>
      <c r="D589">
        <v>4</v>
      </c>
      <c r="E589">
        <v>17</v>
      </c>
      <c r="F589">
        <v>0</v>
      </c>
      <c r="G589">
        <v>0</v>
      </c>
      <c r="H589">
        <f>표3[[#This Row],[공격성공횟수]]/(표3[[#This Row],[공격실패횟수]]+표3[[#This Row],[공격성공횟수]])</f>
        <v>0.19047619047619047</v>
      </c>
    </row>
    <row r="590" spans="1:8" x14ac:dyDescent="0.4">
      <c r="A590">
        <v>295</v>
      </c>
      <c r="B590" t="s">
        <v>3</v>
      </c>
      <c r="C590">
        <v>1</v>
      </c>
      <c r="D590">
        <v>4</v>
      </c>
      <c r="E590">
        <v>17</v>
      </c>
      <c r="F590">
        <v>3</v>
      </c>
      <c r="G590">
        <v>0</v>
      </c>
      <c r="H590">
        <f>표3[[#This Row],[공격성공횟수]]/(표3[[#This Row],[공격실패횟수]]+표3[[#This Row],[공격성공횟수]])</f>
        <v>0.19047619047619047</v>
      </c>
    </row>
    <row r="591" spans="1:8" hidden="1" x14ac:dyDescent="0.4">
      <c r="A591">
        <v>295</v>
      </c>
      <c r="B591" t="s">
        <v>1</v>
      </c>
      <c r="C591">
        <v>0</v>
      </c>
      <c r="D591">
        <v>3</v>
      </c>
      <c r="E591">
        <v>22</v>
      </c>
      <c r="F591">
        <v>4</v>
      </c>
      <c r="G591">
        <v>1</v>
      </c>
      <c r="H591">
        <f>표3[[#This Row],[공격성공횟수]]/(표3[[#This Row],[공격실패횟수]]+표3[[#This Row],[공격성공횟수]])</f>
        <v>0.12</v>
      </c>
    </row>
    <row r="592" spans="1:8" x14ac:dyDescent="0.4">
      <c r="A592">
        <v>296</v>
      </c>
      <c r="B592" t="s">
        <v>3</v>
      </c>
      <c r="C592">
        <v>1</v>
      </c>
      <c r="D592">
        <v>4</v>
      </c>
      <c r="E592">
        <v>12</v>
      </c>
      <c r="F592">
        <v>0</v>
      </c>
      <c r="G592">
        <v>0</v>
      </c>
      <c r="H592">
        <f>표3[[#This Row],[공격성공횟수]]/(표3[[#This Row],[공격실패횟수]]+표3[[#This Row],[공격성공횟수]])</f>
        <v>0.25</v>
      </c>
    </row>
    <row r="593" spans="1:8" hidden="1" x14ac:dyDescent="0.4">
      <c r="A593">
        <v>296</v>
      </c>
      <c r="B593" t="s">
        <v>1</v>
      </c>
      <c r="C593">
        <v>0</v>
      </c>
      <c r="D593">
        <v>0</v>
      </c>
      <c r="E593">
        <v>15</v>
      </c>
      <c r="F593">
        <v>4</v>
      </c>
      <c r="G593">
        <v>1</v>
      </c>
      <c r="H593">
        <f>표3[[#This Row],[공격성공횟수]]/(표3[[#This Row],[공격실패횟수]]+표3[[#This Row],[공격성공횟수]])</f>
        <v>0</v>
      </c>
    </row>
    <row r="594" spans="1:8" x14ac:dyDescent="0.4">
      <c r="A594">
        <v>297</v>
      </c>
      <c r="B594" t="s">
        <v>3</v>
      </c>
      <c r="C594">
        <v>1</v>
      </c>
      <c r="D594">
        <v>4</v>
      </c>
      <c r="E594">
        <v>6</v>
      </c>
      <c r="F594">
        <v>0</v>
      </c>
      <c r="G594">
        <v>0</v>
      </c>
      <c r="H594">
        <f>표3[[#This Row],[공격성공횟수]]/(표3[[#This Row],[공격실패횟수]]+표3[[#This Row],[공격성공횟수]])</f>
        <v>0.4</v>
      </c>
    </row>
    <row r="595" spans="1:8" hidden="1" x14ac:dyDescent="0.4">
      <c r="A595">
        <v>297</v>
      </c>
      <c r="B595" t="s">
        <v>1</v>
      </c>
      <c r="C595">
        <v>0</v>
      </c>
      <c r="D595">
        <v>0</v>
      </c>
      <c r="E595">
        <v>10</v>
      </c>
      <c r="F595">
        <v>4</v>
      </c>
      <c r="G595">
        <v>1</v>
      </c>
      <c r="H595">
        <f>표3[[#This Row],[공격성공횟수]]/(표3[[#This Row],[공격실패횟수]]+표3[[#This Row],[공격성공횟수]])</f>
        <v>0</v>
      </c>
    </row>
    <row r="596" spans="1:8" x14ac:dyDescent="0.4">
      <c r="A596">
        <v>298</v>
      </c>
      <c r="B596" t="s">
        <v>3</v>
      </c>
      <c r="C596">
        <v>0</v>
      </c>
      <c r="D596">
        <v>0</v>
      </c>
      <c r="E596">
        <v>18</v>
      </c>
      <c r="F596">
        <v>4</v>
      </c>
      <c r="G596">
        <v>1</v>
      </c>
      <c r="H596">
        <f>표3[[#This Row],[공격성공횟수]]/(표3[[#This Row],[공격실패횟수]]+표3[[#This Row],[공격성공횟수]])</f>
        <v>0</v>
      </c>
    </row>
    <row r="597" spans="1:8" hidden="1" x14ac:dyDescent="0.4">
      <c r="A597">
        <v>298</v>
      </c>
      <c r="B597" t="s">
        <v>1</v>
      </c>
      <c r="C597">
        <v>1</v>
      </c>
      <c r="D597">
        <v>4</v>
      </c>
      <c r="E597">
        <v>14</v>
      </c>
      <c r="F597">
        <v>0</v>
      </c>
      <c r="G597">
        <v>0</v>
      </c>
      <c r="H597">
        <f>표3[[#This Row],[공격성공횟수]]/(표3[[#This Row],[공격실패횟수]]+표3[[#This Row],[공격성공횟수]])</f>
        <v>0.22222222222222221</v>
      </c>
    </row>
    <row r="598" spans="1:8" x14ac:dyDescent="0.4">
      <c r="A598">
        <v>299</v>
      </c>
      <c r="B598" t="s">
        <v>3</v>
      </c>
      <c r="C598">
        <v>1</v>
      </c>
      <c r="D598">
        <v>4</v>
      </c>
      <c r="E598">
        <v>6</v>
      </c>
      <c r="F598">
        <v>2</v>
      </c>
      <c r="G598">
        <v>0</v>
      </c>
      <c r="H598">
        <f>표3[[#This Row],[공격성공횟수]]/(표3[[#This Row],[공격실패횟수]]+표3[[#This Row],[공격성공횟수]])</f>
        <v>0.4</v>
      </c>
    </row>
    <row r="599" spans="1:8" hidden="1" x14ac:dyDescent="0.4">
      <c r="A599">
        <v>299</v>
      </c>
      <c r="B599" t="s">
        <v>1</v>
      </c>
      <c r="C599">
        <v>0</v>
      </c>
      <c r="D599">
        <v>2</v>
      </c>
      <c r="E599">
        <v>7</v>
      </c>
      <c r="F599">
        <v>4</v>
      </c>
      <c r="G599">
        <v>1</v>
      </c>
      <c r="H599">
        <f>표3[[#This Row],[공격성공횟수]]/(표3[[#This Row],[공격실패횟수]]+표3[[#This Row],[공격성공횟수]])</f>
        <v>0.22222222222222221</v>
      </c>
    </row>
    <row r="600" spans="1:8" x14ac:dyDescent="0.4">
      <c r="A600">
        <v>300</v>
      </c>
      <c r="B600" t="s">
        <v>3</v>
      </c>
      <c r="C600">
        <v>1</v>
      </c>
      <c r="D600">
        <v>4</v>
      </c>
      <c r="E600">
        <v>21</v>
      </c>
      <c r="F600">
        <v>2</v>
      </c>
      <c r="G600">
        <v>0</v>
      </c>
      <c r="H600">
        <f>표3[[#This Row],[공격성공횟수]]/(표3[[#This Row],[공격실패횟수]]+표3[[#This Row],[공격성공횟수]])</f>
        <v>0.16</v>
      </c>
    </row>
    <row r="601" spans="1:8" hidden="1" x14ac:dyDescent="0.4">
      <c r="A601">
        <v>300</v>
      </c>
      <c r="B601" t="s">
        <v>1</v>
      </c>
      <c r="C601">
        <v>0</v>
      </c>
      <c r="D601">
        <v>2</v>
      </c>
      <c r="E601">
        <v>22</v>
      </c>
      <c r="F601">
        <v>4</v>
      </c>
      <c r="G601">
        <v>1</v>
      </c>
      <c r="H601">
        <f>표3[[#This Row],[공격성공횟수]]/(표3[[#This Row],[공격실패횟수]]+표3[[#This Row],[공격성공횟수]])</f>
        <v>8.3333333333333329E-2</v>
      </c>
    </row>
    <row r="602" spans="1:8" x14ac:dyDescent="0.4">
      <c r="A602">
        <v>301</v>
      </c>
      <c r="B602" t="s">
        <v>3</v>
      </c>
      <c r="C602">
        <v>1</v>
      </c>
      <c r="D602">
        <v>4</v>
      </c>
      <c r="E602">
        <v>9</v>
      </c>
      <c r="F602">
        <v>0</v>
      </c>
      <c r="G602">
        <v>0</v>
      </c>
      <c r="H602">
        <f>표3[[#This Row],[공격성공횟수]]/(표3[[#This Row],[공격실패횟수]]+표3[[#This Row],[공격성공횟수]])</f>
        <v>0.30769230769230771</v>
      </c>
    </row>
    <row r="603" spans="1:8" hidden="1" x14ac:dyDescent="0.4">
      <c r="A603">
        <v>301</v>
      </c>
      <c r="B603" t="s">
        <v>1</v>
      </c>
      <c r="C603">
        <v>0</v>
      </c>
      <c r="D603">
        <v>0</v>
      </c>
      <c r="E603">
        <v>12</v>
      </c>
      <c r="F603">
        <v>4</v>
      </c>
      <c r="G603">
        <v>1</v>
      </c>
      <c r="H603">
        <f>표3[[#This Row],[공격성공횟수]]/(표3[[#This Row],[공격실패횟수]]+표3[[#This Row],[공격성공횟수]])</f>
        <v>0</v>
      </c>
    </row>
    <row r="604" spans="1:8" x14ac:dyDescent="0.4">
      <c r="A604">
        <v>302</v>
      </c>
      <c r="B604" t="s">
        <v>3</v>
      </c>
      <c r="C604">
        <v>1</v>
      </c>
      <c r="D604">
        <v>4</v>
      </c>
      <c r="E604">
        <v>35</v>
      </c>
      <c r="F604">
        <v>3</v>
      </c>
      <c r="G604">
        <v>0</v>
      </c>
      <c r="H604">
        <f>표3[[#This Row],[공격성공횟수]]/(표3[[#This Row],[공격실패횟수]]+표3[[#This Row],[공격성공횟수]])</f>
        <v>0.10256410256410256</v>
      </c>
    </row>
    <row r="605" spans="1:8" hidden="1" x14ac:dyDescent="0.4">
      <c r="A605">
        <v>302</v>
      </c>
      <c r="B605" t="s">
        <v>1</v>
      </c>
      <c r="C605">
        <v>0</v>
      </c>
      <c r="D605">
        <v>3</v>
      </c>
      <c r="E605">
        <v>37</v>
      </c>
      <c r="F605">
        <v>4</v>
      </c>
      <c r="G605">
        <v>1</v>
      </c>
      <c r="H605">
        <f>표3[[#This Row],[공격성공횟수]]/(표3[[#This Row],[공격실패횟수]]+표3[[#This Row],[공격성공횟수]])</f>
        <v>7.4999999999999997E-2</v>
      </c>
    </row>
    <row r="606" spans="1:8" x14ac:dyDescent="0.4">
      <c r="A606">
        <v>303</v>
      </c>
      <c r="B606" t="s">
        <v>3</v>
      </c>
      <c r="C606">
        <v>1</v>
      </c>
      <c r="D606">
        <v>4</v>
      </c>
      <c r="E606">
        <v>14</v>
      </c>
      <c r="F606">
        <v>1</v>
      </c>
      <c r="G606">
        <v>0</v>
      </c>
      <c r="H606">
        <f>표3[[#This Row],[공격성공횟수]]/(표3[[#This Row],[공격실패횟수]]+표3[[#This Row],[공격성공횟수]])</f>
        <v>0.22222222222222221</v>
      </c>
    </row>
    <row r="607" spans="1:8" hidden="1" x14ac:dyDescent="0.4">
      <c r="A607">
        <v>303</v>
      </c>
      <c r="B607" t="s">
        <v>1</v>
      </c>
      <c r="C607">
        <v>0</v>
      </c>
      <c r="D607">
        <v>1</v>
      </c>
      <c r="E607">
        <v>35</v>
      </c>
      <c r="F607">
        <v>4</v>
      </c>
      <c r="G607">
        <v>1</v>
      </c>
      <c r="H607">
        <f>표3[[#This Row],[공격성공횟수]]/(표3[[#This Row],[공격실패횟수]]+표3[[#This Row],[공격성공횟수]])</f>
        <v>2.7777777777777776E-2</v>
      </c>
    </row>
    <row r="608" spans="1:8" x14ac:dyDescent="0.4">
      <c r="A608">
        <v>304</v>
      </c>
      <c r="B608" t="s">
        <v>3</v>
      </c>
      <c r="C608">
        <v>0</v>
      </c>
      <c r="D608">
        <v>0</v>
      </c>
      <c r="E608">
        <v>30</v>
      </c>
      <c r="F608">
        <v>4</v>
      </c>
      <c r="G608">
        <v>1</v>
      </c>
      <c r="H608">
        <f>표3[[#This Row],[공격성공횟수]]/(표3[[#This Row],[공격실패횟수]]+표3[[#This Row],[공격성공횟수]])</f>
        <v>0</v>
      </c>
    </row>
    <row r="609" spans="1:8" hidden="1" x14ac:dyDescent="0.4">
      <c r="A609">
        <v>304</v>
      </c>
      <c r="B609" t="s">
        <v>1</v>
      </c>
      <c r="C609">
        <v>1</v>
      </c>
      <c r="D609">
        <v>4</v>
      </c>
      <c r="E609">
        <v>27</v>
      </c>
      <c r="F609">
        <v>0</v>
      </c>
      <c r="G609">
        <v>0</v>
      </c>
      <c r="H609">
        <f>표3[[#This Row],[공격성공횟수]]/(표3[[#This Row],[공격실패횟수]]+표3[[#This Row],[공격성공횟수]])</f>
        <v>0.12903225806451613</v>
      </c>
    </row>
    <row r="610" spans="1:8" x14ac:dyDescent="0.4">
      <c r="A610">
        <v>305</v>
      </c>
      <c r="B610" t="s">
        <v>3</v>
      </c>
      <c r="C610">
        <v>1</v>
      </c>
      <c r="D610">
        <v>4</v>
      </c>
      <c r="E610">
        <v>12</v>
      </c>
      <c r="F610">
        <v>2</v>
      </c>
      <c r="G610">
        <v>0</v>
      </c>
      <c r="H610">
        <f>표3[[#This Row],[공격성공횟수]]/(표3[[#This Row],[공격실패횟수]]+표3[[#This Row],[공격성공횟수]])</f>
        <v>0.25</v>
      </c>
    </row>
    <row r="611" spans="1:8" hidden="1" x14ac:dyDescent="0.4">
      <c r="A611">
        <v>305</v>
      </c>
      <c r="B611" t="s">
        <v>1</v>
      </c>
      <c r="C611">
        <v>0</v>
      </c>
      <c r="D611">
        <v>2</v>
      </c>
      <c r="E611">
        <v>12</v>
      </c>
      <c r="F611">
        <v>4</v>
      </c>
      <c r="G611">
        <v>1</v>
      </c>
      <c r="H611">
        <f>표3[[#This Row],[공격성공횟수]]/(표3[[#This Row],[공격실패횟수]]+표3[[#This Row],[공격성공횟수]])</f>
        <v>0.14285714285714285</v>
      </c>
    </row>
    <row r="612" spans="1:8" x14ac:dyDescent="0.4">
      <c r="A612">
        <v>306</v>
      </c>
      <c r="B612" t="s">
        <v>3</v>
      </c>
      <c r="C612">
        <v>0</v>
      </c>
      <c r="D612">
        <v>2</v>
      </c>
      <c r="E612">
        <v>18</v>
      </c>
      <c r="F612">
        <v>4</v>
      </c>
      <c r="G612">
        <v>1</v>
      </c>
      <c r="H612">
        <f>표3[[#This Row],[공격성공횟수]]/(표3[[#This Row],[공격실패횟수]]+표3[[#This Row],[공격성공횟수]])</f>
        <v>0.1</v>
      </c>
    </row>
    <row r="613" spans="1:8" hidden="1" x14ac:dyDescent="0.4">
      <c r="A613">
        <v>306</v>
      </c>
      <c r="B613" t="s">
        <v>1</v>
      </c>
      <c r="C613">
        <v>1</v>
      </c>
      <c r="D613">
        <v>4</v>
      </c>
      <c r="E613">
        <v>17</v>
      </c>
      <c r="F613">
        <v>2</v>
      </c>
      <c r="G613">
        <v>0</v>
      </c>
      <c r="H613">
        <f>표3[[#This Row],[공격성공횟수]]/(표3[[#This Row],[공격실패횟수]]+표3[[#This Row],[공격성공횟수]])</f>
        <v>0.19047619047619047</v>
      </c>
    </row>
    <row r="614" spans="1:8" x14ac:dyDescent="0.4">
      <c r="A614">
        <v>307</v>
      </c>
      <c r="B614" t="s">
        <v>3</v>
      </c>
      <c r="C614">
        <v>0</v>
      </c>
      <c r="D614">
        <v>1</v>
      </c>
      <c r="E614">
        <v>26</v>
      </c>
      <c r="F614">
        <v>4</v>
      </c>
      <c r="G614">
        <v>1</v>
      </c>
      <c r="H614">
        <f>표3[[#This Row],[공격성공횟수]]/(표3[[#This Row],[공격실패횟수]]+표3[[#This Row],[공격성공횟수]])</f>
        <v>3.7037037037037035E-2</v>
      </c>
    </row>
    <row r="615" spans="1:8" hidden="1" x14ac:dyDescent="0.4">
      <c r="A615">
        <v>307</v>
      </c>
      <c r="B615" t="s">
        <v>1</v>
      </c>
      <c r="C615">
        <v>1</v>
      </c>
      <c r="D615">
        <v>4</v>
      </c>
      <c r="E615">
        <v>23</v>
      </c>
      <c r="F615">
        <v>1</v>
      </c>
      <c r="G615">
        <v>0</v>
      </c>
      <c r="H615">
        <f>표3[[#This Row],[공격성공횟수]]/(표3[[#This Row],[공격실패횟수]]+표3[[#This Row],[공격성공횟수]])</f>
        <v>0.14814814814814814</v>
      </c>
    </row>
    <row r="616" spans="1:8" x14ac:dyDescent="0.4">
      <c r="A616">
        <v>308</v>
      </c>
      <c r="B616" t="s">
        <v>3</v>
      </c>
      <c r="C616">
        <v>1</v>
      </c>
      <c r="D616">
        <v>4</v>
      </c>
      <c r="E616">
        <v>7</v>
      </c>
      <c r="F616">
        <v>2</v>
      </c>
      <c r="G616">
        <v>0</v>
      </c>
      <c r="H616">
        <f>표3[[#This Row],[공격성공횟수]]/(표3[[#This Row],[공격실패횟수]]+표3[[#This Row],[공격성공횟수]])</f>
        <v>0.36363636363636365</v>
      </c>
    </row>
    <row r="617" spans="1:8" hidden="1" x14ac:dyDescent="0.4">
      <c r="A617">
        <v>308</v>
      </c>
      <c r="B617" t="s">
        <v>1</v>
      </c>
      <c r="C617">
        <v>0</v>
      </c>
      <c r="D617">
        <v>2</v>
      </c>
      <c r="E617">
        <v>8</v>
      </c>
      <c r="F617">
        <v>4</v>
      </c>
      <c r="G617">
        <v>1</v>
      </c>
      <c r="H617">
        <f>표3[[#This Row],[공격성공횟수]]/(표3[[#This Row],[공격실패횟수]]+표3[[#This Row],[공격성공횟수]])</f>
        <v>0.2</v>
      </c>
    </row>
    <row r="618" spans="1:8" x14ac:dyDescent="0.4">
      <c r="A618">
        <v>309</v>
      </c>
      <c r="B618" t="s">
        <v>3</v>
      </c>
      <c r="C618">
        <v>1</v>
      </c>
      <c r="D618">
        <v>4</v>
      </c>
      <c r="E618">
        <v>14</v>
      </c>
      <c r="F618">
        <v>0</v>
      </c>
      <c r="G618">
        <v>0</v>
      </c>
      <c r="H618">
        <f>표3[[#This Row],[공격성공횟수]]/(표3[[#This Row],[공격실패횟수]]+표3[[#This Row],[공격성공횟수]])</f>
        <v>0.22222222222222221</v>
      </c>
    </row>
    <row r="619" spans="1:8" hidden="1" x14ac:dyDescent="0.4">
      <c r="A619">
        <v>309</v>
      </c>
      <c r="B619" t="s">
        <v>1</v>
      </c>
      <c r="C619">
        <v>0</v>
      </c>
      <c r="D619">
        <v>0</v>
      </c>
      <c r="E619">
        <v>18</v>
      </c>
      <c r="F619">
        <v>4</v>
      </c>
      <c r="G619">
        <v>1</v>
      </c>
      <c r="H619">
        <f>표3[[#This Row],[공격성공횟수]]/(표3[[#This Row],[공격실패횟수]]+표3[[#This Row],[공격성공횟수]])</f>
        <v>0</v>
      </c>
    </row>
    <row r="620" spans="1:8" x14ac:dyDescent="0.4">
      <c r="A620">
        <v>310</v>
      </c>
      <c r="B620" t="s">
        <v>3</v>
      </c>
      <c r="C620">
        <v>1</v>
      </c>
      <c r="D620">
        <v>4</v>
      </c>
      <c r="E620">
        <v>16</v>
      </c>
      <c r="F620">
        <v>3</v>
      </c>
      <c r="G620">
        <v>0</v>
      </c>
      <c r="H620">
        <f>표3[[#This Row],[공격성공횟수]]/(표3[[#This Row],[공격실패횟수]]+표3[[#This Row],[공격성공횟수]])</f>
        <v>0.2</v>
      </c>
    </row>
    <row r="621" spans="1:8" hidden="1" x14ac:dyDescent="0.4">
      <c r="A621">
        <v>310</v>
      </c>
      <c r="B621" t="s">
        <v>1</v>
      </c>
      <c r="C621">
        <v>0</v>
      </c>
      <c r="D621">
        <v>3</v>
      </c>
      <c r="E621">
        <v>16</v>
      </c>
      <c r="F621">
        <v>4</v>
      </c>
      <c r="G621">
        <v>1</v>
      </c>
      <c r="H621">
        <f>표3[[#This Row],[공격성공횟수]]/(표3[[#This Row],[공격실패횟수]]+표3[[#This Row],[공격성공횟수]])</f>
        <v>0.15789473684210525</v>
      </c>
    </row>
    <row r="622" spans="1:8" x14ac:dyDescent="0.4">
      <c r="A622">
        <v>311</v>
      </c>
      <c r="B622" t="s">
        <v>3</v>
      </c>
      <c r="C622">
        <v>1</v>
      </c>
      <c r="D622">
        <v>4</v>
      </c>
      <c r="E622">
        <v>5</v>
      </c>
      <c r="F622">
        <v>0</v>
      </c>
      <c r="G622">
        <v>0</v>
      </c>
      <c r="H622">
        <f>표3[[#This Row],[공격성공횟수]]/(표3[[#This Row],[공격실패횟수]]+표3[[#This Row],[공격성공횟수]])</f>
        <v>0.44444444444444442</v>
      </c>
    </row>
    <row r="623" spans="1:8" hidden="1" x14ac:dyDescent="0.4">
      <c r="A623">
        <v>311</v>
      </c>
      <c r="B623" t="s">
        <v>1</v>
      </c>
      <c r="C623">
        <v>0</v>
      </c>
      <c r="D623">
        <v>0</v>
      </c>
      <c r="E623">
        <v>8</v>
      </c>
      <c r="F623">
        <v>4</v>
      </c>
      <c r="G623">
        <v>1</v>
      </c>
      <c r="H623">
        <f>표3[[#This Row],[공격성공횟수]]/(표3[[#This Row],[공격실패횟수]]+표3[[#This Row],[공격성공횟수]])</f>
        <v>0</v>
      </c>
    </row>
    <row r="624" spans="1:8" x14ac:dyDescent="0.4">
      <c r="A624">
        <v>312</v>
      </c>
      <c r="B624" t="s">
        <v>3</v>
      </c>
      <c r="C624">
        <v>1</v>
      </c>
      <c r="D624">
        <v>4</v>
      </c>
      <c r="E624">
        <v>20</v>
      </c>
      <c r="F624">
        <v>2</v>
      </c>
      <c r="G624">
        <v>0</v>
      </c>
      <c r="H624">
        <f>표3[[#This Row],[공격성공횟수]]/(표3[[#This Row],[공격실패횟수]]+표3[[#This Row],[공격성공횟수]])</f>
        <v>0.16666666666666666</v>
      </c>
    </row>
    <row r="625" spans="1:8" hidden="1" x14ac:dyDescent="0.4">
      <c r="A625">
        <v>312</v>
      </c>
      <c r="B625" t="s">
        <v>1</v>
      </c>
      <c r="C625">
        <v>0</v>
      </c>
      <c r="D625">
        <v>2</v>
      </c>
      <c r="E625">
        <v>22</v>
      </c>
      <c r="F625">
        <v>4</v>
      </c>
      <c r="G625">
        <v>1</v>
      </c>
      <c r="H625">
        <f>표3[[#This Row],[공격성공횟수]]/(표3[[#This Row],[공격실패횟수]]+표3[[#This Row],[공격성공횟수]])</f>
        <v>8.3333333333333329E-2</v>
      </c>
    </row>
    <row r="626" spans="1:8" x14ac:dyDescent="0.4">
      <c r="A626">
        <v>313</v>
      </c>
      <c r="B626" t="s">
        <v>3</v>
      </c>
      <c r="C626">
        <v>1</v>
      </c>
      <c r="D626">
        <v>4</v>
      </c>
      <c r="E626">
        <v>7</v>
      </c>
      <c r="F626">
        <v>0</v>
      </c>
      <c r="G626">
        <v>0</v>
      </c>
      <c r="H626">
        <f>표3[[#This Row],[공격성공횟수]]/(표3[[#This Row],[공격실패횟수]]+표3[[#This Row],[공격성공횟수]])</f>
        <v>0.36363636363636365</v>
      </c>
    </row>
    <row r="627" spans="1:8" hidden="1" x14ac:dyDescent="0.4">
      <c r="A627">
        <v>313</v>
      </c>
      <c r="B627" t="s">
        <v>1</v>
      </c>
      <c r="C627">
        <v>0</v>
      </c>
      <c r="D627">
        <v>0</v>
      </c>
      <c r="E627">
        <v>11</v>
      </c>
      <c r="F627">
        <v>4</v>
      </c>
      <c r="G627">
        <v>1</v>
      </c>
      <c r="H627">
        <f>표3[[#This Row],[공격성공횟수]]/(표3[[#This Row],[공격실패횟수]]+표3[[#This Row],[공격성공횟수]])</f>
        <v>0</v>
      </c>
    </row>
    <row r="628" spans="1:8" x14ac:dyDescent="0.4">
      <c r="A628">
        <v>314</v>
      </c>
      <c r="B628" t="s">
        <v>3</v>
      </c>
      <c r="C628">
        <v>0</v>
      </c>
      <c r="D628">
        <v>0</v>
      </c>
      <c r="E628">
        <v>20</v>
      </c>
      <c r="F628">
        <v>4</v>
      </c>
      <c r="G628">
        <v>1</v>
      </c>
      <c r="H628">
        <f>표3[[#This Row],[공격성공횟수]]/(표3[[#This Row],[공격실패횟수]]+표3[[#This Row],[공격성공횟수]])</f>
        <v>0</v>
      </c>
    </row>
    <row r="629" spans="1:8" hidden="1" x14ac:dyDescent="0.4">
      <c r="A629">
        <v>314</v>
      </c>
      <c r="B629" t="s">
        <v>1</v>
      </c>
      <c r="C629">
        <v>1</v>
      </c>
      <c r="D629">
        <v>4</v>
      </c>
      <c r="E629">
        <v>16</v>
      </c>
      <c r="F629">
        <v>0</v>
      </c>
      <c r="G629">
        <v>0</v>
      </c>
      <c r="H629">
        <f>표3[[#This Row],[공격성공횟수]]/(표3[[#This Row],[공격실패횟수]]+표3[[#This Row],[공격성공횟수]])</f>
        <v>0.2</v>
      </c>
    </row>
    <row r="630" spans="1:8" x14ac:dyDescent="0.4">
      <c r="A630">
        <v>315</v>
      </c>
      <c r="B630" t="s">
        <v>3</v>
      </c>
      <c r="C630">
        <v>1</v>
      </c>
      <c r="D630">
        <v>4</v>
      </c>
      <c r="E630">
        <v>22</v>
      </c>
      <c r="F630">
        <v>1</v>
      </c>
      <c r="G630">
        <v>0</v>
      </c>
      <c r="H630">
        <f>표3[[#This Row],[공격성공횟수]]/(표3[[#This Row],[공격실패횟수]]+표3[[#This Row],[공격성공횟수]])</f>
        <v>0.15384615384615385</v>
      </c>
    </row>
    <row r="631" spans="1:8" hidden="1" x14ac:dyDescent="0.4">
      <c r="A631">
        <v>315</v>
      </c>
      <c r="B631" t="s">
        <v>1</v>
      </c>
      <c r="C631">
        <v>0</v>
      </c>
      <c r="D631">
        <v>1</v>
      </c>
      <c r="E631">
        <v>23</v>
      </c>
      <c r="F631">
        <v>4</v>
      </c>
      <c r="G631">
        <v>1</v>
      </c>
      <c r="H631">
        <f>표3[[#This Row],[공격성공횟수]]/(표3[[#This Row],[공격실패횟수]]+표3[[#This Row],[공격성공횟수]])</f>
        <v>4.1666666666666664E-2</v>
      </c>
    </row>
    <row r="632" spans="1:8" x14ac:dyDescent="0.4">
      <c r="A632">
        <v>316</v>
      </c>
      <c r="B632" t="s">
        <v>3</v>
      </c>
      <c r="C632">
        <v>1</v>
      </c>
      <c r="D632">
        <v>4</v>
      </c>
      <c r="E632">
        <v>31</v>
      </c>
      <c r="F632">
        <v>2</v>
      </c>
      <c r="G632">
        <v>0</v>
      </c>
      <c r="H632">
        <f>표3[[#This Row],[공격성공횟수]]/(표3[[#This Row],[공격실패횟수]]+표3[[#This Row],[공격성공횟수]])</f>
        <v>0.11428571428571428</v>
      </c>
    </row>
    <row r="633" spans="1:8" hidden="1" x14ac:dyDescent="0.4">
      <c r="A633">
        <v>316</v>
      </c>
      <c r="B633" t="s">
        <v>1</v>
      </c>
      <c r="C633">
        <v>0</v>
      </c>
      <c r="D633">
        <v>2</v>
      </c>
      <c r="E633">
        <v>32</v>
      </c>
      <c r="F633">
        <v>4</v>
      </c>
      <c r="G633">
        <v>1</v>
      </c>
      <c r="H633">
        <f>표3[[#This Row],[공격성공횟수]]/(표3[[#This Row],[공격실패횟수]]+표3[[#This Row],[공격성공횟수]])</f>
        <v>5.8823529411764705E-2</v>
      </c>
    </row>
    <row r="634" spans="1:8" x14ac:dyDescent="0.4">
      <c r="A634">
        <v>317</v>
      </c>
      <c r="B634" t="s">
        <v>3</v>
      </c>
      <c r="C634">
        <v>1</v>
      </c>
      <c r="D634">
        <v>4</v>
      </c>
      <c r="E634">
        <v>7</v>
      </c>
      <c r="F634">
        <v>1</v>
      </c>
      <c r="G634">
        <v>0</v>
      </c>
      <c r="H634">
        <f>표3[[#This Row],[공격성공횟수]]/(표3[[#This Row],[공격실패횟수]]+표3[[#This Row],[공격성공횟수]])</f>
        <v>0.36363636363636365</v>
      </c>
    </row>
    <row r="635" spans="1:8" hidden="1" x14ac:dyDescent="0.4">
      <c r="A635">
        <v>317</v>
      </c>
      <c r="B635" t="s">
        <v>1</v>
      </c>
      <c r="C635">
        <v>0</v>
      </c>
      <c r="D635">
        <v>1</v>
      </c>
      <c r="E635">
        <v>9</v>
      </c>
      <c r="F635">
        <v>4</v>
      </c>
      <c r="G635">
        <v>1</v>
      </c>
      <c r="H635">
        <f>표3[[#This Row],[공격성공횟수]]/(표3[[#This Row],[공격실패횟수]]+표3[[#This Row],[공격성공횟수]])</f>
        <v>0.1</v>
      </c>
    </row>
    <row r="636" spans="1:8" x14ac:dyDescent="0.4">
      <c r="A636">
        <v>318</v>
      </c>
      <c r="B636" t="s">
        <v>3</v>
      </c>
      <c r="C636">
        <v>1</v>
      </c>
      <c r="D636">
        <v>4</v>
      </c>
      <c r="E636">
        <v>8</v>
      </c>
      <c r="F636">
        <v>0</v>
      </c>
      <c r="G636">
        <v>0</v>
      </c>
      <c r="H636">
        <f>표3[[#This Row],[공격성공횟수]]/(표3[[#This Row],[공격실패횟수]]+표3[[#This Row],[공격성공횟수]])</f>
        <v>0.33333333333333331</v>
      </c>
    </row>
    <row r="637" spans="1:8" hidden="1" x14ac:dyDescent="0.4">
      <c r="A637">
        <v>318</v>
      </c>
      <c r="B637" t="s">
        <v>1</v>
      </c>
      <c r="C637">
        <v>0</v>
      </c>
      <c r="D637">
        <v>0</v>
      </c>
      <c r="E637">
        <v>12</v>
      </c>
      <c r="F637">
        <v>4</v>
      </c>
      <c r="G637">
        <v>1</v>
      </c>
      <c r="H637">
        <f>표3[[#This Row],[공격성공횟수]]/(표3[[#This Row],[공격실패횟수]]+표3[[#This Row],[공격성공횟수]])</f>
        <v>0</v>
      </c>
    </row>
    <row r="638" spans="1:8" x14ac:dyDescent="0.4">
      <c r="A638">
        <v>319</v>
      </c>
      <c r="B638" t="s">
        <v>3</v>
      </c>
      <c r="C638">
        <v>0</v>
      </c>
      <c r="D638">
        <v>0</v>
      </c>
      <c r="E638">
        <v>22</v>
      </c>
      <c r="F638">
        <v>4</v>
      </c>
      <c r="G638">
        <v>1</v>
      </c>
      <c r="H638">
        <f>표3[[#This Row],[공격성공횟수]]/(표3[[#This Row],[공격실패횟수]]+표3[[#This Row],[공격성공횟수]])</f>
        <v>0</v>
      </c>
    </row>
    <row r="639" spans="1:8" hidden="1" x14ac:dyDescent="0.4">
      <c r="A639">
        <v>319</v>
      </c>
      <c r="B639" t="s">
        <v>1</v>
      </c>
      <c r="C639">
        <v>1</v>
      </c>
      <c r="D639">
        <v>4</v>
      </c>
      <c r="E639">
        <v>28</v>
      </c>
      <c r="F639">
        <v>0</v>
      </c>
      <c r="G639">
        <v>0</v>
      </c>
      <c r="H639">
        <f>표3[[#This Row],[공격성공횟수]]/(표3[[#This Row],[공격실패횟수]]+표3[[#This Row],[공격성공횟수]])</f>
        <v>0.125</v>
      </c>
    </row>
    <row r="640" spans="1:8" x14ac:dyDescent="0.4">
      <c r="A640">
        <v>320</v>
      </c>
      <c r="B640" t="s">
        <v>3</v>
      </c>
      <c r="C640">
        <v>1</v>
      </c>
      <c r="D640">
        <v>4</v>
      </c>
      <c r="E640">
        <v>6</v>
      </c>
      <c r="F640">
        <v>1</v>
      </c>
      <c r="G640">
        <v>0</v>
      </c>
      <c r="H640">
        <f>표3[[#This Row],[공격성공횟수]]/(표3[[#This Row],[공격실패횟수]]+표3[[#This Row],[공격성공횟수]])</f>
        <v>0.4</v>
      </c>
    </row>
    <row r="641" spans="1:8" hidden="1" x14ac:dyDescent="0.4">
      <c r="A641">
        <v>320</v>
      </c>
      <c r="B641" t="s">
        <v>1</v>
      </c>
      <c r="C641">
        <v>0</v>
      </c>
      <c r="D641">
        <v>1</v>
      </c>
      <c r="E641">
        <v>8</v>
      </c>
      <c r="F641">
        <v>4</v>
      </c>
      <c r="G641">
        <v>1</v>
      </c>
      <c r="H641">
        <f>표3[[#This Row],[공격성공횟수]]/(표3[[#This Row],[공격실패횟수]]+표3[[#This Row],[공격성공횟수]])</f>
        <v>0.1111111111111111</v>
      </c>
    </row>
    <row r="642" spans="1:8" x14ac:dyDescent="0.4">
      <c r="A642">
        <v>321</v>
      </c>
      <c r="B642" t="s">
        <v>3</v>
      </c>
      <c r="C642">
        <v>1</v>
      </c>
      <c r="D642">
        <v>4</v>
      </c>
      <c r="E642">
        <v>17</v>
      </c>
      <c r="F642">
        <v>1</v>
      </c>
      <c r="G642">
        <v>0</v>
      </c>
      <c r="H642">
        <f>표3[[#This Row],[공격성공횟수]]/(표3[[#This Row],[공격실패횟수]]+표3[[#This Row],[공격성공횟수]])</f>
        <v>0.19047619047619047</v>
      </c>
    </row>
    <row r="643" spans="1:8" hidden="1" x14ac:dyDescent="0.4">
      <c r="A643">
        <v>321</v>
      </c>
      <c r="B643" t="s">
        <v>1</v>
      </c>
      <c r="C643">
        <v>0</v>
      </c>
      <c r="D643">
        <v>1</v>
      </c>
      <c r="E643">
        <v>19</v>
      </c>
      <c r="F643">
        <v>4</v>
      </c>
      <c r="G643">
        <v>1</v>
      </c>
      <c r="H643">
        <f>표3[[#This Row],[공격성공횟수]]/(표3[[#This Row],[공격실패횟수]]+표3[[#This Row],[공격성공횟수]])</f>
        <v>0.05</v>
      </c>
    </row>
    <row r="644" spans="1:8" x14ac:dyDescent="0.4">
      <c r="A644">
        <v>322</v>
      </c>
      <c r="B644" t="s">
        <v>3</v>
      </c>
      <c r="C644">
        <v>1</v>
      </c>
      <c r="D644">
        <v>4</v>
      </c>
      <c r="E644">
        <v>22</v>
      </c>
      <c r="F644">
        <v>2</v>
      </c>
      <c r="G644">
        <v>0</v>
      </c>
      <c r="H644">
        <f>표3[[#This Row],[공격성공횟수]]/(표3[[#This Row],[공격실패횟수]]+표3[[#This Row],[공격성공횟수]])</f>
        <v>0.15384615384615385</v>
      </c>
    </row>
    <row r="645" spans="1:8" hidden="1" x14ac:dyDescent="0.4">
      <c r="A645">
        <v>322</v>
      </c>
      <c r="B645" t="s">
        <v>1</v>
      </c>
      <c r="C645">
        <v>0</v>
      </c>
      <c r="D645">
        <v>2</v>
      </c>
      <c r="E645">
        <v>25</v>
      </c>
      <c r="F645">
        <v>4</v>
      </c>
      <c r="G645">
        <v>1</v>
      </c>
      <c r="H645">
        <f>표3[[#This Row],[공격성공횟수]]/(표3[[#This Row],[공격실패횟수]]+표3[[#This Row],[공격성공횟수]])</f>
        <v>7.407407407407407E-2</v>
      </c>
    </row>
    <row r="646" spans="1:8" x14ac:dyDescent="0.4">
      <c r="A646">
        <v>323</v>
      </c>
      <c r="B646" t="s">
        <v>3</v>
      </c>
      <c r="C646">
        <v>1</v>
      </c>
      <c r="D646">
        <v>4</v>
      </c>
      <c r="E646">
        <v>10</v>
      </c>
      <c r="F646">
        <v>0</v>
      </c>
      <c r="G646">
        <v>0</v>
      </c>
      <c r="H646">
        <f>표3[[#This Row],[공격성공횟수]]/(표3[[#This Row],[공격실패횟수]]+표3[[#This Row],[공격성공횟수]])</f>
        <v>0.2857142857142857</v>
      </c>
    </row>
    <row r="647" spans="1:8" hidden="1" x14ac:dyDescent="0.4">
      <c r="A647">
        <v>323</v>
      </c>
      <c r="B647" t="s">
        <v>1</v>
      </c>
      <c r="C647">
        <v>0</v>
      </c>
      <c r="D647">
        <v>0</v>
      </c>
      <c r="E647">
        <v>14</v>
      </c>
      <c r="F647">
        <v>4</v>
      </c>
      <c r="G647">
        <v>1</v>
      </c>
      <c r="H647">
        <f>표3[[#This Row],[공격성공횟수]]/(표3[[#This Row],[공격실패횟수]]+표3[[#This Row],[공격성공횟수]])</f>
        <v>0</v>
      </c>
    </row>
    <row r="648" spans="1:8" x14ac:dyDescent="0.4">
      <c r="A648">
        <v>324</v>
      </c>
      <c r="B648" t="s">
        <v>3</v>
      </c>
      <c r="C648">
        <v>0</v>
      </c>
      <c r="D648">
        <v>3</v>
      </c>
      <c r="E648">
        <v>40</v>
      </c>
      <c r="F648">
        <v>4</v>
      </c>
      <c r="G648">
        <v>1</v>
      </c>
      <c r="H648">
        <f>표3[[#This Row],[공격성공횟수]]/(표3[[#This Row],[공격실패횟수]]+표3[[#This Row],[공격성공횟수]])</f>
        <v>6.9767441860465115E-2</v>
      </c>
    </row>
    <row r="649" spans="1:8" hidden="1" x14ac:dyDescent="0.4">
      <c r="A649">
        <v>324</v>
      </c>
      <c r="B649" t="s">
        <v>1</v>
      </c>
      <c r="C649">
        <v>1</v>
      </c>
      <c r="D649">
        <v>4</v>
      </c>
      <c r="E649">
        <v>38</v>
      </c>
      <c r="F649">
        <v>3</v>
      </c>
      <c r="G649">
        <v>0</v>
      </c>
      <c r="H649">
        <f>표3[[#This Row],[공격성공횟수]]/(표3[[#This Row],[공격실패횟수]]+표3[[#This Row],[공격성공횟수]])</f>
        <v>9.5238095238095233E-2</v>
      </c>
    </row>
    <row r="650" spans="1:8" x14ac:dyDescent="0.4">
      <c r="A650">
        <v>325</v>
      </c>
      <c r="B650" t="s">
        <v>3</v>
      </c>
      <c r="C650">
        <v>1</v>
      </c>
      <c r="D650">
        <v>4</v>
      </c>
      <c r="E650">
        <v>12</v>
      </c>
      <c r="F650">
        <v>1</v>
      </c>
      <c r="G650">
        <v>0</v>
      </c>
      <c r="H650">
        <f>표3[[#This Row],[공격성공횟수]]/(표3[[#This Row],[공격실패횟수]]+표3[[#This Row],[공격성공횟수]])</f>
        <v>0.25</v>
      </c>
    </row>
    <row r="651" spans="1:8" hidden="1" x14ac:dyDescent="0.4">
      <c r="A651">
        <v>325</v>
      </c>
      <c r="B651" t="s">
        <v>1</v>
      </c>
      <c r="C651">
        <v>0</v>
      </c>
      <c r="D651">
        <v>1</v>
      </c>
      <c r="E651">
        <v>13</v>
      </c>
      <c r="F651">
        <v>4</v>
      </c>
      <c r="G651">
        <v>1</v>
      </c>
      <c r="H651">
        <f>표3[[#This Row],[공격성공횟수]]/(표3[[#This Row],[공격실패횟수]]+표3[[#This Row],[공격성공횟수]])</f>
        <v>7.1428571428571425E-2</v>
      </c>
    </row>
    <row r="652" spans="1:8" x14ac:dyDescent="0.4">
      <c r="A652">
        <v>326</v>
      </c>
      <c r="B652" t="s">
        <v>3</v>
      </c>
      <c r="C652">
        <v>1</v>
      </c>
      <c r="D652">
        <v>4</v>
      </c>
      <c r="E652">
        <v>20</v>
      </c>
      <c r="F652">
        <v>2</v>
      </c>
      <c r="G652">
        <v>0</v>
      </c>
      <c r="H652">
        <f>표3[[#This Row],[공격성공횟수]]/(표3[[#This Row],[공격실패횟수]]+표3[[#This Row],[공격성공횟수]])</f>
        <v>0.16666666666666666</v>
      </c>
    </row>
    <row r="653" spans="1:8" hidden="1" x14ac:dyDescent="0.4">
      <c r="A653">
        <v>326</v>
      </c>
      <c r="B653" t="s">
        <v>1</v>
      </c>
      <c r="C653">
        <v>0</v>
      </c>
      <c r="D653">
        <v>2</v>
      </c>
      <c r="E653">
        <v>22</v>
      </c>
      <c r="F653">
        <v>4</v>
      </c>
      <c r="G653">
        <v>1</v>
      </c>
      <c r="H653">
        <f>표3[[#This Row],[공격성공횟수]]/(표3[[#This Row],[공격실패횟수]]+표3[[#This Row],[공격성공횟수]])</f>
        <v>8.3333333333333329E-2</v>
      </c>
    </row>
    <row r="654" spans="1:8" x14ac:dyDescent="0.4">
      <c r="A654">
        <v>327</v>
      </c>
      <c r="B654" t="s">
        <v>3</v>
      </c>
      <c r="C654">
        <v>1</v>
      </c>
      <c r="D654">
        <v>4</v>
      </c>
      <c r="E654">
        <v>13</v>
      </c>
      <c r="F654">
        <v>0</v>
      </c>
      <c r="G654">
        <v>0</v>
      </c>
      <c r="H654">
        <f>표3[[#This Row],[공격성공횟수]]/(표3[[#This Row],[공격실패횟수]]+표3[[#This Row],[공격성공횟수]])</f>
        <v>0.23529411764705882</v>
      </c>
    </row>
    <row r="655" spans="1:8" hidden="1" x14ac:dyDescent="0.4">
      <c r="A655">
        <v>327</v>
      </c>
      <c r="B655" t="s">
        <v>1</v>
      </c>
      <c r="C655">
        <v>0</v>
      </c>
      <c r="D655">
        <v>0</v>
      </c>
      <c r="E655">
        <v>17</v>
      </c>
      <c r="F655">
        <v>4</v>
      </c>
      <c r="G655">
        <v>1</v>
      </c>
      <c r="H655">
        <f>표3[[#This Row],[공격성공횟수]]/(표3[[#This Row],[공격실패횟수]]+표3[[#This Row],[공격성공횟수]])</f>
        <v>0</v>
      </c>
    </row>
    <row r="656" spans="1:8" x14ac:dyDescent="0.4">
      <c r="A656">
        <v>328</v>
      </c>
      <c r="B656" t="s">
        <v>3</v>
      </c>
      <c r="C656">
        <v>1</v>
      </c>
      <c r="D656">
        <v>4</v>
      </c>
      <c r="E656">
        <v>9</v>
      </c>
      <c r="F656">
        <v>2</v>
      </c>
      <c r="G656">
        <v>0</v>
      </c>
      <c r="H656">
        <f>표3[[#This Row],[공격성공횟수]]/(표3[[#This Row],[공격실패횟수]]+표3[[#This Row],[공격성공횟수]])</f>
        <v>0.30769230769230771</v>
      </c>
    </row>
    <row r="657" spans="1:8" hidden="1" x14ac:dyDescent="0.4">
      <c r="A657">
        <v>328</v>
      </c>
      <c r="B657" t="s">
        <v>1</v>
      </c>
      <c r="C657">
        <v>0</v>
      </c>
      <c r="D657">
        <v>2</v>
      </c>
      <c r="E657">
        <v>10</v>
      </c>
      <c r="F657">
        <v>4</v>
      </c>
      <c r="G657">
        <v>1</v>
      </c>
      <c r="H657">
        <f>표3[[#This Row],[공격성공횟수]]/(표3[[#This Row],[공격실패횟수]]+표3[[#This Row],[공격성공횟수]])</f>
        <v>0.16666666666666666</v>
      </c>
    </row>
    <row r="658" spans="1:8" x14ac:dyDescent="0.4">
      <c r="A658">
        <v>329</v>
      </c>
      <c r="B658" t="s">
        <v>3</v>
      </c>
      <c r="C658">
        <v>0</v>
      </c>
      <c r="D658">
        <v>1</v>
      </c>
      <c r="E658">
        <v>5</v>
      </c>
      <c r="F658">
        <v>4</v>
      </c>
      <c r="G658">
        <v>1</v>
      </c>
      <c r="H658">
        <f>표3[[#This Row],[공격성공횟수]]/(표3[[#This Row],[공격실패횟수]]+표3[[#This Row],[공격성공횟수]])</f>
        <v>0.16666666666666666</v>
      </c>
    </row>
    <row r="659" spans="1:8" hidden="1" x14ac:dyDescent="0.4">
      <c r="A659">
        <v>329</v>
      </c>
      <c r="B659" t="s">
        <v>1</v>
      </c>
      <c r="C659">
        <v>1</v>
      </c>
      <c r="D659">
        <v>4</v>
      </c>
      <c r="E659">
        <v>3</v>
      </c>
      <c r="F659">
        <v>1</v>
      </c>
      <c r="G659">
        <v>0</v>
      </c>
      <c r="H659">
        <f>표3[[#This Row],[공격성공횟수]]/(표3[[#This Row],[공격실패횟수]]+표3[[#This Row],[공격성공횟수]])</f>
        <v>0.5714285714285714</v>
      </c>
    </row>
    <row r="660" spans="1:8" x14ac:dyDescent="0.4">
      <c r="A660">
        <v>330</v>
      </c>
      <c r="B660" t="s">
        <v>3</v>
      </c>
      <c r="C660">
        <v>1</v>
      </c>
      <c r="D660">
        <v>4</v>
      </c>
      <c r="E660">
        <v>12</v>
      </c>
      <c r="F660">
        <v>3</v>
      </c>
      <c r="G660">
        <v>0</v>
      </c>
      <c r="H660">
        <f>표3[[#This Row],[공격성공횟수]]/(표3[[#This Row],[공격실패횟수]]+표3[[#This Row],[공격성공횟수]])</f>
        <v>0.25</v>
      </c>
    </row>
    <row r="661" spans="1:8" hidden="1" x14ac:dyDescent="0.4">
      <c r="A661">
        <v>330</v>
      </c>
      <c r="B661" t="s">
        <v>1</v>
      </c>
      <c r="C661">
        <v>0</v>
      </c>
      <c r="D661">
        <v>3</v>
      </c>
      <c r="E661">
        <v>12</v>
      </c>
      <c r="F661">
        <v>4</v>
      </c>
      <c r="G661">
        <v>1</v>
      </c>
      <c r="H661">
        <f>표3[[#This Row],[공격성공횟수]]/(표3[[#This Row],[공격실패횟수]]+표3[[#This Row],[공격성공횟수]])</f>
        <v>0.2</v>
      </c>
    </row>
    <row r="662" spans="1:8" x14ac:dyDescent="0.4">
      <c r="A662">
        <v>331</v>
      </c>
      <c r="B662" t="s">
        <v>3</v>
      </c>
      <c r="C662">
        <v>1</v>
      </c>
      <c r="D662">
        <v>4</v>
      </c>
      <c r="E662">
        <v>27</v>
      </c>
      <c r="F662">
        <v>0</v>
      </c>
      <c r="G662">
        <v>0</v>
      </c>
      <c r="H662">
        <f>표3[[#This Row],[공격성공횟수]]/(표3[[#This Row],[공격실패횟수]]+표3[[#This Row],[공격성공횟수]])</f>
        <v>0.12903225806451613</v>
      </c>
    </row>
    <row r="663" spans="1:8" hidden="1" x14ac:dyDescent="0.4">
      <c r="A663">
        <v>331</v>
      </c>
      <c r="B663" t="s">
        <v>1</v>
      </c>
      <c r="C663">
        <v>0</v>
      </c>
      <c r="D663">
        <v>0</v>
      </c>
      <c r="E663">
        <v>30</v>
      </c>
      <c r="F663">
        <v>4</v>
      </c>
      <c r="G663">
        <v>1</v>
      </c>
      <c r="H663">
        <f>표3[[#This Row],[공격성공횟수]]/(표3[[#This Row],[공격실패횟수]]+표3[[#This Row],[공격성공횟수]])</f>
        <v>0</v>
      </c>
    </row>
    <row r="664" spans="1:8" x14ac:dyDescent="0.4">
      <c r="A664">
        <v>332</v>
      </c>
      <c r="B664" t="s">
        <v>3</v>
      </c>
      <c r="C664">
        <v>1</v>
      </c>
      <c r="D664">
        <v>4</v>
      </c>
      <c r="E664">
        <v>7</v>
      </c>
      <c r="F664">
        <v>1</v>
      </c>
      <c r="G664">
        <v>0</v>
      </c>
      <c r="H664">
        <f>표3[[#This Row],[공격성공횟수]]/(표3[[#This Row],[공격실패횟수]]+표3[[#This Row],[공격성공횟수]])</f>
        <v>0.36363636363636365</v>
      </c>
    </row>
    <row r="665" spans="1:8" hidden="1" x14ac:dyDescent="0.4">
      <c r="A665">
        <v>332</v>
      </c>
      <c r="B665" t="s">
        <v>1</v>
      </c>
      <c r="C665">
        <v>0</v>
      </c>
      <c r="D665">
        <v>1</v>
      </c>
      <c r="E665">
        <v>9</v>
      </c>
      <c r="F665">
        <v>4</v>
      </c>
      <c r="G665">
        <v>1</v>
      </c>
      <c r="H665">
        <f>표3[[#This Row],[공격성공횟수]]/(표3[[#This Row],[공격실패횟수]]+표3[[#This Row],[공격성공횟수]])</f>
        <v>0.1</v>
      </c>
    </row>
    <row r="666" spans="1:8" x14ac:dyDescent="0.4">
      <c r="A666">
        <v>333</v>
      </c>
      <c r="B666" t="s">
        <v>3</v>
      </c>
      <c r="C666">
        <v>1</v>
      </c>
      <c r="D666">
        <v>4</v>
      </c>
      <c r="E666">
        <v>24</v>
      </c>
      <c r="F666">
        <v>1</v>
      </c>
      <c r="G666">
        <v>0</v>
      </c>
      <c r="H666">
        <f>표3[[#This Row],[공격성공횟수]]/(표3[[#This Row],[공격실패횟수]]+표3[[#This Row],[공격성공횟수]])</f>
        <v>0.14285714285714285</v>
      </c>
    </row>
    <row r="667" spans="1:8" hidden="1" x14ac:dyDescent="0.4">
      <c r="A667">
        <v>333</v>
      </c>
      <c r="B667" t="s">
        <v>1</v>
      </c>
      <c r="C667">
        <v>0</v>
      </c>
      <c r="D667">
        <v>1</v>
      </c>
      <c r="E667">
        <v>26</v>
      </c>
      <c r="F667">
        <v>4</v>
      </c>
      <c r="G667">
        <v>1</v>
      </c>
      <c r="H667">
        <f>표3[[#This Row],[공격성공횟수]]/(표3[[#This Row],[공격실패횟수]]+표3[[#This Row],[공격성공횟수]])</f>
        <v>3.7037037037037035E-2</v>
      </c>
    </row>
    <row r="668" spans="1:8" x14ac:dyDescent="0.4">
      <c r="A668">
        <v>334</v>
      </c>
      <c r="B668" t="s">
        <v>3</v>
      </c>
      <c r="C668">
        <v>1</v>
      </c>
      <c r="D668">
        <v>4</v>
      </c>
      <c r="E668">
        <v>16</v>
      </c>
      <c r="F668">
        <v>2</v>
      </c>
      <c r="G668">
        <v>0</v>
      </c>
      <c r="H668">
        <f>표3[[#This Row],[공격성공횟수]]/(표3[[#This Row],[공격실패횟수]]+표3[[#This Row],[공격성공횟수]])</f>
        <v>0.2</v>
      </c>
    </row>
    <row r="669" spans="1:8" hidden="1" x14ac:dyDescent="0.4">
      <c r="A669">
        <v>334</v>
      </c>
      <c r="B669" t="s">
        <v>1</v>
      </c>
      <c r="C669">
        <v>0</v>
      </c>
      <c r="D669">
        <v>2</v>
      </c>
      <c r="E669">
        <v>18</v>
      </c>
      <c r="F669">
        <v>4</v>
      </c>
      <c r="G669">
        <v>1</v>
      </c>
      <c r="H669">
        <f>표3[[#This Row],[공격성공횟수]]/(표3[[#This Row],[공격실패횟수]]+표3[[#This Row],[공격성공횟수]])</f>
        <v>0.1</v>
      </c>
    </row>
    <row r="670" spans="1:8" x14ac:dyDescent="0.4">
      <c r="A670">
        <v>335</v>
      </c>
      <c r="B670" t="s">
        <v>3</v>
      </c>
      <c r="C670">
        <v>1</v>
      </c>
      <c r="D670">
        <v>4</v>
      </c>
      <c r="E670">
        <v>8</v>
      </c>
      <c r="F670">
        <v>0</v>
      </c>
      <c r="G670">
        <v>0</v>
      </c>
      <c r="H670">
        <f>표3[[#This Row],[공격성공횟수]]/(표3[[#This Row],[공격실패횟수]]+표3[[#This Row],[공격성공횟수]])</f>
        <v>0.33333333333333331</v>
      </c>
    </row>
    <row r="671" spans="1:8" hidden="1" x14ac:dyDescent="0.4">
      <c r="A671">
        <v>335</v>
      </c>
      <c r="B671" t="s">
        <v>1</v>
      </c>
      <c r="C671">
        <v>0</v>
      </c>
      <c r="D671">
        <v>0</v>
      </c>
      <c r="E671">
        <v>12</v>
      </c>
      <c r="F671">
        <v>4</v>
      </c>
      <c r="G671">
        <v>1</v>
      </c>
      <c r="H671">
        <f>표3[[#This Row],[공격성공횟수]]/(표3[[#This Row],[공격실패횟수]]+표3[[#This Row],[공격성공횟수]])</f>
        <v>0</v>
      </c>
    </row>
    <row r="672" spans="1:8" x14ac:dyDescent="0.4">
      <c r="A672">
        <v>336</v>
      </c>
      <c r="B672" t="s">
        <v>3</v>
      </c>
      <c r="C672">
        <v>1</v>
      </c>
      <c r="D672">
        <v>4</v>
      </c>
      <c r="E672">
        <v>10</v>
      </c>
      <c r="F672">
        <v>0</v>
      </c>
      <c r="G672">
        <v>0</v>
      </c>
      <c r="H672">
        <f>표3[[#This Row],[공격성공횟수]]/(표3[[#This Row],[공격실패횟수]]+표3[[#This Row],[공격성공횟수]])</f>
        <v>0.2857142857142857</v>
      </c>
    </row>
    <row r="673" spans="1:8" hidden="1" x14ac:dyDescent="0.4">
      <c r="A673">
        <v>336</v>
      </c>
      <c r="B673" t="s">
        <v>1</v>
      </c>
      <c r="C673">
        <v>0</v>
      </c>
      <c r="D673">
        <v>0</v>
      </c>
      <c r="E673">
        <v>13</v>
      </c>
      <c r="F673">
        <v>4</v>
      </c>
      <c r="G673">
        <v>1</v>
      </c>
      <c r="H673">
        <f>표3[[#This Row],[공격성공횟수]]/(표3[[#This Row],[공격실패횟수]]+표3[[#This Row],[공격성공횟수]])</f>
        <v>0</v>
      </c>
    </row>
    <row r="674" spans="1:8" x14ac:dyDescent="0.4">
      <c r="A674">
        <v>337</v>
      </c>
      <c r="B674" t="s">
        <v>3</v>
      </c>
      <c r="C674">
        <v>1</v>
      </c>
      <c r="D674">
        <v>4</v>
      </c>
      <c r="E674">
        <v>7</v>
      </c>
      <c r="F674">
        <v>0</v>
      </c>
      <c r="G674">
        <v>0</v>
      </c>
      <c r="H674">
        <f>표3[[#This Row],[공격성공횟수]]/(표3[[#This Row],[공격실패횟수]]+표3[[#This Row],[공격성공횟수]])</f>
        <v>0.36363636363636365</v>
      </c>
    </row>
    <row r="675" spans="1:8" hidden="1" x14ac:dyDescent="0.4">
      <c r="A675">
        <v>337</v>
      </c>
      <c r="B675" t="s">
        <v>1</v>
      </c>
      <c r="C675">
        <v>0</v>
      </c>
      <c r="D675">
        <v>0</v>
      </c>
      <c r="E675">
        <v>11</v>
      </c>
      <c r="F675">
        <v>4</v>
      </c>
      <c r="G675">
        <v>1</v>
      </c>
      <c r="H675">
        <f>표3[[#This Row],[공격성공횟수]]/(표3[[#This Row],[공격실패횟수]]+표3[[#This Row],[공격성공횟수]])</f>
        <v>0</v>
      </c>
    </row>
    <row r="676" spans="1:8" x14ac:dyDescent="0.4">
      <c r="A676">
        <v>338</v>
      </c>
      <c r="B676" t="s">
        <v>3</v>
      </c>
      <c r="C676">
        <v>1</v>
      </c>
      <c r="D676">
        <v>4</v>
      </c>
      <c r="E676">
        <v>8</v>
      </c>
      <c r="F676">
        <v>0</v>
      </c>
      <c r="G676">
        <v>0</v>
      </c>
      <c r="H676">
        <f>표3[[#This Row],[공격성공횟수]]/(표3[[#This Row],[공격실패횟수]]+표3[[#This Row],[공격성공횟수]])</f>
        <v>0.33333333333333331</v>
      </c>
    </row>
    <row r="677" spans="1:8" hidden="1" x14ac:dyDescent="0.4">
      <c r="A677">
        <v>338</v>
      </c>
      <c r="B677" t="s">
        <v>1</v>
      </c>
      <c r="C677">
        <v>0</v>
      </c>
      <c r="D677">
        <v>0</v>
      </c>
      <c r="E677">
        <v>11</v>
      </c>
      <c r="F677">
        <v>4</v>
      </c>
      <c r="G677">
        <v>1</v>
      </c>
      <c r="H677">
        <f>표3[[#This Row],[공격성공횟수]]/(표3[[#This Row],[공격실패횟수]]+표3[[#This Row],[공격성공횟수]])</f>
        <v>0</v>
      </c>
    </row>
    <row r="678" spans="1:8" x14ac:dyDescent="0.4">
      <c r="A678">
        <v>339</v>
      </c>
      <c r="B678" t="s">
        <v>3</v>
      </c>
      <c r="C678">
        <v>1</v>
      </c>
      <c r="D678">
        <v>4</v>
      </c>
      <c r="E678">
        <v>11</v>
      </c>
      <c r="F678">
        <v>2</v>
      </c>
      <c r="G678">
        <v>0</v>
      </c>
      <c r="H678">
        <f>표3[[#This Row],[공격성공횟수]]/(표3[[#This Row],[공격실패횟수]]+표3[[#This Row],[공격성공횟수]])</f>
        <v>0.26666666666666666</v>
      </c>
    </row>
    <row r="679" spans="1:8" hidden="1" x14ac:dyDescent="0.4">
      <c r="A679">
        <v>339</v>
      </c>
      <c r="B679" t="s">
        <v>1</v>
      </c>
      <c r="C679">
        <v>0</v>
      </c>
      <c r="D679">
        <v>2</v>
      </c>
      <c r="E679">
        <v>13</v>
      </c>
      <c r="F679">
        <v>4</v>
      </c>
      <c r="G679">
        <v>1</v>
      </c>
      <c r="H679">
        <f>표3[[#This Row],[공격성공횟수]]/(표3[[#This Row],[공격실패횟수]]+표3[[#This Row],[공격성공횟수]])</f>
        <v>0.13333333333333333</v>
      </c>
    </row>
    <row r="680" spans="1:8" x14ac:dyDescent="0.4">
      <c r="A680">
        <v>340</v>
      </c>
      <c r="B680" t="s">
        <v>3</v>
      </c>
      <c r="C680">
        <v>1</v>
      </c>
      <c r="D680">
        <v>4</v>
      </c>
      <c r="E680">
        <v>24</v>
      </c>
      <c r="F680">
        <v>3</v>
      </c>
      <c r="G680">
        <v>0</v>
      </c>
      <c r="H680">
        <f>표3[[#This Row],[공격성공횟수]]/(표3[[#This Row],[공격실패횟수]]+표3[[#This Row],[공격성공횟수]])</f>
        <v>0.14285714285714285</v>
      </c>
    </row>
    <row r="681" spans="1:8" hidden="1" x14ac:dyDescent="0.4">
      <c r="A681">
        <v>340</v>
      </c>
      <c r="B681" t="s">
        <v>1</v>
      </c>
      <c r="C681">
        <v>0</v>
      </c>
      <c r="D681">
        <v>3</v>
      </c>
      <c r="E681">
        <v>24</v>
      </c>
      <c r="F681">
        <v>4</v>
      </c>
      <c r="G681">
        <v>1</v>
      </c>
      <c r="H681">
        <f>표3[[#This Row],[공격성공횟수]]/(표3[[#This Row],[공격실패횟수]]+표3[[#This Row],[공격성공횟수]])</f>
        <v>0.1111111111111111</v>
      </c>
    </row>
    <row r="682" spans="1:8" x14ac:dyDescent="0.4">
      <c r="A682">
        <v>341</v>
      </c>
      <c r="B682" t="s">
        <v>3</v>
      </c>
      <c r="C682">
        <v>1</v>
      </c>
      <c r="D682">
        <v>4</v>
      </c>
      <c r="E682">
        <v>12</v>
      </c>
      <c r="F682">
        <v>1</v>
      </c>
      <c r="G682">
        <v>0</v>
      </c>
      <c r="H682">
        <f>표3[[#This Row],[공격성공횟수]]/(표3[[#This Row],[공격실패횟수]]+표3[[#This Row],[공격성공횟수]])</f>
        <v>0.25</v>
      </c>
    </row>
    <row r="683" spans="1:8" hidden="1" x14ac:dyDescent="0.4">
      <c r="A683">
        <v>341</v>
      </c>
      <c r="B683" t="s">
        <v>1</v>
      </c>
      <c r="C683">
        <v>0</v>
      </c>
      <c r="D683">
        <v>1</v>
      </c>
      <c r="E683">
        <v>15</v>
      </c>
      <c r="F683">
        <v>4</v>
      </c>
      <c r="G683">
        <v>1</v>
      </c>
      <c r="H683">
        <f>표3[[#This Row],[공격성공횟수]]/(표3[[#This Row],[공격실패횟수]]+표3[[#This Row],[공격성공횟수]])</f>
        <v>6.25E-2</v>
      </c>
    </row>
    <row r="684" spans="1:8" x14ac:dyDescent="0.4">
      <c r="A684">
        <v>342</v>
      </c>
      <c r="B684" t="s">
        <v>3</v>
      </c>
      <c r="C684">
        <v>1</v>
      </c>
      <c r="D684">
        <v>4</v>
      </c>
      <c r="E684">
        <v>18</v>
      </c>
      <c r="F684">
        <v>2</v>
      </c>
      <c r="G684">
        <v>0</v>
      </c>
      <c r="H684">
        <f>표3[[#This Row],[공격성공횟수]]/(표3[[#This Row],[공격실패횟수]]+표3[[#This Row],[공격성공횟수]])</f>
        <v>0.18181818181818182</v>
      </c>
    </row>
    <row r="685" spans="1:8" hidden="1" x14ac:dyDescent="0.4">
      <c r="A685">
        <v>342</v>
      </c>
      <c r="B685" t="s">
        <v>1</v>
      </c>
      <c r="C685">
        <v>0</v>
      </c>
      <c r="D685">
        <v>2</v>
      </c>
      <c r="E685">
        <v>20</v>
      </c>
      <c r="F685">
        <v>4</v>
      </c>
      <c r="G685">
        <v>1</v>
      </c>
      <c r="H685">
        <f>표3[[#This Row],[공격성공횟수]]/(표3[[#This Row],[공격실패횟수]]+표3[[#This Row],[공격성공횟수]])</f>
        <v>9.0909090909090912E-2</v>
      </c>
    </row>
    <row r="686" spans="1:8" x14ac:dyDescent="0.4">
      <c r="A686">
        <v>343</v>
      </c>
      <c r="B686" t="s">
        <v>3</v>
      </c>
      <c r="C686">
        <v>1</v>
      </c>
      <c r="D686">
        <v>4</v>
      </c>
      <c r="E686">
        <v>17</v>
      </c>
      <c r="F686">
        <v>2</v>
      </c>
      <c r="G686">
        <v>0</v>
      </c>
      <c r="H686">
        <f>표3[[#This Row],[공격성공횟수]]/(표3[[#This Row],[공격실패횟수]]+표3[[#This Row],[공격성공횟수]])</f>
        <v>0.19047619047619047</v>
      </c>
    </row>
    <row r="687" spans="1:8" hidden="1" x14ac:dyDescent="0.4">
      <c r="A687">
        <v>343</v>
      </c>
      <c r="B687" t="s">
        <v>1</v>
      </c>
      <c r="C687">
        <v>0</v>
      </c>
      <c r="D687">
        <v>2</v>
      </c>
      <c r="E687">
        <v>18</v>
      </c>
      <c r="F687">
        <v>4</v>
      </c>
      <c r="G687">
        <v>1</v>
      </c>
      <c r="H687">
        <f>표3[[#This Row],[공격성공횟수]]/(표3[[#This Row],[공격실패횟수]]+표3[[#This Row],[공격성공횟수]])</f>
        <v>0.1</v>
      </c>
    </row>
    <row r="688" spans="1:8" x14ac:dyDescent="0.4">
      <c r="A688">
        <v>344</v>
      </c>
      <c r="B688" t="s">
        <v>3</v>
      </c>
      <c r="C688">
        <v>1</v>
      </c>
      <c r="D688">
        <v>4</v>
      </c>
      <c r="E688">
        <v>8</v>
      </c>
      <c r="F688">
        <v>1</v>
      </c>
      <c r="G688">
        <v>0</v>
      </c>
      <c r="H688">
        <f>표3[[#This Row],[공격성공횟수]]/(표3[[#This Row],[공격실패횟수]]+표3[[#This Row],[공격성공횟수]])</f>
        <v>0.33333333333333331</v>
      </c>
    </row>
    <row r="689" spans="1:8" hidden="1" x14ac:dyDescent="0.4">
      <c r="A689">
        <v>344</v>
      </c>
      <c r="B689" t="s">
        <v>1</v>
      </c>
      <c r="C689">
        <v>0</v>
      </c>
      <c r="D689">
        <v>1</v>
      </c>
      <c r="E689">
        <v>11</v>
      </c>
      <c r="F689">
        <v>4</v>
      </c>
      <c r="G689">
        <v>1</v>
      </c>
      <c r="H689">
        <f>표3[[#This Row],[공격성공횟수]]/(표3[[#This Row],[공격실패횟수]]+표3[[#This Row],[공격성공횟수]])</f>
        <v>8.3333333333333329E-2</v>
      </c>
    </row>
    <row r="690" spans="1:8" x14ac:dyDescent="0.4">
      <c r="A690">
        <v>345</v>
      </c>
      <c r="B690" t="s">
        <v>3</v>
      </c>
      <c r="C690">
        <v>1</v>
      </c>
      <c r="D690">
        <v>4</v>
      </c>
      <c r="E690">
        <v>11</v>
      </c>
      <c r="F690">
        <v>2</v>
      </c>
      <c r="G690">
        <v>0</v>
      </c>
      <c r="H690">
        <f>표3[[#This Row],[공격성공횟수]]/(표3[[#This Row],[공격실패횟수]]+표3[[#This Row],[공격성공횟수]])</f>
        <v>0.26666666666666666</v>
      </c>
    </row>
    <row r="691" spans="1:8" hidden="1" x14ac:dyDescent="0.4">
      <c r="A691">
        <v>345</v>
      </c>
      <c r="B691" t="s">
        <v>1</v>
      </c>
      <c r="C691">
        <v>0</v>
      </c>
      <c r="D691">
        <v>2</v>
      </c>
      <c r="E691">
        <v>12</v>
      </c>
      <c r="F691">
        <v>4</v>
      </c>
      <c r="G691">
        <v>1</v>
      </c>
      <c r="H691">
        <f>표3[[#This Row],[공격성공횟수]]/(표3[[#This Row],[공격실패횟수]]+표3[[#This Row],[공격성공횟수]])</f>
        <v>0.14285714285714285</v>
      </c>
    </row>
    <row r="692" spans="1:8" x14ac:dyDescent="0.4">
      <c r="A692">
        <v>346</v>
      </c>
      <c r="B692" t="s">
        <v>3</v>
      </c>
      <c r="C692">
        <v>0</v>
      </c>
      <c r="D692">
        <v>0</v>
      </c>
      <c r="E692">
        <v>21</v>
      </c>
      <c r="F692">
        <v>4</v>
      </c>
      <c r="G692">
        <v>1</v>
      </c>
      <c r="H692">
        <f>표3[[#This Row],[공격성공횟수]]/(표3[[#This Row],[공격실패횟수]]+표3[[#This Row],[공격성공횟수]])</f>
        <v>0</v>
      </c>
    </row>
    <row r="693" spans="1:8" hidden="1" x14ac:dyDescent="0.4">
      <c r="A693">
        <v>346</v>
      </c>
      <c r="B693" t="s">
        <v>1</v>
      </c>
      <c r="C693">
        <v>1</v>
      </c>
      <c r="D693">
        <v>4</v>
      </c>
      <c r="E693">
        <v>18</v>
      </c>
      <c r="F693">
        <v>0</v>
      </c>
      <c r="G693">
        <v>0</v>
      </c>
      <c r="H693">
        <f>표3[[#This Row],[공격성공횟수]]/(표3[[#This Row],[공격실패횟수]]+표3[[#This Row],[공격성공횟수]])</f>
        <v>0.18181818181818182</v>
      </c>
    </row>
    <row r="694" spans="1:8" x14ac:dyDescent="0.4">
      <c r="A694">
        <v>347</v>
      </c>
      <c r="B694" t="s">
        <v>3</v>
      </c>
      <c r="C694">
        <v>1</v>
      </c>
      <c r="D694">
        <v>4</v>
      </c>
      <c r="E694">
        <v>9</v>
      </c>
      <c r="F694">
        <v>0</v>
      </c>
      <c r="G694">
        <v>0</v>
      </c>
      <c r="H694">
        <f>표3[[#This Row],[공격성공횟수]]/(표3[[#This Row],[공격실패횟수]]+표3[[#This Row],[공격성공횟수]])</f>
        <v>0.30769230769230771</v>
      </c>
    </row>
    <row r="695" spans="1:8" hidden="1" x14ac:dyDescent="0.4">
      <c r="A695">
        <v>347</v>
      </c>
      <c r="B695" t="s">
        <v>1</v>
      </c>
      <c r="C695">
        <v>0</v>
      </c>
      <c r="D695">
        <v>0</v>
      </c>
      <c r="E695">
        <v>12</v>
      </c>
      <c r="F695">
        <v>4</v>
      </c>
      <c r="G695">
        <v>1</v>
      </c>
      <c r="H695">
        <f>표3[[#This Row],[공격성공횟수]]/(표3[[#This Row],[공격실패횟수]]+표3[[#This Row],[공격성공횟수]])</f>
        <v>0</v>
      </c>
    </row>
    <row r="696" spans="1:8" x14ac:dyDescent="0.4">
      <c r="A696">
        <v>348</v>
      </c>
      <c r="B696" t="s">
        <v>3</v>
      </c>
      <c r="C696">
        <v>1</v>
      </c>
      <c r="D696">
        <v>4</v>
      </c>
      <c r="E696">
        <v>7</v>
      </c>
      <c r="F696">
        <v>1</v>
      </c>
      <c r="G696">
        <v>0</v>
      </c>
      <c r="H696">
        <f>표3[[#This Row],[공격성공횟수]]/(표3[[#This Row],[공격실패횟수]]+표3[[#This Row],[공격성공횟수]])</f>
        <v>0.36363636363636365</v>
      </c>
    </row>
    <row r="697" spans="1:8" hidden="1" x14ac:dyDescent="0.4">
      <c r="A697">
        <v>348</v>
      </c>
      <c r="B697" t="s">
        <v>1</v>
      </c>
      <c r="C697">
        <v>0</v>
      </c>
      <c r="D697">
        <v>1</v>
      </c>
      <c r="E697">
        <v>10</v>
      </c>
      <c r="F697">
        <v>4</v>
      </c>
      <c r="G697">
        <v>1</v>
      </c>
      <c r="H697">
        <f>표3[[#This Row],[공격성공횟수]]/(표3[[#This Row],[공격실패횟수]]+표3[[#This Row],[공격성공횟수]])</f>
        <v>9.0909090909090912E-2</v>
      </c>
    </row>
    <row r="698" spans="1:8" x14ac:dyDescent="0.4">
      <c r="A698">
        <v>349</v>
      </c>
      <c r="B698" t="s">
        <v>3</v>
      </c>
      <c r="C698">
        <v>1</v>
      </c>
      <c r="D698">
        <v>4</v>
      </c>
      <c r="E698">
        <v>12</v>
      </c>
      <c r="F698">
        <v>3</v>
      </c>
      <c r="G698">
        <v>0</v>
      </c>
      <c r="H698">
        <f>표3[[#This Row],[공격성공횟수]]/(표3[[#This Row],[공격실패횟수]]+표3[[#This Row],[공격성공횟수]])</f>
        <v>0.25</v>
      </c>
    </row>
    <row r="699" spans="1:8" hidden="1" x14ac:dyDescent="0.4">
      <c r="A699">
        <v>349</v>
      </c>
      <c r="B699" t="s">
        <v>1</v>
      </c>
      <c r="C699">
        <v>0</v>
      </c>
      <c r="D699">
        <v>3</v>
      </c>
      <c r="E699">
        <v>12</v>
      </c>
      <c r="F699">
        <v>4</v>
      </c>
      <c r="G699">
        <v>1</v>
      </c>
      <c r="H699">
        <f>표3[[#This Row],[공격성공횟수]]/(표3[[#This Row],[공격실패횟수]]+표3[[#This Row],[공격성공횟수]])</f>
        <v>0.2</v>
      </c>
    </row>
    <row r="700" spans="1:8" x14ac:dyDescent="0.4">
      <c r="A700">
        <v>350</v>
      </c>
      <c r="B700" t="s">
        <v>3</v>
      </c>
      <c r="C700">
        <v>1</v>
      </c>
      <c r="D700">
        <v>4</v>
      </c>
      <c r="E700">
        <v>5</v>
      </c>
      <c r="F700">
        <v>1</v>
      </c>
      <c r="G700">
        <v>0</v>
      </c>
      <c r="H700">
        <f>표3[[#This Row],[공격성공횟수]]/(표3[[#This Row],[공격실패횟수]]+표3[[#This Row],[공격성공횟수]])</f>
        <v>0.44444444444444442</v>
      </c>
    </row>
    <row r="701" spans="1:8" hidden="1" x14ac:dyDescent="0.4">
      <c r="A701">
        <v>350</v>
      </c>
      <c r="B701" t="s">
        <v>1</v>
      </c>
      <c r="C701">
        <v>0</v>
      </c>
      <c r="D701">
        <v>1</v>
      </c>
      <c r="E701">
        <v>8</v>
      </c>
      <c r="F701">
        <v>4</v>
      </c>
      <c r="G701">
        <v>1</v>
      </c>
      <c r="H701">
        <f>표3[[#This Row],[공격성공횟수]]/(표3[[#This Row],[공격실패횟수]]+표3[[#This Row],[공격성공횟수]])</f>
        <v>0.1111111111111111</v>
      </c>
    </row>
    <row r="702" spans="1:8" x14ac:dyDescent="0.4">
      <c r="A702">
        <v>351</v>
      </c>
      <c r="B702" t="s">
        <v>3</v>
      </c>
      <c r="C702">
        <v>1</v>
      </c>
      <c r="D702">
        <v>4</v>
      </c>
      <c r="E702">
        <v>6</v>
      </c>
      <c r="F702">
        <v>0</v>
      </c>
      <c r="G702">
        <v>0</v>
      </c>
      <c r="H702">
        <f>표3[[#This Row],[공격성공횟수]]/(표3[[#This Row],[공격실패횟수]]+표3[[#This Row],[공격성공횟수]])</f>
        <v>0.4</v>
      </c>
    </row>
    <row r="703" spans="1:8" hidden="1" x14ac:dyDescent="0.4">
      <c r="A703">
        <v>351</v>
      </c>
      <c r="B703" t="s">
        <v>1</v>
      </c>
      <c r="C703">
        <v>0</v>
      </c>
      <c r="D703">
        <v>0</v>
      </c>
      <c r="E703">
        <v>9</v>
      </c>
      <c r="F703">
        <v>4</v>
      </c>
      <c r="G703">
        <v>1</v>
      </c>
      <c r="H703">
        <f>표3[[#This Row],[공격성공횟수]]/(표3[[#This Row],[공격실패횟수]]+표3[[#This Row],[공격성공횟수]])</f>
        <v>0</v>
      </c>
    </row>
    <row r="704" spans="1:8" x14ac:dyDescent="0.4">
      <c r="A704">
        <v>352</v>
      </c>
      <c r="B704" t="s">
        <v>3</v>
      </c>
      <c r="C704">
        <v>1</v>
      </c>
      <c r="D704">
        <v>4</v>
      </c>
      <c r="E704">
        <v>7</v>
      </c>
      <c r="F704">
        <v>1</v>
      </c>
      <c r="G704">
        <v>0</v>
      </c>
      <c r="H704">
        <f>표3[[#This Row],[공격성공횟수]]/(표3[[#This Row],[공격실패횟수]]+표3[[#This Row],[공격성공횟수]])</f>
        <v>0.36363636363636365</v>
      </c>
    </row>
    <row r="705" spans="1:8" hidden="1" x14ac:dyDescent="0.4">
      <c r="A705">
        <v>352</v>
      </c>
      <c r="B705" t="s">
        <v>1</v>
      </c>
      <c r="C705">
        <v>0</v>
      </c>
      <c r="D705">
        <v>1</v>
      </c>
      <c r="E705">
        <v>10</v>
      </c>
      <c r="F705">
        <v>4</v>
      </c>
      <c r="G705">
        <v>1</v>
      </c>
      <c r="H705">
        <f>표3[[#This Row],[공격성공횟수]]/(표3[[#This Row],[공격실패횟수]]+표3[[#This Row],[공격성공횟수]])</f>
        <v>9.0909090909090912E-2</v>
      </c>
    </row>
    <row r="706" spans="1:8" x14ac:dyDescent="0.4">
      <c r="A706">
        <v>353</v>
      </c>
      <c r="B706" t="s">
        <v>3</v>
      </c>
      <c r="C706">
        <v>1</v>
      </c>
      <c r="D706">
        <v>4</v>
      </c>
      <c r="E706">
        <v>8</v>
      </c>
      <c r="F706">
        <v>0</v>
      </c>
      <c r="G706">
        <v>0</v>
      </c>
      <c r="H706">
        <f>표3[[#This Row],[공격성공횟수]]/(표3[[#This Row],[공격실패횟수]]+표3[[#This Row],[공격성공횟수]])</f>
        <v>0.33333333333333331</v>
      </c>
    </row>
    <row r="707" spans="1:8" hidden="1" x14ac:dyDescent="0.4">
      <c r="A707">
        <v>353</v>
      </c>
      <c r="B707" t="s">
        <v>1</v>
      </c>
      <c r="C707">
        <v>0</v>
      </c>
      <c r="D707">
        <v>0</v>
      </c>
      <c r="E707">
        <v>12</v>
      </c>
      <c r="F707">
        <v>4</v>
      </c>
      <c r="G707">
        <v>1</v>
      </c>
      <c r="H707">
        <f>표3[[#This Row],[공격성공횟수]]/(표3[[#This Row],[공격실패횟수]]+표3[[#This Row],[공격성공횟수]])</f>
        <v>0</v>
      </c>
    </row>
    <row r="708" spans="1:8" x14ac:dyDescent="0.4">
      <c r="A708">
        <v>354</v>
      </c>
      <c r="B708" t="s">
        <v>3</v>
      </c>
      <c r="C708">
        <v>0</v>
      </c>
      <c r="D708">
        <v>1</v>
      </c>
      <c r="E708">
        <v>20</v>
      </c>
      <c r="F708">
        <v>4</v>
      </c>
      <c r="G708">
        <v>1</v>
      </c>
      <c r="H708">
        <f>표3[[#This Row],[공격성공횟수]]/(표3[[#This Row],[공격실패횟수]]+표3[[#This Row],[공격성공횟수]])</f>
        <v>4.7619047619047616E-2</v>
      </c>
    </row>
    <row r="709" spans="1:8" hidden="1" x14ac:dyDescent="0.4">
      <c r="A709">
        <v>354</v>
      </c>
      <c r="B709" t="s">
        <v>1</v>
      </c>
      <c r="C709">
        <v>1</v>
      </c>
      <c r="D709">
        <v>4</v>
      </c>
      <c r="E709">
        <v>28</v>
      </c>
      <c r="F709">
        <v>1</v>
      </c>
      <c r="G709">
        <v>0</v>
      </c>
      <c r="H709">
        <f>표3[[#This Row],[공격성공횟수]]/(표3[[#This Row],[공격실패횟수]]+표3[[#This Row],[공격성공횟수]])</f>
        <v>0.125</v>
      </c>
    </row>
    <row r="710" spans="1:8" x14ac:dyDescent="0.4">
      <c r="A710">
        <v>355</v>
      </c>
      <c r="B710" t="s">
        <v>3</v>
      </c>
      <c r="C710">
        <v>1</v>
      </c>
      <c r="D710">
        <v>4</v>
      </c>
      <c r="E710">
        <v>16</v>
      </c>
      <c r="F710">
        <v>1</v>
      </c>
      <c r="G710">
        <v>0</v>
      </c>
      <c r="H710">
        <f>표3[[#This Row],[공격성공횟수]]/(표3[[#This Row],[공격실패횟수]]+표3[[#This Row],[공격성공횟수]])</f>
        <v>0.2</v>
      </c>
    </row>
    <row r="711" spans="1:8" hidden="1" x14ac:dyDescent="0.4">
      <c r="A711">
        <v>355</v>
      </c>
      <c r="B711" t="s">
        <v>1</v>
      </c>
      <c r="C711">
        <v>0</v>
      </c>
      <c r="D711">
        <v>1</v>
      </c>
      <c r="E711">
        <v>17</v>
      </c>
      <c r="F711">
        <v>4</v>
      </c>
      <c r="G711">
        <v>1</v>
      </c>
      <c r="H711">
        <f>표3[[#This Row],[공격성공횟수]]/(표3[[#This Row],[공격실패횟수]]+표3[[#This Row],[공격성공횟수]])</f>
        <v>5.5555555555555552E-2</v>
      </c>
    </row>
    <row r="712" spans="1:8" x14ac:dyDescent="0.4">
      <c r="A712">
        <v>356</v>
      </c>
      <c r="B712" t="s">
        <v>3</v>
      </c>
      <c r="C712">
        <v>1</v>
      </c>
      <c r="D712">
        <v>4</v>
      </c>
      <c r="E712">
        <v>11</v>
      </c>
      <c r="F712">
        <v>0</v>
      </c>
      <c r="G712">
        <v>0</v>
      </c>
      <c r="H712">
        <f>표3[[#This Row],[공격성공횟수]]/(표3[[#This Row],[공격실패횟수]]+표3[[#This Row],[공격성공횟수]])</f>
        <v>0.26666666666666666</v>
      </c>
    </row>
    <row r="713" spans="1:8" hidden="1" x14ac:dyDescent="0.4">
      <c r="A713">
        <v>356</v>
      </c>
      <c r="B713" t="s">
        <v>1</v>
      </c>
      <c r="C713">
        <v>0</v>
      </c>
      <c r="D713">
        <v>0</v>
      </c>
      <c r="E713">
        <v>18</v>
      </c>
      <c r="F713">
        <v>4</v>
      </c>
      <c r="G713">
        <v>1</v>
      </c>
      <c r="H713">
        <f>표3[[#This Row],[공격성공횟수]]/(표3[[#This Row],[공격실패횟수]]+표3[[#This Row],[공격성공횟수]])</f>
        <v>0</v>
      </c>
    </row>
    <row r="714" spans="1:8" x14ac:dyDescent="0.4">
      <c r="A714">
        <v>357</v>
      </c>
      <c r="B714" t="s">
        <v>3</v>
      </c>
      <c r="C714">
        <v>1</v>
      </c>
      <c r="D714">
        <v>4</v>
      </c>
      <c r="E714">
        <v>6</v>
      </c>
      <c r="F714">
        <v>0</v>
      </c>
      <c r="G714">
        <v>0</v>
      </c>
      <c r="H714">
        <f>표3[[#This Row],[공격성공횟수]]/(표3[[#This Row],[공격실패횟수]]+표3[[#This Row],[공격성공횟수]])</f>
        <v>0.4</v>
      </c>
    </row>
    <row r="715" spans="1:8" hidden="1" x14ac:dyDescent="0.4">
      <c r="A715">
        <v>357</v>
      </c>
      <c r="B715" t="s">
        <v>1</v>
      </c>
      <c r="C715">
        <v>0</v>
      </c>
      <c r="D715">
        <v>0</v>
      </c>
      <c r="E715">
        <v>10</v>
      </c>
      <c r="F715">
        <v>4</v>
      </c>
      <c r="G715">
        <v>1</v>
      </c>
      <c r="H715">
        <f>표3[[#This Row],[공격성공횟수]]/(표3[[#This Row],[공격실패횟수]]+표3[[#This Row],[공격성공횟수]])</f>
        <v>0</v>
      </c>
    </row>
    <row r="716" spans="1:8" x14ac:dyDescent="0.4">
      <c r="A716">
        <v>358</v>
      </c>
      <c r="B716" t="s">
        <v>3</v>
      </c>
      <c r="C716">
        <v>1</v>
      </c>
      <c r="D716">
        <v>4</v>
      </c>
      <c r="E716">
        <v>20</v>
      </c>
      <c r="F716">
        <v>3</v>
      </c>
      <c r="G716">
        <v>0</v>
      </c>
      <c r="H716">
        <f>표3[[#This Row],[공격성공횟수]]/(표3[[#This Row],[공격실패횟수]]+표3[[#This Row],[공격성공횟수]])</f>
        <v>0.16666666666666666</v>
      </c>
    </row>
    <row r="717" spans="1:8" hidden="1" x14ac:dyDescent="0.4">
      <c r="A717">
        <v>358</v>
      </c>
      <c r="B717" t="s">
        <v>1</v>
      </c>
      <c r="C717">
        <v>0</v>
      </c>
      <c r="D717">
        <v>3</v>
      </c>
      <c r="E717">
        <v>22</v>
      </c>
      <c r="F717">
        <v>4</v>
      </c>
      <c r="G717">
        <v>1</v>
      </c>
      <c r="H717">
        <f>표3[[#This Row],[공격성공횟수]]/(표3[[#This Row],[공격실패횟수]]+표3[[#This Row],[공격성공횟수]])</f>
        <v>0.12</v>
      </c>
    </row>
    <row r="718" spans="1:8" x14ac:dyDescent="0.4">
      <c r="A718">
        <v>359</v>
      </c>
      <c r="B718" t="s">
        <v>3</v>
      </c>
      <c r="C718">
        <v>1</v>
      </c>
      <c r="D718">
        <v>4</v>
      </c>
      <c r="E718">
        <v>5</v>
      </c>
      <c r="F718">
        <v>1</v>
      </c>
      <c r="G718">
        <v>0</v>
      </c>
      <c r="H718">
        <f>표3[[#This Row],[공격성공횟수]]/(표3[[#This Row],[공격실패횟수]]+표3[[#This Row],[공격성공횟수]])</f>
        <v>0.44444444444444442</v>
      </c>
    </row>
    <row r="719" spans="1:8" hidden="1" x14ac:dyDescent="0.4">
      <c r="A719">
        <v>359</v>
      </c>
      <c r="B719" t="s">
        <v>1</v>
      </c>
      <c r="C719">
        <v>0</v>
      </c>
      <c r="D719">
        <v>1</v>
      </c>
      <c r="E719">
        <v>7</v>
      </c>
      <c r="F719">
        <v>4</v>
      </c>
      <c r="G719">
        <v>1</v>
      </c>
      <c r="H719">
        <f>표3[[#This Row],[공격성공횟수]]/(표3[[#This Row],[공격실패횟수]]+표3[[#This Row],[공격성공횟수]])</f>
        <v>0.125</v>
      </c>
    </row>
    <row r="720" spans="1:8" x14ac:dyDescent="0.4">
      <c r="A720">
        <v>360</v>
      </c>
      <c r="B720" t="s">
        <v>3</v>
      </c>
      <c r="C720">
        <v>0</v>
      </c>
      <c r="D720">
        <v>1</v>
      </c>
      <c r="E720">
        <v>22</v>
      </c>
      <c r="F720">
        <v>4</v>
      </c>
      <c r="G720">
        <v>1</v>
      </c>
      <c r="H720">
        <f>표3[[#This Row],[공격성공횟수]]/(표3[[#This Row],[공격실패횟수]]+표3[[#This Row],[공격성공횟수]])</f>
        <v>4.3478260869565216E-2</v>
      </c>
    </row>
    <row r="721" spans="1:8" hidden="1" x14ac:dyDescent="0.4">
      <c r="A721">
        <v>360</v>
      </c>
      <c r="B721" t="s">
        <v>1</v>
      </c>
      <c r="C721">
        <v>1</v>
      </c>
      <c r="D721">
        <v>4</v>
      </c>
      <c r="E721">
        <v>26</v>
      </c>
      <c r="F721">
        <v>1</v>
      </c>
      <c r="G721">
        <v>0</v>
      </c>
      <c r="H721">
        <f>표3[[#This Row],[공격성공횟수]]/(표3[[#This Row],[공격실패횟수]]+표3[[#This Row],[공격성공횟수]])</f>
        <v>0.13333333333333333</v>
      </c>
    </row>
    <row r="722" spans="1:8" x14ac:dyDescent="0.4">
      <c r="A722">
        <v>361</v>
      </c>
      <c r="B722" t="s">
        <v>3</v>
      </c>
      <c r="C722">
        <v>1</v>
      </c>
      <c r="D722">
        <v>4</v>
      </c>
      <c r="E722">
        <v>13</v>
      </c>
      <c r="F722">
        <v>3</v>
      </c>
      <c r="G722">
        <v>0</v>
      </c>
      <c r="H722">
        <f>표3[[#This Row],[공격성공횟수]]/(표3[[#This Row],[공격실패횟수]]+표3[[#This Row],[공격성공횟수]])</f>
        <v>0.23529411764705882</v>
      </c>
    </row>
    <row r="723" spans="1:8" hidden="1" x14ac:dyDescent="0.4">
      <c r="A723">
        <v>361</v>
      </c>
      <c r="B723" t="s">
        <v>1</v>
      </c>
      <c r="C723">
        <v>0</v>
      </c>
      <c r="D723">
        <v>3</v>
      </c>
      <c r="E723">
        <v>19</v>
      </c>
      <c r="F723">
        <v>4</v>
      </c>
      <c r="G723">
        <v>1</v>
      </c>
      <c r="H723">
        <f>표3[[#This Row],[공격성공횟수]]/(표3[[#This Row],[공격실패횟수]]+표3[[#This Row],[공격성공횟수]])</f>
        <v>0.13636363636363635</v>
      </c>
    </row>
    <row r="724" spans="1:8" x14ac:dyDescent="0.4">
      <c r="A724">
        <v>362</v>
      </c>
      <c r="B724" t="s">
        <v>3</v>
      </c>
      <c r="C724">
        <v>1</v>
      </c>
      <c r="D724">
        <v>4</v>
      </c>
      <c r="E724">
        <v>31</v>
      </c>
      <c r="F724">
        <v>1</v>
      </c>
      <c r="G724">
        <v>0</v>
      </c>
      <c r="H724">
        <f>표3[[#This Row],[공격성공횟수]]/(표3[[#This Row],[공격실패횟수]]+표3[[#This Row],[공격성공횟수]])</f>
        <v>0.11428571428571428</v>
      </c>
    </row>
    <row r="725" spans="1:8" hidden="1" x14ac:dyDescent="0.4">
      <c r="A725">
        <v>362</v>
      </c>
      <c r="B725" t="s">
        <v>1</v>
      </c>
      <c r="C725">
        <v>0</v>
      </c>
      <c r="D725">
        <v>1</v>
      </c>
      <c r="E725">
        <v>32</v>
      </c>
      <c r="F725">
        <v>4</v>
      </c>
      <c r="G725">
        <v>1</v>
      </c>
      <c r="H725">
        <f>표3[[#This Row],[공격성공횟수]]/(표3[[#This Row],[공격실패횟수]]+표3[[#This Row],[공격성공횟수]])</f>
        <v>3.0303030303030304E-2</v>
      </c>
    </row>
    <row r="726" spans="1:8" x14ac:dyDescent="0.4">
      <c r="A726">
        <v>363</v>
      </c>
      <c r="B726" t="s">
        <v>3</v>
      </c>
      <c r="C726">
        <v>0</v>
      </c>
      <c r="D726">
        <v>1</v>
      </c>
      <c r="E726">
        <v>18</v>
      </c>
      <c r="F726">
        <v>4</v>
      </c>
      <c r="G726">
        <v>1</v>
      </c>
      <c r="H726">
        <f>표3[[#This Row],[공격성공횟수]]/(표3[[#This Row],[공격실패횟수]]+표3[[#This Row],[공격성공횟수]])</f>
        <v>5.2631578947368418E-2</v>
      </c>
    </row>
    <row r="727" spans="1:8" hidden="1" x14ac:dyDescent="0.4">
      <c r="A727">
        <v>363</v>
      </c>
      <c r="B727" t="s">
        <v>1</v>
      </c>
      <c r="C727">
        <v>1</v>
      </c>
      <c r="D727">
        <v>4</v>
      </c>
      <c r="E727">
        <v>17</v>
      </c>
      <c r="F727">
        <v>1</v>
      </c>
      <c r="G727">
        <v>0</v>
      </c>
      <c r="H727">
        <f>표3[[#This Row],[공격성공횟수]]/(표3[[#This Row],[공격실패횟수]]+표3[[#This Row],[공격성공횟수]])</f>
        <v>0.19047619047619047</v>
      </c>
    </row>
    <row r="728" spans="1:8" x14ac:dyDescent="0.4">
      <c r="A728">
        <v>364</v>
      </c>
      <c r="B728" t="s">
        <v>3</v>
      </c>
      <c r="C728">
        <v>1</v>
      </c>
      <c r="D728">
        <v>4</v>
      </c>
      <c r="E728">
        <v>21</v>
      </c>
      <c r="F728">
        <v>0</v>
      </c>
      <c r="G728">
        <v>0</v>
      </c>
      <c r="H728">
        <f>표3[[#This Row],[공격성공횟수]]/(표3[[#This Row],[공격실패횟수]]+표3[[#This Row],[공격성공횟수]])</f>
        <v>0.16</v>
      </c>
    </row>
    <row r="729" spans="1:8" hidden="1" x14ac:dyDescent="0.4">
      <c r="A729">
        <v>364</v>
      </c>
      <c r="B729" t="s">
        <v>1</v>
      </c>
      <c r="C729">
        <v>0</v>
      </c>
      <c r="D729">
        <v>0</v>
      </c>
      <c r="E729">
        <v>23</v>
      </c>
      <c r="F729">
        <v>4</v>
      </c>
      <c r="G729">
        <v>1</v>
      </c>
      <c r="H729">
        <f>표3[[#This Row],[공격성공횟수]]/(표3[[#This Row],[공격실패횟수]]+표3[[#This Row],[공격성공횟수]])</f>
        <v>0</v>
      </c>
    </row>
    <row r="730" spans="1:8" x14ac:dyDescent="0.4">
      <c r="A730">
        <v>365</v>
      </c>
      <c r="B730" t="s">
        <v>3</v>
      </c>
      <c r="C730">
        <v>1</v>
      </c>
      <c r="D730">
        <v>4</v>
      </c>
      <c r="E730">
        <v>20</v>
      </c>
      <c r="F730">
        <v>3</v>
      </c>
      <c r="G730">
        <v>0</v>
      </c>
      <c r="H730">
        <f>표3[[#This Row],[공격성공횟수]]/(표3[[#This Row],[공격실패횟수]]+표3[[#This Row],[공격성공횟수]])</f>
        <v>0.16666666666666666</v>
      </c>
    </row>
    <row r="731" spans="1:8" hidden="1" x14ac:dyDescent="0.4">
      <c r="A731">
        <v>365</v>
      </c>
      <c r="B731" t="s">
        <v>1</v>
      </c>
      <c r="C731">
        <v>0</v>
      </c>
      <c r="D731">
        <v>3</v>
      </c>
      <c r="E731">
        <v>21</v>
      </c>
      <c r="F731">
        <v>4</v>
      </c>
      <c r="G731">
        <v>1</v>
      </c>
      <c r="H731">
        <f>표3[[#This Row],[공격성공횟수]]/(표3[[#This Row],[공격실패횟수]]+표3[[#This Row],[공격성공횟수]])</f>
        <v>0.125</v>
      </c>
    </row>
    <row r="732" spans="1:8" x14ac:dyDescent="0.4">
      <c r="A732">
        <v>366</v>
      </c>
      <c r="B732" t="s">
        <v>3</v>
      </c>
      <c r="C732">
        <v>1</v>
      </c>
      <c r="D732">
        <v>4</v>
      </c>
      <c r="E732">
        <v>8</v>
      </c>
      <c r="F732">
        <v>0</v>
      </c>
      <c r="G732">
        <v>0</v>
      </c>
      <c r="H732">
        <f>표3[[#This Row],[공격성공횟수]]/(표3[[#This Row],[공격실패횟수]]+표3[[#This Row],[공격성공횟수]])</f>
        <v>0.33333333333333331</v>
      </c>
    </row>
    <row r="733" spans="1:8" hidden="1" x14ac:dyDescent="0.4">
      <c r="A733">
        <v>366</v>
      </c>
      <c r="B733" t="s">
        <v>1</v>
      </c>
      <c r="C733">
        <v>0</v>
      </c>
      <c r="D733">
        <v>0</v>
      </c>
      <c r="E733">
        <v>11</v>
      </c>
      <c r="F733">
        <v>4</v>
      </c>
      <c r="G733">
        <v>1</v>
      </c>
      <c r="H733">
        <f>표3[[#This Row],[공격성공횟수]]/(표3[[#This Row],[공격실패횟수]]+표3[[#This Row],[공격성공횟수]])</f>
        <v>0</v>
      </c>
    </row>
    <row r="734" spans="1:8" x14ac:dyDescent="0.4">
      <c r="A734">
        <v>367</v>
      </c>
      <c r="B734" t="s">
        <v>3</v>
      </c>
      <c r="C734">
        <v>1</v>
      </c>
      <c r="D734">
        <v>4</v>
      </c>
      <c r="E734">
        <v>18</v>
      </c>
      <c r="F734">
        <v>3</v>
      </c>
      <c r="G734">
        <v>0</v>
      </c>
      <c r="H734">
        <f>표3[[#This Row],[공격성공횟수]]/(표3[[#This Row],[공격실패횟수]]+표3[[#This Row],[공격성공횟수]])</f>
        <v>0.18181818181818182</v>
      </c>
    </row>
    <row r="735" spans="1:8" hidden="1" x14ac:dyDescent="0.4">
      <c r="A735">
        <v>367</v>
      </c>
      <c r="B735" t="s">
        <v>1</v>
      </c>
      <c r="C735">
        <v>0</v>
      </c>
      <c r="D735">
        <v>3</v>
      </c>
      <c r="E735">
        <v>19</v>
      </c>
      <c r="F735">
        <v>4</v>
      </c>
      <c r="G735">
        <v>1</v>
      </c>
      <c r="H735">
        <f>표3[[#This Row],[공격성공횟수]]/(표3[[#This Row],[공격실패횟수]]+표3[[#This Row],[공격성공횟수]])</f>
        <v>0.13636363636363635</v>
      </c>
    </row>
    <row r="736" spans="1:8" x14ac:dyDescent="0.4">
      <c r="A736">
        <v>368</v>
      </c>
      <c r="B736" t="s">
        <v>3</v>
      </c>
      <c r="C736">
        <v>1</v>
      </c>
      <c r="D736">
        <v>4</v>
      </c>
      <c r="E736">
        <v>7</v>
      </c>
      <c r="F736">
        <v>0</v>
      </c>
      <c r="G736">
        <v>0</v>
      </c>
      <c r="H736">
        <f>표3[[#This Row],[공격성공횟수]]/(표3[[#This Row],[공격실패횟수]]+표3[[#This Row],[공격성공횟수]])</f>
        <v>0.36363636363636365</v>
      </c>
    </row>
    <row r="737" spans="1:8" hidden="1" x14ac:dyDescent="0.4">
      <c r="A737">
        <v>368</v>
      </c>
      <c r="B737" t="s">
        <v>1</v>
      </c>
      <c r="C737">
        <v>0</v>
      </c>
      <c r="D737">
        <v>0</v>
      </c>
      <c r="E737">
        <v>10</v>
      </c>
      <c r="F737">
        <v>4</v>
      </c>
      <c r="G737">
        <v>1</v>
      </c>
      <c r="H737">
        <f>표3[[#This Row],[공격성공횟수]]/(표3[[#This Row],[공격실패횟수]]+표3[[#This Row],[공격성공횟수]])</f>
        <v>0</v>
      </c>
    </row>
    <row r="738" spans="1:8" x14ac:dyDescent="0.4">
      <c r="A738">
        <v>369</v>
      </c>
      <c r="B738" t="s">
        <v>3</v>
      </c>
      <c r="C738">
        <v>1</v>
      </c>
      <c r="D738">
        <v>4</v>
      </c>
      <c r="E738">
        <v>4</v>
      </c>
      <c r="F738">
        <v>0</v>
      </c>
      <c r="G738">
        <v>0</v>
      </c>
      <c r="H738">
        <f>표3[[#This Row],[공격성공횟수]]/(표3[[#This Row],[공격실패횟수]]+표3[[#This Row],[공격성공횟수]])</f>
        <v>0.5</v>
      </c>
    </row>
    <row r="739" spans="1:8" hidden="1" x14ac:dyDescent="0.4">
      <c r="A739">
        <v>369</v>
      </c>
      <c r="B739" t="s">
        <v>1</v>
      </c>
      <c r="C739">
        <v>0</v>
      </c>
      <c r="D739">
        <v>0</v>
      </c>
      <c r="E739">
        <v>8</v>
      </c>
      <c r="F739">
        <v>4</v>
      </c>
      <c r="G739">
        <v>1</v>
      </c>
      <c r="H739">
        <f>표3[[#This Row],[공격성공횟수]]/(표3[[#This Row],[공격실패횟수]]+표3[[#This Row],[공격성공횟수]])</f>
        <v>0</v>
      </c>
    </row>
    <row r="740" spans="1:8" x14ac:dyDescent="0.4">
      <c r="A740">
        <v>370</v>
      </c>
      <c r="B740" t="s">
        <v>3</v>
      </c>
      <c r="C740">
        <v>1</v>
      </c>
      <c r="D740">
        <v>4</v>
      </c>
      <c r="E740">
        <v>13</v>
      </c>
      <c r="F740">
        <v>0</v>
      </c>
      <c r="G740">
        <v>0</v>
      </c>
      <c r="H740">
        <f>표3[[#This Row],[공격성공횟수]]/(표3[[#This Row],[공격실패횟수]]+표3[[#This Row],[공격성공횟수]])</f>
        <v>0.23529411764705882</v>
      </c>
    </row>
    <row r="741" spans="1:8" hidden="1" x14ac:dyDescent="0.4">
      <c r="A741">
        <v>370</v>
      </c>
      <c r="B741" t="s">
        <v>1</v>
      </c>
      <c r="C741">
        <v>0</v>
      </c>
      <c r="D741">
        <v>0</v>
      </c>
      <c r="E741">
        <v>16</v>
      </c>
      <c r="F741">
        <v>4</v>
      </c>
      <c r="G741">
        <v>1</v>
      </c>
      <c r="H741">
        <f>표3[[#This Row],[공격성공횟수]]/(표3[[#This Row],[공격실패횟수]]+표3[[#This Row],[공격성공횟수]])</f>
        <v>0</v>
      </c>
    </row>
    <row r="742" spans="1:8" x14ac:dyDescent="0.4">
      <c r="A742">
        <v>371</v>
      </c>
      <c r="B742" t="s">
        <v>3</v>
      </c>
      <c r="C742">
        <v>1</v>
      </c>
      <c r="D742">
        <v>4</v>
      </c>
      <c r="E742">
        <v>13</v>
      </c>
      <c r="F742">
        <v>2</v>
      </c>
      <c r="G742">
        <v>0</v>
      </c>
      <c r="H742">
        <f>표3[[#This Row],[공격성공횟수]]/(표3[[#This Row],[공격실패횟수]]+표3[[#This Row],[공격성공횟수]])</f>
        <v>0.23529411764705882</v>
      </c>
    </row>
    <row r="743" spans="1:8" hidden="1" x14ac:dyDescent="0.4">
      <c r="A743">
        <v>371</v>
      </c>
      <c r="B743" t="s">
        <v>1</v>
      </c>
      <c r="C743">
        <v>0</v>
      </c>
      <c r="D743">
        <v>2</v>
      </c>
      <c r="E743">
        <v>14</v>
      </c>
      <c r="F743">
        <v>4</v>
      </c>
      <c r="G743">
        <v>1</v>
      </c>
      <c r="H743">
        <f>표3[[#This Row],[공격성공횟수]]/(표3[[#This Row],[공격실패횟수]]+표3[[#This Row],[공격성공횟수]])</f>
        <v>0.125</v>
      </c>
    </row>
    <row r="744" spans="1:8" x14ac:dyDescent="0.4">
      <c r="A744">
        <v>372</v>
      </c>
      <c r="B744" t="s">
        <v>3</v>
      </c>
      <c r="C744">
        <v>1</v>
      </c>
      <c r="D744">
        <v>4</v>
      </c>
      <c r="E744">
        <v>16</v>
      </c>
      <c r="F744">
        <v>3</v>
      </c>
      <c r="G744">
        <v>0</v>
      </c>
      <c r="H744">
        <f>표3[[#This Row],[공격성공횟수]]/(표3[[#This Row],[공격실패횟수]]+표3[[#This Row],[공격성공횟수]])</f>
        <v>0.2</v>
      </c>
    </row>
    <row r="745" spans="1:8" hidden="1" x14ac:dyDescent="0.4">
      <c r="A745">
        <v>372</v>
      </c>
      <c r="B745" t="s">
        <v>1</v>
      </c>
      <c r="C745">
        <v>0</v>
      </c>
      <c r="D745">
        <v>3</v>
      </c>
      <c r="E745">
        <v>18</v>
      </c>
      <c r="F745">
        <v>4</v>
      </c>
      <c r="G745">
        <v>1</v>
      </c>
      <c r="H745">
        <f>표3[[#This Row],[공격성공횟수]]/(표3[[#This Row],[공격실패횟수]]+표3[[#This Row],[공격성공횟수]])</f>
        <v>0.14285714285714285</v>
      </c>
    </row>
    <row r="746" spans="1:8" x14ac:dyDescent="0.4">
      <c r="A746">
        <v>373</v>
      </c>
      <c r="B746" t="s">
        <v>3</v>
      </c>
      <c r="C746">
        <v>1</v>
      </c>
      <c r="D746">
        <v>4</v>
      </c>
      <c r="E746">
        <v>9</v>
      </c>
      <c r="F746">
        <v>0</v>
      </c>
      <c r="G746">
        <v>0</v>
      </c>
      <c r="H746">
        <f>표3[[#This Row],[공격성공횟수]]/(표3[[#This Row],[공격실패횟수]]+표3[[#This Row],[공격성공횟수]])</f>
        <v>0.30769230769230771</v>
      </c>
    </row>
    <row r="747" spans="1:8" hidden="1" x14ac:dyDescent="0.4">
      <c r="A747">
        <v>373</v>
      </c>
      <c r="B747" t="s">
        <v>1</v>
      </c>
      <c r="C747">
        <v>0</v>
      </c>
      <c r="D747">
        <v>0</v>
      </c>
      <c r="E747">
        <v>13</v>
      </c>
      <c r="F747">
        <v>4</v>
      </c>
      <c r="G747">
        <v>1</v>
      </c>
      <c r="H747">
        <f>표3[[#This Row],[공격성공횟수]]/(표3[[#This Row],[공격실패횟수]]+표3[[#This Row],[공격성공횟수]])</f>
        <v>0</v>
      </c>
    </row>
    <row r="748" spans="1:8" x14ac:dyDescent="0.4">
      <c r="A748">
        <v>374</v>
      </c>
      <c r="B748" t="s">
        <v>3</v>
      </c>
      <c r="C748">
        <v>1</v>
      </c>
      <c r="D748">
        <v>4</v>
      </c>
      <c r="E748">
        <v>11</v>
      </c>
      <c r="F748">
        <v>2</v>
      </c>
      <c r="G748">
        <v>0</v>
      </c>
      <c r="H748">
        <f>표3[[#This Row],[공격성공횟수]]/(표3[[#This Row],[공격실패횟수]]+표3[[#This Row],[공격성공횟수]])</f>
        <v>0.26666666666666666</v>
      </c>
    </row>
    <row r="749" spans="1:8" hidden="1" x14ac:dyDescent="0.4">
      <c r="A749">
        <v>374</v>
      </c>
      <c r="B749" t="s">
        <v>1</v>
      </c>
      <c r="C749">
        <v>0</v>
      </c>
      <c r="D749">
        <v>2</v>
      </c>
      <c r="E749">
        <v>12</v>
      </c>
      <c r="F749">
        <v>4</v>
      </c>
      <c r="G749">
        <v>1</v>
      </c>
      <c r="H749">
        <f>표3[[#This Row],[공격성공횟수]]/(표3[[#This Row],[공격실패횟수]]+표3[[#This Row],[공격성공횟수]])</f>
        <v>0.14285714285714285</v>
      </c>
    </row>
    <row r="750" spans="1:8" x14ac:dyDescent="0.4">
      <c r="A750">
        <v>375</v>
      </c>
      <c r="B750" t="s">
        <v>3</v>
      </c>
      <c r="C750">
        <v>0</v>
      </c>
      <c r="D750">
        <v>1</v>
      </c>
      <c r="E750">
        <v>20</v>
      </c>
      <c r="F750">
        <v>4</v>
      </c>
      <c r="G750">
        <v>1</v>
      </c>
      <c r="H750">
        <f>표3[[#This Row],[공격성공횟수]]/(표3[[#This Row],[공격실패횟수]]+표3[[#This Row],[공격성공횟수]])</f>
        <v>4.7619047619047616E-2</v>
      </c>
    </row>
    <row r="751" spans="1:8" hidden="1" x14ac:dyDescent="0.4">
      <c r="A751">
        <v>375</v>
      </c>
      <c r="B751" t="s">
        <v>1</v>
      </c>
      <c r="C751">
        <v>1</v>
      </c>
      <c r="D751">
        <v>4</v>
      </c>
      <c r="E751">
        <v>21</v>
      </c>
      <c r="F751">
        <v>1</v>
      </c>
      <c r="G751">
        <v>0</v>
      </c>
      <c r="H751">
        <f>표3[[#This Row],[공격성공횟수]]/(표3[[#This Row],[공격실패횟수]]+표3[[#This Row],[공격성공횟수]])</f>
        <v>0.16</v>
      </c>
    </row>
    <row r="752" spans="1:8" x14ac:dyDescent="0.4">
      <c r="A752">
        <v>376</v>
      </c>
      <c r="B752" t="s">
        <v>3</v>
      </c>
      <c r="C752">
        <v>1</v>
      </c>
      <c r="D752">
        <v>4</v>
      </c>
      <c r="E752">
        <v>20</v>
      </c>
      <c r="F752">
        <v>2</v>
      </c>
      <c r="G752">
        <v>0</v>
      </c>
      <c r="H752">
        <f>표3[[#This Row],[공격성공횟수]]/(표3[[#This Row],[공격실패횟수]]+표3[[#This Row],[공격성공횟수]])</f>
        <v>0.16666666666666666</v>
      </c>
    </row>
    <row r="753" spans="1:8" hidden="1" x14ac:dyDescent="0.4">
      <c r="A753">
        <v>376</v>
      </c>
      <c r="B753" t="s">
        <v>1</v>
      </c>
      <c r="C753">
        <v>0</v>
      </c>
      <c r="D753">
        <v>2</v>
      </c>
      <c r="E753">
        <v>21</v>
      </c>
      <c r="F753">
        <v>4</v>
      </c>
      <c r="G753">
        <v>1</v>
      </c>
      <c r="H753">
        <f>표3[[#This Row],[공격성공횟수]]/(표3[[#This Row],[공격실패횟수]]+표3[[#This Row],[공격성공횟수]])</f>
        <v>8.6956521739130432E-2</v>
      </c>
    </row>
    <row r="754" spans="1:8" x14ac:dyDescent="0.4">
      <c r="A754">
        <v>377</v>
      </c>
      <c r="B754" t="s">
        <v>3</v>
      </c>
      <c r="C754">
        <v>1</v>
      </c>
      <c r="D754">
        <v>4</v>
      </c>
      <c r="E754">
        <v>4</v>
      </c>
      <c r="F754">
        <v>0</v>
      </c>
      <c r="G754">
        <v>0</v>
      </c>
      <c r="H754">
        <f>표3[[#This Row],[공격성공횟수]]/(표3[[#This Row],[공격실패횟수]]+표3[[#This Row],[공격성공횟수]])</f>
        <v>0.5</v>
      </c>
    </row>
    <row r="755" spans="1:8" hidden="1" x14ac:dyDescent="0.4">
      <c r="A755">
        <v>377</v>
      </c>
      <c r="B755" t="s">
        <v>1</v>
      </c>
      <c r="C755">
        <v>0</v>
      </c>
      <c r="D755">
        <v>0</v>
      </c>
      <c r="E755">
        <v>8</v>
      </c>
      <c r="F755">
        <v>4</v>
      </c>
      <c r="G755">
        <v>1</v>
      </c>
      <c r="H755">
        <f>표3[[#This Row],[공격성공횟수]]/(표3[[#This Row],[공격실패횟수]]+표3[[#This Row],[공격성공횟수]])</f>
        <v>0</v>
      </c>
    </row>
    <row r="756" spans="1:8" x14ac:dyDescent="0.4">
      <c r="A756">
        <v>378</v>
      </c>
      <c r="B756" t="s">
        <v>3</v>
      </c>
      <c r="C756">
        <v>1</v>
      </c>
      <c r="D756">
        <v>4</v>
      </c>
      <c r="E756">
        <v>6</v>
      </c>
      <c r="F756">
        <v>2</v>
      </c>
      <c r="G756">
        <v>0</v>
      </c>
      <c r="H756">
        <f>표3[[#This Row],[공격성공횟수]]/(표3[[#This Row],[공격실패횟수]]+표3[[#This Row],[공격성공횟수]])</f>
        <v>0.4</v>
      </c>
    </row>
    <row r="757" spans="1:8" hidden="1" x14ac:dyDescent="0.4">
      <c r="A757">
        <v>378</v>
      </c>
      <c r="B757" t="s">
        <v>1</v>
      </c>
      <c r="C757">
        <v>0</v>
      </c>
      <c r="D757">
        <v>2</v>
      </c>
      <c r="E757">
        <v>7</v>
      </c>
      <c r="F757">
        <v>4</v>
      </c>
      <c r="G757">
        <v>1</v>
      </c>
      <c r="H757">
        <f>표3[[#This Row],[공격성공횟수]]/(표3[[#This Row],[공격실패횟수]]+표3[[#This Row],[공격성공횟수]])</f>
        <v>0.22222222222222221</v>
      </c>
    </row>
    <row r="758" spans="1:8" x14ac:dyDescent="0.4">
      <c r="A758">
        <v>379</v>
      </c>
      <c r="B758" t="s">
        <v>3</v>
      </c>
      <c r="C758">
        <v>0</v>
      </c>
      <c r="D758">
        <v>0</v>
      </c>
      <c r="E758">
        <v>11</v>
      </c>
      <c r="F758">
        <v>4</v>
      </c>
      <c r="G758">
        <v>1</v>
      </c>
      <c r="H758">
        <f>표3[[#This Row],[공격성공횟수]]/(표3[[#This Row],[공격실패횟수]]+표3[[#This Row],[공격성공횟수]])</f>
        <v>0</v>
      </c>
    </row>
    <row r="759" spans="1:8" hidden="1" x14ac:dyDescent="0.4">
      <c r="A759">
        <v>379</v>
      </c>
      <c r="B759" t="s">
        <v>1</v>
      </c>
      <c r="C759">
        <v>1</v>
      </c>
      <c r="D759">
        <v>4</v>
      </c>
      <c r="E759">
        <v>9</v>
      </c>
      <c r="F759">
        <v>0</v>
      </c>
      <c r="G759">
        <v>0</v>
      </c>
      <c r="H759">
        <f>표3[[#This Row],[공격성공횟수]]/(표3[[#This Row],[공격실패횟수]]+표3[[#This Row],[공격성공횟수]])</f>
        <v>0.30769230769230771</v>
      </c>
    </row>
    <row r="760" spans="1:8" x14ac:dyDescent="0.4">
      <c r="A760">
        <v>380</v>
      </c>
      <c r="B760" t="s">
        <v>3</v>
      </c>
      <c r="C760">
        <v>0</v>
      </c>
      <c r="D760">
        <v>0</v>
      </c>
      <c r="E760">
        <v>10</v>
      </c>
      <c r="F760">
        <v>4</v>
      </c>
      <c r="G760">
        <v>1</v>
      </c>
      <c r="H760">
        <f>표3[[#This Row],[공격성공횟수]]/(표3[[#This Row],[공격실패횟수]]+표3[[#This Row],[공격성공횟수]])</f>
        <v>0</v>
      </c>
    </row>
    <row r="761" spans="1:8" hidden="1" x14ac:dyDescent="0.4">
      <c r="A761">
        <v>380</v>
      </c>
      <c r="B761" t="s">
        <v>1</v>
      </c>
      <c r="C761">
        <v>1</v>
      </c>
      <c r="D761">
        <v>4</v>
      </c>
      <c r="E761">
        <v>9</v>
      </c>
      <c r="F761">
        <v>0</v>
      </c>
      <c r="G761">
        <v>0</v>
      </c>
      <c r="H761">
        <f>표3[[#This Row],[공격성공횟수]]/(표3[[#This Row],[공격실패횟수]]+표3[[#This Row],[공격성공횟수]])</f>
        <v>0.30769230769230771</v>
      </c>
    </row>
    <row r="762" spans="1:8" x14ac:dyDescent="0.4">
      <c r="A762">
        <v>381</v>
      </c>
      <c r="B762" t="s">
        <v>3</v>
      </c>
      <c r="C762">
        <v>1</v>
      </c>
      <c r="D762">
        <v>4</v>
      </c>
      <c r="E762">
        <v>24</v>
      </c>
      <c r="F762">
        <v>0</v>
      </c>
      <c r="G762">
        <v>0</v>
      </c>
      <c r="H762">
        <f>표3[[#This Row],[공격성공횟수]]/(표3[[#This Row],[공격실패횟수]]+표3[[#This Row],[공격성공횟수]])</f>
        <v>0.14285714285714285</v>
      </c>
    </row>
    <row r="763" spans="1:8" hidden="1" x14ac:dyDescent="0.4">
      <c r="A763">
        <v>381</v>
      </c>
      <c r="B763" t="s">
        <v>1</v>
      </c>
      <c r="C763">
        <v>0</v>
      </c>
      <c r="D763">
        <v>0</v>
      </c>
      <c r="E763">
        <v>26</v>
      </c>
      <c r="F763">
        <v>4</v>
      </c>
      <c r="G763">
        <v>1</v>
      </c>
      <c r="H763">
        <f>표3[[#This Row],[공격성공횟수]]/(표3[[#This Row],[공격실패횟수]]+표3[[#This Row],[공격성공횟수]])</f>
        <v>0</v>
      </c>
    </row>
    <row r="764" spans="1:8" x14ac:dyDescent="0.4">
      <c r="A764">
        <v>382</v>
      </c>
      <c r="B764" t="s">
        <v>3</v>
      </c>
      <c r="C764">
        <v>1</v>
      </c>
      <c r="D764">
        <v>4</v>
      </c>
      <c r="E764">
        <v>16</v>
      </c>
      <c r="F764">
        <v>2</v>
      </c>
      <c r="G764">
        <v>0</v>
      </c>
      <c r="H764">
        <f>표3[[#This Row],[공격성공횟수]]/(표3[[#This Row],[공격실패횟수]]+표3[[#This Row],[공격성공횟수]])</f>
        <v>0.2</v>
      </c>
    </row>
    <row r="765" spans="1:8" hidden="1" x14ac:dyDescent="0.4">
      <c r="A765">
        <v>382</v>
      </c>
      <c r="B765" t="s">
        <v>1</v>
      </c>
      <c r="C765">
        <v>0</v>
      </c>
      <c r="D765">
        <v>2</v>
      </c>
      <c r="E765">
        <v>26</v>
      </c>
      <c r="F765">
        <v>4</v>
      </c>
      <c r="G765">
        <v>1</v>
      </c>
      <c r="H765">
        <f>표3[[#This Row],[공격성공횟수]]/(표3[[#This Row],[공격실패횟수]]+표3[[#This Row],[공격성공횟수]])</f>
        <v>7.1428571428571425E-2</v>
      </c>
    </row>
    <row r="766" spans="1:8" x14ac:dyDescent="0.4">
      <c r="A766">
        <v>383</v>
      </c>
      <c r="B766" t="s">
        <v>3</v>
      </c>
      <c r="C766">
        <v>1</v>
      </c>
      <c r="D766">
        <v>4</v>
      </c>
      <c r="E766">
        <v>31</v>
      </c>
      <c r="F766">
        <v>1</v>
      </c>
      <c r="G766">
        <v>0</v>
      </c>
      <c r="H766">
        <f>표3[[#This Row],[공격성공횟수]]/(표3[[#This Row],[공격실패횟수]]+표3[[#This Row],[공격성공횟수]])</f>
        <v>0.11428571428571428</v>
      </c>
    </row>
    <row r="767" spans="1:8" hidden="1" x14ac:dyDescent="0.4">
      <c r="A767">
        <v>383</v>
      </c>
      <c r="B767" t="s">
        <v>1</v>
      </c>
      <c r="C767">
        <v>0</v>
      </c>
      <c r="D767">
        <v>1</v>
      </c>
      <c r="E767">
        <v>36</v>
      </c>
      <c r="F767">
        <v>4</v>
      </c>
      <c r="G767">
        <v>1</v>
      </c>
      <c r="H767">
        <f>표3[[#This Row],[공격성공횟수]]/(표3[[#This Row],[공격실패횟수]]+표3[[#This Row],[공격성공횟수]])</f>
        <v>2.7027027027027029E-2</v>
      </c>
    </row>
    <row r="768" spans="1:8" x14ac:dyDescent="0.4">
      <c r="A768">
        <v>384</v>
      </c>
      <c r="B768" t="s">
        <v>3</v>
      </c>
      <c r="C768">
        <v>1</v>
      </c>
      <c r="D768">
        <v>4</v>
      </c>
      <c r="E768">
        <v>20</v>
      </c>
      <c r="F768">
        <v>2</v>
      </c>
      <c r="G768">
        <v>0</v>
      </c>
      <c r="H768">
        <f>표3[[#This Row],[공격성공횟수]]/(표3[[#This Row],[공격실패횟수]]+표3[[#This Row],[공격성공횟수]])</f>
        <v>0.16666666666666666</v>
      </c>
    </row>
    <row r="769" spans="1:8" hidden="1" x14ac:dyDescent="0.4">
      <c r="A769">
        <v>384</v>
      </c>
      <c r="B769" t="s">
        <v>1</v>
      </c>
      <c r="C769">
        <v>0</v>
      </c>
      <c r="D769">
        <v>2</v>
      </c>
      <c r="E769">
        <v>21</v>
      </c>
      <c r="F769">
        <v>4</v>
      </c>
      <c r="G769">
        <v>1</v>
      </c>
      <c r="H769">
        <f>표3[[#This Row],[공격성공횟수]]/(표3[[#This Row],[공격실패횟수]]+표3[[#This Row],[공격성공횟수]])</f>
        <v>8.6956521739130432E-2</v>
      </c>
    </row>
    <row r="770" spans="1:8" x14ac:dyDescent="0.4">
      <c r="A770">
        <v>385</v>
      </c>
      <c r="B770" t="s">
        <v>3</v>
      </c>
      <c r="C770">
        <v>0</v>
      </c>
      <c r="D770">
        <v>0</v>
      </c>
      <c r="E770">
        <v>20</v>
      </c>
      <c r="F770">
        <v>4</v>
      </c>
      <c r="G770">
        <v>1</v>
      </c>
      <c r="H770">
        <f>표3[[#This Row],[공격성공횟수]]/(표3[[#This Row],[공격실패횟수]]+표3[[#This Row],[공격성공횟수]])</f>
        <v>0</v>
      </c>
    </row>
    <row r="771" spans="1:8" hidden="1" x14ac:dyDescent="0.4">
      <c r="A771">
        <v>385</v>
      </c>
      <c r="B771" t="s">
        <v>1</v>
      </c>
      <c r="C771">
        <v>1</v>
      </c>
      <c r="D771">
        <v>4</v>
      </c>
      <c r="E771">
        <v>17</v>
      </c>
      <c r="F771">
        <v>0</v>
      </c>
      <c r="G771">
        <v>0</v>
      </c>
      <c r="H771">
        <f>표3[[#This Row],[공격성공횟수]]/(표3[[#This Row],[공격실패횟수]]+표3[[#This Row],[공격성공횟수]])</f>
        <v>0.19047619047619047</v>
      </c>
    </row>
    <row r="772" spans="1:8" x14ac:dyDescent="0.4">
      <c r="A772">
        <v>386</v>
      </c>
      <c r="B772" t="s">
        <v>3</v>
      </c>
      <c r="C772">
        <v>1</v>
      </c>
      <c r="D772">
        <v>4</v>
      </c>
      <c r="E772">
        <v>9</v>
      </c>
      <c r="F772">
        <v>0</v>
      </c>
      <c r="G772">
        <v>0</v>
      </c>
      <c r="H772">
        <f>표3[[#This Row],[공격성공횟수]]/(표3[[#This Row],[공격실패횟수]]+표3[[#This Row],[공격성공횟수]])</f>
        <v>0.30769230769230771</v>
      </c>
    </row>
    <row r="773" spans="1:8" hidden="1" x14ac:dyDescent="0.4">
      <c r="A773">
        <v>386</v>
      </c>
      <c r="B773" t="s">
        <v>1</v>
      </c>
      <c r="C773">
        <v>0</v>
      </c>
      <c r="D773">
        <v>0</v>
      </c>
      <c r="E773">
        <v>12</v>
      </c>
      <c r="F773">
        <v>4</v>
      </c>
      <c r="G773">
        <v>1</v>
      </c>
      <c r="H773">
        <f>표3[[#This Row],[공격성공횟수]]/(표3[[#This Row],[공격실패횟수]]+표3[[#This Row],[공격성공횟수]])</f>
        <v>0</v>
      </c>
    </row>
    <row r="774" spans="1:8" x14ac:dyDescent="0.4">
      <c r="A774">
        <v>387</v>
      </c>
      <c r="B774" t="s">
        <v>3</v>
      </c>
      <c r="C774">
        <v>1</v>
      </c>
      <c r="D774">
        <v>4</v>
      </c>
      <c r="E774">
        <v>6</v>
      </c>
      <c r="F774">
        <v>2</v>
      </c>
      <c r="G774">
        <v>0</v>
      </c>
      <c r="H774">
        <f>표3[[#This Row],[공격성공횟수]]/(표3[[#This Row],[공격실패횟수]]+표3[[#This Row],[공격성공횟수]])</f>
        <v>0.4</v>
      </c>
    </row>
    <row r="775" spans="1:8" hidden="1" x14ac:dyDescent="0.4">
      <c r="A775">
        <v>387</v>
      </c>
      <c r="B775" t="s">
        <v>1</v>
      </c>
      <c r="C775">
        <v>0</v>
      </c>
      <c r="D775">
        <v>2</v>
      </c>
      <c r="E775">
        <v>7</v>
      </c>
      <c r="F775">
        <v>4</v>
      </c>
      <c r="G775">
        <v>1</v>
      </c>
      <c r="H775">
        <f>표3[[#This Row],[공격성공횟수]]/(표3[[#This Row],[공격실패횟수]]+표3[[#This Row],[공격성공횟수]])</f>
        <v>0.22222222222222221</v>
      </c>
    </row>
    <row r="776" spans="1:8" x14ac:dyDescent="0.4">
      <c r="A776">
        <v>388</v>
      </c>
      <c r="B776" t="s">
        <v>3</v>
      </c>
      <c r="C776">
        <v>0</v>
      </c>
      <c r="D776">
        <v>0</v>
      </c>
      <c r="E776">
        <v>12</v>
      </c>
      <c r="F776">
        <v>4</v>
      </c>
      <c r="G776">
        <v>1</v>
      </c>
      <c r="H776">
        <f>표3[[#This Row],[공격성공횟수]]/(표3[[#This Row],[공격실패횟수]]+표3[[#This Row],[공격성공횟수]])</f>
        <v>0</v>
      </c>
    </row>
    <row r="777" spans="1:8" hidden="1" x14ac:dyDescent="0.4">
      <c r="A777">
        <v>388</v>
      </c>
      <c r="B777" t="s">
        <v>1</v>
      </c>
      <c r="C777">
        <v>1</v>
      </c>
      <c r="D777">
        <v>4</v>
      </c>
      <c r="E777">
        <v>16</v>
      </c>
      <c r="F777">
        <v>0</v>
      </c>
      <c r="G777">
        <v>0</v>
      </c>
      <c r="H777">
        <f>표3[[#This Row],[공격성공횟수]]/(표3[[#This Row],[공격실패횟수]]+표3[[#This Row],[공격성공횟수]])</f>
        <v>0.2</v>
      </c>
    </row>
    <row r="778" spans="1:8" x14ac:dyDescent="0.4">
      <c r="A778">
        <v>389</v>
      </c>
      <c r="B778" t="s">
        <v>3</v>
      </c>
      <c r="C778">
        <v>1</v>
      </c>
      <c r="D778">
        <v>4</v>
      </c>
      <c r="E778">
        <v>9</v>
      </c>
      <c r="F778">
        <v>0</v>
      </c>
      <c r="G778">
        <v>0</v>
      </c>
      <c r="H778">
        <f>표3[[#This Row],[공격성공횟수]]/(표3[[#This Row],[공격실패횟수]]+표3[[#This Row],[공격성공횟수]])</f>
        <v>0.30769230769230771</v>
      </c>
    </row>
    <row r="779" spans="1:8" hidden="1" x14ac:dyDescent="0.4">
      <c r="A779">
        <v>389</v>
      </c>
      <c r="B779" t="s">
        <v>1</v>
      </c>
      <c r="C779">
        <v>0</v>
      </c>
      <c r="D779">
        <v>0</v>
      </c>
      <c r="E779">
        <v>11</v>
      </c>
      <c r="F779">
        <v>4</v>
      </c>
      <c r="G779">
        <v>1</v>
      </c>
      <c r="H779">
        <f>표3[[#This Row],[공격성공횟수]]/(표3[[#This Row],[공격실패횟수]]+표3[[#This Row],[공격성공횟수]])</f>
        <v>0</v>
      </c>
    </row>
    <row r="780" spans="1:8" x14ac:dyDescent="0.4">
      <c r="A780">
        <v>390</v>
      </c>
      <c r="B780" t="s">
        <v>3</v>
      </c>
      <c r="C780">
        <v>0</v>
      </c>
      <c r="D780">
        <v>1</v>
      </c>
      <c r="E780">
        <v>14</v>
      </c>
      <c r="F780">
        <v>4</v>
      </c>
      <c r="G780">
        <v>1</v>
      </c>
      <c r="H780">
        <f>표3[[#This Row],[공격성공횟수]]/(표3[[#This Row],[공격실패횟수]]+표3[[#This Row],[공격성공횟수]])</f>
        <v>6.6666666666666666E-2</v>
      </c>
    </row>
    <row r="781" spans="1:8" hidden="1" x14ac:dyDescent="0.4">
      <c r="A781">
        <v>390</v>
      </c>
      <c r="B781" t="s">
        <v>1</v>
      </c>
      <c r="C781">
        <v>1</v>
      </c>
      <c r="D781">
        <v>4</v>
      </c>
      <c r="E781">
        <v>12</v>
      </c>
      <c r="F781">
        <v>1</v>
      </c>
      <c r="G781">
        <v>0</v>
      </c>
      <c r="H781">
        <f>표3[[#This Row],[공격성공횟수]]/(표3[[#This Row],[공격실패횟수]]+표3[[#This Row],[공격성공횟수]])</f>
        <v>0.25</v>
      </c>
    </row>
    <row r="782" spans="1:8" x14ac:dyDescent="0.4">
      <c r="A782">
        <v>391</v>
      </c>
      <c r="B782" t="s">
        <v>3</v>
      </c>
      <c r="C782">
        <v>1</v>
      </c>
      <c r="D782">
        <v>4</v>
      </c>
      <c r="E782">
        <v>9</v>
      </c>
      <c r="F782">
        <v>2</v>
      </c>
      <c r="G782">
        <v>0</v>
      </c>
      <c r="H782">
        <f>표3[[#This Row],[공격성공횟수]]/(표3[[#This Row],[공격실패횟수]]+표3[[#This Row],[공격성공횟수]])</f>
        <v>0.30769230769230771</v>
      </c>
    </row>
    <row r="783" spans="1:8" hidden="1" x14ac:dyDescent="0.4">
      <c r="A783">
        <v>391</v>
      </c>
      <c r="B783" t="s">
        <v>1</v>
      </c>
      <c r="C783">
        <v>0</v>
      </c>
      <c r="D783">
        <v>2</v>
      </c>
      <c r="E783">
        <v>10</v>
      </c>
      <c r="F783">
        <v>4</v>
      </c>
      <c r="G783">
        <v>1</v>
      </c>
      <c r="H783">
        <f>표3[[#This Row],[공격성공횟수]]/(표3[[#This Row],[공격실패횟수]]+표3[[#This Row],[공격성공횟수]])</f>
        <v>0.16666666666666666</v>
      </c>
    </row>
    <row r="784" spans="1:8" x14ac:dyDescent="0.4">
      <c r="A784">
        <v>392</v>
      </c>
      <c r="B784" t="s">
        <v>3</v>
      </c>
      <c r="C784">
        <v>1</v>
      </c>
      <c r="D784">
        <v>4</v>
      </c>
      <c r="E784">
        <v>12</v>
      </c>
      <c r="F784">
        <v>2</v>
      </c>
      <c r="G784">
        <v>0</v>
      </c>
      <c r="H784">
        <f>표3[[#This Row],[공격성공횟수]]/(표3[[#This Row],[공격실패횟수]]+표3[[#This Row],[공격성공횟수]])</f>
        <v>0.25</v>
      </c>
    </row>
    <row r="785" spans="1:8" hidden="1" x14ac:dyDescent="0.4">
      <c r="A785">
        <v>392</v>
      </c>
      <c r="B785" t="s">
        <v>1</v>
      </c>
      <c r="C785">
        <v>0</v>
      </c>
      <c r="D785">
        <v>2</v>
      </c>
      <c r="E785">
        <v>14</v>
      </c>
      <c r="F785">
        <v>4</v>
      </c>
      <c r="G785">
        <v>1</v>
      </c>
      <c r="H785">
        <f>표3[[#This Row],[공격성공횟수]]/(표3[[#This Row],[공격실패횟수]]+표3[[#This Row],[공격성공횟수]])</f>
        <v>0.125</v>
      </c>
    </row>
    <row r="786" spans="1:8" x14ac:dyDescent="0.4">
      <c r="A786">
        <v>393</v>
      </c>
      <c r="B786" t="s">
        <v>3</v>
      </c>
      <c r="C786">
        <v>0</v>
      </c>
      <c r="D786">
        <v>0</v>
      </c>
      <c r="E786">
        <v>9</v>
      </c>
      <c r="F786">
        <v>4</v>
      </c>
      <c r="G786">
        <v>1</v>
      </c>
      <c r="H786">
        <f>표3[[#This Row],[공격성공횟수]]/(표3[[#This Row],[공격실패횟수]]+표3[[#This Row],[공격성공횟수]])</f>
        <v>0</v>
      </c>
    </row>
    <row r="787" spans="1:8" hidden="1" x14ac:dyDescent="0.4">
      <c r="A787">
        <v>393</v>
      </c>
      <c r="B787" t="s">
        <v>1</v>
      </c>
      <c r="C787">
        <v>1</v>
      </c>
      <c r="D787">
        <v>4</v>
      </c>
      <c r="E787">
        <v>5</v>
      </c>
      <c r="F787">
        <v>0</v>
      </c>
      <c r="G787">
        <v>0</v>
      </c>
      <c r="H787">
        <f>표3[[#This Row],[공격성공횟수]]/(표3[[#This Row],[공격실패횟수]]+표3[[#This Row],[공격성공횟수]])</f>
        <v>0.44444444444444442</v>
      </c>
    </row>
    <row r="788" spans="1:8" x14ac:dyDescent="0.4">
      <c r="A788">
        <v>394</v>
      </c>
      <c r="B788" t="s">
        <v>3</v>
      </c>
      <c r="C788">
        <v>0</v>
      </c>
      <c r="D788">
        <v>1</v>
      </c>
      <c r="E788">
        <v>12</v>
      </c>
      <c r="F788">
        <v>4</v>
      </c>
      <c r="G788">
        <v>1</v>
      </c>
      <c r="H788">
        <f>표3[[#This Row],[공격성공횟수]]/(표3[[#This Row],[공격실패횟수]]+표3[[#This Row],[공격성공횟수]])</f>
        <v>7.6923076923076927E-2</v>
      </c>
    </row>
    <row r="789" spans="1:8" hidden="1" x14ac:dyDescent="0.4">
      <c r="A789">
        <v>394</v>
      </c>
      <c r="B789" t="s">
        <v>1</v>
      </c>
      <c r="C789">
        <v>1</v>
      </c>
      <c r="D789">
        <v>4</v>
      </c>
      <c r="E789">
        <v>9</v>
      </c>
      <c r="F789">
        <v>1</v>
      </c>
      <c r="G789">
        <v>0</v>
      </c>
      <c r="H789">
        <f>표3[[#This Row],[공격성공횟수]]/(표3[[#This Row],[공격실패횟수]]+표3[[#This Row],[공격성공횟수]])</f>
        <v>0.30769230769230771</v>
      </c>
    </row>
    <row r="790" spans="1:8" x14ac:dyDescent="0.4">
      <c r="A790">
        <v>395</v>
      </c>
      <c r="B790" t="s">
        <v>3</v>
      </c>
      <c r="C790">
        <v>1</v>
      </c>
      <c r="D790">
        <v>4</v>
      </c>
      <c r="E790">
        <v>11</v>
      </c>
      <c r="F790">
        <v>3</v>
      </c>
      <c r="G790">
        <v>0</v>
      </c>
      <c r="H790">
        <f>표3[[#This Row],[공격성공횟수]]/(표3[[#This Row],[공격실패횟수]]+표3[[#This Row],[공격성공횟수]])</f>
        <v>0.26666666666666666</v>
      </c>
    </row>
    <row r="791" spans="1:8" hidden="1" x14ac:dyDescent="0.4">
      <c r="A791">
        <v>395</v>
      </c>
      <c r="B791" t="s">
        <v>1</v>
      </c>
      <c r="C791">
        <v>0</v>
      </c>
      <c r="D791">
        <v>3</v>
      </c>
      <c r="E791">
        <v>11</v>
      </c>
      <c r="F791">
        <v>4</v>
      </c>
      <c r="G791">
        <v>1</v>
      </c>
      <c r="H791">
        <f>표3[[#This Row],[공격성공횟수]]/(표3[[#This Row],[공격실패횟수]]+표3[[#This Row],[공격성공횟수]])</f>
        <v>0.21428571428571427</v>
      </c>
    </row>
    <row r="792" spans="1:8" x14ac:dyDescent="0.4">
      <c r="A792">
        <v>396</v>
      </c>
      <c r="B792" t="s">
        <v>3</v>
      </c>
      <c r="C792">
        <v>1</v>
      </c>
      <c r="D792">
        <v>4</v>
      </c>
      <c r="E792">
        <v>8</v>
      </c>
      <c r="F792">
        <v>1</v>
      </c>
      <c r="G792">
        <v>0</v>
      </c>
      <c r="H792">
        <f>표3[[#This Row],[공격성공횟수]]/(표3[[#This Row],[공격실패횟수]]+표3[[#This Row],[공격성공횟수]])</f>
        <v>0.33333333333333331</v>
      </c>
    </row>
    <row r="793" spans="1:8" hidden="1" x14ac:dyDescent="0.4">
      <c r="A793">
        <v>396</v>
      </c>
      <c r="B793" t="s">
        <v>1</v>
      </c>
      <c r="C793">
        <v>0</v>
      </c>
      <c r="D793">
        <v>1</v>
      </c>
      <c r="E793">
        <v>11</v>
      </c>
      <c r="F793">
        <v>4</v>
      </c>
      <c r="G793">
        <v>1</v>
      </c>
      <c r="H793">
        <f>표3[[#This Row],[공격성공횟수]]/(표3[[#This Row],[공격실패횟수]]+표3[[#This Row],[공격성공횟수]])</f>
        <v>8.3333333333333329E-2</v>
      </c>
    </row>
    <row r="794" spans="1:8" x14ac:dyDescent="0.4">
      <c r="A794">
        <v>397</v>
      </c>
      <c r="B794" t="s">
        <v>3</v>
      </c>
      <c r="C794">
        <v>1</v>
      </c>
      <c r="D794">
        <v>4</v>
      </c>
      <c r="E794">
        <v>5</v>
      </c>
      <c r="F794">
        <v>2</v>
      </c>
      <c r="G794">
        <v>0</v>
      </c>
      <c r="H794">
        <f>표3[[#This Row],[공격성공횟수]]/(표3[[#This Row],[공격실패횟수]]+표3[[#This Row],[공격성공횟수]])</f>
        <v>0.44444444444444442</v>
      </c>
    </row>
    <row r="795" spans="1:8" hidden="1" x14ac:dyDescent="0.4">
      <c r="A795">
        <v>397</v>
      </c>
      <c r="B795" t="s">
        <v>1</v>
      </c>
      <c r="C795">
        <v>0</v>
      </c>
      <c r="D795">
        <v>2</v>
      </c>
      <c r="E795">
        <v>6</v>
      </c>
      <c r="F795">
        <v>4</v>
      </c>
      <c r="G795">
        <v>1</v>
      </c>
      <c r="H795">
        <f>표3[[#This Row],[공격성공횟수]]/(표3[[#This Row],[공격실패횟수]]+표3[[#This Row],[공격성공횟수]])</f>
        <v>0.25</v>
      </c>
    </row>
    <row r="796" spans="1:8" x14ac:dyDescent="0.4">
      <c r="A796">
        <v>398</v>
      </c>
      <c r="B796" t="s">
        <v>3</v>
      </c>
      <c r="C796">
        <v>1</v>
      </c>
      <c r="D796">
        <v>4</v>
      </c>
      <c r="E796">
        <v>16</v>
      </c>
      <c r="F796">
        <v>1</v>
      </c>
      <c r="G796">
        <v>0</v>
      </c>
      <c r="H796">
        <f>표3[[#This Row],[공격성공횟수]]/(표3[[#This Row],[공격실패횟수]]+표3[[#This Row],[공격성공횟수]])</f>
        <v>0.2</v>
      </c>
    </row>
    <row r="797" spans="1:8" hidden="1" x14ac:dyDescent="0.4">
      <c r="A797">
        <v>398</v>
      </c>
      <c r="B797" t="s">
        <v>1</v>
      </c>
      <c r="C797">
        <v>0</v>
      </c>
      <c r="D797">
        <v>1</v>
      </c>
      <c r="E797">
        <v>19</v>
      </c>
      <c r="F797">
        <v>4</v>
      </c>
      <c r="G797">
        <v>1</v>
      </c>
      <c r="H797">
        <f>표3[[#This Row],[공격성공횟수]]/(표3[[#This Row],[공격실패횟수]]+표3[[#This Row],[공격성공횟수]])</f>
        <v>0.05</v>
      </c>
    </row>
    <row r="798" spans="1:8" x14ac:dyDescent="0.4">
      <c r="A798">
        <v>399</v>
      </c>
      <c r="B798" t="s">
        <v>3</v>
      </c>
      <c r="C798">
        <v>1</v>
      </c>
      <c r="D798">
        <v>4</v>
      </c>
      <c r="E798">
        <v>6</v>
      </c>
      <c r="F798">
        <v>1</v>
      </c>
      <c r="G798">
        <v>0</v>
      </c>
      <c r="H798">
        <f>표3[[#This Row],[공격성공횟수]]/(표3[[#This Row],[공격실패횟수]]+표3[[#This Row],[공격성공횟수]])</f>
        <v>0.4</v>
      </c>
    </row>
    <row r="799" spans="1:8" hidden="1" x14ac:dyDescent="0.4">
      <c r="A799">
        <v>399</v>
      </c>
      <c r="B799" t="s">
        <v>1</v>
      </c>
      <c r="C799">
        <v>0</v>
      </c>
      <c r="D799">
        <v>1</v>
      </c>
      <c r="E799">
        <v>8</v>
      </c>
      <c r="F799">
        <v>4</v>
      </c>
      <c r="G799">
        <v>1</v>
      </c>
      <c r="H799">
        <f>표3[[#This Row],[공격성공횟수]]/(표3[[#This Row],[공격실패횟수]]+표3[[#This Row],[공격성공횟수]])</f>
        <v>0.1111111111111111</v>
      </c>
    </row>
    <row r="800" spans="1:8" x14ac:dyDescent="0.4">
      <c r="A800">
        <v>400</v>
      </c>
      <c r="B800" t="s">
        <v>3</v>
      </c>
      <c r="C800">
        <v>1</v>
      </c>
      <c r="D800">
        <v>4</v>
      </c>
      <c r="E800">
        <v>13</v>
      </c>
      <c r="F800">
        <v>3</v>
      </c>
      <c r="G800">
        <v>0</v>
      </c>
      <c r="H800">
        <f>표3[[#This Row],[공격성공횟수]]/(표3[[#This Row],[공격실패횟수]]+표3[[#This Row],[공격성공횟수]])</f>
        <v>0.23529411764705882</v>
      </c>
    </row>
    <row r="801" spans="1:8" hidden="1" x14ac:dyDescent="0.4">
      <c r="A801">
        <v>400</v>
      </c>
      <c r="B801" t="s">
        <v>1</v>
      </c>
      <c r="C801">
        <v>0</v>
      </c>
      <c r="D801">
        <v>3</v>
      </c>
      <c r="E801">
        <v>13</v>
      </c>
      <c r="F801">
        <v>4</v>
      </c>
      <c r="G801">
        <v>1</v>
      </c>
      <c r="H801">
        <f>표3[[#This Row],[공격성공횟수]]/(표3[[#This Row],[공격실패횟수]]+표3[[#This Row],[공격성공횟수]])</f>
        <v>0.1875</v>
      </c>
    </row>
    <row r="802" spans="1:8" x14ac:dyDescent="0.4">
      <c r="A802">
        <v>401</v>
      </c>
      <c r="B802" t="s">
        <v>3</v>
      </c>
      <c r="C802">
        <v>1</v>
      </c>
      <c r="D802">
        <v>4</v>
      </c>
      <c r="E802">
        <v>7</v>
      </c>
      <c r="F802">
        <v>2</v>
      </c>
      <c r="G802">
        <v>0</v>
      </c>
      <c r="H802">
        <f>표3[[#This Row],[공격성공횟수]]/(표3[[#This Row],[공격실패횟수]]+표3[[#This Row],[공격성공횟수]])</f>
        <v>0.36363636363636365</v>
      </c>
    </row>
    <row r="803" spans="1:8" hidden="1" x14ac:dyDescent="0.4">
      <c r="A803">
        <v>401</v>
      </c>
      <c r="B803" t="s">
        <v>1</v>
      </c>
      <c r="C803">
        <v>0</v>
      </c>
      <c r="D803">
        <v>2</v>
      </c>
      <c r="E803">
        <v>9</v>
      </c>
      <c r="F803">
        <v>4</v>
      </c>
      <c r="G803">
        <v>1</v>
      </c>
      <c r="H803">
        <f>표3[[#This Row],[공격성공횟수]]/(표3[[#This Row],[공격실패횟수]]+표3[[#This Row],[공격성공횟수]])</f>
        <v>0.18181818181818182</v>
      </c>
    </row>
    <row r="804" spans="1:8" x14ac:dyDescent="0.4">
      <c r="A804">
        <v>402</v>
      </c>
      <c r="B804" t="s">
        <v>3</v>
      </c>
      <c r="C804">
        <v>1</v>
      </c>
      <c r="D804">
        <v>4</v>
      </c>
      <c r="E804">
        <v>5</v>
      </c>
      <c r="F804">
        <v>1</v>
      </c>
      <c r="G804">
        <v>0</v>
      </c>
      <c r="H804">
        <f>표3[[#This Row],[공격성공횟수]]/(표3[[#This Row],[공격실패횟수]]+표3[[#This Row],[공격성공횟수]])</f>
        <v>0.44444444444444442</v>
      </c>
    </row>
    <row r="805" spans="1:8" hidden="1" x14ac:dyDescent="0.4">
      <c r="A805">
        <v>402</v>
      </c>
      <c r="B805" t="s">
        <v>1</v>
      </c>
      <c r="C805">
        <v>0</v>
      </c>
      <c r="D805">
        <v>1</v>
      </c>
      <c r="E805">
        <v>8</v>
      </c>
      <c r="F805">
        <v>4</v>
      </c>
      <c r="G805">
        <v>1</v>
      </c>
      <c r="H805">
        <f>표3[[#This Row],[공격성공횟수]]/(표3[[#This Row],[공격실패횟수]]+표3[[#This Row],[공격성공횟수]])</f>
        <v>0.1111111111111111</v>
      </c>
    </row>
    <row r="806" spans="1:8" x14ac:dyDescent="0.4">
      <c r="A806">
        <v>403</v>
      </c>
      <c r="B806" t="s">
        <v>3</v>
      </c>
      <c r="C806">
        <v>1</v>
      </c>
      <c r="D806">
        <v>4</v>
      </c>
      <c r="E806">
        <v>8</v>
      </c>
      <c r="F806">
        <v>1</v>
      </c>
      <c r="G806">
        <v>0</v>
      </c>
      <c r="H806">
        <f>표3[[#This Row],[공격성공횟수]]/(표3[[#This Row],[공격실패횟수]]+표3[[#This Row],[공격성공횟수]])</f>
        <v>0.33333333333333331</v>
      </c>
    </row>
    <row r="807" spans="1:8" hidden="1" x14ac:dyDescent="0.4">
      <c r="A807">
        <v>403</v>
      </c>
      <c r="B807" t="s">
        <v>1</v>
      </c>
      <c r="C807">
        <v>0</v>
      </c>
      <c r="D807">
        <v>1</v>
      </c>
      <c r="E807">
        <v>10</v>
      </c>
      <c r="F807">
        <v>4</v>
      </c>
      <c r="G807">
        <v>1</v>
      </c>
      <c r="H807">
        <f>표3[[#This Row],[공격성공횟수]]/(표3[[#This Row],[공격실패횟수]]+표3[[#This Row],[공격성공횟수]])</f>
        <v>9.0909090909090912E-2</v>
      </c>
    </row>
    <row r="808" spans="1:8" x14ac:dyDescent="0.4">
      <c r="A808">
        <v>404</v>
      </c>
      <c r="B808" t="s">
        <v>3</v>
      </c>
      <c r="C808">
        <v>1</v>
      </c>
      <c r="D808">
        <v>4</v>
      </c>
      <c r="E808">
        <v>10</v>
      </c>
      <c r="F808">
        <v>1</v>
      </c>
      <c r="G808">
        <v>0</v>
      </c>
      <c r="H808">
        <f>표3[[#This Row],[공격성공횟수]]/(표3[[#This Row],[공격실패횟수]]+표3[[#This Row],[공격성공횟수]])</f>
        <v>0.2857142857142857</v>
      </c>
    </row>
    <row r="809" spans="1:8" hidden="1" x14ac:dyDescent="0.4">
      <c r="A809">
        <v>404</v>
      </c>
      <c r="B809" t="s">
        <v>1</v>
      </c>
      <c r="C809">
        <v>0</v>
      </c>
      <c r="D809">
        <v>1</v>
      </c>
      <c r="E809">
        <v>13</v>
      </c>
      <c r="F809">
        <v>4</v>
      </c>
      <c r="G809">
        <v>1</v>
      </c>
      <c r="H809">
        <f>표3[[#This Row],[공격성공횟수]]/(표3[[#This Row],[공격실패횟수]]+표3[[#This Row],[공격성공횟수]])</f>
        <v>7.1428571428571425E-2</v>
      </c>
    </row>
    <row r="810" spans="1:8" x14ac:dyDescent="0.4">
      <c r="A810">
        <v>405</v>
      </c>
      <c r="B810" t="s">
        <v>3</v>
      </c>
      <c r="C810">
        <v>1</v>
      </c>
      <c r="D810">
        <v>4</v>
      </c>
      <c r="E810">
        <v>4</v>
      </c>
      <c r="F810">
        <v>0</v>
      </c>
      <c r="G810">
        <v>0</v>
      </c>
      <c r="H810">
        <f>표3[[#This Row],[공격성공횟수]]/(표3[[#This Row],[공격실패횟수]]+표3[[#This Row],[공격성공횟수]])</f>
        <v>0.5</v>
      </c>
    </row>
    <row r="811" spans="1:8" hidden="1" x14ac:dyDescent="0.4">
      <c r="A811">
        <v>405</v>
      </c>
      <c r="B811" t="s">
        <v>1</v>
      </c>
      <c r="C811">
        <v>0</v>
      </c>
      <c r="D811">
        <v>0</v>
      </c>
      <c r="E811">
        <v>7</v>
      </c>
      <c r="F811">
        <v>4</v>
      </c>
      <c r="G811">
        <v>1</v>
      </c>
      <c r="H811">
        <f>표3[[#This Row],[공격성공횟수]]/(표3[[#This Row],[공격실패횟수]]+표3[[#This Row],[공격성공횟수]])</f>
        <v>0</v>
      </c>
    </row>
    <row r="812" spans="1:8" x14ac:dyDescent="0.4">
      <c r="A812">
        <v>406</v>
      </c>
      <c r="B812" t="s">
        <v>3</v>
      </c>
      <c r="C812">
        <v>1</v>
      </c>
      <c r="D812">
        <v>4</v>
      </c>
      <c r="E812">
        <v>9</v>
      </c>
      <c r="F812">
        <v>1</v>
      </c>
      <c r="G812">
        <v>0</v>
      </c>
      <c r="H812">
        <f>표3[[#This Row],[공격성공횟수]]/(표3[[#This Row],[공격실패횟수]]+표3[[#This Row],[공격성공횟수]])</f>
        <v>0.30769230769230771</v>
      </c>
    </row>
    <row r="813" spans="1:8" hidden="1" x14ac:dyDescent="0.4">
      <c r="A813">
        <v>406</v>
      </c>
      <c r="B813" t="s">
        <v>1</v>
      </c>
      <c r="C813">
        <v>0</v>
      </c>
      <c r="D813">
        <v>1</v>
      </c>
      <c r="E813">
        <v>12</v>
      </c>
      <c r="F813">
        <v>4</v>
      </c>
      <c r="G813">
        <v>1</v>
      </c>
      <c r="H813">
        <f>표3[[#This Row],[공격성공횟수]]/(표3[[#This Row],[공격실패횟수]]+표3[[#This Row],[공격성공횟수]])</f>
        <v>7.6923076923076927E-2</v>
      </c>
    </row>
    <row r="814" spans="1:8" x14ac:dyDescent="0.4">
      <c r="A814">
        <v>407</v>
      </c>
      <c r="B814" t="s">
        <v>3</v>
      </c>
      <c r="C814">
        <v>1</v>
      </c>
      <c r="D814">
        <v>4</v>
      </c>
      <c r="E814">
        <v>29</v>
      </c>
      <c r="F814">
        <v>3</v>
      </c>
      <c r="G814">
        <v>0</v>
      </c>
      <c r="H814">
        <f>표3[[#This Row],[공격성공횟수]]/(표3[[#This Row],[공격실패횟수]]+표3[[#This Row],[공격성공횟수]])</f>
        <v>0.12121212121212122</v>
      </c>
    </row>
    <row r="815" spans="1:8" hidden="1" x14ac:dyDescent="0.4">
      <c r="A815">
        <v>407</v>
      </c>
      <c r="B815" t="s">
        <v>1</v>
      </c>
      <c r="C815">
        <v>0</v>
      </c>
      <c r="D815">
        <v>3</v>
      </c>
      <c r="E815">
        <v>30</v>
      </c>
      <c r="F815">
        <v>4</v>
      </c>
      <c r="G815">
        <v>1</v>
      </c>
      <c r="H815">
        <f>표3[[#This Row],[공격성공횟수]]/(표3[[#This Row],[공격실패횟수]]+표3[[#This Row],[공격성공횟수]])</f>
        <v>9.0909090909090912E-2</v>
      </c>
    </row>
    <row r="816" spans="1:8" x14ac:dyDescent="0.4">
      <c r="A816">
        <v>408</v>
      </c>
      <c r="B816" t="s">
        <v>3</v>
      </c>
      <c r="C816">
        <v>1</v>
      </c>
      <c r="D816">
        <v>4</v>
      </c>
      <c r="E816">
        <v>14</v>
      </c>
      <c r="F816">
        <v>0</v>
      </c>
      <c r="G816">
        <v>0</v>
      </c>
      <c r="H816">
        <f>표3[[#This Row],[공격성공횟수]]/(표3[[#This Row],[공격실패횟수]]+표3[[#This Row],[공격성공횟수]])</f>
        <v>0.22222222222222221</v>
      </c>
    </row>
    <row r="817" spans="1:8" hidden="1" x14ac:dyDescent="0.4">
      <c r="A817">
        <v>408</v>
      </c>
      <c r="B817" t="s">
        <v>1</v>
      </c>
      <c r="C817">
        <v>0</v>
      </c>
      <c r="D817">
        <v>0</v>
      </c>
      <c r="E817">
        <v>17</v>
      </c>
      <c r="F817">
        <v>4</v>
      </c>
      <c r="G817">
        <v>1</v>
      </c>
      <c r="H817">
        <f>표3[[#This Row],[공격성공횟수]]/(표3[[#This Row],[공격실패횟수]]+표3[[#This Row],[공격성공횟수]])</f>
        <v>0</v>
      </c>
    </row>
    <row r="818" spans="1:8" x14ac:dyDescent="0.4">
      <c r="A818">
        <v>409</v>
      </c>
      <c r="B818" t="s">
        <v>3</v>
      </c>
      <c r="C818">
        <v>1</v>
      </c>
      <c r="D818">
        <v>4</v>
      </c>
      <c r="E818">
        <v>10</v>
      </c>
      <c r="F818">
        <v>1</v>
      </c>
      <c r="G818">
        <v>0</v>
      </c>
      <c r="H818">
        <f>표3[[#This Row],[공격성공횟수]]/(표3[[#This Row],[공격실패횟수]]+표3[[#This Row],[공격성공횟수]])</f>
        <v>0.2857142857142857</v>
      </c>
    </row>
    <row r="819" spans="1:8" hidden="1" x14ac:dyDescent="0.4">
      <c r="A819">
        <v>409</v>
      </c>
      <c r="B819" t="s">
        <v>1</v>
      </c>
      <c r="C819">
        <v>0</v>
      </c>
      <c r="D819">
        <v>1</v>
      </c>
      <c r="E819">
        <v>13</v>
      </c>
      <c r="F819">
        <v>4</v>
      </c>
      <c r="G819">
        <v>1</v>
      </c>
      <c r="H819">
        <f>표3[[#This Row],[공격성공횟수]]/(표3[[#This Row],[공격실패횟수]]+표3[[#This Row],[공격성공횟수]])</f>
        <v>7.1428571428571425E-2</v>
      </c>
    </row>
    <row r="820" spans="1:8" x14ac:dyDescent="0.4">
      <c r="A820">
        <v>410</v>
      </c>
      <c r="B820" t="s">
        <v>3</v>
      </c>
      <c r="C820">
        <v>1</v>
      </c>
      <c r="D820">
        <v>4</v>
      </c>
      <c r="E820">
        <v>17</v>
      </c>
      <c r="F820">
        <v>3</v>
      </c>
      <c r="G820">
        <v>0</v>
      </c>
      <c r="H820">
        <f>표3[[#This Row],[공격성공횟수]]/(표3[[#This Row],[공격실패횟수]]+표3[[#This Row],[공격성공횟수]])</f>
        <v>0.19047619047619047</v>
      </c>
    </row>
    <row r="821" spans="1:8" hidden="1" x14ac:dyDescent="0.4">
      <c r="A821">
        <v>410</v>
      </c>
      <c r="B821" t="s">
        <v>1</v>
      </c>
      <c r="C821">
        <v>0</v>
      </c>
      <c r="D821">
        <v>3</v>
      </c>
      <c r="E821">
        <v>17</v>
      </c>
      <c r="F821">
        <v>4</v>
      </c>
      <c r="G821">
        <v>1</v>
      </c>
      <c r="H821">
        <f>표3[[#This Row],[공격성공횟수]]/(표3[[#This Row],[공격실패횟수]]+표3[[#This Row],[공격성공횟수]])</f>
        <v>0.15</v>
      </c>
    </row>
    <row r="822" spans="1:8" x14ac:dyDescent="0.4">
      <c r="A822">
        <v>411</v>
      </c>
      <c r="B822" t="s">
        <v>3</v>
      </c>
      <c r="C822">
        <v>1</v>
      </c>
      <c r="D822">
        <v>4</v>
      </c>
      <c r="E822">
        <v>27</v>
      </c>
      <c r="F822">
        <v>0</v>
      </c>
      <c r="G822">
        <v>0</v>
      </c>
      <c r="H822">
        <f>표3[[#This Row],[공격성공횟수]]/(표3[[#This Row],[공격실패횟수]]+표3[[#This Row],[공격성공횟수]])</f>
        <v>0.12903225806451613</v>
      </c>
    </row>
    <row r="823" spans="1:8" hidden="1" x14ac:dyDescent="0.4">
      <c r="A823">
        <v>411</v>
      </c>
      <c r="B823" t="s">
        <v>1</v>
      </c>
      <c r="C823">
        <v>0</v>
      </c>
      <c r="D823">
        <v>0</v>
      </c>
      <c r="E823">
        <v>30</v>
      </c>
      <c r="F823">
        <v>4</v>
      </c>
      <c r="G823">
        <v>1</v>
      </c>
      <c r="H823">
        <f>표3[[#This Row],[공격성공횟수]]/(표3[[#This Row],[공격실패횟수]]+표3[[#This Row],[공격성공횟수]])</f>
        <v>0</v>
      </c>
    </row>
    <row r="824" spans="1:8" x14ac:dyDescent="0.4">
      <c r="A824">
        <v>412</v>
      </c>
      <c r="B824" t="s">
        <v>3</v>
      </c>
      <c r="C824">
        <v>1</v>
      </c>
      <c r="D824">
        <v>4</v>
      </c>
      <c r="E824">
        <v>8</v>
      </c>
      <c r="F824">
        <v>0</v>
      </c>
      <c r="G824">
        <v>0</v>
      </c>
      <c r="H824">
        <f>표3[[#This Row],[공격성공횟수]]/(표3[[#This Row],[공격실패횟수]]+표3[[#This Row],[공격성공횟수]])</f>
        <v>0.33333333333333331</v>
      </c>
    </row>
    <row r="825" spans="1:8" hidden="1" x14ac:dyDescent="0.4">
      <c r="A825">
        <v>412</v>
      </c>
      <c r="B825" t="s">
        <v>1</v>
      </c>
      <c r="C825">
        <v>0</v>
      </c>
      <c r="D825">
        <v>0</v>
      </c>
      <c r="E825">
        <v>12</v>
      </c>
      <c r="F825">
        <v>4</v>
      </c>
      <c r="G825">
        <v>1</v>
      </c>
      <c r="H825">
        <f>표3[[#This Row],[공격성공횟수]]/(표3[[#This Row],[공격실패횟수]]+표3[[#This Row],[공격성공횟수]])</f>
        <v>0</v>
      </c>
    </row>
    <row r="826" spans="1:8" x14ac:dyDescent="0.4">
      <c r="A826">
        <v>413</v>
      </c>
      <c r="B826" t="s">
        <v>3</v>
      </c>
      <c r="C826">
        <v>1</v>
      </c>
      <c r="D826">
        <v>4</v>
      </c>
      <c r="E826">
        <v>20</v>
      </c>
      <c r="F826">
        <v>0</v>
      </c>
      <c r="G826">
        <v>0</v>
      </c>
      <c r="H826">
        <f>표3[[#This Row],[공격성공횟수]]/(표3[[#This Row],[공격실패횟수]]+표3[[#This Row],[공격성공횟수]])</f>
        <v>0.16666666666666666</v>
      </c>
    </row>
    <row r="827" spans="1:8" hidden="1" x14ac:dyDescent="0.4">
      <c r="A827">
        <v>413</v>
      </c>
      <c r="B827" t="s">
        <v>1</v>
      </c>
      <c r="C827">
        <v>0</v>
      </c>
      <c r="D827">
        <v>0</v>
      </c>
      <c r="E827">
        <v>24</v>
      </c>
      <c r="F827">
        <v>4</v>
      </c>
      <c r="G827">
        <v>1</v>
      </c>
      <c r="H827">
        <f>표3[[#This Row],[공격성공횟수]]/(표3[[#This Row],[공격실패횟수]]+표3[[#This Row],[공격성공횟수]])</f>
        <v>0</v>
      </c>
    </row>
    <row r="828" spans="1:8" x14ac:dyDescent="0.4">
      <c r="A828">
        <v>414</v>
      </c>
      <c r="B828" t="s">
        <v>3</v>
      </c>
      <c r="C828">
        <v>1</v>
      </c>
      <c r="D828">
        <v>4</v>
      </c>
      <c r="E828">
        <v>4</v>
      </c>
      <c r="F828">
        <v>0</v>
      </c>
      <c r="G828">
        <v>0</v>
      </c>
      <c r="H828">
        <f>표3[[#This Row],[공격성공횟수]]/(표3[[#This Row],[공격실패횟수]]+표3[[#This Row],[공격성공횟수]])</f>
        <v>0.5</v>
      </c>
    </row>
    <row r="829" spans="1:8" hidden="1" x14ac:dyDescent="0.4">
      <c r="A829">
        <v>414</v>
      </c>
      <c r="B829" t="s">
        <v>1</v>
      </c>
      <c r="C829">
        <v>0</v>
      </c>
      <c r="D829">
        <v>0</v>
      </c>
      <c r="E829">
        <v>7</v>
      </c>
      <c r="F829">
        <v>4</v>
      </c>
      <c r="G829">
        <v>1</v>
      </c>
      <c r="H829">
        <f>표3[[#This Row],[공격성공횟수]]/(표3[[#This Row],[공격실패횟수]]+표3[[#This Row],[공격성공횟수]])</f>
        <v>0</v>
      </c>
    </row>
    <row r="830" spans="1:8" x14ac:dyDescent="0.4">
      <c r="A830">
        <v>415</v>
      </c>
      <c r="B830" t="s">
        <v>3</v>
      </c>
      <c r="C830">
        <v>1</v>
      </c>
      <c r="D830">
        <v>4</v>
      </c>
      <c r="E830">
        <v>12</v>
      </c>
      <c r="F830">
        <v>2</v>
      </c>
      <c r="G830">
        <v>0</v>
      </c>
      <c r="H830">
        <f>표3[[#This Row],[공격성공횟수]]/(표3[[#This Row],[공격실패횟수]]+표3[[#This Row],[공격성공횟수]])</f>
        <v>0.25</v>
      </c>
    </row>
    <row r="831" spans="1:8" hidden="1" x14ac:dyDescent="0.4">
      <c r="A831">
        <v>415</v>
      </c>
      <c r="B831" t="s">
        <v>1</v>
      </c>
      <c r="C831">
        <v>0</v>
      </c>
      <c r="D831">
        <v>2</v>
      </c>
      <c r="E831">
        <v>18</v>
      </c>
      <c r="F831">
        <v>4</v>
      </c>
      <c r="G831">
        <v>1</v>
      </c>
      <c r="H831">
        <f>표3[[#This Row],[공격성공횟수]]/(표3[[#This Row],[공격실패횟수]]+표3[[#This Row],[공격성공횟수]])</f>
        <v>0.1</v>
      </c>
    </row>
    <row r="832" spans="1:8" x14ac:dyDescent="0.4">
      <c r="A832">
        <v>416</v>
      </c>
      <c r="B832" t="s">
        <v>3</v>
      </c>
      <c r="C832">
        <v>1</v>
      </c>
      <c r="D832">
        <v>4</v>
      </c>
      <c r="E832">
        <v>18</v>
      </c>
      <c r="F832">
        <v>1</v>
      </c>
      <c r="G832">
        <v>0</v>
      </c>
      <c r="H832">
        <f>표3[[#This Row],[공격성공횟수]]/(표3[[#This Row],[공격실패횟수]]+표3[[#This Row],[공격성공횟수]])</f>
        <v>0.18181818181818182</v>
      </c>
    </row>
    <row r="833" spans="1:8" hidden="1" x14ac:dyDescent="0.4">
      <c r="A833">
        <v>416</v>
      </c>
      <c r="B833" t="s">
        <v>1</v>
      </c>
      <c r="C833">
        <v>0</v>
      </c>
      <c r="D833">
        <v>1</v>
      </c>
      <c r="E833">
        <v>21</v>
      </c>
      <c r="F833">
        <v>4</v>
      </c>
      <c r="G833">
        <v>1</v>
      </c>
      <c r="H833">
        <f>표3[[#This Row],[공격성공횟수]]/(표3[[#This Row],[공격실패횟수]]+표3[[#This Row],[공격성공횟수]])</f>
        <v>4.5454545454545456E-2</v>
      </c>
    </row>
    <row r="834" spans="1:8" x14ac:dyDescent="0.4">
      <c r="A834">
        <v>417</v>
      </c>
      <c r="B834" t="s">
        <v>3</v>
      </c>
      <c r="C834">
        <v>1</v>
      </c>
      <c r="D834">
        <v>4</v>
      </c>
      <c r="E834">
        <v>7</v>
      </c>
      <c r="F834">
        <v>0</v>
      </c>
      <c r="G834">
        <v>0</v>
      </c>
      <c r="H834">
        <f>표3[[#This Row],[공격성공횟수]]/(표3[[#This Row],[공격실패횟수]]+표3[[#This Row],[공격성공횟수]])</f>
        <v>0.36363636363636365</v>
      </c>
    </row>
    <row r="835" spans="1:8" hidden="1" x14ac:dyDescent="0.4">
      <c r="A835">
        <v>417</v>
      </c>
      <c r="B835" t="s">
        <v>1</v>
      </c>
      <c r="C835">
        <v>0</v>
      </c>
      <c r="D835">
        <v>0</v>
      </c>
      <c r="E835">
        <v>10</v>
      </c>
      <c r="F835">
        <v>4</v>
      </c>
      <c r="G835">
        <v>1</v>
      </c>
      <c r="H835">
        <f>표3[[#This Row],[공격성공횟수]]/(표3[[#This Row],[공격실패횟수]]+표3[[#This Row],[공격성공횟수]])</f>
        <v>0</v>
      </c>
    </row>
    <row r="836" spans="1:8" x14ac:dyDescent="0.4">
      <c r="A836">
        <v>418</v>
      </c>
      <c r="B836" t="s">
        <v>3</v>
      </c>
      <c r="C836">
        <v>1</v>
      </c>
      <c r="D836">
        <v>4</v>
      </c>
      <c r="E836">
        <v>6</v>
      </c>
      <c r="F836">
        <v>0</v>
      </c>
      <c r="G836">
        <v>0</v>
      </c>
      <c r="H836">
        <f>표3[[#This Row],[공격성공횟수]]/(표3[[#This Row],[공격실패횟수]]+표3[[#This Row],[공격성공횟수]])</f>
        <v>0.4</v>
      </c>
    </row>
    <row r="837" spans="1:8" hidden="1" x14ac:dyDescent="0.4">
      <c r="A837">
        <v>418</v>
      </c>
      <c r="B837" t="s">
        <v>1</v>
      </c>
      <c r="C837">
        <v>0</v>
      </c>
      <c r="D837">
        <v>0</v>
      </c>
      <c r="E837">
        <v>9</v>
      </c>
      <c r="F837">
        <v>4</v>
      </c>
      <c r="G837">
        <v>1</v>
      </c>
      <c r="H837">
        <f>표3[[#This Row],[공격성공횟수]]/(표3[[#This Row],[공격실패횟수]]+표3[[#This Row],[공격성공횟수]])</f>
        <v>0</v>
      </c>
    </row>
    <row r="838" spans="1:8" x14ac:dyDescent="0.4">
      <c r="A838">
        <v>419</v>
      </c>
      <c r="B838" t="s">
        <v>3</v>
      </c>
      <c r="C838">
        <v>1</v>
      </c>
      <c r="D838">
        <v>4</v>
      </c>
      <c r="E838">
        <v>20</v>
      </c>
      <c r="F838">
        <v>2</v>
      </c>
      <c r="G838">
        <v>0</v>
      </c>
      <c r="H838">
        <f>표3[[#This Row],[공격성공횟수]]/(표3[[#This Row],[공격실패횟수]]+표3[[#This Row],[공격성공횟수]])</f>
        <v>0.16666666666666666</v>
      </c>
    </row>
    <row r="839" spans="1:8" hidden="1" x14ac:dyDescent="0.4">
      <c r="A839">
        <v>419</v>
      </c>
      <c r="B839" t="s">
        <v>1</v>
      </c>
      <c r="C839">
        <v>0</v>
      </c>
      <c r="D839">
        <v>2</v>
      </c>
      <c r="E839">
        <v>21</v>
      </c>
      <c r="F839">
        <v>4</v>
      </c>
      <c r="G839">
        <v>1</v>
      </c>
      <c r="H839">
        <f>표3[[#This Row],[공격성공횟수]]/(표3[[#This Row],[공격실패횟수]]+표3[[#This Row],[공격성공횟수]])</f>
        <v>8.6956521739130432E-2</v>
      </c>
    </row>
    <row r="840" spans="1:8" x14ac:dyDescent="0.4">
      <c r="A840">
        <v>420</v>
      </c>
      <c r="B840" t="s">
        <v>3</v>
      </c>
      <c r="C840">
        <v>1</v>
      </c>
      <c r="D840">
        <v>4</v>
      </c>
      <c r="E840">
        <v>8</v>
      </c>
      <c r="F840">
        <v>3</v>
      </c>
      <c r="G840">
        <v>0</v>
      </c>
      <c r="H840">
        <f>표3[[#This Row],[공격성공횟수]]/(표3[[#This Row],[공격실패횟수]]+표3[[#This Row],[공격성공횟수]])</f>
        <v>0.33333333333333331</v>
      </c>
    </row>
    <row r="841" spans="1:8" hidden="1" x14ac:dyDescent="0.4">
      <c r="A841">
        <v>420</v>
      </c>
      <c r="B841" t="s">
        <v>1</v>
      </c>
      <c r="C841">
        <v>0</v>
      </c>
      <c r="D841">
        <v>3</v>
      </c>
      <c r="E841">
        <v>9</v>
      </c>
      <c r="F841">
        <v>4</v>
      </c>
      <c r="G841">
        <v>1</v>
      </c>
      <c r="H841">
        <f>표3[[#This Row],[공격성공횟수]]/(표3[[#This Row],[공격실패횟수]]+표3[[#This Row],[공격성공횟수]])</f>
        <v>0.25</v>
      </c>
    </row>
    <row r="842" spans="1:8" x14ac:dyDescent="0.4">
      <c r="A842">
        <v>421</v>
      </c>
      <c r="B842" t="s">
        <v>3</v>
      </c>
      <c r="C842">
        <v>1</v>
      </c>
      <c r="D842">
        <v>4</v>
      </c>
      <c r="E842">
        <v>17</v>
      </c>
      <c r="F842">
        <v>3</v>
      </c>
      <c r="G842">
        <v>0</v>
      </c>
      <c r="H842">
        <f>표3[[#This Row],[공격성공횟수]]/(표3[[#This Row],[공격실패횟수]]+표3[[#This Row],[공격성공횟수]])</f>
        <v>0.19047619047619047</v>
      </c>
    </row>
    <row r="843" spans="1:8" hidden="1" x14ac:dyDescent="0.4">
      <c r="A843">
        <v>421</v>
      </c>
      <c r="B843" t="s">
        <v>1</v>
      </c>
      <c r="C843">
        <v>0</v>
      </c>
      <c r="D843">
        <v>3</v>
      </c>
      <c r="E843">
        <v>17</v>
      </c>
      <c r="F843">
        <v>4</v>
      </c>
      <c r="G843">
        <v>1</v>
      </c>
      <c r="H843">
        <f>표3[[#This Row],[공격성공횟수]]/(표3[[#This Row],[공격실패횟수]]+표3[[#This Row],[공격성공횟수]])</f>
        <v>0.15</v>
      </c>
    </row>
    <row r="844" spans="1:8" x14ac:dyDescent="0.4">
      <c r="A844">
        <v>422</v>
      </c>
      <c r="B844" t="s">
        <v>3</v>
      </c>
      <c r="C844">
        <v>1</v>
      </c>
      <c r="D844">
        <v>4</v>
      </c>
      <c r="E844">
        <v>7</v>
      </c>
      <c r="F844">
        <v>0</v>
      </c>
      <c r="G844">
        <v>0</v>
      </c>
      <c r="H844">
        <f>표3[[#This Row],[공격성공횟수]]/(표3[[#This Row],[공격실패횟수]]+표3[[#This Row],[공격성공횟수]])</f>
        <v>0.36363636363636365</v>
      </c>
    </row>
    <row r="845" spans="1:8" hidden="1" x14ac:dyDescent="0.4">
      <c r="A845">
        <v>422</v>
      </c>
      <c r="B845" t="s">
        <v>1</v>
      </c>
      <c r="C845">
        <v>0</v>
      </c>
      <c r="D845">
        <v>0</v>
      </c>
      <c r="E845">
        <v>11</v>
      </c>
      <c r="F845">
        <v>4</v>
      </c>
      <c r="G845">
        <v>1</v>
      </c>
      <c r="H845">
        <f>표3[[#This Row],[공격성공횟수]]/(표3[[#This Row],[공격실패횟수]]+표3[[#This Row],[공격성공횟수]])</f>
        <v>0</v>
      </c>
    </row>
    <row r="846" spans="1:8" x14ac:dyDescent="0.4">
      <c r="A846">
        <v>423</v>
      </c>
      <c r="B846" t="s">
        <v>3</v>
      </c>
      <c r="C846">
        <v>1</v>
      </c>
      <c r="D846">
        <v>4</v>
      </c>
      <c r="E846">
        <v>10</v>
      </c>
      <c r="F846">
        <v>0</v>
      </c>
      <c r="G846">
        <v>0</v>
      </c>
      <c r="H846">
        <f>표3[[#This Row],[공격성공횟수]]/(표3[[#This Row],[공격실패횟수]]+표3[[#This Row],[공격성공횟수]])</f>
        <v>0.2857142857142857</v>
      </c>
    </row>
    <row r="847" spans="1:8" hidden="1" x14ac:dyDescent="0.4">
      <c r="A847">
        <v>423</v>
      </c>
      <c r="B847" t="s">
        <v>1</v>
      </c>
      <c r="C847">
        <v>0</v>
      </c>
      <c r="D847">
        <v>0</v>
      </c>
      <c r="E847">
        <v>13</v>
      </c>
      <c r="F847">
        <v>4</v>
      </c>
      <c r="G847">
        <v>1</v>
      </c>
      <c r="H847">
        <f>표3[[#This Row],[공격성공횟수]]/(표3[[#This Row],[공격실패횟수]]+표3[[#This Row],[공격성공횟수]])</f>
        <v>0</v>
      </c>
    </row>
    <row r="848" spans="1:8" x14ac:dyDescent="0.4">
      <c r="A848">
        <v>424</v>
      </c>
      <c r="B848" t="s">
        <v>3</v>
      </c>
      <c r="C848">
        <v>1</v>
      </c>
      <c r="D848">
        <v>4</v>
      </c>
      <c r="E848">
        <v>11</v>
      </c>
      <c r="F848">
        <v>2</v>
      </c>
      <c r="G848">
        <v>0</v>
      </c>
      <c r="H848">
        <f>표3[[#This Row],[공격성공횟수]]/(표3[[#This Row],[공격실패횟수]]+표3[[#This Row],[공격성공횟수]])</f>
        <v>0.26666666666666666</v>
      </c>
    </row>
    <row r="849" spans="1:8" hidden="1" x14ac:dyDescent="0.4">
      <c r="A849">
        <v>424</v>
      </c>
      <c r="B849" t="s">
        <v>1</v>
      </c>
      <c r="C849">
        <v>0</v>
      </c>
      <c r="D849">
        <v>2</v>
      </c>
      <c r="E849">
        <v>12</v>
      </c>
      <c r="F849">
        <v>4</v>
      </c>
      <c r="G849">
        <v>1</v>
      </c>
      <c r="H849">
        <f>표3[[#This Row],[공격성공횟수]]/(표3[[#This Row],[공격실패횟수]]+표3[[#This Row],[공격성공횟수]])</f>
        <v>0.14285714285714285</v>
      </c>
    </row>
    <row r="850" spans="1:8" x14ac:dyDescent="0.4">
      <c r="A850">
        <v>425</v>
      </c>
      <c r="B850" t="s">
        <v>3</v>
      </c>
      <c r="C850">
        <v>1</v>
      </c>
      <c r="D850">
        <v>4</v>
      </c>
      <c r="E850">
        <v>7</v>
      </c>
      <c r="F850">
        <v>1</v>
      </c>
      <c r="G850">
        <v>0</v>
      </c>
      <c r="H850">
        <f>표3[[#This Row],[공격성공횟수]]/(표3[[#This Row],[공격실패횟수]]+표3[[#This Row],[공격성공횟수]])</f>
        <v>0.36363636363636365</v>
      </c>
    </row>
    <row r="851" spans="1:8" hidden="1" x14ac:dyDescent="0.4">
      <c r="A851">
        <v>425</v>
      </c>
      <c r="B851" t="s">
        <v>1</v>
      </c>
      <c r="C851">
        <v>0</v>
      </c>
      <c r="D851">
        <v>1</v>
      </c>
      <c r="E851">
        <v>10</v>
      </c>
      <c r="F851">
        <v>4</v>
      </c>
      <c r="G851">
        <v>1</v>
      </c>
      <c r="H851">
        <f>표3[[#This Row],[공격성공횟수]]/(표3[[#This Row],[공격실패횟수]]+표3[[#This Row],[공격성공횟수]])</f>
        <v>9.0909090909090912E-2</v>
      </c>
    </row>
    <row r="852" spans="1:8" x14ac:dyDescent="0.4">
      <c r="A852">
        <v>426</v>
      </c>
      <c r="B852" t="s">
        <v>3</v>
      </c>
      <c r="C852">
        <v>1</v>
      </c>
      <c r="D852">
        <v>4</v>
      </c>
      <c r="E852">
        <v>6</v>
      </c>
      <c r="F852">
        <v>1</v>
      </c>
      <c r="G852">
        <v>0</v>
      </c>
      <c r="H852">
        <f>표3[[#This Row],[공격성공횟수]]/(표3[[#This Row],[공격실패횟수]]+표3[[#This Row],[공격성공횟수]])</f>
        <v>0.4</v>
      </c>
    </row>
    <row r="853" spans="1:8" hidden="1" x14ac:dyDescent="0.4">
      <c r="A853">
        <v>426</v>
      </c>
      <c r="B853" t="s">
        <v>1</v>
      </c>
      <c r="C853">
        <v>0</v>
      </c>
      <c r="D853">
        <v>1</v>
      </c>
      <c r="E853">
        <v>11</v>
      </c>
      <c r="F853">
        <v>4</v>
      </c>
      <c r="G853">
        <v>1</v>
      </c>
      <c r="H853">
        <f>표3[[#This Row],[공격성공횟수]]/(표3[[#This Row],[공격실패횟수]]+표3[[#This Row],[공격성공횟수]])</f>
        <v>8.3333333333333329E-2</v>
      </c>
    </row>
    <row r="854" spans="1:8" x14ac:dyDescent="0.4">
      <c r="A854">
        <v>427</v>
      </c>
      <c r="B854" t="s">
        <v>3</v>
      </c>
      <c r="C854">
        <v>0</v>
      </c>
      <c r="D854">
        <v>0</v>
      </c>
      <c r="E854">
        <v>19</v>
      </c>
      <c r="F854">
        <v>4</v>
      </c>
      <c r="G854">
        <v>1</v>
      </c>
      <c r="H854">
        <f>표3[[#This Row],[공격성공횟수]]/(표3[[#This Row],[공격실패횟수]]+표3[[#This Row],[공격성공횟수]])</f>
        <v>0</v>
      </c>
    </row>
    <row r="855" spans="1:8" hidden="1" x14ac:dyDescent="0.4">
      <c r="A855">
        <v>427</v>
      </c>
      <c r="B855" t="s">
        <v>1</v>
      </c>
      <c r="C855">
        <v>1</v>
      </c>
      <c r="D855">
        <v>4</v>
      </c>
      <c r="E855">
        <v>17</v>
      </c>
      <c r="F855">
        <v>0</v>
      </c>
      <c r="G855">
        <v>0</v>
      </c>
      <c r="H855">
        <f>표3[[#This Row],[공격성공횟수]]/(표3[[#This Row],[공격실패횟수]]+표3[[#This Row],[공격성공횟수]])</f>
        <v>0.19047619047619047</v>
      </c>
    </row>
    <row r="856" spans="1:8" x14ac:dyDescent="0.4">
      <c r="A856">
        <v>428</v>
      </c>
      <c r="B856" t="s">
        <v>3</v>
      </c>
      <c r="C856">
        <v>1</v>
      </c>
      <c r="D856">
        <v>4</v>
      </c>
      <c r="E856">
        <v>5</v>
      </c>
      <c r="F856">
        <v>1</v>
      </c>
      <c r="G856">
        <v>0</v>
      </c>
      <c r="H856">
        <f>표3[[#This Row],[공격성공횟수]]/(표3[[#This Row],[공격실패횟수]]+표3[[#This Row],[공격성공횟수]])</f>
        <v>0.44444444444444442</v>
      </c>
    </row>
    <row r="857" spans="1:8" hidden="1" x14ac:dyDescent="0.4">
      <c r="A857">
        <v>428</v>
      </c>
      <c r="B857" t="s">
        <v>1</v>
      </c>
      <c r="C857">
        <v>0</v>
      </c>
      <c r="D857">
        <v>1</v>
      </c>
      <c r="E857">
        <v>7</v>
      </c>
      <c r="F857">
        <v>4</v>
      </c>
      <c r="G857">
        <v>1</v>
      </c>
      <c r="H857">
        <f>표3[[#This Row],[공격성공횟수]]/(표3[[#This Row],[공격실패횟수]]+표3[[#This Row],[공격성공횟수]])</f>
        <v>0.125</v>
      </c>
    </row>
    <row r="858" spans="1:8" x14ac:dyDescent="0.4">
      <c r="A858">
        <v>429</v>
      </c>
      <c r="B858" t="s">
        <v>3</v>
      </c>
      <c r="C858">
        <v>1</v>
      </c>
      <c r="D858">
        <v>4</v>
      </c>
      <c r="E858">
        <v>10</v>
      </c>
      <c r="F858">
        <v>1</v>
      </c>
      <c r="G858">
        <v>0</v>
      </c>
      <c r="H858">
        <f>표3[[#This Row],[공격성공횟수]]/(표3[[#This Row],[공격실패횟수]]+표3[[#This Row],[공격성공횟수]])</f>
        <v>0.2857142857142857</v>
      </c>
    </row>
    <row r="859" spans="1:8" hidden="1" x14ac:dyDescent="0.4">
      <c r="A859">
        <v>429</v>
      </c>
      <c r="B859" t="s">
        <v>1</v>
      </c>
      <c r="C859">
        <v>0</v>
      </c>
      <c r="D859">
        <v>1</v>
      </c>
      <c r="E859">
        <v>12</v>
      </c>
      <c r="F859">
        <v>4</v>
      </c>
      <c r="G859">
        <v>1</v>
      </c>
      <c r="H859">
        <f>표3[[#This Row],[공격성공횟수]]/(표3[[#This Row],[공격실패횟수]]+표3[[#This Row],[공격성공횟수]])</f>
        <v>7.6923076923076927E-2</v>
      </c>
    </row>
    <row r="860" spans="1:8" x14ac:dyDescent="0.4">
      <c r="A860">
        <v>430</v>
      </c>
      <c r="B860" t="s">
        <v>3</v>
      </c>
      <c r="C860">
        <v>1</v>
      </c>
      <c r="D860">
        <v>4</v>
      </c>
      <c r="E860">
        <v>18</v>
      </c>
      <c r="F860">
        <v>3</v>
      </c>
      <c r="G860">
        <v>0</v>
      </c>
      <c r="H860">
        <f>표3[[#This Row],[공격성공횟수]]/(표3[[#This Row],[공격실패횟수]]+표3[[#This Row],[공격성공횟수]])</f>
        <v>0.18181818181818182</v>
      </c>
    </row>
    <row r="861" spans="1:8" hidden="1" x14ac:dyDescent="0.4">
      <c r="A861">
        <v>430</v>
      </c>
      <c r="B861" t="s">
        <v>1</v>
      </c>
      <c r="C861">
        <v>0</v>
      </c>
      <c r="D861">
        <v>3</v>
      </c>
      <c r="E861">
        <v>19</v>
      </c>
      <c r="F861">
        <v>4</v>
      </c>
      <c r="G861">
        <v>1</v>
      </c>
      <c r="H861">
        <f>표3[[#This Row],[공격성공횟수]]/(표3[[#This Row],[공격실패횟수]]+표3[[#This Row],[공격성공횟수]])</f>
        <v>0.13636363636363635</v>
      </c>
    </row>
    <row r="862" spans="1:8" x14ac:dyDescent="0.4">
      <c r="A862">
        <v>431</v>
      </c>
      <c r="B862" t="s">
        <v>3</v>
      </c>
      <c r="C862">
        <v>1</v>
      </c>
      <c r="D862">
        <v>4</v>
      </c>
      <c r="E862">
        <v>21</v>
      </c>
      <c r="F862">
        <v>3</v>
      </c>
      <c r="G862">
        <v>0</v>
      </c>
      <c r="H862">
        <f>표3[[#This Row],[공격성공횟수]]/(표3[[#This Row],[공격실패횟수]]+표3[[#This Row],[공격성공횟수]])</f>
        <v>0.16</v>
      </c>
    </row>
    <row r="863" spans="1:8" hidden="1" x14ac:dyDescent="0.4">
      <c r="A863">
        <v>431</v>
      </c>
      <c r="B863" t="s">
        <v>1</v>
      </c>
      <c r="C863">
        <v>0</v>
      </c>
      <c r="D863">
        <v>3</v>
      </c>
      <c r="E863">
        <v>21</v>
      </c>
      <c r="F863">
        <v>4</v>
      </c>
      <c r="G863">
        <v>1</v>
      </c>
      <c r="H863">
        <f>표3[[#This Row],[공격성공횟수]]/(표3[[#This Row],[공격실패횟수]]+표3[[#This Row],[공격성공횟수]])</f>
        <v>0.125</v>
      </c>
    </row>
    <row r="864" spans="1:8" x14ac:dyDescent="0.4">
      <c r="A864">
        <v>432</v>
      </c>
      <c r="B864" t="s">
        <v>3</v>
      </c>
      <c r="C864">
        <v>1</v>
      </c>
      <c r="D864">
        <v>4</v>
      </c>
      <c r="E864">
        <v>26</v>
      </c>
      <c r="F864">
        <v>2</v>
      </c>
      <c r="G864">
        <v>0</v>
      </c>
      <c r="H864">
        <f>표3[[#This Row],[공격성공횟수]]/(표3[[#This Row],[공격실패횟수]]+표3[[#This Row],[공격성공횟수]])</f>
        <v>0.13333333333333333</v>
      </c>
    </row>
    <row r="865" spans="1:8" hidden="1" x14ac:dyDescent="0.4">
      <c r="A865">
        <v>432</v>
      </c>
      <c r="B865" t="s">
        <v>1</v>
      </c>
      <c r="C865">
        <v>0</v>
      </c>
      <c r="D865">
        <v>2</v>
      </c>
      <c r="E865">
        <v>28</v>
      </c>
      <c r="F865">
        <v>4</v>
      </c>
      <c r="G865">
        <v>1</v>
      </c>
      <c r="H865">
        <f>표3[[#This Row],[공격성공횟수]]/(표3[[#This Row],[공격실패횟수]]+표3[[#This Row],[공격성공횟수]])</f>
        <v>6.6666666666666666E-2</v>
      </c>
    </row>
    <row r="866" spans="1:8" x14ac:dyDescent="0.4">
      <c r="A866">
        <v>433</v>
      </c>
      <c r="B866" t="s">
        <v>3</v>
      </c>
      <c r="C866">
        <v>1</v>
      </c>
      <c r="D866">
        <v>4</v>
      </c>
      <c r="E866">
        <v>9</v>
      </c>
      <c r="F866">
        <v>2</v>
      </c>
      <c r="G866">
        <v>0</v>
      </c>
      <c r="H866">
        <f>표3[[#This Row],[공격성공횟수]]/(표3[[#This Row],[공격실패횟수]]+표3[[#This Row],[공격성공횟수]])</f>
        <v>0.30769230769230771</v>
      </c>
    </row>
    <row r="867" spans="1:8" hidden="1" x14ac:dyDescent="0.4">
      <c r="A867">
        <v>433</v>
      </c>
      <c r="B867" t="s">
        <v>1</v>
      </c>
      <c r="C867">
        <v>0</v>
      </c>
      <c r="D867">
        <v>2</v>
      </c>
      <c r="E867">
        <v>10</v>
      </c>
      <c r="F867">
        <v>4</v>
      </c>
      <c r="G867">
        <v>1</v>
      </c>
      <c r="H867">
        <f>표3[[#This Row],[공격성공횟수]]/(표3[[#This Row],[공격실패횟수]]+표3[[#This Row],[공격성공횟수]])</f>
        <v>0.16666666666666666</v>
      </c>
    </row>
    <row r="868" spans="1:8" x14ac:dyDescent="0.4">
      <c r="A868">
        <v>434</v>
      </c>
      <c r="B868" t="s">
        <v>3</v>
      </c>
      <c r="C868">
        <v>0</v>
      </c>
      <c r="D868">
        <v>2</v>
      </c>
      <c r="E868">
        <v>16</v>
      </c>
      <c r="F868">
        <v>4</v>
      </c>
      <c r="G868">
        <v>1</v>
      </c>
      <c r="H868">
        <f>표3[[#This Row],[공격성공횟수]]/(표3[[#This Row],[공격실패횟수]]+표3[[#This Row],[공격성공횟수]])</f>
        <v>0.1111111111111111</v>
      </c>
    </row>
    <row r="869" spans="1:8" hidden="1" x14ac:dyDescent="0.4">
      <c r="A869">
        <v>434</v>
      </c>
      <c r="B869" t="s">
        <v>1</v>
      </c>
      <c r="C869">
        <v>1</v>
      </c>
      <c r="D869">
        <v>4</v>
      </c>
      <c r="E869">
        <v>14</v>
      </c>
      <c r="F869">
        <v>2</v>
      </c>
      <c r="G869">
        <v>0</v>
      </c>
      <c r="H869">
        <f>표3[[#This Row],[공격성공횟수]]/(표3[[#This Row],[공격실패횟수]]+표3[[#This Row],[공격성공횟수]])</f>
        <v>0.22222222222222221</v>
      </c>
    </row>
    <row r="870" spans="1:8" x14ac:dyDescent="0.4">
      <c r="A870">
        <v>435</v>
      </c>
      <c r="B870" t="s">
        <v>3</v>
      </c>
      <c r="C870">
        <v>1</v>
      </c>
      <c r="D870">
        <v>4</v>
      </c>
      <c r="E870">
        <v>9</v>
      </c>
      <c r="F870">
        <v>1</v>
      </c>
      <c r="G870">
        <v>0</v>
      </c>
      <c r="H870">
        <f>표3[[#This Row],[공격성공횟수]]/(표3[[#This Row],[공격실패횟수]]+표3[[#This Row],[공격성공횟수]])</f>
        <v>0.30769230769230771</v>
      </c>
    </row>
    <row r="871" spans="1:8" hidden="1" x14ac:dyDescent="0.4">
      <c r="A871">
        <v>435</v>
      </c>
      <c r="B871" t="s">
        <v>1</v>
      </c>
      <c r="C871">
        <v>0</v>
      </c>
      <c r="D871">
        <v>1</v>
      </c>
      <c r="E871">
        <v>11</v>
      </c>
      <c r="F871">
        <v>4</v>
      </c>
      <c r="G871">
        <v>1</v>
      </c>
      <c r="H871">
        <f>표3[[#This Row],[공격성공횟수]]/(표3[[#This Row],[공격실패횟수]]+표3[[#This Row],[공격성공횟수]])</f>
        <v>8.3333333333333329E-2</v>
      </c>
    </row>
    <row r="872" spans="1:8" x14ac:dyDescent="0.4">
      <c r="A872">
        <v>436</v>
      </c>
      <c r="B872" t="s">
        <v>3</v>
      </c>
      <c r="C872">
        <v>1</v>
      </c>
      <c r="D872">
        <v>4</v>
      </c>
      <c r="E872">
        <v>7</v>
      </c>
      <c r="F872">
        <v>0</v>
      </c>
      <c r="G872">
        <v>0</v>
      </c>
      <c r="H872">
        <f>표3[[#This Row],[공격성공횟수]]/(표3[[#This Row],[공격실패횟수]]+표3[[#This Row],[공격성공횟수]])</f>
        <v>0.36363636363636365</v>
      </c>
    </row>
    <row r="873" spans="1:8" hidden="1" x14ac:dyDescent="0.4">
      <c r="A873">
        <v>436</v>
      </c>
      <c r="B873" t="s">
        <v>1</v>
      </c>
      <c r="C873">
        <v>0</v>
      </c>
      <c r="D873">
        <v>0</v>
      </c>
      <c r="E873">
        <v>11</v>
      </c>
      <c r="F873">
        <v>4</v>
      </c>
      <c r="G873">
        <v>1</v>
      </c>
      <c r="H873">
        <f>표3[[#This Row],[공격성공횟수]]/(표3[[#This Row],[공격실패횟수]]+표3[[#This Row],[공격성공횟수]])</f>
        <v>0</v>
      </c>
    </row>
    <row r="874" spans="1:8" x14ac:dyDescent="0.4">
      <c r="A874">
        <v>437</v>
      </c>
      <c r="B874" t="s">
        <v>3</v>
      </c>
      <c r="C874">
        <v>1</v>
      </c>
      <c r="D874">
        <v>4</v>
      </c>
      <c r="E874">
        <v>31</v>
      </c>
      <c r="F874">
        <v>0</v>
      </c>
      <c r="G874">
        <v>0</v>
      </c>
      <c r="H874">
        <f>표3[[#This Row],[공격성공횟수]]/(표3[[#This Row],[공격실패횟수]]+표3[[#This Row],[공격성공횟수]])</f>
        <v>0.11428571428571428</v>
      </c>
    </row>
    <row r="875" spans="1:8" hidden="1" x14ac:dyDescent="0.4">
      <c r="A875">
        <v>437</v>
      </c>
      <c r="B875" t="s">
        <v>1</v>
      </c>
      <c r="C875">
        <v>0</v>
      </c>
      <c r="D875">
        <v>0</v>
      </c>
      <c r="E875">
        <v>33</v>
      </c>
      <c r="F875">
        <v>4</v>
      </c>
      <c r="G875">
        <v>1</v>
      </c>
      <c r="H875">
        <f>표3[[#This Row],[공격성공횟수]]/(표3[[#This Row],[공격실패횟수]]+표3[[#This Row],[공격성공횟수]])</f>
        <v>0</v>
      </c>
    </row>
    <row r="876" spans="1:8" x14ac:dyDescent="0.4">
      <c r="A876">
        <v>438</v>
      </c>
      <c r="B876" t="s">
        <v>3</v>
      </c>
      <c r="C876">
        <v>1</v>
      </c>
      <c r="D876">
        <v>4</v>
      </c>
      <c r="E876">
        <v>15</v>
      </c>
      <c r="F876">
        <v>1</v>
      </c>
      <c r="G876">
        <v>0</v>
      </c>
      <c r="H876">
        <f>표3[[#This Row],[공격성공횟수]]/(표3[[#This Row],[공격실패횟수]]+표3[[#This Row],[공격성공횟수]])</f>
        <v>0.21052631578947367</v>
      </c>
    </row>
    <row r="877" spans="1:8" hidden="1" x14ac:dyDescent="0.4">
      <c r="A877">
        <v>438</v>
      </c>
      <c r="B877" t="s">
        <v>1</v>
      </c>
      <c r="C877">
        <v>0</v>
      </c>
      <c r="D877">
        <v>1</v>
      </c>
      <c r="E877">
        <v>18</v>
      </c>
      <c r="F877">
        <v>4</v>
      </c>
      <c r="G877">
        <v>1</v>
      </c>
      <c r="H877">
        <f>표3[[#This Row],[공격성공횟수]]/(표3[[#This Row],[공격실패횟수]]+표3[[#This Row],[공격성공횟수]])</f>
        <v>5.2631578947368418E-2</v>
      </c>
    </row>
    <row r="878" spans="1:8" x14ac:dyDescent="0.4">
      <c r="A878">
        <v>439</v>
      </c>
      <c r="B878" t="s">
        <v>3</v>
      </c>
      <c r="C878">
        <v>1</v>
      </c>
      <c r="D878">
        <v>4</v>
      </c>
      <c r="E878">
        <v>6</v>
      </c>
      <c r="F878">
        <v>0</v>
      </c>
      <c r="G878">
        <v>0</v>
      </c>
      <c r="H878">
        <f>표3[[#This Row],[공격성공횟수]]/(표3[[#This Row],[공격실패횟수]]+표3[[#This Row],[공격성공횟수]])</f>
        <v>0.4</v>
      </c>
    </row>
    <row r="879" spans="1:8" hidden="1" x14ac:dyDescent="0.4">
      <c r="A879">
        <v>439</v>
      </c>
      <c r="B879" t="s">
        <v>1</v>
      </c>
      <c r="C879">
        <v>0</v>
      </c>
      <c r="D879">
        <v>0</v>
      </c>
      <c r="E879">
        <v>10</v>
      </c>
      <c r="F879">
        <v>4</v>
      </c>
      <c r="G879">
        <v>1</v>
      </c>
      <c r="H879">
        <f>표3[[#This Row],[공격성공횟수]]/(표3[[#This Row],[공격실패횟수]]+표3[[#This Row],[공격성공횟수]])</f>
        <v>0</v>
      </c>
    </row>
    <row r="880" spans="1:8" x14ac:dyDescent="0.4">
      <c r="A880">
        <v>440</v>
      </c>
      <c r="B880" t="s">
        <v>3</v>
      </c>
      <c r="C880">
        <v>0</v>
      </c>
      <c r="D880">
        <v>0</v>
      </c>
      <c r="E880">
        <v>22</v>
      </c>
      <c r="F880">
        <v>4</v>
      </c>
      <c r="G880">
        <v>1</v>
      </c>
      <c r="H880">
        <f>표3[[#This Row],[공격성공횟수]]/(표3[[#This Row],[공격실패횟수]]+표3[[#This Row],[공격성공횟수]])</f>
        <v>0</v>
      </c>
    </row>
    <row r="881" spans="1:8" hidden="1" x14ac:dyDescent="0.4">
      <c r="A881">
        <v>440</v>
      </c>
      <c r="B881" t="s">
        <v>1</v>
      </c>
      <c r="C881">
        <v>1</v>
      </c>
      <c r="D881">
        <v>4</v>
      </c>
      <c r="E881">
        <v>19</v>
      </c>
      <c r="F881">
        <v>0</v>
      </c>
      <c r="G881">
        <v>0</v>
      </c>
      <c r="H881">
        <f>표3[[#This Row],[공격성공횟수]]/(표3[[#This Row],[공격실패횟수]]+표3[[#This Row],[공격성공횟수]])</f>
        <v>0.17391304347826086</v>
      </c>
    </row>
    <row r="882" spans="1:8" x14ac:dyDescent="0.4">
      <c r="A882">
        <v>441</v>
      </c>
      <c r="B882" t="s">
        <v>3</v>
      </c>
      <c r="C882">
        <v>1</v>
      </c>
      <c r="D882">
        <v>4</v>
      </c>
      <c r="E882">
        <v>17</v>
      </c>
      <c r="F882">
        <v>2</v>
      </c>
      <c r="G882">
        <v>0</v>
      </c>
      <c r="H882">
        <f>표3[[#This Row],[공격성공횟수]]/(표3[[#This Row],[공격실패횟수]]+표3[[#This Row],[공격성공횟수]])</f>
        <v>0.19047619047619047</v>
      </c>
    </row>
    <row r="883" spans="1:8" hidden="1" x14ac:dyDescent="0.4">
      <c r="A883">
        <v>441</v>
      </c>
      <c r="B883" t="s">
        <v>1</v>
      </c>
      <c r="C883">
        <v>0</v>
      </c>
      <c r="D883">
        <v>2</v>
      </c>
      <c r="E883">
        <v>23</v>
      </c>
      <c r="F883">
        <v>4</v>
      </c>
      <c r="G883">
        <v>1</v>
      </c>
      <c r="H883">
        <f>표3[[#This Row],[공격성공횟수]]/(표3[[#This Row],[공격실패횟수]]+표3[[#This Row],[공격성공횟수]])</f>
        <v>0.08</v>
      </c>
    </row>
    <row r="884" spans="1:8" x14ac:dyDescent="0.4">
      <c r="A884">
        <v>442</v>
      </c>
      <c r="B884" t="s">
        <v>3</v>
      </c>
      <c r="C884">
        <v>1</v>
      </c>
      <c r="D884">
        <v>4</v>
      </c>
      <c r="E884">
        <v>11</v>
      </c>
      <c r="F884">
        <v>2</v>
      </c>
      <c r="G884">
        <v>0</v>
      </c>
      <c r="H884">
        <f>표3[[#This Row],[공격성공횟수]]/(표3[[#This Row],[공격실패횟수]]+표3[[#This Row],[공격성공횟수]])</f>
        <v>0.26666666666666666</v>
      </c>
    </row>
    <row r="885" spans="1:8" hidden="1" x14ac:dyDescent="0.4">
      <c r="A885">
        <v>442</v>
      </c>
      <c r="B885" t="s">
        <v>1</v>
      </c>
      <c r="C885">
        <v>0</v>
      </c>
      <c r="D885">
        <v>2</v>
      </c>
      <c r="E885">
        <v>11</v>
      </c>
      <c r="F885">
        <v>4</v>
      </c>
      <c r="G885">
        <v>1</v>
      </c>
      <c r="H885">
        <f>표3[[#This Row],[공격성공횟수]]/(표3[[#This Row],[공격실패횟수]]+표3[[#This Row],[공격성공횟수]])</f>
        <v>0.15384615384615385</v>
      </c>
    </row>
    <row r="886" spans="1:8" x14ac:dyDescent="0.4">
      <c r="A886">
        <v>443</v>
      </c>
      <c r="B886" t="s">
        <v>3</v>
      </c>
      <c r="C886">
        <v>1</v>
      </c>
      <c r="D886">
        <v>4</v>
      </c>
      <c r="E886">
        <v>36</v>
      </c>
      <c r="F886">
        <v>2</v>
      </c>
      <c r="G886">
        <v>0</v>
      </c>
      <c r="H886">
        <f>표3[[#This Row],[공격성공횟수]]/(표3[[#This Row],[공격실패횟수]]+표3[[#This Row],[공격성공횟수]])</f>
        <v>0.1</v>
      </c>
    </row>
    <row r="887" spans="1:8" hidden="1" x14ac:dyDescent="0.4">
      <c r="A887">
        <v>443</v>
      </c>
      <c r="B887" t="s">
        <v>1</v>
      </c>
      <c r="C887">
        <v>0</v>
      </c>
      <c r="D887">
        <v>2</v>
      </c>
      <c r="E887">
        <v>37</v>
      </c>
      <c r="F887">
        <v>4</v>
      </c>
      <c r="G887">
        <v>1</v>
      </c>
      <c r="H887">
        <f>표3[[#This Row],[공격성공횟수]]/(표3[[#This Row],[공격실패횟수]]+표3[[#This Row],[공격성공횟수]])</f>
        <v>5.128205128205128E-2</v>
      </c>
    </row>
    <row r="888" spans="1:8" x14ac:dyDescent="0.4">
      <c r="A888">
        <v>444</v>
      </c>
      <c r="B888" t="s">
        <v>3</v>
      </c>
      <c r="C888">
        <v>1</v>
      </c>
      <c r="D888">
        <v>4</v>
      </c>
      <c r="E888">
        <v>5</v>
      </c>
      <c r="F888">
        <v>1</v>
      </c>
      <c r="G888">
        <v>0</v>
      </c>
      <c r="H888">
        <f>표3[[#This Row],[공격성공횟수]]/(표3[[#This Row],[공격실패횟수]]+표3[[#This Row],[공격성공횟수]])</f>
        <v>0.44444444444444442</v>
      </c>
    </row>
    <row r="889" spans="1:8" hidden="1" x14ac:dyDescent="0.4">
      <c r="A889">
        <v>444</v>
      </c>
      <c r="B889" t="s">
        <v>1</v>
      </c>
      <c r="C889">
        <v>0</v>
      </c>
      <c r="D889">
        <v>1</v>
      </c>
      <c r="E889">
        <v>7</v>
      </c>
      <c r="F889">
        <v>4</v>
      </c>
      <c r="G889">
        <v>1</v>
      </c>
      <c r="H889">
        <f>표3[[#This Row],[공격성공횟수]]/(표3[[#This Row],[공격실패횟수]]+표3[[#This Row],[공격성공횟수]])</f>
        <v>0.125</v>
      </c>
    </row>
    <row r="890" spans="1:8" x14ac:dyDescent="0.4">
      <c r="A890">
        <v>445</v>
      </c>
      <c r="B890" t="s">
        <v>3</v>
      </c>
      <c r="C890">
        <v>1</v>
      </c>
      <c r="D890">
        <v>4</v>
      </c>
      <c r="E890">
        <v>7</v>
      </c>
      <c r="F890">
        <v>0</v>
      </c>
      <c r="G890">
        <v>0</v>
      </c>
      <c r="H890">
        <f>표3[[#This Row],[공격성공횟수]]/(표3[[#This Row],[공격실패횟수]]+표3[[#This Row],[공격성공횟수]])</f>
        <v>0.36363636363636365</v>
      </c>
    </row>
    <row r="891" spans="1:8" hidden="1" x14ac:dyDescent="0.4">
      <c r="A891">
        <v>445</v>
      </c>
      <c r="B891" t="s">
        <v>1</v>
      </c>
      <c r="C891">
        <v>0</v>
      </c>
      <c r="D891">
        <v>0</v>
      </c>
      <c r="E891">
        <v>10</v>
      </c>
      <c r="F891">
        <v>4</v>
      </c>
      <c r="G891">
        <v>1</v>
      </c>
      <c r="H891">
        <f>표3[[#This Row],[공격성공횟수]]/(표3[[#This Row],[공격실패횟수]]+표3[[#This Row],[공격성공횟수]])</f>
        <v>0</v>
      </c>
    </row>
    <row r="892" spans="1:8" x14ac:dyDescent="0.4">
      <c r="A892">
        <v>446</v>
      </c>
      <c r="B892" t="s">
        <v>3</v>
      </c>
      <c r="C892">
        <v>1</v>
      </c>
      <c r="D892">
        <v>4</v>
      </c>
      <c r="E892">
        <v>8</v>
      </c>
      <c r="F892">
        <v>3</v>
      </c>
      <c r="G892">
        <v>0</v>
      </c>
      <c r="H892">
        <f>표3[[#This Row],[공격성공횟수]]/(표3[[#This Row],[공격실패횟수]]+표3[[#This Row],[공격성공횟수]])</f>
        <v>0.33333333333333331</v>
      </c>
    </row>
    <row r="893" spans="1:8" hidden="1" x14ac:dyDescent="0.4">
      <c r="A893">
        <v>446</v>
      </c>
      <c r="B893" t="s">
        <v>1</v>
      </c>
      <c r="C893">
        <v>0</v>
      </c>
      <c r="D893">
        <v>3</v>
      </c>
      <c r="E893">
        <v>9</v>
      </c>
      <c r="F893">
        <v>4</v>
      </c>
      <c r="G893">
        <v>1</v>
      </c>
      <c r="H893">
        <f>표3[[#This Row],[공격성공횟수]]/(표3[[#This Row],[공격실패횟수]]+표3[[#This Row],[공격성공횟수]])</f>
        <v>0.25</v>
      </c>
    </row>
    <row r="894" spans="1:8" x14ac:dyDescent="0.4">
      <c r="A894">
        <v>447</v>
      </c>
      <c r="B894" t="s">
        <v>3</v>
      </c>
      <c r="C894">
        <v>1</v>
      </c>
      <c r="D894">
        <v>4</v>
      </c>
      <c r="E894">
        <v>10</v>
      </c>
      <c r="F894">
        <v>2</v>
      </c>
      <c r="G894">
        <v>0</v>
      </c>
      <c r="H894">
        <f>표3[[#This Row],[공격성공횟수]]/(표3[[#This Row],[공격실패횟수]]+표3[[#This Row],[공격성공횟수]])</f>
        <v>0.2857142857142857</v>
      </c>
    </row>
    <row r="895" spans="1:8" hidden="1" x14ac:dyDescent="0.4">
      <c r="A895">
        <v>447</v>
      </c>
      <c r="B895" t="s">
        <v>1</v>
      </c>
      <c r="C895">
        <v>0</v>
      </c>
      <c r="D895">
        <v>2</v>
      </c>
      <c r="E895">
        <v>12</v>
      </c>
      <c r="F895">
        <v>4</v>
      </c>
      <c r="G895">
        <v>1</v>
      </c>
      <c r="H895">
        <f>표3[[#This Row],[공격성공횟수]]/(표3[[#This Row],[공격실패횟수]]+표3[[#This Row],[공격성공횟수]])</f>
        <v>0.14285714285714285</v>
      </c>
    </row>
    <row r="896" spans="1:8" x14ac:dyDescent="0.4">
      <c r="A896">
        <v>448</v>
      </c>
      <c r="B896" t="s">
        <v>3</v>
      </c>
      <c r="C896">
        <v>1</v>
      </c>
      <c r="D896">
        <v>4</v>
      </c>
      <c r="E896">
        <v>15</v>
      </c>
      <c r="F896">
        <v>2</v>
      </c>
      <c r="G896">
        <v>0</v>
      </c>
      <c r="H896">
        <f>표3[[#This Row],[공격성공횟수]]/(표3[[#This Row],[공격실패횟수]]+표3[[#This Row],[공격성공횟수]])</f>
        <v>0.21052631578947367</v>
      </c>
    </row>
    <row r="897" spans="1:8" hidden="1" x14ac:dyDescent="0.4">
      <c r="A897">
        <v>448</v>
      </c>
      <c r="B897" t="s">
        <v>1</v>
      </c>
      <c r="C897">
        <v>0</v>
      </c>
      <c r="D897">
        <v>2</v>
      </c>
      <c r="E897">
        <v>19</v>
      </c>
      <c r="F897">
        <v>4</v>
      </c>
      <c r="G897">
        <v>1</v>
      </c>
      <c r="H897">
        <f>표3[[#This Row],[공격성공횟수]]/(표3[[#This Row],[공격실패횟수]]+표3[[#This Row],[공격성공횟수]])</f>
        <v>9.5238095238095233E-2</v>
      </c>
    </row>
    <row r="898" spans="1:8" x14ac:dyDescent="0.4">
      <c r="A898">
        <v>449</v>
      </c>
      <c r="B898" t="s">
        <v>3</v>
      </c>
      <c r="C898">
        <v>1</v>
      </c>
      <c r="D898">
        <v>4</v>
      </c>
      <c r="E898">
        <v>23</v>
      </c>
      <c r="F898">
        <v>1</v>
      </c>
      <c r="G898">
        <v>0</v>
      </c>
      <c r="H898">
        <f>표3[[#This Row],[공격성공횟수]]/(표3[[#This Row],[공격실패횟수]]+표3[[#This Row],[공격성공횟수]])</f>
        <v>0.14814814814814814</v>
      </c>
    </row>
    <row r="899" spans="1:8" hidden="1" x14ac:dyDescent="0.4">
      <c r="A899">
        <v>449</v>
      </c>
      <c r="B899" t="s">
        <v>1</v>
      </c>
      <c r="C899">
        <v>0</v>
      </c>
      <c r="D899">
        <v>1</v>
      </c>
      <c r="E899">
        <v>25</v>
      </c>
      <c r="F899">
        <v>4</v>
      </c>
      <c r="G899">
        <v>1</v>
      </c>
      <c r="H899">
        <f>표3[[#This Row],[공격성공횟수]]/(표3[[#This Row],[공격실패횟수]]+표3[[#This Row],[공격성공횟수]])</f>
        <v>3.8461538461538464E-2</v>
      </c>
    </row>
    <row r="900" spans="1:8" x14ac:dyDescent="0.4">
      <c r="A900">
        <v>450</v>
      </c>
      <c r="B900" t="s">
        <v>3</v>
      </c>
      <c r="C900">
        <v>1</v>
      </c>
      <c r="D900">
        <v>4</v>
      </c>
      <c r="E900">
        <v>18</v>
      </c>
      <c r="F900">
        <v>3</v>
      </c>
      <c r="G900">
        <v>0</v>
      </c>
      <c r="H900">
        <f>표3[[#This Row],[공격성공횟수]]/(표3[[#This Row],[공격실패횟수]]+표3[[#This Row],[공격성공횟수]])</f>
        <v>0.18181818181818182</v>
      </c>
    </row>
    <row r="901" spans="1:8" hidden="1" x14ac:dyDescent="0.4">
      <c r="A901">
        <v>450</v>
      </c>
      <c r="B901" t="s">
        <v>1</v>
      </c>
      <c r="C901">
        <v>0</v>
      </c>
      <c r="D901">
        <v>3</v>
      </c>
      <c r="E901">
        <v>25</v>
      </c>
      <c r="F901">
        <v>4</v>
      </c>
      <c r="G901">
        <v>1</v>
      </c>
      <c r="H901">
        <f>표3[[#This Row],[공격성공횟수]]/(표3[[#This Row],[공격실패횟수]]+표3[[#This Row],[공격성공횟수]])</f>
        <v>0.10714285714285714</v>
      </c>
    </row>
    <row r="902" spans="1:8" x14ac:dyDescent="0.4">
      <c r="A902">
        <v>451</v>
      </c>
      <c r="B902" t="s">
        <v>3</v>
      </c>
      <c r="C902">
        <v>1</v>
      </c>
      <c r="D902">
        <v>4</v>
      </c>
      <c r="E902">
        <v>11</v>
      </c>
      <c r="F902">
        <v>0</v>
      </c>
      <c r="G902">
        <v>0</v>
      </c>
      <c r="H902">
        <f>표3[[#This Row],[공격성공횟수]]/(표3[[#This Row],[공격실패횟수]]+표3[[#This Row],[공격성공횟수]])</f>
        <v>0.26666666666666666</v>
      </c>
    </row>
    <row r="903" spans="1:8" hidden="1" x14ac:dyDescent="0.4">
      <c r="A903">
        <v>451</v>
      </c>
      <c r="B903" t="s">
        <v>1</v>
      </c>
      <c r="C903">
        <v>0</v>
      </c>
      <c r="D903">
        <v>0</v>
      </c>
      <c r="E903">
        <v>15</v>
      </c>
      <c r="F903">
        <v>4</v>
      </c>
      <c r="G903">
        <v>1</v>
      </c>
      <c r="H903">
        <f>표3[[#This Row],[공격성공횟수]]/(표3[[#This Row],[공격실패횟수]]+표3[[#This Row],[공격성공횟수]])</f>
        <v>0</v>
      </c>
    </row>
    <row r="904" spans="1:8" x14ac:dyDescent="0.4">
      <c r="A904">
        <v>452</v>
      </c>
      <c r="B904" t="s">
        <v>3</v>
      </c>
      <c r="C904">
        <v>1</v>
      </c>
      <c r="D904">
        <v>4</v>
      </c>
      <c r="E904">
        <v>7</v>
      </c>
      <c r="F904">
        <v>1</v>
      </c>
      <c r="G904">
        <v>0</v>
      </c>
      <c r="H904">
        <f>표3[[#This Row],[공격성공횟수]]/(표3[[#This Row],[공격실패횟수]]+표3[[#This Row],[공격성공횟수]])</f>
        <v>0.36363636363636365</v>
      </c>
    </row>
    <row r="905" spans="1:8" hidden="1" x14ac:dyDescent="0.4">
      <c r="A905">
        <v>452</v>
      </c>
      <c r="B905" t="s">
        <v>1</v>
      </c>
      <c r="C905">
        <v>0</v>
      </c>
      <c r="D905">
        <v>1</v>
      </c>
      <c r="E905">
        <v>9</v>
      </c>
      <c r="F905">
        <v>4</v>
      </c>
      <c r="G905">
        <v>1</v>
      </c>
      <c r="H905">
        <f>표3[[#This Row],[공격성공횟수]]/(표3[[#This Row],[공격실패횟수]]+표3[[#This Row],[공격성공횟수]])</f>
        <v>0.1</v>
      </c>
    </row>
    <row r="906" spans="1:8" x14ac:dyDescent="0.4">
      <c r="A906">
        <v>453</v>
      </c>
      <c r="B906" t="s">
        <v>3</v>
      </c>
      <c r="C906">
        <v>1</v>
      </c>
      <c r="D906">
        <v>4</v>
      </c>
      <c r="E906">
        <v>5</v>
      </c>
      <c r="F906">
        <v>1</v>
      </c>
      <c r="G906">
        <v>0</v>
      </c>
      <c r="H906">
        <f>표3[[#This Row],[공격성공횟수]]/(표3[[#This Row],[공격실패횟수]]+표3[[#This Row],[공격성공횟수]])</f>
        <v>0.44444444444444442</v>
      </c>
    </row>
    <row r="907" spans="1:8" hidden="1" x14ac:dyDescent="0.4">
      <c r="A907">
        <v>453</v>
      </c>
      <c r="B907" t="s">
        <v>1</v>
      </c>
      <c r="C907">
        <v>0</v>
      </c>
      <c r="D907">
        <v>1</v>
      </c>
      <c r="E907">
        <v>7</v>
      </c>
      <c r="F907">
        <v>4</v>
      </c>
      <c r="G907">
        <v>1</v>
      </c>
      <c r="H907">
        <f>표3[[#This Row],[공격성공횟수]]/(표3[[#This Row],[공격실패횟수]]+표3[[#This Row],[공격성공횟수]])</f>
        <v>0.125</v>
      </c>
    </row>
    <row r="908" spans="1:8" x14ac:dyDescent="0.4">
      <c r="A908">
        <v>454</v>
      </c>
      <c r="B908" t="s">
        <v>3</v>
      </c>
      <c r="C908">
        <v>1</v>
      </c>
      <c r="D908">
        <v>4</v>
      </c>
      <c r="E908">
        <v>20</v>
      </c>
      <c r="F908">
        <v>2</v>
      </c>
      <c r="G908">
        <v>0</v>
      </c>
      <c r="H908">
        <f>표3[[#This Row],[공격성공횟수]]/(표3[[#This Row],[공격실패횟수]]+표3[[#This Row],[공격성공횟수]])</f>
        <v>0.16666666666666666</v>
      </c>
    </row>
    <row r="909" spans="1:8" hidden="1" x14ac:dyDescent="0.4">
      <c r="A909">
        <v>454</v>
      </c>
      <c r="B909" t="s">
        <v>1</v>
      </c>
      <c r="C909">
        <v>0</v>
      </c>
      <c r="D909">
        <v>2</v>
      </c>
      <c r="E909">
        <v>21</v>
      </c>
      <c r="F909">
        <v>4</v>
      </c>
      <c r="G909">
        <v>1</v>
      </c>
      <c r="H909">
        <f>표3[[#This Row],[공격성공횟수]]/(표3[[#This Row],[공격실패횟수]]+표3[[#This Row],[공격성공횟수]])</f>
        <v>8.6956521739130432E-2</v>
      </c>
    </row>
    <row r="910" spans="1:8" x14ac:dyDescent="0.4">
      <c r="A910">
        <v>455</v>
      </c>
      <c r="B910" t="s">
        <v>3</v>
      </c>
      <c r="C910">
        <v>1</v>
      </c>
      <c r="D910">
        <v>4</v>
      </c>
      <c r="E910">
        <v>10</v>
      </c>
      <c r="F910">
        <v>2</v>
      </c>
      <c r="G910">
        <v>0</v>
      </c>
      <c r="H910">
        <f>표3[[#This Row],[공격성공횟수]]/(표3[[#This Row],[공격실패횟수]]+표3[[#This Row],[공격성공횟수]])</f>
        <v>0.2857142857142857</v>
      </c>
    </row>
    <row r="911" spans="1:8" hidden="1" x14ac:dyDescent="0.4">
      <c r="A911">
        <v>455</v>
      </c>
      <c r="B911" t="s">
        <v>1</v>
      </c>
      <c r="C911">
        <v>0</v>
      </c>
      <c r="D911">
        <v>2</v>
      </c>
      <c r="E911">
        <v>12</v>
      </c>
      <c r="F911">
        <v>4</v>
      </c>
      <c r="G911">
        <v>1</v>
      </c>
      <c r="H911">
        <f>표3[[#This Row],[공격성공횟수]]/(표3[[#This Row],[공격실패횟수]]+표3[[#This Row],[공격성공횟수]])</f>
        <v>0.14285714285714285</v>
      </c>
    </row>
    <row r="912" spans="1:8" x14ac:dyDescent="0.4">
      <c r="A912">
        <v>456</v>
      </c>
      <c r="B912" t="s">
        <v>3</v>
      </c>
      <c r="C912">
        <v>1</v>
      </c>
      <c r="D912">
        <v>4</v>
      </c>
      <c r="E912">
        <v>6</v>
      </c>
      <c r="F912">
        <v>0</v>
      </c>
      <c r="G912">
        <v>0</v>
      </c>
      <c r="H912">
        <f>표3[[#This Row],[공격성공횟수]]/(표3[[#This Row],[공격실패횟수]]+표3[[#This Row],[공격성공횟수]])</f>
        <v>0.4</v>
      </c>
    </row>
    <row r="913" spans="1:8" hidden="1" x14ac:dyDescent="0.4">
      <c r="A913">
        <v>456</v>
      </c>
      <c r="B913" t="s">
        <v>1</v>
      </c>
      <c r="C913">
        <v>0</v>
      </c>
      <c r="D913">
        <v>0</v>
      </c>
      <c r="E913">
        <v>10</v>
      </c>
      <c r="F913">
        <v>4</v>
      </c>
      <c r="G913">
        <v>1</v>
      </c>
      <c r="H913">
        <f>표3[[#This Row],[공격성공횟수]]/(표3[[#This Row],[공격실패횟수]]+표3[[#This Row],[공격성공횟수]])</f>
        <v>0</v>
      </c>
    </row>
    <row r="914" spans="1:8" x14ac:dyDescent="0.4">
      <c r="A914">
        <v>457</v>
      </c>
      <c r="B914" t="s">
        <v>3</v>
      </c>
      <c r="C914">
        <v>1</v>
      </c>
      <c r="D914">
        <v>4</v>
      </c>
      <c r="E914">
        <v>16</v>
      </c>
      <c r="F914">
        <v>0</v>
      </c>
      <c r="G914">
        <v>0</v>
      </c>
      <c r="H914">
        <f>표3[[#This Row],[공격성공횟수]]/(표3[[#This Row],[공격실패횟수]]+표3[[#This Row],[공격성공횟수]])</f>
        <v>0.2</v>
      </c>
    </row>
    <row r="915" spans="1:8" hidden="1" x14ac:dyDescent="0.4">
      <c r="A915">
        <v>457</v>
      </c>
      <c r="B915" t="s">
        <v>1</v>
      </c>
      <c r="C915">
        <v>0</v>
      </c>
      <c r="D915">
        <v>0</v>
      </c>
      <c r="E915">
        <v>20</v>
      </c>
      <c r="F915">
        <v>4</v>
      </c>
      <c r="G915">
        <v>1</v>
      </c>
      <c r="H915">
        <f>표3[[#This Row],[공격성공횟수]]/(표3[[#This Row],[공격실패횟수]]+표3[[#This Row],[공격성공횟수]])</f>
        <v>0</v>
      </c>
    </row>
    <row r="916" spans="1:8" x14ac:dyDescent="0.4">
      <c r="A916">
        <v>458</v>
      </c>
      <c r="B916" t="s">
        <v>3</v>
      </c>
      <c r="C916">
        <v>1</v>
      </c>
      <c r="D916">
        <v>4</v>
      </c>
      <c r="E916">
        <v>22</v>
      </c>
      <c r="F916">
        <v>3</v>
      </c>
      <c r="G916">
        <v>0</v>
      </c>
      <c r="H916">
        <f>표3[[#This Row],[공격성공횟수]]/(표3[[#This Row],[공격실패횟수]]+표3[[#This Row],[공격성공횟수]])</f>
        <v>0.15384615384615385</v>
      </c>
    </row>
    <row r="917" spans="1:8" hidden="1" x14ac:dyDescent="0.4">
      <c r="A917">
        <v>458</v>
      </c>
      <c r="B917" t="s">
        <v>1</v>
      </c>
      <c r="C917">
        <v>0</v>
      </c>
      <c r="D917">
        <v>3</v>
      </c>
      <c r="E917">
        <v>22</v>
      </c>
      <c r="F917">
        <v>4</v>
      </c>
      <c r="G917">
        <v>1</v>
      </c>
      <c r="H917">
        <f>표3[[#This Row],[공격성공횟수]]/(표3[[#This Row],[공격실패횟수]]+표3[[#This Row],[공격성공횟수]])</f>
        <v>0.12</v>
      </c>
    </row>
    <row r="918" spans="1:8" x14ac:dyDescent="0.4">
      <c r="A918">
        <v>459</v>
      </c>
      <c r="B918" t="s">
        <v>3</v>
      </c>
      <c r="C918">
        <v>1</v>
      </c>
      <c r="D918">
        <v>4</v>
      </c>
      <c r="E918">
        <v>13</v>
      </c>
      <c r="F918">
        <v>2</v>
      </c>
      <c r="G918">
        <v>0</v>
      </c>
      <c r="H918">
        <f>표3[[#This Row],[공격성공횟수]]/(표3[[#This Row],[공격실패횟수]]+표3[[#This Row],[공격성공횟수]])</f>
        <v>0.23529411764705882</v>
      </c>
    </row>
    <row r="919" spans="1:8" hidden="1" x14ac:dyDescent="0.4">
      <c r="A919">
        <v>459</v>
      </c>
      <c r="B919" t="s">
        <v>1</v>
      </c>
      <c r="C919">
        <v>0</v>
      </c>
      <c r="D919">
        <v>2</v>
      </c>
      <c r="E919">
        <v>14</v>
      </c>
      <c r="F919">
        <v>4</v>
      </c>
      <c r="G919">
        <v>1</v>
      </c>
      <c r="H919">
        <f>표3[[#This Row],[공격성공횟수]]/(표3[[#This Row],[공격실패횟수]]+표3[[#This Row],[공격성공횟수]])</f>
        <v>0.125</v>
      </c>
    </row>
    <row r="920" spans="1:8" x14ac:dyDescent="0.4">
      <c r="A920">
        <v>460</v>
      </c>
      <c r="B920" t="s">
        <v>3</v>
      </c>
      <c r="C920">
        <v>1</v>
      </c>
      <c r="D920">
        <v>4</v>
      </c>
      <c r="E920">
        <v>23</v>
      </c>
      <c r="F920">
        <v>1</v>
      </c>
      <c r="G920">
        <v>0</v>
      </c>
      <c r="H920">
        <f>표3[[#This Row],[공격성공횟수]]/(표3[[#This Row],[공격실패횟수]]+표3[[#This Row],[공격성공횟수]])</f>
        <v>0.14814814814814814</v>
      </c>
    </row>
    <row r="921" spans="1:8" hidden="1" x14ac:dyDescent="0.4">
      <c r="A921">
        <v>460</v>
      </c>
      <c r="B921" t="s">
        <v>1</v>
      </c>
      <c r="C921">
        <v>0</v>
      </c>
      <c r="D921">
        <v>1</v>
      </c>
      <c r="E921">
        <v>25</v>
      </c>
      <c r="F921">
        <v>4</v>
      </c>
      <c r="G921">
        <v>1</v>
      </c>
      <c r="H921">
        <f>표3[[#This Row],[공격성공횟수]]/(표3[[#This Row],[공격실패횟수]]+표3[[#This Row],[공격성공횟수]])</f>
        <v>3.8461538461538464E-2</v>
      </c>
    </row>
    <row r="922" spans="1:8" x14ac:dyDescent="0.4">
      <c r="A922">
        <v>461</v>
      </c>
      <c r="B922" t="s">
        <v>3</v>
      </c>
      <c r="C922">
        <v>0</v>
      </c>
      <c r="D922">
        <v>1</v>
      </c>
      <c r="E922">
        <v>32</v>
      </c>
      <c r="F922">
        <v>4</v>
      </c>
      <c r="G922">
        <v>1</v>
      </c>
      <c r="H922">
        <f>표3[[#This Row],[공격성공횟수]]/(표3[[#This Row],[공격실패횟수]]+표3[[#This Row],[공격성공횟수]])</f>
        <v>3.0303030303030304E-2</v>
      </c>
    </row>
    <row r="923" spans="1:8" hidden="1" x14ac:dyDescent="0.4">
      <c r="A923">
        <v>461</v>
      </c>
      <c r="B923" t="s">
        <v>1</v>
      </c>
      <c r="C923">
        <v>1</v>
      </c>
      <c r="D923">
        <v>4</v>
      </c>
      <c r="E923">
        <v>31</v>
      </c>
      <c r="F923">
        <v>1</v>
      </c>
      <c r="G923">
        <v>0</v>
      </c>
      <c r="H923">
        <f>표3[[#This Row],[공격성공횟수]]/(표3[[#This Row],[공격실패횟수]]+표3[[#This Row],[공격성공횟수]])</f>
        <v>0.11428571428571428</v>
      </c>
    </row>
    <row r="924" spans="1:8" x14ac:dyDescent="0.4">
      <c r="A924">
        <v>462</v>
      </c>
      <c r="B924" t="s">
        <v>3</v>
      </c>
      <c r="C924">
        <v>1</v>
      </c>
      <c r="D924">
        <v>4</v>
      </c>
      <c r="E924">
        <v>11</v>
      </c>
      <c r="F924">
        <v>0</v>
      </c>
      <c r="G924">
        <v>0</v>
      </c>
      <c r="H924">
        <f>표3[[#This Row],[공격성공횟수]]/(표3[[#This Row],[공격실패횟수]]+표3[[#This Row],[공격성공횟수]])</f>
        <v>0.26666666666666666</v>
      </c>
    </row>
    <row r="925" spans="1:8" hidden="1" x14ac:dyDescent="0.4">
      <c r="A925">
        <v>462</v>
      </c>
      <c r="B925" t="s">
        <v>1</v>
      </c>
      <c r="C925">
        <v>0</v>
      </c>
      <c r="D925">
        <v>0</v>
      </c>
      <c r="E925">
        <v>14</v>
      </c>
      <c r="F925">
        <v>4</v>
      </c>
      <c r="G925">
        <v>1</v>
      </c>
      <c r="H925">
        <f>표3[[#This Row],[공격성공횟수]]/(표3[[#This Row],[공격실패횟수]]+표3[[#This Row],[공격성공횟수]])</f>
        <v>0</v>
      </c>
    </row>
    <row r="926" spans="1:8" x14ac:dyDescent="0.4">
      <c r="A926">
        <v>463</v>
      </c>
      <c r="B926" t="s">
        <v>3</v>
      </c>
      <c r="C926">
        <v>1</v>
      </c>
      <c r="D926">
        <v>4</v>
      </c>
      <c r="E926">
        <v>5</v>
      </c>
      <c r="F926">
        <v>2</v>
      </c>
      <c r="G926">
        <v>0</v>
      </c>
      <c r="H926">
        <f>표3[[#This Row],[공격성공횟수]]/(표3[[#This Row],[공격실패횟수]]+표3[[#This Row],[공격성공횟수]])</f>
        <v>0.44444444444444442</v>
      </c>
    </row>
    <row r="927" spans="1:8" hidden="1" x14ac:dyDescent="0.4">
      <c r="A927">
        <v>463</v>
      </c>
      <c r="B927" t="s">
        <v>1</v>
      </c>
      <c r="C927">
        <v>0</v>
      </c>
      <c r="D927">
        <v>2</v>
      </c>
      <c r="E927">
        <v>6</v>
      </c>
      <c r="F927">
        <v>4</v>
      </c>
      <c r="G927">
        <v>1</v>
      </c>
      <c r="H927">
        <f>표3[[#This Row],[공격성공횟수]]/(표3[[#This Row],[공격실패횟수]]+표3[[#This Row],[공격성공횟수]])</f>
        <v>0.25</v>
      </c>
    </row>
    <row r="928" spans="1:8" x14ac:dyDescent="0.4">
      <c r="A928">
        <v>464</v>
      </c>
      <c r="B928" t="s">
        <v>3</v>
      </c>
      <c r="C928">
        <v>1</v>
      </c>
      <c r="D928">
        <v>4</v>
      </c>
      <c r="E928">
        <v>27</v>
      </c>
      <c r="F928">
        <v>2</v>
      </c>
      <c r="G928">
        <v>0</v>
      </c>
      <c r="H928">
        <f>표3[[#This Row],[공격성공횟수]]/(표3[[#This Row],[공격실패횟수]]+표3[[#This Row],[공격성공횟수]])</f>
        <v>0.12903225806451613</v>
      </c>
    </row>
    <row r="929" spans="1:8" hidden="1" x14ac:dyDescent="0.4">
      <c r="A929">
        <v>464</v>
      </c>
      <c r="B929" t="s">
        <v>1</v>
      </c>
      <c r="C929">
        <v>0</v>
      </c>
      <c r="D929">
        <v>2</v>
      </c>
      <c r="E929">
        <v>29</v>
      </c>
      <c r="F929">
        <v>4</v>
      </c>
      <c r="G929">
        <v>1</v>
      </c>
      <c r="H929">
        <f>표3[[#This Row],[공격성공횟수]]/(표3[[#This Row],[공격실패횟수]]+표3[[#This Row],[공격성공횟수]])</f>
        <v>6.4516129032258063E-2</v>
      </c>
    </row>
    <row r="930" spans="1:8" x14ac:dyDescent="0.4">
      <c r="A930">
        <v>465</v>
      </c>
      <c r="B930" t="s">
        <v>3</v>
      </c>
      <c r="C930">
        <v>1</v>
      </c>
      <c r="D930">
        <v>4</v>
      </c>
      <c r="E930">
        <v>12</v>
      </c>
      <c r="F930">
        <v>2</v>
      </c>
      <c r="G930">
        <v>0</v>
      </c>
      <c r="H930">
        <f>표3[[#This Row],[공격성공횟수]]/(표3[[#This Row],[공격실패횟수]]+표3[[#This Row],[공격성공횟수]])</f>
        <v>0.25</v>
      </c>
    </row>
    <row r="931" spans="1:8" hidden="1" x14ac:dyDescent="0.4">
      <c r="A931">
        <v>465</v>
      </c>
      <c r="B931" t="s">
        <v>1</v>
      </c>
      <c r="C931">
        <v>0</v>
      </c>
      <c r="D931">
        <v>2</v>
      </c>
      <c r="E931">
        <v>13</v>
      </c>
      <c r="F931">
        <v>4</v>
      </c>
      <c r="G931">
        <v>1</v>
      </c>
      <c r="H931">
        <f>표3[[#This Row],[공격성공횟수]]/(표3[[#This Row],[공격실패횟수]]+표3[[#This Row],[공격성공횟수]])</f>
        <v>0.13333333333333333</v>
      </c>
    </row>
    <row r="932" spans="1:8" x14ac:dyDescent="0.4">
      <c r="A932">
        <v>466</v>
      </c>
      <c r="B932" t="s">
        <v>3</v>
      </c>
      <c r="C932">
        <v>1</v>
      </c>
      <c r="D932">
        <v>4</v>
      </c>
      <c r="E932">
        <v>6</v>
      </c>
      <c r="F932">
        <v>0</v>
      </c>
      <c r="G932">
        <v>0</v>
      </c>
      <c r="H932">
        <f>표3[[#This Row],[공격성공횟수]]/(표3[[#This Row],[공격실패횟수]]+표3[[#This Row],[공격성공횟수]])</f>
        <v>0.4</v>
      </c>
    </row>
    <row r="933" spans="1:8" hidden="1" x14ac:dyDescent="0.4">
      <c r="A933">
        <v>466</v>
      </c>
      <c r="B933" t="s">
        <v>1</v>
      </c>
      <c r="C933">
        <v>0</v>
      </c>
      <c r="D933">
        <v>0</v>
      </c>
      <c r="E933">
        <v>10</v>
      </c>
      <c r="F933">
        <v>4</v>
      </c>
      <c r="G933">
        <v>1</v>
      </c>
      <c r="H933">
        <f>표3[[#This Row],[공격성공횟수]]/(표3[[#This Row],[공격실패횟수]]+표3[[#This Row],[공격성공횟수]])</f>
        <v>0</v>
      </c>
    </row>
    <row r="934" spans="1:8" x14ac:dyDescent="0.4">
      <c r="A934">
        <v>467</v>
      </c>
      <c r="B934" t="s">
        <v>3</v>
      </c>
      <c r="C934">
        <v>1</v>
      </c>
      <c r="D934">
        <v>4</v>
      </c>
      <c r="E934">
        <v>6</v>
      </c>
      <c r="F934">
        <v>1</v>
      </c>
      <c r="G934">
        <v>0</v>
      </c>
      <c r="H934">
        <f>표3[[#This Row],[공격성공횟수]]/(표3[[#This Row],[공격실패횟수]]+표3[[#This Row],[공격성공횟수]])</f>
        <v>0.4</v>
      </c>
    </row>
    <row r="935" spans="1:8" hidden="1" x14ac:dyDescent="0.4">
      <c r="A935">
        <v>467</v>
      </c>
      <c r="B935" t="s">
        <v>1</v>
      </c>
      <c r="C935">
        <v>0</v>
      </c>
      <c r="D935">
        <v>1</v>
      </c>
      <c r="E935">
        <v>8</v>
      </c>
      <c r="F935">
        <v>4</v>
      </c>
      <c r="G935">
        <v>1</v>
      </c>
      <c r="H935">
        <f>표3[[#This Row],[공격성공횟수]]/(표3[[#This Row],[공격실패횟수]]+표3[[#This Row],[공격성공횟수]])</f>
        <v>0.1111111111111111</v>
      </c>
    </row>
    <row r="936" spans="1:8" x14ac:dyDescent="0.4">
      <c r="A936">
        <v>468</v>
      </c>
      <c r="B936" t="s">
        <v>3</v>
      </c>
      <c r="C936">
        <v>0</v>
      </c>
      <c r="D936">
        <v>0</v>
      </c>
      <c r="E936">
        <v>27</v>
      </c>
      <c r="F936">
        <v>4</v>
      </c>
      <c r="G936">
        <v>1</v>
      </c>
      <c r="H936">
        <f>표3[[#This Row],[공격성공횟수]]/(표3[[#This Row],[공격실패횟수]]+표3[[#This Row],[공격성공횟수]])</f>
        <v>0</v>
      </c>
    </row>
    <row r="937" spans="1:8" hidden="1" x14ac:dyDescent="0.4">
      <c r="A937">
        <v>468</v>
      </c>
      <c r="B937" t="s">
        <v>1</v>
      </c>
      <c r="C937">
        <v>1</v>
      </c>
      <c r="D937">
        <v>4</v>
      </c>
      <c r="E937">
        <v>23</v>
      </c>
      <c r="F937">
        <v>0</v>
      </c>
      <c r="G937">
        <v>0</v>
      </c>
      <c r="H937">
        <f>표3[[#This Row],[공격성공횟수]]/(표3[[#This Row],[공격실패횟수]]+표3[[#This Row],[공격성공횟수]])</f>
        <v>0.14814814814814814</v>
      </c>
    </row>
    <row r="938" spans="1:8" x14ac:dyDescent="0.4">
      <c r="A938">
        <v>469</v>
      </c>
      <c r="B938" t="s">
        <v>3</v>
      </c>
      <c r="C938">
        <v>0</v>
      </c>
      <c r="D938">
        <v>0</v>
      </c>
      <c r="E938">
        <v>36</v>
      </c>
      <c r="F938">
        <v>4</v>
      </c>
      <c r="G938">
        <v>1</v>
      </c>
      <c r="H938">
        <f>표3[[#This Row],[공격성공횟수]]/(표3[[#This Row],[공격실패횟수]]+표3[[#This Row],[공격성공횟수]])</f>
        <v>0</v>
      </c>
    </row>
    <row r="939" spans="1:8" hidden="1" x14ac:dyDescent="0.4">
      <c r="A939">
        <v>469</v>
      </c>
      <c r="B939" t="s">
        <v>1</v>
      </c>
      <c r="C939">
        <v>1</v>
      </c>
      <c r="D939">
        <v>4</v>
      </c>
      <c r="E939">
        <v>33</v>
      </c>
      <c r="F939">
        <v>0</v>
      </c>
      <c r="G939">
        <v>0</v>
      </c>
      <c r="H939">
        <f>표3[[#This Row],[공격성공횟수]]/(표3[[#This Row],[공격실패횟수]]+표3[[#This Row],[공격성공횟수]])</f>
        <v>0.10810810810810811</v>
      </c>
    </row>
    <row r="940" spans="1:8" x14ac:dyDescent="0.4">
      <c r="A940">
        <v>470</v>
      </c>
      <c r="B940" t="s">
        <v>3</v>
      </c>
      <c r="C940">
        <v>1</v>
      </c>
      <c r="D940">
        <v>4</v>
      </c>
      <c r="E940">
        <v>12</v>
      </c>
      <c r="F940">
        <v>0</v>
      </c>
      <c r="G940">
        <v>0</v>
      </c>
      <c r="H940">
        <f>표3[[#This Row],[공격성공횟수]]/(표3[[#This Row],[공격실패횟수]]+표3[[#This Row],[공격성공횟수]])</f>
        <v>0.25</v>
      </c>
    </row>
    <row r="941" spans="1:8" hidden="1" x14ac:dyDescent="0.4">
      <c r="A941">
        <v>470</v>
      </c>
      <c r="B941" t="s">
        <v>1</v>
      </c>
      <c r="C941">
        <v>0</v>
      </c>
      <c r="D941">
        <v>0</v>
      </c>
      <c r="E941">
        <v>14</v>
      </c>
      <c r="F941">
        <v>4</v>
      </c>
      <c r="G941">
        <v>1</v>
      </c>
      <c r="H941">
        <f>표3[[#This Row],[공격성공횟수]]/(표3[[#This Row],[공격실패횟수]]+표3[[#This Row],[공격성공횟수]])</f>
        <v>0</v>
      </c>
    </row>
    <row r="942" spans="1:8" x14ac:dyDescent="0.4">
      <c r="A942">
        <v>471</v>
      </c>
      <c r="B942" t="s">
        <v>3</v>
      </c>
      <c r="C942">
        <v>1</v>
      </c>
      <c r="D942">
        <v>4</v>
      </c>
      <c r="E942">
        <v>9</v>
      </c>
      <c r="F942">
        <v>0</v>
      </c>
      <c r="G942">
        <v>0</v>
      </c>
      <c r="H942">
        <f>표3[[#This Row],[공격성공횟수]]/(표3[[#This Row],[공격실패횟수]]+표3[[#This Row],[공격성공횟수]])</f>
        <v>0.30769230769230771</v>
      </c>
    </row>
    <row r="943" spans="1:8" hidden="1" x14ac:dyDescent="0.4">
      <c r="A943">
        <v>471</v>
      </c>
      <c r="B943" t="s">
        <v>1</v>
      </c>
      <c r="C943">
        <v>0</v>
      </c>
      <c r="D943">
        <v>0</v>
      </c>
      <c r="E943">
        <v>13</v>
      </c>
      <c r="F943">
        <v>4</v>
      </c>
      <c r="G943">
        <v>1</v>
      </c>
      <c r="H943">
        <f>표3[[#This Row],[공격성공횟수]]/(표3[[#This Row],[공격실패횟수]]+표3[[#This Row],[공격성공횟수]])</f>
        <v>0</v>
      </c>
    </row>
    <row r="944" spans="1:8" x14ac:dyDescent="0.4">
      <c r="A944">
        <v>472</v>
      </c>
      <c r="B944" t="s">
        <v>3</v>
      </c>
      <c r="C944">
        <v>1</v>
      </c>
      <c r="D944">
        <v>4</v>
      </c>
      <c r="E944">
        <v>7</v>
      </c>
      <c r="F944">
        <v>1</v>
      </c>
      <c r="G944">
        <v>0</v>
      </c>
      <c r="H944">
        <f>표3[[#This Row],[공격성공횟수]]/(표3[[#This Row],[공격실패횟수]]+표3[[#This Row],[공격성공횟수]])</f>
        <v>0.36363636363636365</v>
      </c>
    </row>
    <row r="945" spans="1:8" hidden="1" x14ac:dyDescent="0.4">
      <c r="A945">
        <v>472</v>
      </c>
      <c r="B945" t="s">
        <v>1</v>
      </c>
      <c r="C945">
        <v>0</v>
      </c>
      <c r="D945">
        <v>1</v>
      </c>
      <c r="E945">
        <v>10</v>
      </c>
      <c r="F945">
        <v>4</v>
      </c>
      <c r="G945">
        <v>1</v>
      </c>
      <c r="H945">
        <f>표3[[#This Row],[공격성공횟수]]/(표3[[#This Row],[공격실패횟수]]+표3[[#This Row],[공격성공횟수]])</f>
        <v>9.0909090909090912E-2</v>
      </c>
    </row>
    <row r="946" spans="1:8" x14ac:dyDescent="0.4">
      <c r="A946">
        <v>473</v>
      </c>
      <c r="B946" t="s">
        <v>3</v>
      </c>
      <c r="C946">
        <v>1</v>
      </c>
      <c r="D946">
        <v>4</v>
      </c>
      <c r="E946">
        <v>10</v>
      </c>
      <c r="F946">
        <v>0</v>
      </c>
      <c r="G946">
        <v>0</v>
      </c>
      <c r="H946">
        <f>표3[[#This Row],[공격성공횟수]]/(표3[[#This Row],[공격실패횟수]]+표3[[#This Row],[공격성공횟수]])</f>
        <v>0.2857142857142857</v>
      </c>
    </row>
    <row r="947" spans="1:8" hidden="1" x14ac:dyDescent="0.4">
      <c r="A947">
        <v>473</v>
      </c>
      <c r="B947" t="s">
        <v>1</v>
      </c>
      <c r="C947">
        <v>0</v>
      </c>
      <c r="D947">
        <v>0</v>
      </c>
      <c r="E947">
        <v>13</v>
      </c>
      <c r="F947">
        <v>4</v>
      </c>
      <c r="G947">
        <v>1</v>
      </c>
      <c r="H947">
        <f>표3[[#This Row],[공격성공횟수]]/(표3[[#This Row],[공격실패횟수]]+표3[[#This Row],[공격성공횟수]])</f>
        <v>0</v>
      </c>
    </row>
    <row r="948" spans="1:8" x14ac:dyDescent="0.4">
      <c r="A948">
        <v>474</v>
      </c>
      <c r="B948" t="s">
        <v>3</v>
      </c>
      <c r="C948">
        <v>1</v>
      </c>
      <c r="D948">
        <v>4</v>
      </c>
      <c r="E948">
        <v>7</v>
      </c>
      <c r="F948">
        <v>2</v>
      </c>
      <c r="G948">
        <v>0</v>
      </c>
      <c r="H948">
        <f>표3[[#This Row],[공격성공횟수]]/(표3[[#This Row],[공격실패횟수]]+표3[[#This Row],[공격성공횟수]])</f>
        <v>0.36363636363636365</v>
      </c>
    </row>
    <row r="949" spans="1:8" hidden="1" x14ac:dyDescent="0.4">
      <c r="A949">
        <v>474</v>
      </c>
      <c r="B949" t="s">
        <v>1</v>
      </c>
      <c r="C949">
        <v>0</v>
      </c>
      <c r="D949">
        <v>2</v>
      </c>
      <c r="E949">
        <v>9</v>
      </c>
      <c r="F949">
        <v>4</v>
      </c>
      <c r="G949">
        <v>1</v>
      </c>
      <c r="H949">
        <f>표3[[#This Row],[공격성공횟수]]/(표3[[#This Row],[공격실패횟수]]+표3[[#This Row],[공격성공횟수]])</f>
        <v>0.18181818181818182</v>
      </c>
    </row>
    <row r="950" spans="1:8" x14ac:dyDescent="0.4">
      <c r="A950">
        <v>475</v>
      </c>
      <c r="B950" t="s">
        <v>3</v>
      </c>
      <c r="C950">
        <v>1</v>
      </c>
      <c r="D950">
        <v>4</v>
      </c>
      <c r="E950">
        <v>19</v>
      </c>
      <c r="F950">
        <v>1</v>
      </c>
      <c r="G950">
        <v>0</v>
      </c>
      <c r="H950">
        <f>표3[[#This Row],[공격성공횟수]]/(표3[[#This Row],[공격실패횟수]]+표3[[#This Row],[공격성공횟수]])</f>
        <v>0.17391304347826086</v>
      </c>
    </row>
    <row r="951" spans="1:8" hidden="1" x14ac:dyDescent="0.4">
      <c r="A951">
        <v>475</v>
      </c>
      <c r="B951" t="s">
        <v>1</v>
      </c>
      <c r="C951">
        <v>0</v>
      </c>
      <c r="D951">
        <v>1</v>
      </c>
      <c r="E951">
        <v>21</v>
      </c>
      <c r="F951">
        <v>4</v>
      </c>
      <c r="G951">
        <v>1</v>
      </c>
      <c r="H951">
        <f>표3[[#This Row],[공격성공횟수]]/(표3[[#This Row],[공격실패횟수]]+표3[[#This Row],[공격성공횟수]])</f>
        <v>4.5454545454545456E-2</v>
      </c>
    </row>
    <row r="952" spans="1:8" x14ac:dyDescent="0.4">
      <c r="A952">
        <v>476</v>
      </c>
      <c r="B952" t="s">
        <v>3</v>
      </c>
      <c r="C952">
        <v>1</v>
      </c>
      <c r="D952">
        <v>4</v>
      </c>
      <c r="E952">
        <v>22</v>
      </c>
      <c r="F952">
        <v>3</v>
      </c>
      <c r="G952">
        <v>0</v>
      </c>
      <c r="H952">
        <f>표3[[#This Row],[공격성공횟수]]/(표3[[#This Row],[공격실패횟수]]+표3[[#This Row],[공격성공횟수]])</f>
        <v>0.15384615384615385</v>
      </c>
    </row>
    <row r="953" spans="1:8" hidden="1" x14ac:dyDescent="0.4">
      <c r="A953">
        <v>476</v>
      </c>
      <c r="B953" t="s">
        <v>1</v>
      </c>
      <c r="C953">
        <v>0</v>
      </c>
      <c r="D953">
        <v>3</v>
      </c>
      <c r="E953">
        <v>22</v>
      </c>
      <c r="F953">
        <v>4</v>
      </c>
      <c r="G953">
        <v>1</v>
      </c>
      <c r="H953">
        <f>표3[[#This Row],[공격성공횟수]]/(표3[[#This Row],[공격실패횟수]]+표3[[#This Row],[공격성공횟수]])</f>
        <v>0.12</v>
      </c>
    </row>
    <row r="954" spans="1:8" x14ac:dyDescent="0.4">
      <c r="A954">
        <v>477</v>
      </c>
      <c r="B954" t="s">
        <v>3</v>
      </c>
      <c r="C954">
        <v>1</v>
      </c>
      <c r="D954">
        <v>4</v>
      </c>
      <c r="E954">
        <v>11</v>
      </c>
      <c r="F954">
        <v>2</v>
      </c>
      <c r="G954">
        <v>0</v>
      </c>
      <c r="H954">
        <f>표3[[#This Row],[공격성공횟수]]/(표3[[#This Row],[공격실패횟수]]+표3[[#This Row],[공격성공횟수]])</f>
        <v>0.26666666666666666</v>
      </c>
    </row>
    <row r="955" spans="1:8" hidden="1" x14ac:dyDescent="0.4">
      <c r="A955">
        <v>477</v>
      </c>
      <c r="B955" t="s">
        <v>1</v>
      </c>
      <c r="C955">
        <v>0</v>
      </c>
      <c r="D955">
        <v>2</v>
      </c>
      <c r="E955">
        <v>13</v>
      </c>
      <c r="F955">
        <v>4</v>
      </c>
      <c r="G955">
        <v>1</v>
      </c>
      <c r="H955">
        <f>표3[[#This Row],[공격성공횟수]]/(표3[[#This Row],[공격실패횟수]]+표3[[#This Row],[공격성공횟수]])</f>
        <v>0.13333333333333333</v>
      </c>
    </row>
    <row r="956" spans="1:8" x14ac:dyDescent="0.4">
      <c r="A956">
        <v>478</v>
      </c>
      <c r="B956" t="s">
        <v>3</v>
      </c>
      <c r="C956">
        <v>1</v>
      </c>
      <c r="D956">
        <v>4</v>
      </c>
      <c r="E956">
        <v>16</v>
      </c>
      <c r="F956">
        <v>0</v>
      </c>
      <c r="G956">
        <v>0</v>
      </c>
      <c r="H956">
        <f>표3[[#This Row],[공격성공횟수]]/(표3[[#This Row],[공격실패횟수]]+표3[[#This Row],[공격성공횟수]])</f>
        <v>0.2</v>
      </c>
    </row>
    <row r="957" spans="1:8" hidden="1" x14ac:dyDescent="0.4">
      <c r="A957">
        <v>478</v>
      </c>
      <c r="B957" t="s">
        <v>1</v>
      </c>
      <c r="C957">
        <v>0</v>
      </c>
      <c r="D957">
        <v>0</v>
      </c>
      <c r="E957">
        <v>19</v>
      </c>
      <c r="F957">
        <v>4</v>
      </c>
      <c r="G957">
        <v>1</v>
      </c>
      <c r="H957">
        <f>표3[[#This Row],[공격성공횟수]]/(표3[[#This Row],[공격실패횟수]]+표3[[#This Row],[공격성공횟수]])</f>
        <v>0</v>
      </c>
    </row>
    <row r="958" spans="1:8" x14ac:dyDescent="0.4">
      <c r="A958">
        <v>479</v>
      </c>
      <c r="B958" t="s">
        <v>3</v>
      </c>
      <c r="C958">
        <v>1</v>
      </c>
      <c r="D958">
        <v>4</v>
      </c>
      <c r="E958">
        <v>11</v>
      </c>
      <c r="F958">
        <v>2</v>
      </c>
      <c r="G958">
        <v>0</v>
      </c>
      <c r="H958">
        <f>표3[[#This Row],[공격성공횟수]]/(표3[[#This Row],[공격실패횟수]]+표3[[#This Row],[공격성공횟수]])</f>
        <v>0.26666666666666666</v>
      </c>
    </row>
    <row r="959" spans="1:8" hidden="1" x14ac:dyDescent="0.4">
      <c r="A959">
        <v>479</v>
      </c>
      <c r="B959" t="s">
        <v>1</v>
      </c>
      <c r="C959">
        <v>0</v>
      </c>
      <c r="D959">
        <v>2</v>
      </c>
      <c r="E959">
        <v>13</v>
      </c>
      <c r="F959">
        <v>4</v>
      </c>
      <c r="G959">
        <v>1</v>
      </c>
      <c r="H959">
        <f>표3[[#This Row],[공격성공횟수]]/(표3[[#This Row],[공격실패횟수]]+표3[[#This Row],[공격성공횟수]])</f>
        <v>0.13333333333333333</v>
      </c>
    </row>
    <row r="960" spans="1:8" x14ac:dyDescent="0.4">
      <c r="A960">
        <v>480</v>
      </c>
      <c r="B960" t="s">
        <v>3</v>
      </c>
      <c r="C960">
        <v>1</v>
      </c>
      <c r="D960">
        <v>4</v>
      </c>
      <c r="E960">
        <v>12</v>
      </c>
      <c r="F960">
        <v>1</v>
      </c>
      <c r="G960">
        <v>0</v>
      </c>
      <c r="H960">
        <f>표3[[#This Row],[공격성공횟수]]/(표3[[#This Row],[공격실패횟수]]+표3[[#This Row],[공격성공횟수]])</f>
        <v>0.25</v>
      </c>
    </row>
    <row r="961" spans="1:8" hidden="1" x14ac:dyDescent="0.4">
      <c r="A961">
        <v>480</v>
      </c>
      <c r="B961" t="s">
        <v>1</v>
      </c>
      <c r="C961">
        <v>0</v>
      </c>
      <c r="D961">
        <v>1</v>
      </c>
      <c r="E961">
        <v>14</v>
      </c>
      <c r="F961">
        <v>4</v>
      </c>
      <c r="G961">
        <v>1</v>
      </c>
      <c r="H961">
        <f>표3[[#This Row],[공격성공횟수]]/(표3[[#This Row],[공격실패횟수]]+표3[[#This Row],[공격성공횟수]])</f>
        <v>6.6666666666666666E-2</v>
      </c>
    </row>
    <row r="962" spans="1:8" x14ac:dyDescent="0.4">
      <c r="A962">
        <v>481</v>
      </c>
      <c r="B962" t="s">
        <v>3</v>
      </c>
      <c r="C962">
        <v>1</v>
      </c>
      <c r="D962">
        <v>4</v>
      </c>
      <c r="E962">
        <v>16</v>
      </c>
      <c r="F962">
        <v>3</v>
      </c>
      <c r="G962">
        <v>0</v>
      </c>
      <c r="H962">
        <f>표3[[#This Row],[공격성공횟수]]/(표3[[#This Row],[공격실패횟수]]+표3[[#This Row],[공격성공횟수]])</f>
        <v>0.2</v>
      </c>
    </row>
    <row r="963" spans="1:8" hidden="1" x14ac:dyDescent="0.4">
      <c r="A963">
        <v>481</v>
      </c>
      <c r="B963" t="s">
        <v>1</v>
      </c>
      <c r="C963">
        <v>0</v>
      </c>
      <c r="D963">
        <v>3</v>
      </c>
      <c r="E963">
        <v>16</v>
      </c>
      <c r="F963">
        <v>4</v>
      </c>
      <c r="G963">
        <v>1</v>
      </c>
      <c r="H963">
        <f>표3[[#This Row],[공격성공횟수]]/(표3[[#This Row],[공격실패횟수]]+표3[[#This Row],[공격성공횟수]])</f>
        <v>0.15789473684210525</v>
      </c>
    </row>
    <row r="964" spans="1:8" x14ac:dyDescent="0.4">
      <c r="A964">
        <v>482</v>
      </c>
      <c r="B964" t="s">
        <v>3</v>
      </c>
      <c r="C964">
        <v>1</v>
      </c>
      <c r="D964">
        <v>4</v>
      </c>
      <c r="E964">
        <v>11</v>
      </c>
      <c r="F964">
        <v>1</v>
      </c>
      <c r="G964">
        <v>0</v>
      </c>
      <c r="H964">
        <f>표3[[#This Row],[공격성공횟수]]/(표3[[#This Row],[공격실패횟수]]+표3[[#This Row],[공격성공횟수]])</f>
        <v>0.26666666666666666</v>
      </c>
    </row>
    <row r="965" spans="1:8" hidden="1" x14ac:dyDescent="0.4">
      <c r="A965">
        <v>482</v>
      </c>
      <c r="B965" t="s">
        <v>1</v>
      </c>
      <c r="C965">
        <v>0</v>
      </c>
      <c r="D965">
        <v>1</v>
      </c>
      <c r="E965">
        <v>13</v>
      </c>
      <c r="F965">
        <v>4</v>
      </c>
      <c r="G965">
        <v>1</v>
      </c>
      <c r="H965">
        <f>표3[[#This Row],[공격성공횟수]]/(표3[[#This Row],[공격실패횟수]]+표3[[#This Row],[공격성공횟수]])</f>
        <v>7.1428571428571425E-2</v>
      </c>
    </row>
    <row r="966" spans="1:8" x14ac:dyDescent="0.4">
      <c r="A966">
        <v>483</v>
      </c>
      <c r="B966" t="s">
        <v>3</v>
      </c>
      <c r="C966">
        <v>1</v>
      </c>
      <c r="D966">
        <v>4</v>
      </c>
      <c r="E966">
        <v>14</v>
      </c>
      <c r="F966">
        <v>3</v>
      </c>
      <c r="G966">
        <v>0</v>
      </c>
      <c r="H966">
        <f>표3[[#This Row],[공격성공횟수]]/(표3[[#This Row],[공격실패횟수]]+표3[[#This Row],[공격성공횟수]])</f>
        <v>0.22222222222222221</v>
      </c>
    </row>
    <row r="967" spans="1:8" hidden="1" x14ac:dyDescent="0.4">
      <c r="A967">
        <v>483</v>
      </c>
      <c r="B967" t="s">
        <v>1</v>
      </c>
      <c r="C967">
        <v>0</v>
      </c>
      <c r="D967">
        <v>3</v>
      </c>
      <c r="E967">
        <v>15</v>
      </c>
      <c r="F967">
        <v>4</v>
      </c>
      <c r="G967">
        <v>1</v>
      </c>
      <c r="H967">
        <f>표3[[#This Row],[공격성공횟수]]/(표3[[#This Row],[공격실패횟수]]+표3[[#This Row],[공격성공횟수]])</f>
        <v>0.16666666666666666</v>
      </c>
    </row>
    <row r="968" spans="1:8" x14ac:dyDescent="0.4">
      <c r="A968">
        <v>484</v>
      </c>
      <c r="B968" t="s">
        <v>3</v>
      </c>
      <c r="C968">
        <v>1</v>
      </c>
      <c r="D968">
        <v>4</v>
      </c>
      <c r="E968">
        <v>5</v>
      </c>
      <c r="F968">
        <v>1</v>
      </c>
      <c r="G968">
        <v>0</v>
      </c>
      <c r="H968">
        <f>표3[[#This Row],[공격성공횟수]]/(표3[[#This Row],[공격실패횟수]]+표3[[#This Row],[공격성공횟수]])</f>
        <v>0.44444444444444442</v>
      </c>
    </row>
    <row r="969" spans="1:8" hidden="1" x14ac:dyDescent="0.4">
      <c r="A969">
        <v>484</v>
      </c>
      <c r="B969" t="s">
        <v>1</v>
      </c>
      <c r="C969">
        <v>0</v>
      </c>
      <c r="D969">
        <v>1</v>
      </c>
      <c r="E969">
        <v>7</v>
      </c>
      <c r="F969">
        <v>4</v>
      </c>
      <c r="G969">
        <v>1</v>
      </c>
      <c r="H969">
        <f>표3[[#This Row],[공격성공횟수]]/(표3[[#This Row],[공격실패횟수]]+표3[[#This Row],[공격성공횟수]])</f>
        <v>0.125</v>
      </c>
    </row>
    <row r="970" spans="1:8" x14ac:dyDescent="0.4">
      <c r="A970">
        <v>485</v>
      </c>
      <c r="B970" t="s">
        <v>3</v>
      </c>
      <c r="C970">
        <v>0</v>
      </c>
      <c r="D970">
        <v>1</v>
      </c>
      <c r="E970">
        <v>14</v>
      </c>
      <c r="F970">
        <v>4</v>
      </c>
      <c r="G970">
        <v>1</v>
      </c>
      <c r="H970">
        <f>표3[[#This Row],[공격성공횟수]]/(표3[[#This Row],[공격실패횟수]]+표3[[#This Row],[공격성공횟수]])</f>
        <v>6.6666666666666666E-2</v>
      </c>
    </row>
    <row r="971" spans="1:8" hidden="1" x14ac:dyDescent="0.4">
      <c r="A971">
        <v>485</v>
      </c>
      <c r="B971" t="s">
        <v>1</v>
      </c>
      <c r="C971">
        <v>1</v>
      </c>
      <c r="D971">
        <v>4</v>
      </c>
      <c r="E971">
        <v>11</v>
      </c>
      <c r="F971">
        <v>1</v>
      </c>
      <c r="G971">
        <v>0</v>
      </c>
      <c r="H971">
        <f>표3[[#This Row],[공격성공횟수]]/(표3[[#This Row],[공격실패횟수]]+표3[[#This Row],[공격성공횟수]])</f>
        <v>0.26666666666666666</v>
      </c>
    </row>
    <row r="972" spans="1:8" x14ac:dyDescent="0.4">
      <c r="A972">
        <v>486</v>
      </c>
      <c r="B972" t="s">
        <v>3</v>
      </c>
      <c r="C972">
        <v>1</v>
      </c>
      <c r="D972">
        <v>4</v>
      </c>
      <c r="E972">
        <v>8</v>
      </c>
      <c r="F972">
        <v>1</v>
      </c>
      <c r="G972">
        <v>0</v>
      </c>
      <c r="H972">
        <f>표3[[#This Row],[공격성공횟수]]/(표3[[#This Row],[공격실패횟수]]+표3[[#This Row],[공격성공횟수]])</f>
        <v>0.33333333333333331</v>
      </c>
    </row>
    <row r="973" spans="1:8" hidden="1" x14ac:dyDescent="0.4">
      <c r="A973">
        <v>486</v>
      </c>
      <c r="B973" t="s">
        <v>1</v>
      </c>
      <c r="C973">
        <v>0</v>
      </c>
      <c r="D973">
        <v>1</v>
      </c>
      <c r="E973">
        <v>10</v>
      </c>
      <c r="F973">
        <v>4</v>
      </c>
      <c r="G973">
        <v>1</v>
      </c>
      <c r="H973">
        <f>표3[[#This Row],[공격성공횟수]]/(표3[[#This Row],[공격실패횟수]]+표3[[#This Row],[공격성공횟수]])</f>
        <v>9.0909090909090912E-2</v>
      </c>
    </row>
    <row r="974" spans="1:8" x14ac:dyDescent="0.4">
      <c r="A974">
        <v>487</v>
      </c>
      <c r="B974" t="s">
        <v>3</v>
      </c>
      <c r="C974">
        <v>1</v>
      </c>
      <c r="D974">
        <v>4</v>
      </c>
      <c r="E974">
        <v>6</v>
      </c>
      <c r="F974">
        <v>1</v>
      </c>
      <c r="G974">
        <v>0</v>
      </c>
      <c r="H974">
        <f>표3[[#This Row],[공격성공횟수]]/(표3[[#This Row],[공격실패횟수]]+표3[[#This Row],[공격성공횟수]])</f>
        <v>0.4</v>
      </c>
    </row>
    <row r="975" spans="1:8" hidden="1" x14ac:dyDescent="0.4">
      <c r="A975">
        <v>487</v>
      </c>
      <c r="B975" t="s">
        <v>1</v>
      </c>
      <c r="C975">
        <v>0</v>
      </c>
      <c r="D975">
        <v>1</v>
      </c>
      <c r="E975">
        <v>8</v>
      </c>
      <c r="F975">
        <v>4</v>
      </c>
      <c r="G975">
        <v>1</v>
      </c>
      <c r="H975">
        <f>표3[[#This Row],[공격성공횟수]]/(표3[[#This Row],[공격실패횟수]]+표3[[#This Row],[공격성공횟수]])</f>
        <v>0.1111111111111111</v>
      </c>
    </row>
    <row r="976" spans="1:8" x14ac:dyDescent="0.4">
      <c r="A976">
        <v>488</v>
      </c>
      <c r="B976" t="s">
        <v>3</v>
      </c>
      <c r="C976">
        <v>1</v>
      </c>
      <c r="D976">
        <v>4</v>
      </c>
      <c r="E976">
        <v>5</v>
      </c>
      <c r="F976">
        <v>0</v>
      </c>
      <c r="G976">
        <v>0</v>
      </c>
      <c r="H976">
        <f>표3[[#This Row],[공격성공횟수]]/(표3[[#This Row],[공격실패횟수]]+표3[[#This Row],[공격성공횟수]])</f>
        <v>0.44444444444444442</v>
      </c>
    </row>
    <row r="977" spans="1:8" hidden="1" x14ac:dyDescent="0.4">
      <c r="A977">
        <v>488</v>
      </c>
      <c r="B977" t="s">
        <v>1</v>
      </c>
      <c r="C977">
        <v>0</v>
      </c>
      <c r="D977">
        <v>0</v>
      </c>
      <c r="E977">
        <v>9</v>
      </c>
      <c r="F977">
        <v>4</v>
      </c>
      <c r="G977">
        <v>1</v>
      </c>
      <c r="H977">
        <f>표3[[#This Row],[공격성공횟수]]/(표3[[#This Row],[공격실패횟수]]+표3[[#This Row],[공격성공횟수]])</f>
        <v>0</v>
      </c>
    </row>
    <row r="978" spans="1:8" x14ac:dyDescent="0.4">
      <c r="A978">
        <v>489</v>
      </c>
      <c r="B978" t="s">
        <v>3</v>
      </c>
      <c r="C978">
        <v>1</v>
      </c>
      <c r="D978">
        <v>4</v>
      </c>
      <c r="E978">
        <v>9</v>
      </c>
      <c r="F978">
        <v>2</v>
      </c>
      <c r="G978">
        <v>0</v>
      </c>
      <c r="H978">
        <f>표3[[#This Row],[공격성공횟수]]/(표3[[#This Row],[공격실패횟수]]+표3[[#This Row],[공격성공횟수]])</f>
        <v>0.30769230769230771</v>
      </c>
    </row>
    <row r="979" spans="1:8" hidden="1" x14ac:dyDescent="0.4">
      <c r="A979">
        <v>489</v>
      </c>
      <c r="B979" t="s">
        <v>1</v>
      </c>
      <c r="C979">
        <v>0</v>
      </c>
      <c r="D979">
        <v>2</v>
      </c>
      <c r="E979">
        <v>16</v>
      </c>
      <c r="F979">
        <v>4</v>
      </c>
      <c r="G979">
        <v>1</v>
      </c>
      <c r="H979">
        <f>표3[[#This Row],[공격성공횟수]]/(표3[[#This Row],[공격실패횟수]]+표3[[#This Row],[공격성공횟수]])</f>
        <v>0.1111111111111111</v>
      </c>
    </row>
    <row r="980" spans="1:8" x14ac:dyDescent="0.4">
      <c r="A980">
        <v>490</v>
      </c>
      <c r="B980" t="s">
        <v>3</v>
      </c>
      <c r="C980">
        <v>1</v>
      </c>
      <c r="D980">
        <v>4</v>
      </c>
      <c r="E980">
        <v>5</v>
      </c>
      <c r="F980">
        <v>2</v>
      </c>
      <c r="G980">
        <v>0</v>
      </c>
      <c r="H980">
        <f>표3[[#This Row],[공격성공횟수]]/(표3[[#This Row],[공격실패횟수]]+표3[[#This Row],[공격성공횟수]])</f>
        <v>0.44444444444444442</v>
      </c>
    </row>
    <row r="981" spans="1:8" hidden="1" x14ac:dyDescent="0.4">
      <c r="A981">
        <v>490</v>
      </c>
      <c r="B981" t="s">
        <v>1</v>
      </c>
      <c r="C981">
        <v>0</v>
      </c>
      <c r="D981">
        <v>2</v>
      </c>
      <c r="E981">
        <v>7</v>
      </c>
      <c r="F981">
        <v>4</v>
      </c>
      <c r="G981">
        <v>1</v>
      </c>
      <c r="H981">
        <f>표3[[#This Row],[공격성공횟수]]/(표3[[#This Row],[공격실패횟수]]+표3[[#This Row],[공격성공횟수]])</f>
        <v>0.22222222222222221</v>
      </c>
    </row>
    <row r="982" spans="1:8" x14ac:dyDescent="0.4">
      <c r="A982">
        <v>491</v>
      </c>
      <c r="B982" t="s">
        <v>3</v>
      </c>
      <c r="C982">
        <v>1</v>
      </c>
      <c r="D982">
        <v>4</v>
      </c>
      <c r="E982">
        <v>16</v>
      </c>
      <c r="F982">
        <v>1</v>
      </c>
      <c r="G982">
        <v>0</v>
      </c>
      <c r="H982">
        <f>표3[[#This Row],[공격성공횟수]]/(표3[[#This Row],[공격실패횟수]]+표3[[#This Row],[공격성공횟수]])</f>
        <v>0.2</v>
      </c>
    </row>
    <row r="983" spans="1:8" hidden="1" x14ac:dyDescent="0.4">
      <c r="A983">
        <v>491</v>
      </c>
      <c r="B983" t="s">
        <v>1</v>
      </c>
      <c r="C983">
        <v>0</v>
      </c>
      <c r="D983">
        <v>1</v>
      </c>
      <c r="E983">
        <v>18</v>
      </c>
      <c r="F983">
        <v>4</v>
      </c>
      <c r="G983">
        <v>1</v>
      </c>
      <c r="H983">
        <f>표3[[#This Row],[공격성공횟수]]/(표3[[#This Row],[공격실패횟수]]+표3[[#This Row],[공격성공횟수]])</f>
        <v>5.2631578947368418E-2</v>
      </c>
    </row>
    <row r="984" spans="1:8" x14ac:dyDescent="0.4">
      <c r="A984">
        <v>492</v>
      </c>
      <c r="B984" t="s">
        <v>3</v>
      </c>
      <c r="C984">
        <v>0</v>
      </c>
      <c r="D984">
        <v>0</v>
      </c>
      <c r="E984">
        <v>15</v>
      </c>
      <c r="F984">
        <v>4</v>
      </c>
      <c r="G984">
        <v>1</v>
      </c>
      <c r="H984">
        <f>표3[[#This Row],[공격성공횟수]]/(표3[[#This Row],[공격실패횟수]]+표3[[#This Row],[공격성공횟수]])</f>
        <v>0</v>
      </c>
    </row>
    <row r="985" spans="1:8" hidden="1" x14ac:dyDescent="0.4">
      <c r="A985">
        <v>492</v>
      </c>
      <c r="B985" t="s">
        <v>1</v>
      </c>
      <c r="C985">
        <v>1</v>
      </c>
      <c r="D985">
        <v>4</v>
      </c>
      <c r="E985">
        <v>16</v>
      </c>
      <c r="F985">
        <v>0</v>
      </c>
      <c r="G985">
        <v>0</v>
      </c>
      <c r="H985">
        <f>표3[[#This Row],[공격성공횟수]]/(표3[[#This Row],[공격실패횟수]]+표3[[#This Row],[공격성공횟수]])</f>
        <v>0.2</v>
      </c>
    </row>
    <row r="986" spans="1:8" x14ac:dyDescent="0.4">
      <c r="A986">
        <v>493</v>
      </c>
      <c r="B986" t="s">
        <v>3</v>
      </c>
      <c r="C986">
        <v>1</v>
      </c>
      <c r="D986">
        <v>4</v>
      </c>
      <c r="E986">
        <v>6</v>
      </c>
      <c r="F986">
        <v>0</v>
      </c>
      <c r="G986">
        <v>0</v>
      </c>
      <c r="H986">
        <f>표3[[#This Row],[공격성공횟수]]/(표3[[#This Row],[공격실패횟수]]+표3[[#This Row],[공격성공횟수]])</f>
        <v>0.4</v>
      </c>
    </row>
    <row r="987" spans="1:8" hidden="1" x14ac:dyDescent="0.4">
      <c r="A987">
        <v>493</v>
      </c>
      <c r="B987" t="s">
        <v>1</v>
      </c>
      <c r="C987">
        <v>0</v>
      </c>
      <c r="D987">
        <v>0</v>
      </c>
      <c r="E987">
        <v>9</v>
      </c>
      <c r="F987">
        <v>4</v>
      </c>
      <c r="G987">
        <v>1</v>
      </c>
      <c r="H987">
        <f>표3[[#This Row],[공격성공횟수]]/(표3[[#This Row],[공격실패횟수]]+표3[[#This Row],[공격성공횟수]])</f>
        <v>0</v>
      </c>
    </row>
    <row r="988" spans="1:8" x14ac:dyDescent="0.4">
      <c r="A988">
        <v>494</v>
      </c>
      <c r="B988" t="s">
        <v>3</v>
      </c>
      <c r="C988">
        <v>0</v>
      </c>
      <c r="D988">
        <v>1</v>
      </c>
      <c r="E988">
        <v>17</v>
      </c>
      <c r="F988">
        <v>4</v>
      </c>
      <c r="G988">
        <v>1</v>
      </c>
      <c r="H988">
        <f>표3[[#This Row],[공격성공횟수]]/(표3[[#This Row],[공격실패횟수]]+표3[[#This Row],[공격성공횟수]])</f>
        <v>5.5555555555555552E-2</v>
      </c>
    </row>
    <row r="989" spans="1:8" hidden="1" x14ac:dyDescent="0.4">
      <c r="A989">
        <v>494</v>
      </c>
      <c r="B989" t="s">
        <v>1</v>
      </c>
      <c r="C989">
        <v>1</v>
      </c>
      <c r="D989">
        <v>4</v>
      </c>
      <c r="E989">
        <v>18</v>
      </c>
      <c r="F989">
        <v>1</v>
      </c>
      <c r="G989">
        <v>0</v>
      </c>
      <c r="H989">
        <f>표3[[#This Row],[공격성공횟수]]/(표3[[#This Row],[공격실패횟수]]+표3[[#This Row],[공격성공횟수]])</f>
        <v>0.18181818181818182</v>
      </c>
    </row>
    <row r="990" spans="1:8" x14ac:dyDescent="0.4">
      <c r="A990">
        <v>495</v>
      </c>
      <c r="B990" t="s">
        <v>3</v>
      </c>
      <c r="C990">
        <v>0</v>
      </c>
      <c r="D990">
        <v>0</v>
      </c>
      <c r="E990">
        <v>14</v>
      </c>
      <c r="F990">
        <v>4</v>
      </c>
      <c r="G990">
        <v>1</v>
      </c>
      <c r="H990">
        <f>표3[[#This Row],[공격성공횟수]]/(표3[[#This Row],[공격실패횟수]]+표3[[#This Row],[공격성공횟수]])</f>
        <v>0</v>
      </c>
    </row>
    <row r="991" spans="1:8" hidden="1" x14ac:dyDescent="0.4">
      <c r="A991">
        <v>495</v>
      </c>
      <c r="B991" t="s">
        <v>1</v>
      </c>
      <c r="C991">
        <v>1</v>
      </c>
      <c r="D991">
        <v>4</v>
      </c>
      <c r="E991">
        <v>10</v>
      </c>
      <c r="F991">
        <v>0</v>
      </c>
      <c r="G991">
        <v>0</v>
      </c>
      <c r="H991">
        <f>표3[[#This Row],[공격성공횟수]]/(표3[[#This Row],[공격실패횟수]]+표3[[#This Row],[공격성공횟수]])</f>
        <v>0.2857142857142857</v>
      </c>
    </row>
    <row r="992" spans="1:8" x14ac:dyDescent="0.4">
      <c r="A992">
        <v>496</v>
      </c>
      <c r="B992" t="s">
        <v>3</v>
      </c>
      <c r="C992">
        <v>1</v>
      </c>
      <c r="D992">
        <v>4</v>
      </c>
      <c r="E992">
        <v>9</v>
      </c>
      <c r="F992">
        <v>1</v>
      </c>
      <c r="G992">
        <v>0</v>
      </c>
      <c r="H992">
        <f>표3[[#This Row],[공격성공횟수]]/(표3[[#This Row],[공격실패횟수]]+표3[[#This Row],[공격성공횟수]])</f>
        <v>0.30769230769230771</v>
      </c>
    </row>
    <row r="993" spans="1:8" hidden="1" x14ac:dyDescent="0.4">
      <c r="A993">
        <v>496</v>
      </c>
      <c r="B993" t="s">
        <v>1</v>
      </c>
      <c r="C993">
        <v>0</v>
      </c>
      <c r="D993">
        <v>1</v>
      </c>
      <c r="E993">
        <v>11</v>
      </c>
      <c r="F993">
        <v>4</v>
      </c>
      <c r="G993">
        <v>1</v>
      </c>
      <c r="H993">
        <f>표3[[#This Row],[공격성공횟수]]/(표3[[#This Row],[공격실패횟수]]+표3[[#This Row],[공격성공횟수]])</f>
        <v>8.3333333333333329E-2</v>
      </c>
    </row>
    <row r="994" spans="1:8" x14ac:dyDescent="0.4">
      <c r="A994">
        <v>497</v>
      </c>
      <c r="B994" t="s">
        <v>3</v>
      </c>
      <c r="C994">
        <v>1</v>
      </c>
      <c r="D994">
        <v>4</v>
      </c>
      <c r="E994">
        <v>12</v>
      </c>
      <c r="F994">
        <v>0</v>
      </c>
      <c r="G994">
        <v>0</v>
      </c>
      <c r="H994">
        <f>표3[[#This Row],[공격성공횟수]]/(표3[[#This Row],[공격실패횟수]]+표3[[#This Row],[공격성공횟수]])</f>
        <v>0.25</v>
      </c>
    </row>
    <row r="995" spans="1:8" hidden="1" x14ac:dyDescent="0.4">
      <c r="A995">
        <v>497</v>
      </c>
      <c r="B995" t="s">
        <v>1</v>
      </c>
      <c r="C995">
        <v>0</v>
      </c>
      <c r="D995">
        <v>0</v>
      </c>
      <c r="E995">
        <v>15</v>
      </c>
      <c r="F995">
        <v>4</v>
      </c>
      <c r="G995">
        <v>1</v>
      </c>
      <c r="H995">
        <f>표3[[#This Row],[공격성공횟수]]/(표3[[#This Row],[공격실패횟수]]+표3[[#This Row],[공격성공횟수]])</f>
        <v>0</v>
      </c>
    </row>
    <row r="996" spans="1:8" x14ac:dyDescent="0.4">
      <c r="A996">
        <v>498</v>
      </c>
      <c r="B996" t="s">
        <v>3</v>
      </c>
      <c r="C996">
        <v>0</v>
      </c>
      <c r="D996">
        <v>1</v>
      </c>
      <c r="E996">
        <v>19</v>
      </c>
      <c r="F996">
        <v>4</v>
      </c>
      <c r="G996">
        <v>1</v>
      </c>
      <c r="H996">
        <f>표3[[#This Row],[공격성공횟수]]/(표3[[#This Row],[공격실패횟수]]+표3[[#This Row],[공격성공횟수]])</f>
        <v>0.05</v>
      </c>
    </row>
    <row r="997" spans="1:8" hidden="1" x14ac:dyDescent="0.4">
      <c r="A997">
        <v>498</v>
      </c>
      <c r="B997" t="s">
        <v>1</v>
      </c>
      <c r="C997">
        <v>1</v>
      </c>
      <c r="D997">
        <v>4</v>
      </c>
      <c r="E997">
        <v>16</v>
      </c>
      <c r="F997">
        <v>1</v>
      </c>
      <c r="G997">
        <v>0</v>
      </c>
      <c r="H997">
        <f>표3[[#This Row],[공격성공횟수]]/(표3[[#This Row],[공격실패횟수]]+표3[[#This Row],[공격성공횟수]])</f>
        <v>0.2</v>
      </c>
    </row>
    <row r="998" spans="1:8" x14ac:dyDescent="0.4">
      <c r="A998">
        <v>499</v>
      </c>
      <c r="B998" t="s">
        <v>3</v>
      </c>
      <c r="C998">
        <v>0</v>
      </c>
      <c r="D998">
        <v>0</v>
      </c>
      <c r="E998">
        <v>8</v>
      </c>
      <c r="F998">
        <v>4</v>
      </c>
      <c r="G998">
        <v>1</v>
      </c>
      <c r="H998">
        <f>표3[[#This Row],[공격성공횟수]]/(표3[[#This Row],[공격실패횟수]]+표3[[#This Row],[공격성공횟수]])</f>
        <v>0</v>
      </c>
    </row>
    <row r="999" spans="1:8" hidden="1" x14ac:dyDescent="0.4">
      <c r="A999">
        <v>499</v>
      </c>
      <c r="B999" t="s">
        <v>1</v>
      </c>
      <c r="C999">
        <v>1</v>
      </c>
      <c r="D999">
        <v>4</v>
      </c>
      <c r="E999">
        <v>11</v>
      </c>
      <c r="F999">
        <v>0</v>
      </c>
      <c r="G999">
        <v>0</v>
      </c>
      <c r="H999">
        <f>표3[[#This Row],[공격성공횟수]]/(표3[[#This Row],[공격실패횟수]]+표3[[#This Row],[공격성공횟수]])</f>
        <v>0.26666666666666666</v>
      </c>
    </row>
    <row r="1000" spans="1:8" x14ac:dyDescent="0.4">
      <c r="A1000">
        <v>500</v>
      </c>
      <c r="B1000" t="s">
        <v>3</v>
      </c>
      <c r="C1000">
        <v>1</v>
      </c>
      <c r="D1000">
        <v>4</v>
      </c>
      <c r="E1000">
        <v>8</v>
      </c>
      <c r="F1000">
        <v>1</v>
      </c>
      <c r="G1000">
        <v>0</v>
      </c>
      <c r="H1000">
        <f>표3[[#This Row],[공격성공횟수]]/(표3[[#This Row],[공격실패횟수]]+표3[[#This Row],[공격성공횟수]])</f>
        <v>0.33333333333333331</v>
      </c>
    </row>
    <row r="1001" spans="1:8" hidden="1" x14ac:dyDescent="0.4">
      <c r="A1001">
        <v>500</v>
      </c>
      <c r="B1001" t="s">
        <v>1</v>
      </c>
      <c r="C1001">
        <v>0</v>
      </c>
      <c r="D1001">
        <v>1</v>
      </c>
      <c r="E1001">
        <v>9</v>
      </c>
      <c r="F1001">
        <v>4</v>
      </c>
      <c r="G1001">
        <v>1</v>
      </c>
      <c r="H1001">
        <f>표3[[#This Row],[공격성공횟수]]/(표3[[#This Row],[공격실패횟수]]+표3[[#This Row],[공격성공횟수]])</f>
        <v>0.1</v>
      </c>
    </row>
    <row r="1002" spans="1:8" x14ac:dyDescent="0.4">
      <c r="A1002">
        <v>501</v>
      </c>
      <c r="B1002" t="s">
        <v>3</v>
      </c>
      <c r="C1002">
        <v>1</v>
      </c>
      <c r="D1002">
        <v>4</v>
      </c>
      <c r="E1002">
        <v>8</v>
      </c>
      <c r="F1002">
        <v>1</v>
      </c>
      <c r="G1002">
        <v>0</v>
      </c>
      <c r="H1002">
        <f>표3[[#This Row],[공격성공횟수]]/(표3[[#This Row],[공격실패횟수]]+표3[[#This Row],[공격성공횟수]])</f>
        <v>0.33333333333333331</v>
      </c>
    </row>
    <row r="1003" spans="1:8" hidden="1" x14ac:dyDescent="0.4">
      <c r="A1003">
        <v>501</v>
      </c>
      <c r="B1003" t="s">
        <v>1</v>
      </c>
      <c r="C1003">
        <v>0</v>
      </c>
      <c r="D1003">
        <v>1</v>
      </c>
      <c r="E1003">
        <v>11</v>
      </c>
      <c r="F1003">
        <v>4</v>
      </c>
      <c r="G1003">
        <v>1</v>
      </c>
      <c r="H1003">
        <f>표3[[#This Row],[공격성공횟수]]/(표3[[#This Row],[공격실패횟수]]+표3[[#This Row],[공격성공횟수]])</f>
        <v>8.3333333333333329E-2</v>
      </c>
    </row>
    <row r="1004" spans="1:8" x14ac:dyDescent="0.4">
      <c r="A1004">
        <v>502</v>
      </c>
      <c r="B1004" t="s">
        <v>3</v>
      </c>
      <c r="C1004">
        <v>1</v>
      </c>
      <c r="D1004">
        <v>4</v>
      </c>
      <c r="E1004">
        <v>12</v>
      </c>
      <c r="F1004">
        <v>1</v>
      </c>
      <c r="G1004">
        <v>0</v>
      </c>
      <c r="H1004">
        <f>표3[[#This Row],[공격성공횟수]]/(표3[[#This Row],[공격실패횟수]]+표3[[#This Row],[공격성공횟수]])</f>
        <v>0.25</v>
      </c>
    </row>
    <row r="1005" spans="1:8" hidden="1" x14ac:dyDescent="0.4">
      <c r="A1005">
        <v>502</v>
      </c>
      <c r="B1005" t="s">
        <v>1</v>
      </c>
      <c r="C1005">
        <v>0</v>
      </c>
      <c r="D1005">
        <v>1</v>
      </c>
      <c r="E1005">
        <v>14</v>
      </c>
      <c r="F1005">
        <v>4</v>
      </c>
      <c r="G1005">
        <v>1</v>
      </c>
      <c r="H1005">
        <f>표3[[#This Row],[공격성공횟수]]/(표3[[#This Row],[공격실패횟수]]+표3[[#This Row],[공격성공횟수]])</f>
        <v>6.6666666666666666E-2</v>
      </c>
    </row>
    <row r="1006" spans="1:8" x14ac:dyDescent="0.4">
      <c r="A1006">
        <v>503</v>
      </c>
      <c r="B1006" t="s">
        <v>3</v>
      </c>
      <c r="C1006">
        <v>1</v>
      </c>
      <c r="D1006">
        <v>4</v>
      </c>
      <c r="E1006">
        <v>5</v>
      </c>
      <c r="F1006">
        <v>1</v>
      </c>
      <c r="G1006">
        <v>0</v>
      </c>
      <c r="H1006">
        <f>표3[[#This Row],[공격성공횟수]]/(표3[[#This Row],[공격실패횟수]]+표3[[#This Row],[공격성공횟수]])</f>
        <v>0.44444444444444442</v>
      </c>
    </row>
    <row r="1007" spans="1:8" hidden="1" x14ac:dyDescent="0.4">
      <c r="A1007">
        <v>503</v>
      </c>
      <c r="B1007" t="s">
        <v>1</v>
      </c>
      <c r="C1007">
        <v>0</v>
      </c>
      <c r="D1007">
        <v>1</v>
      </c>
      <c r="E1007">
        <v>8</v>
      </c>
      <c r="F1007">
        <v>4</v>
      </c>
      <c r="G1007">
        <v>1</v>
      </c>
      <c r="H1007">
        <f>표3[[#This Row],[공격성공횟수]]/(표3[[#This Row],[공격실패횟수]]+표3[[#This Row],[공격성공횟수]])</f>
        <v>0.1111111111111111</v>
      </c>
    </row>
    <row r="1008" spans="1:8" x14ac:dyDescent="0.4">
      <c r="A1008">
        <v>504</v>
      </c>
      <c r="B1008" t="s">
        <v>3</v>
      </c>
      <c r="C1008">
        <v>1</v>
      </c>
      <c r="D1008">
        <v>4</v>
      </c>
      <c r="E1008">
        <v>10</v>
      </c>
      <c r="F1008">
        <v>1</v>
      </c>
      <c r="G1008">
        <v>0</v>
      </c>
      <c r="H1008">
        <f>표3[[#This Row],[공격성공횟수]]/(표3[[#This Row],[공격실패횟수]]+표3[[#This Row],[공격성공횟수]])</f>
        <v>0.2857142857142857</v>
      </c>
    </row>
    <row r="1009" spans="1:8" hidden="1" x14ac:dyDescent="0.4">
      <c r="A1009">
        <v>504</v>
      </c>
      <c r="B1009" t="s">
        <v>1</v>
      </c>
      <c r="C1009">
        <v>0</v>
      </c>
      <c r="D1009">
        <v>1</v>
      </c>
      <c r="E1009">
        <v>13</v>
      </c>
      <c r="F1009">
        <v>4</v>
      </c>
      <c r="G1009">
        <v>1</v>
      </c>
      <c r="H1009">
        <f>표3[[#This Row],[공격성공횟수]]/(표3[[#This Row],[공격실패횟수]]+표3[[#This Row],[공격성공횟수]])</f>
        <v>7.1428571428571425E-2</v>
      </c>
    </row>
    <row r="1010" spans="1:8" x14ac:dyDescent="0.4">
      <c r="A1010">
        <v>505</v>
      </c>
      <c r="B1010" t="s">
        <v>3</v>
      </c>
      <c r="C1010">
        <v>0</v>
      </c>
      <c r="D1010">
        <v>0</v>
      </c>
      <c r="E1010">
        <v>15</v>
      </c>
      <c r="F1010">
        <v>4</v>
      </c>
      <c r="G1010">
        <v>1</v>
      </c>
      <c r="H1010">
        <f>표3[[#This Row],[공격성공횟수]]/(표3[[#This Row],[공격실패횟수]]+표3[[#This Row],[공격성공횟수]])</f>
        <v>0</v>
      </c>
    </row>
    <row r="1011" spans="1:8" hidden="1" x14ac:dyDescent="0.4">
      <c r="A1011">
        <v>505</v>
      </c>
      <c r="B1011" t="s">
        <v>1</v>
      </c>
      <c r="C1011">
        <v>1</v>
      </c>
      <c r="D1011">
        <v>4</v>
      </c>
      <c r="E1011">
        <v>12</v>
      </c>
      <c r="F1011">
        <v>0</v>
      </c>
      <c r="G1011">
        <v>0</v>
      </c>
      <c r="H1011">
        <f>표3[[#This Row],[공격성공횟수]]/(표3[[#This Row],[공격실패횟수]]+표3[[#This Row],[공격성공횟수]])</f>
        <v>0.25</v>
      </c>
    </row>
    <row r="1012" spans="1:8" x14ac:dyDescent="0.4">
      <c r="A1012">
        <v>506</v>
      </c>
      <c r="B1012" t="s">
        <v>3</v>
      </c>
      <c r="C1012">
        <v>1</v>
      </c>
      <c r="D1012">
        <v>4</v>
      </c>
      <c r="E1012">
        <v>6</v>
      </c>
      <c r="F1012">
        <v>2</v>
      </c>
      <c r="G1012">
        <v>0</v>
      </c>
      <c r="H1012">
        <f>표3[[#This Row],[공격성공횟수]]/(표3[[#This Row],[공격실패횟수]]+표3[[#This Row],[공격성공횟수]])</f>
        <v>0.4</v>
      </c>
    </row>
    <row r="1013" spans="1:8" hidden="1" x14ac:dyDescent="0.4">
      <c r="A1013">
        <v>506</v>
      </c>
      <c r="B1013" t="s">
        <v>1</v>
      </c>
      <c r="C1013">
        <v>0</v>
      </c>
      <c r="D1013">
        <v>2</v>
      </c>
      <c r="E1013">
        <v>6</v>
      </c>
      <c r="F1013">
        <v>4</v>
      </c>
      <c r="G1013">
        <v>1</v>
      </c>
      <c r="H1013">
        <f>표3[[#This Row],[공격성공횟수]]/(표3[[#This Row],[공격실패횟수]]+표3[[#This Row],[공격성공횟수]])</f>
        <v>0.25</v>
      </c>
    </row>
    <row r="1014" spans="1:8" x14ac:dyDescent="0.4">
      <c r="A1014">
        <v>507</v>
      </c>
      <c r="B1014" t="s">
        <v>3</v>
      </c>
      <c r="C1014">
        <v>1</v>
      </c>
      <c r="D1014">
        <v>4</v>
      </c>
      <c r="E1014">
        <v>7</v>
      </c>
      <c r="F1014">
        <v>0</v>
      </c>
      <c r="G1014">
        <v>0</v>
      </c>
      <c r="H1014">
        <f>표3[[#This Row],[공격성공횟수]]/(표3[[#This Row],[공격실패횟수]]+표3[[#This Row],[공격성공횟수]])</f>
        <v>0.36363636363636365</v>
      </c>
    </row>
    <row r="1015" spans="1:8" hidden="1" x14ac:dyDescent="0.4">
      <c r="A1015">
        <v>507</v>
      </c>
      <c r="B1015" t="s">
        <v>1</v>
      </c>
      <c r="C1015">
        <v>0</v>
      </c>
      <c r="D1015">
        <v>0</v>
      </c>
      <c r="E1015">
        <v>11</v>
      </c>
      <c r="F1015">
        <v>4</v>
      </c>
      <c r="G1015">
        <v>1</v>
      </c>
      <c r="H1015">
        <f>표3[[#This Row],[공격성공횟수]]/(표3[[#This Row],[공격실패횟수]]+표3[[#This Row],[공격성공횟수]])</f>
        <v>0</v>
      </c>
    </row>
    <row r="1016" spans="1:8" x14ac:dyDescent="0.4">
      <c r="A1016">
        <v>508</v>
      </c>
      <c r="B1016" t="s">
        <v>3</v>
      </c>
      <c r="C1016">
        <v>0</v>
      </c>
      <c r="D1016">
        <v>0</v>
      </c>
      <c r="E1016">
        <v>8</v>
      </c>
      <c r="F1016">
        <v>4</v>
      </c>
      <c r="G1016">
        <v>1</v>
      </c>
      <c r="H1016">
        <f>표3[[#This Row],[공격성공횟수]]/(표3[[#This Row],[공격실패횟수]]+표3[[#This Row],[공격성공횟수]])</f>
        <v>0</v>
      </c>
    </row>
    <row r="1017" spans="1:8" hidden="1" x14ac:dyDescent="0.4">
      <c r="A1017">
        <v>508</v>
      </c>
      <c r="B1017" t="s">
        <v>1</v>
      </c>
      <c r="C1017">
        <v>1</v>
      </c>
      <c r="D1017">
        <v>4</v>
      </c>
      <c r="E1017">
        <v>9</v>
      </c>
      <c r="F1017">
        <v>0</v>
      </c>
      <c r="G1017">
        <v>0</v>
      </c>
      <c r="H1017">
        <f>표3[[#This Row],[공격성공횟수]]/(표3[[#This Row],[공격실패횟수]]+표3[[#This Row],[공격성공횟수]])</f>
        <v>0.30769230769230771</v>
      </c>
    </row>
    <row r="1018" spans="1:8" x14ac:dyDescent="0.4">
      <c r="A1018">
        <v>509</v>
      </c>
      <c r="B1018" t="s">
        <v>3</v>
      </c>
      <c r="C1018">
        <v>1</v>
      </c>
      <c r="D1018">
        <v>4</v>
      </c>
      <c r="E1018">
        <v>8</v>
      </c>
      <c r="F1018">
        <v>3</v>
      </c>
      <c r="G1018">
        <v>0</v>
      </c>
      <c r="H1018">
        <f>표3[[#This Row],[공격성공횟수]]/(표3[[#This Row],[공격실패횟수]]+표3[[#This Row],[공격성공횟수]])</f>
        <v>0.33333333333333331</v>
      </c>
    </row>
    <row r="1019" spans="1:8" hidden="1" x14ac:dyDescent="0.4">
      <c r="A1019">
        <v>509</v>
      </c>
      <c r="B1019" t="s">
        <v>1</v>
      </c>
      <c r="C1019">
        <v>0</v>
      </c>
      <c r="D1019">
        <v>3</v>
      </c>
      <c r="E1019">
        <v>8</v>
      </c>
      <c r="F1019">
        <v>4</v>
      </c>
      <c r="G1019">
        <v>1</v>
      </c>
      <c r="H1019">
        <f>표3[[#This Row],[공격성공횟수]]/(표3[[#This Row],[공격실패횟수]]+표3[[#This Row],[공격성공횟수]])</f>
        <v>0.27272727272727271</v>
      </c>
    </row>
    <row r="1020" spans="1:8" x14ac:dyDescent="0.4">
      <c r="A1020">
        <v>510</v>
      </c>
      <c r="B1020" t="s">
        <v>3</v>
      </c>
      <c r="C1020">
        <v>0</v>
      </c>
      <c r="D1020">
        <v>3</v>
      </c>
      <c r="E1020">
        <v>29</v>
      </c>
      <c r="F1020">
        <v>4</v>
      </c>
      <c r="G1020">
        <v>1</v>
      </c>
      <c r="H1020">
        <f>표3[[#This Row],[공격성공횟수]]/(표3[[#This Row],[공격실패횟수]]+표3[[#This Row],[공격성공횟수]])</f>
        <v>9.375E-2</v>
      </c>
    </row>
    <row r="1021" spans="1:8" hidden="1" x14ac:dyDescent="0.4">
      <c r="A1021">
        <v>510</v>
      </c>
      <c r="B1021" t="s">
        <v>1</v>
      </c>
      <c r="C1021">
        <v>1</v>
      </c>
      <c r="D1021">
        <v>4</v>
      </c>
      <c r="E1021">
        <v>35</v>
      </c>
      <c r="F1021">
        <v>3</v>
      </c>
      <c r="G1021">
        <v>0</v>
      </c>
      <c r="H1021">
        <f>표3[[#This Row],[공격성공횟수]]/(표3[[#This Row],[공격실패횟수]]+표3[[#This Row],[공격성공횟수]])</f>
        <v>0.10256410256410256</v>
      </c>
    </row>
    <row r="1022" spans="1:8" x14ac:dyDescent="0.4">
      <c r="A1022">
        <v>511</v>
      </c>
      <c r="B1022" t="s">
        <v>3</v>
      </c>
      <c r="C1022">
        <v>1</v>
      </c>
      <c r="D1022">
        <v>4</v>
      </c>
      <c r="E1022">
        <v>16</v>
      </c>
      <c r="F1022">
        <v>1</v>
      </c>
      <c r="G1022">
        <v>0</v>
      </c>
      <c r="H1022">
        <f>표3[[#This Row],[공격성공횟수]]/(표3[[#This Row],[공격실패횟수]]+표3[[#This Row],[공격성공횟수]])</f>
        <v>0.2</v>
      </c>
    </row>
    <row r="1023" spans="1:8" hidden="1" x14ac:dyDescent="0.4">
      <c r="A1023">
        <v>511</v>
      </c>
      <c r="B1023" t="s">
        <v>1</v>
      </c>
      <c r="C1023">
        <v>0</v>
      </c>
      <c r="D1023">
        <v>1</v>
      </c>
      <c r="E1023">
        <v>17</v>
      </c>
      <c r="F1023">
        <v>4</v>
      </c>
      <c r="G1023">
        <v>1</v>
      </c>
      <c r="H1023">
        <f>표3[[#This Row],[공격성공횟수]]/(표3[[#This Row],[공격실패횟수]]+표3[[#This Row],[공격성공횟수]])</f>
        <v>5.5555555555555552E-2</v>
      </c>
    </row>
    <row r="1024" spans="1:8" x14ac:dyDescent="0.4">
      <c r="A1024">
        <v>512</v>
      </c>
      <c r="B1024" t="s">
        <v>3</v>
      </c>
      <c r="C1024">
        <v>0</v>
      </c>
      <c r="D1024">
        <v>2</v>
      </c>
      <c r="E1024">
        <v>17</v>
      </c>
      <c r="F1024">
        <v>4</v>
      </c>
      <c r="G1024">
        <v>1</v>
      </c>
      <c r="H1024">
        <f>표3[[#This Row],[공격성공횟수]]/(표3[[#This Row],[공격실패횟수]]+표3[[#This Row],[공격성공횟수]])</f>
        <v>0.10526315789473684</v>
      </c>
    </row>
    <row r="1025" spans="1:8" hidden="1" x14ac:dyDescent="0.4">
      <c r="A1025">
        <v>512</v>
      </c>
      <c r="B1025" t="s">
        <v>1</v>
      </c>
      <c r="C1025">
        <v>1</v>
      </c>
      <c r="D1025">
        <v>4</v>
      </c>
      <c r="E1025">
        <v>16</v>
      </c>
      <c r="F1025">
        <v>2</v>
      </c>
      <c r="G1025">
        <v>0</v>
      </c>
      <c r="H1025">
        <f>표3[[#This Row],[공격성공횟수]]/(표3[[#This Row],[공격실패횟수]]+표3[[#This Row],[공격성공횟수]])</f>
        <v>0.2</v>
      </c>
    </row>
    <row r="1026" spans="1:8" x14ac:dyDescent="0.4">
      <c r="A1026">
        <v>513</v>
      </c>
      <c r="B1026" t="s">
        <v>3</v>
      </c>
      <c r="C1026">
        <v>1</v>
      </c>
      <c r="D1026">
        <v>4</v>
      </c>
      <c r="E1026">
        <v>16</v>
      </c>
      <c r="F1026">
        <v>0</v>
      </c>
      <c r="G1026">
        <v>0</v>
      </c>
      <c r="H1026">
        <f>표3[[#This Row],[공격성공횟수]]/(표3[[#This Row],[공격실패횟수]]+표3[[#This Row],[공격성공횟수]])</f>
        <v>0.2</v>
      </c>
    </row>
    <row r="1027" spans="1:8" hidden="1" x14ac:dyDescent="0.4">
      <c r="A1027">
        <v>513</v>
      </c>
      <c r="B1027" t="s">
        <v>1</v>
      </c>
      <c r="C1027">
        <v>0</v>
      </c>
      <c r="D1027">
        <v>0</v>
      </c>
      <c r="E1027">
        <v>18</v>
      </c>
      <c r="F1027">
        <v>4</v>
      </c>
      <c r="G1027">
        <v>1</v>
      </c>
      <c r="H1027">
        <f>표3[[#This Row],[공격성공횟수]]/(표3[[#This Row],[공격실패횟수]]+표3[[#This Row],[공격성공횟수]])</f>
        <v>0</v>
      </c>
    </row>
    <row r="1028" spans="1:8" x14ac:dyDescent="0.4">
      <c r="A1028">
        <v>514</v>
      </c>
      <c r="B1028" t="s">
        <v>3</v>
      </c>
      <c r="C1028">
        <v>1</v>
      </c>
      <c r="D1028">
        <v>4</v>
      </c>
      <c r="E1028">
        <v>12</v>
      </c>
      <c r="F1028">
        <v>0</v>
      </c>
      <c r="G1028">
        <v>0</v>
      </c>
      <c r="H1028">
        <f>표3[[#This Row],[공격성공횟수]]/(표3[[#This Row],[공격실패횟수]]+표3[[#This Row],[공격성공횟수]])</f>
        <v>0.25</v>
      </c>
    </row>
    <row r="1029" spans="1:8" hidden="1" x14ac:dyDescent="0.4">
      <c r="A1029">
        <v>514</v>
      </c>
      <c r="B1029" t="s">
        <v>1</v>
      </c>
      <c r="C1029">
        <v>0</v>
      </c>
      <c r="D1029">
        <v>0</v>
      </c>
      <c r="E1029">
        <v>15</v>
      </c>
      <c r="F1029">
        <v>4</v>
      </c>
      <c r="G1029">
        <v>1</v>
      </c>
      <c r="H1029">
        <f>표3[[#This Row],[공격성공횟수]]/(표3[[#This Row],[공격실패횟수]]+표3[[#This Row],[공격성공횟수]])</f>
        <v>0</v>
      </c>
    </row>
    <row r="1030" spans="1:8" x14ac:dyDescent="0.4">
      <c r="A1030">
        <v>515</v>
      </c>
      <c r="B1030" t="s">
        <v>3</v>
      </c>
      <c r="C1030">
        <v>0</v>
      </c>
      <c r="D1030">
        <v>0</v>
      </c>
      <c r="E1030">
        <v>17</v>
      </c>
      <c r="F1030">
        <v>4</v>
      </c>
      <c r="G1030">
        <v>1</v>
      </c>
      <c r="H1030">
        <f>표3[[#This Row],[공격성공횟수]]/(표3[[#This Row],[공격실패횟수]]+표3[[#This Row],[공격성공횟수]])</f>
        <v>0</v>
      </c>
    </row>
    <row r="1031" spans="1:8" hidden="1" x14ac:dyDescent="0.4">
      <c r="A1031">
        <v>515</v>
      </c>
      <c r="B1031" t="s">
        <v>1</v>
      </c>
      <c r="C1031">
        <v>1</v>
      </c>
      <c r="D1031">
        <v>4</v>
      </c>
      <c r="E1031">
        <v>23</v>
      </c>
      <c r="F1031">
        <v>0</v>
      </c>
      <c r="G1031">
        <v>0</v>
      </c>
      <c r="H1031">
        <f>표3[[#This Row],[공격성공횟수]]/(표3[[#This Row],[공격실패횟수]]+표3[[#This Row],[공격성공횟수]])</f>
        <v>0.14814814814814814</v>
      </c>
    </row>
    <row r="1032" spans="1:8" x14ac:dyDescent="0.4">
      <c r="A1032">
        <v>516</v>
      </c>
      <c r="B1032" t="s">
        <v>3</v>
      </c>
      <c r="C1032">
        <v>1</v>
      </c>
      <c r="D1032">
        <v>4</v>
      </c>
      <c r="E1032">
        <v>8</v>
      </c>
      <c r="F1032">
        <v>2</v>
      </c>
      <c r="G1032">
        <v>0</v>
      </c>
      <c r="H1032">
        <f>표3[[#This Row],[공격성공횟수]]/(표3[[#This Row],[공격실패횟수]]+표3[[#This Row],[공격성공횟수]])</f>
        <v>0.33333333333333331</v>
      </c>
    </row>
    <row r="1033" spans="1:8" hidden="1" x14ac:dyDescent="0.4">
      <c r="A1033">
        <v>516</v>
      </c>
      <c r="B1033" t="s">
        <v>1</v>
      </c>
      <c r="C1033">
        <v>0</v>
      </c>
      <c r="D1033">
        <v>2</v>
      </c>
      <c r="E1033">
        <v>8</v>
      </c>
      <c r="F1033">
        <v>4</v>
      </c>
      <c r="G1033">
        <v>1</v>
      </c>
      <c r="H1033">
        <f>표3[[#This Row],[공격성공횟수]]/(표3[[#This Row],[공격실패횟수]]+표3[[#This Row],[공격성공횟수]])</f>
        <v>0.2</v>
      </c>
    </row>
    <row r="1034" spans="1:8" x14ac:dyDescent="0.4">
      <c r="A1034">
        <v>517</v>
      </c>
      <c r="B1034" t="s">
        <v>3</v>
      </c>
      <c r="C1034">
        <v>0</v>
      </c>
      <c r="D1034">
        <v>1</v>
      </c>
      <c r="E1034">
        <v>16</v>
      </c>
      <c r="F1034">
        <v>4</v>
      </c>
      <c r="G1034">
        <v>1</v>
      </c>
      <c r="H1034">
        <f>표3[[#This Row],[공격성공횟수]]/(표3[[#This Row],[공격실패횟수]]+표3[[#This Row],[공격성공횟수]])</f>
        <v>5.8823529411764705E-2</v>
      </c>
    </row>
    <row r="1035" spans="1:8" hidden="1" x14ac:dyDescent="0.4">
      <c r="A1035">
        <v>517</v>
      </c>
      <c r="B1035" t="s">
        <v>1</v>
      </c>
      <c r="C1035">
        <v>1</v>
      </c>
      <c r="D1035">
        <v>4</v>
      </c>
      <c r="E1035">
        <v>14</v>
      </c>
      <c r="F1035">
        <v>1</v>
      </c>
      <c r="G1035">
        <v>0</v>
      </c>
      <c r="H1035">
        <f>표3[[#This Row],[공격성공횟수]]/(표3[[#This Row],[공격실패횟수]]+표3[[#This Row],[공격성공횟수]])</f>
        <v>0.22222222222222221</v>
      </c>
    </row>
    <row r="1036" spans="1:8" x14ac:dyDescent="0.4">
      <c r="A1036">
        <v>518</v>
      </c>
      <c r="B1036" t="s">
        <v>3</v>
      </c>
      <c r="C1036">
        <v>1</v>
      </c>
      <c r="D1036">
        <v>4</v>
      </c>
      <c r="E1036">
        <v>21</v>
      </c>
      <c r="F1036">
        <v>3</v>
      </c>
      <c r="G1036">
        <v>0</v>
      </c>
      <c r="H1036">
        <f>표3[[#This Row],[공격성공횟수]]/(표3[[#This Row],[공격실패횟수]]+표3[[#This Row],[공격성공횟수]])</f>
        <v>0.16</v>
      </c>
    </row>
    <row r="1037" spans="1:8" hidden="1" x14ac:dyDescent="0.4">
      <c r="A1037">
        <v>518</v>
      </c>
      <c r="B1037" t="s">
        <v>1</v>
      </c>
      <c r="C1037">
        <v>0</v>
      </c>
      <c r="D1037">
        <v>3</v>
      </c>
      <c r="E1037">
        <v>21</v>
      </c>
      <c r="F1037">
        <v>4</v>
      </c>
      <c r="G1037">
        <v>1</v>
      </c>
      <c r="H1037">
        <f>표3[[#This Row],[공격성공횟수]]/(표3[[#This Row],[공격실패횟수]]+표3[[#This Row],[공격성공횟수]])</f>
        <v>0.125</v>
      </c>
    </row>
    <row r="1038" spans="1:8" x14ac:dyDescent="0.4">
      <c r="A1038">
        <v>519</v>
      </c>
      <c r="B1038" t="s">
        <v>3</v>
      </c>
      <c r="C1038">
        <v>1</v>
      </c>
      <c r="D1038">
        <v>4</v>
      </c>
      <c r="E1038">
        <v>7</v>
      </c>
      <c r="F1038">
        <v>0</v>
      </c>
      <c r="G1038">
        <v>0</v>
      </c>
      <c r="H1038">
        <f>표3[[#This Row],[공격성공횟수]]/(표3[[#This Row],[공격실패횟수]]+표3[[#This Row],[공격성공횟수]])</f>
        <v>0.36363636363636365</v>
      </c>
    </row>
    <row r="1039" spans="1:8" hidden="1" x14ac:dyDescent="0.4">
      <c r="A1039">
        <v>519</v>
      </c>
      <c r="B1039" t="s">
        <v>1</v>
      </c>
      <c r="C1039">
        <v>0</v>
      </c>
      <c r="D1039">
        <v>0</v>
      </c>
      <c r="E1039">
        <v>10</v>
      </c>
      <c r="F1039">
        <v>4</v>
      </c>
      <c r="G1039">
        <v>1</v>
      </c>
      <c r="H1039">
        <f>표3[[#This Row],[공격성공횟수]]/(표3[[#This Row],[공격실패횟수]]+표3[[#This Row],[공격성공횟수]])</f>
        <v>0</v>
      </c>
    </row>
    <row r="1040" spans="1:8" x14ac:dyDescent="0.4">
      <c r="A1040">
        <v>520</v>
      </c>
      <c r="B1040" t="s">
        <v>3</v>
      </c>
      <c r="C1040">
        <v>1</v>
      </c>
      <c r="D1040">
        <v>4</v>
      </c>
      <c r="E1040">
        <v>5</v>
      </c>
      <c r="F1040">
        <v>1</v>
      </c>
      <c r="G1040">
        <v>0</v>
      </c>
      <c r="H1040">
        <f>표3[[#This Row],[공격성공횟수]]/(표3[[#This Row],[공격실패횟수]]+표3[[#This Row],[공격성공횟수]])</f>
        <v>0.44444444444444442</v>
      </c>
    </row>
    <row r="1041" spans="1:8" hidden="1" x14ac:dyDescent="0.4">
      <c r="A1041">
        <v>520</v>
      </c>
      <c r="B1041" t="s">
        <v>1</v>
      </c>
      <c r="C1041">
        <v>0</v>
      </c>
      <c r="D1041">
        <v>1</v>
      </c>
      <c r="E1041">
        <v>8</v>
      </c>
      <c r="F1041">
        <v>4</v>
      </c>
      <c r="G1041">
        <v>1</v>
      </c>
      <c r="H1041">
        <f>표3[[#This Row],[공격성공횟수]]/(표3[[#This Row],[공격실패횟수]]+표3[[#This Row],[공격성공횟수]])</f>
        <v>0.1111111111111111</v>
      </c>
    </row>
    <row r="1042" spans="1:8" x14ac:dyDescent="0.4">
      <c r="A1042">
        <v>521</v>
      </c>
      <c r="B1042" t="s">
        <v>3</v>
      </c>
      <c r="C1042">
        <v>1</v>
      </c>
      <c r="D1042">
        <v>4</v>
      </c>
      <c r="E1042">
        <v>15</v>
      </c>
      <c r="F1042">
        <v>3</v>
      </c>
      <c r="G1042">
        <v>0</v>
      </c>
      <c r="H1042">
        <f>표3[[#This Row],[공격성공횟수]]/(표3[[#This Row],[공격실패횟수]]+표3[[#This Row],[공격성공횟수]])</f>
        <v>0.21052631578947367</v>
      </c>
    </row>
    <row r="1043" spans="1:8" hidden="1" x14ac:dyDescent="0.4">
      <c r="A1043">
        <v>521</v>
      </c>
      <c r="B1043" t="s">
        <v>1</v>
      </c>
      <c r="C1043">
        <v>0</v>
      </c>
      <c r="D1043">
        <v>3</v>
      </c>
      <c r="E1043">
        <v>20</v>
      </c>
      <c r="F1043">
        <v>4</v>
      </c>
      <c r="G1043">
        <v>1</v>
      </c>
      <c r="H1043">
        <f>표3[[#This Row],[공격성공횟수]]/(표3[[#This Row],[공격실패횟수]]+표3[[#This Row],[공격성공횟수]])</f>
        <v>0.13043478260869565</v>
      </c>
    </row>
    <row r="1044" spans="1:8" x14ac:dyDescent="0.4">
      <c r="A1044">
        <v>522</v>
      </c>
      <c r="B1044" t="s">
        <v>3</v>
      </c>
      <c r="C1044">
        <v>1</v>
      </c>
      <c r="D1044">
        <v>4</v>
      </c>
      <c r="E1044">
        <v>3</v>
      </c>
      <c r="F1044">
        <v>0</v>
      </c>
      <c r="G1044">
        <v>0</v>
      </c>
      <c r="H1044">
        <f>표3[[#This Row],[공격성공횟수]]/(표3[[#This Row],[공격실패횟수]]+표3[[#This Row],[공격성공횟수]])</f>
        <v>0.5714285714285714</v>
      </c>
    </row>
    <row r="1045" spans="1:8" hidden="1" x14ac:dyDescent="0.4">
      <c r="A1045">
        <v>522</v>
      </c>
      <c r="B1045" t="s">
        <v>1</v>
      </c>
      <c r="C1045">
        <v>0</v>
      </c>
      <c r="D1045">
        <v>0</v>
      </c>
      <c r="E1045">
        <v>7</v>
      </c>
      <c r="F1045">
        <v>4</v>
      </c>
      <c r="G1045">
        <v>1</v>
      </c>
      <c r="H1045">
        <f>표3[[#This Row],[공격성공횟수]]/(표3[[#This Row],[공격실패횟수]]+표3[[#This Row],[공격성공횟수]])</f>
        <v>0</v>
      </c>
    </row>
    <row r="1046" spans="1:8" x14ac:dyDescent="0.4">
      <c r="A1046">
        <v>523</v>
      </c>
      <c r="B1046" t="s">
        <v>3</v>
      </c>
      <c r="C1046">
        <v>1</v>
      </c>
      <c r="D1046">
        <v>4</v>
      </c>
      <c r="E1046">
        <v>6</v>
      </c>
      <c r="F1046">
        <v>1</v>
      </c>
      <c r="G1046">
        <v>0</v>
      </c>
      <c r="H1046">
        <f>표3[[#This Row],[공격성공횟수]]/(표3[[#This Row],[공격실패횟수]]+표3[[#This Row],[공격성공횟수]])</f>
        <v>0.4</v>
      </c>
    </row>
    <row r="1047" spans="1:8" hidden="1" x14ac:dyDescent="0.4">
      <c r="A1047">
        <v>523</v>
      </c>
      <c r="B1047" t="s">
        <v>1</v>
      </c>
      <c r="C1047">
        <v>0</v>
      </c>
      <c r="D1047">
        <v>1</v>
      </c>
      <c r="E1047">
        <v>9</v>
      </c>
      <c r="F1047">
        <v>4</v>
      </c>
      <c r="G1047">
        <v>1</v>
      </c>
      <c r="H1047">
        <f>표3[[#This Row],[공격성공횟수]]/(표3[[#This Row],[공격실패횟수]]+표3[[#This Row],[공격성공횟수]])</f>
        <v>0.1</v>
      </c>
    </row>
    <row r="1048" spans="1:8" x14ac:dyDescent="0.4">
      <c r="A1048">
        <v>524</v>
      </c>
      <c r="B1048" t="s">
        <v>3</v>
      </c>
      <c r="C1048">
        <v>1</v>
      </c>
      <c r="D1048">
        <v>4</v>
      </c>
      <c r="E1048">
        <v>14</v>
      </c>
      <c r="F1048">
        <v>1</v>
      </c>
      <c r="G1048">
        <v>0</v>
      </c>
      <c r="H1048">
        <f>표3[[#This Row],[공격성공횟수]]/(표3[[#This Row],[공격실패횟수]]+표3[[#This Row],[공격성공횟수]])</f>
        <v>0.22222222222222221</v>
      </c>
    </row>
    <row r="1049" spans="1:8" hidden="1" x14ac:dyDescent="0.4">
      <c r="A1049">
        <v>524</v>
      </c>
      <c r="B1049" t="s">
        <v>1</v>
      </c>
      <c r="C1049">
        <v>0</v>
      </c>
      <c r="D1049">
        <v>1</v>
      </c>
      <c r="E1049">
        <v>16</v>
      </c>
      <c r="F1049">
        <v>4</v>
      </c>
      <c r="G1049">
        <v>1</v>
      </c>
      <c r="H1049">
        <f>표3[[#This Row],[공격성공횟수]]/(표3[[#This Row],[공격실패횟수]]+표3[[#This Row],[공격성공횟수]])</f>
        <v>5.8823529411764705E-2</v>
      </c>
    </row>
    <row r="1050" spans="1:8" x14ac:dyDescent="0.4">
      <c r="A1050">
        <v>525</v>
      </c>
      <c r="B1050" t="s">
        <v>3</v>
      </c>
      <c r="C1050">
        <v>1</v>
      </c>
      <c r="D1050">
        <v>4</v>
      </c>
      <c r="E1050">
        <v>19</v>
      </c>
      <c r="F1050">
        <v>1</v>
      </c>
      <c r="G1050">
        <v>0</v>
      </c>
      <c r="H1050">
        <f>표3[[#This Row],[공격성공횟수]]/(표3[[#This Row],[공격실패횟수]]+표3[[#This Row],[공격성공횟수]])</f>
        <v>0.17391304347826086</v>
      </c>
    </row>
    <row r="1051" spans="1:8" hidden="1" x14ac:dyDescent="0.4">
      <c r="A1051">
        <v>525</v>
      </c>
      <c r="B1051" t="s">
        <v>1</v>
      </c>
      <c r="C1051">
        <v>0</v>
      </c>
      <c r="D1051">
        <v>1</v>
      </c>
      <c r="E1051">
        <v>23</v>
      </c>
      <c r="F1051">
        <v>4</v>
      </c>
      <c r="G1051">
        <v>1</v>
      </c>
      <c r="H1051">
        <f>표3[[#This Row],[공격성공횟수]]/(표3[[#This Row],[공격실패횟수]]+표3[[#This Row],[공격성공횟수]])</f>
        <v>4.1666666666666664E-2</v>
      </c>
    </row>
    <row r="1052" spans="1:8" x14ac:dyDescent="0.4">
      <c r="A1052">
        <v>526</v>
      </c>
      <c r="B1052" t="s">
        <v>3</v>
      </c>
      <c r="C1052">
        <v>1</v>
      </c>
      <c r="D1052">
        <v>4</v>
      </c>
      <c r="E1052">
        <v>8</v>
      </c>
      <c r="F1052">
        <v>1</v>
      </c>
      <c r="G1052">
        <v>0</v>
      </c>
      <c r="H1052">
        <f>표3[[#This Row],[공격성공횟수]]/(표3[[#This Row],[공격실패횟수]]+표3[[#This Row],[공격성공횟수]])</f>
        <v>0.33333333333333331</v>
      </c>
    </row>
    <row r="1053" spans="1:8" hidden="1" x14ac:dyDescent="0.4">
      <c r="A1053">
        <v>526</v>
      </c>
      <c r="B1053" t="s">
        <v>1</v>
      </c>
      <c r="C1053">
        <v>0</v>
      </c>
      <c r="D1053">
        <v>1</v>
      </c>
      <c r="E1053">
        <v>11</v>
      </c>
      <c r="F1053">
        <v>4</v>
      </c>
      <c r="G1053">
        <v>1</v>
      </c>
      <c r="H1053">
        <f>표3[[#This Row],[공격성공횟수]]/(표3[[#This Row],[공격실패횟수]]+표3[[#This Row],[공격성공횟수]])</f>
        <v>8.3333333333333329E-2</v>
      </c>
    </row>
    <row r="1054" spans="1:8" x14ac:dyDescent="0.4">
      <c r="A1054">
        <v>527</v>
      </c>
      <c r="B1054" t="s">
        <v>3</v>
      </c>
      <c r="C1054">
        <v>1</v>
      </c>
      <c r="D1054">
        <v>4</v>
      </c>
      <c r="E1054">
        <v>6</v>
      </c>
      <c r="F1054">
        <v>0</v>
      </c>
      <c r="G1054">
        <v>0</v>
      </c>
      <c r="H1054">
        <f>표3[[#This Row],[공격성공횟수]]/(표3[[#This Row],[공격실패횟수]]+표3[[#This Row],[공격성공횟수]])</f>
        <v>0.4</v>
      </c>
    </row>
    <row r="1055" spans="1:8" hidden="1" x14ac:dyDescent="0.4">
      <c r="A1055">
        <v>527</v>
      </c>
      <c r="B1055" t="s">
        <v>1</v>
      </c>
      <c r="C1055">
        <v>0</v>
      </c>
      <c r="D1055">
        <v>0</v>
      </c>
      <c r="E1055">
        <v>10</v>
      </c>
      <c r="F1055">
        <v>4</v>
      </c>
      <c r="G1055">
        <v>1</v>
      </c>
      <c r="H1055">
        <f>표3[[#This Row],[공격성공횟수]]/(표3[[#This Row],[공격실패횟수]]+표3[[#This Row],[공격성공횟수]])</f>
        <v>0</v>
      </c>
    </row>
    <row r="1056" spans="1:8" x14ac:dyDescent="0.4">
      <c r="A1056">
        <v>528</v>
      </c>
      <c r="B1056" t="s">
        <v>3</v>
      </c>
      <c r="C1056">
        <v>1</v>
      </c>
      <c r="D1056">
        <v>4</v>
      </c>
      <c r="E1056">
        <v>24</v>
      </c>
      <c r="F1056">
        <v>0</v>
      </c>
      <c r="G1056">
        <v>0</v>
      </c>
      <c r="H1056">
        <f>표3[[#This Row],[공격성공횟수]]/(표3[[#This Row],[공격실패횟수]]+표3[[#This Row],[공격성공횟수]])</f>
        <v>0.14285714285714285</v>
      </c>
    </row>
    <row r="1057" spans="1:8" hidden="1" x14ac:dyDescent="0.4">
      <c r="A1057">
        <v>528</v>
      </c>
      <c r="B1057" t="s">
        <v>1</v>
      </c>
      <c r="C1057">
        <v>0</v>
      </c>
      <c r="D1057">
        <v>0</v>
      </c>
      <c r="E1057">
        <v>27</v>
      </c>
      <c r="F1057">
        <v>4</v>
      </c>
      <c r="G1057">
        <v>1</v>
      </c>
      <c r="H1057">
        <f>표3[[#This Row],[공격성공횟수]]/(표3[[#This Row],[공격실패횟수]]+표3[[#This Row],[공격성공횟수]])</f>
        <v>0</v>
      </c>
    </row>
    <row r="1058" spans="1:8" x14ac:dyDescent="0.4">
      <c r="A1058">
        <v>529</v>
      </c>
      <c r="B1058" t="s">
        <v>3</v>
      </c>
      <c r="C1058">
        <v>1</v>
      </c>
      <c r="D1058">
        <v>4</v>
      </c>
      <c r="E1058">
        <v>26</v>
      </c>
      <c r="F1058">
        <v>3</v>
      </c>
      <c r="G1058">
        <v>0</v>
      </c>
      <c r="H1058">
        <f>표3[[#This Row],[공격성공횟수]]/(표3[[#This Row],[공격실패횟수]]+표3[[#This Row],[공격성공횟수]])</f>
        <v>0.13333333333333333</v>
      </c>
    </row>
    <row r="1059" spans="1:8" hidden="1" x14ac:dyDescent="0.4">
      <c r="A1059">
        <v>529</v>
      </c>
      <c r="B1059" t="s">
        <v>1</v>
      </c>
      <c r="C1059">
        <v>0</v>
      </c>
      <c r="D1059">
        <v>3</v>
      </c>
      <c r="E1059">
        <v>26</v>
      </c>
      <c r="F1059">
        <v>4</v>
      </c>
      <c r="G1059">
        <v>1</v>
      </c>
      <c r="H1059">
        <f>표3[[#This Row],[공격성공횟수]]/(표3[[#This Row],[공격실패횟수]]+표3[[#This Row],[공격성공횟수]])</f>
        <v>0.10344827586206896</v>
      </c>
    </row>
    <row r="1060" spans="1:8" x14ac:dyDescent="0.4">
      <c r="A1060">
        <v>530</v>
      </c>
      <c r="B1060" t="s">
        <v>3</v>
      </c>
      <c r="C1060">
        <v>0</v>
      </c>
      <c r="D1060">
        <v>1</v>
      </c>
      <c r="E1060">
        <v>14</v>
      </c>
      <c r="F1060">
        <v>4</v>
      </c>
      <c r="G1060">
        <v>1</v>
      </c>
      <c r="H1060">
        <f>표3[[#This Row],[공격성공횟수]]/(표3[[#This Row],[공격실패횟수]]+표3[[#This Row],[공격성공횟수]])</f>
        <v>6.6666666666666666E-2</v>
      </c>
    </row>
    <row r="1061" spans="1:8" hidden="1" x14ac:dyDescent="0.4">
      <c r="A1061">
        <v>530</v>
      </c>
      <c r="B1061" t="s">
        <v>1</v>
      </c>
      <c r="C1061">
        <v>1</v>
      </c>
      <c r="D1061">
        <v>4</v>
      </c>
      <c r="E1061">
        <v>14</v>
      </c>
      <c r="F1061">
        <v>1</v>
      </c>
      <c r="G1061">
        <v>0</v>
      </c>
      <c r="H1061">
        <f>표3[[#This Row],[공격성공횟수]]/(표3[[#This Row],[공격실패횟수]]+표3[[#This Row],[공격성공횟수]])</f>
        <v>0.22222222222222221</v>
      </c>
    </row>
    <row r="1062" spans="1:8" x14ac:dyDescent="0.4">
      <c r="A1062">
        <v>531</v>
      </c>
      <c r="B1062" t="s">
        <v>3</v>
      </c>
      <c r="C1062">
        <v>1</v>
      </c>
      <c r="D1062">
        <v>4</v>
      </c>
      <c r="E1062">
        <v>21</v>
      </c>
      <c r="F1062">
        <v>2</v>
      </c>
      <c r="G1062">
        <v>0</v>
      </c>
      <c r="H1062">
        <f>표3[[#This Row],[공격성공횟수]]/(표3[[#This Row],[공격실패횟수]]+표3[[#This Row],[공격성공횟수]])</f>
        <v>0.16</v>
      </c>
    </row>
    <row r="1063" spans="1:8" hidden="1" x14ac:dyDescent="0.4">
      <c r="A1063">
        <v>531</v>
      </c>
      <c r="B1063" t="s">
        <v>1</v>
      </c>
      <c r="C1063">
        <v>0</v>
      </c>
      <c r="D1063">
        <v>2</v>
      </c>
      <c r="E1063">
        <v>22</v>
      </c>
      <c r="F1063">
        <v>4</v>
      </c>
      <c r="G1063">
        <v>1</v>
      </c>
      <c r="H1063">
        <f>표3[[#This Row],[공격성공횟수]]/(표3[[#This Row],[공격실패횟수]]+표3[[#This Row],[공격성공횟수]])</f>
        <v>8.3333333333333329E-2</v>
      </c>
    </row>
    <row r="1064" spans="1:8" x14ac:dyDescent="0.4">
      <c r="A1064">
        <v>532</v>
      </c>
      <c r="B1064" t="s">
        <v>3</v>
      </c>
      <c r="C1064">
        <v>1</v>
      </c>
      <c r="D1064">
        <v>4</v>
      </c>
      <c r="E1064">
        <v>7</v>
      </c>
      <c r="F1064">
        <v>0</v>
      </c>
      <c r="G1064">
        <v>0</v>
      </c>
      <c r="H1064">
        <f>표3[[#This Row],[공격성공횟수]]/(표3[[#This Row],[공격실패횟수]]+표3[[#This Row],[공격성공횟수]])</f>
        <v>0.36363636363636365</v>
      </c>
    </row>
    <row r="1065" spans="1:8" hidden="1" x14ac:dyDescent="0.4">
      <c r="A1065">
        <v>532</v>
      </c>
      <c r="B1065" t="s">
        <v>1</v>
      </c>
      <c r="C1065">
        <v>0</v>
      </c>
      <c r="D1065">
        <v>0</v>
      </c>
      <c r="E1065">
        <v>10</v>
      </c>
      <c r="F1065">
        <v>4</v>
      </c>
      <c r="G1065">
        <v>1</v>
      </c>
      <c r="H1065">
        <f>표3[[#This Row],[공격성공횟수]]/(표3[[#This Row],[공격실패횟수]]+표3[[#This Row],[공격성공횟수]])</f>
        <v>0</v>
      </c>
    </row>
    <row r="1066" spans="1:8" x14ac:dyDescent="0.4">
      <c r="A1066">
        <v>533</v>
      </c>
      <c r="B1066" t="s">
        <v>3</v>
      </c>
      <c r="C1066">
        <v>0</v>
      </c>
      <c r="D1066">
        <v>0</v>
      </c>
      <c r="E1066">
        <v>14</v>
      </c>
      <c r="F1066">
        <v>4</v>
      </c>
      <c r="G1066">
        <v>1</v>
      </c>
      <c r="H1066">
        <f>표3[[#This Row],[공격성공횟수]]/(표3[[#This Row],[공격실패횟수]]+표3[[#This Row],[공격성공횟수]])</f>
        <v>0</v>
      </c>
    </row>
    <row r="1067" spans="1:8" hidden="1" x14ac:dyDescent="0.4">
      <c r="A1067">
        <v>533</v>
      </c>
      <c r="B1067" t="s">
        <v>1</v>
      </c>
      <c r="C1067">
        <v>1</v>
      </c>
      <c r="D1067">
        <v>4</v>
      </c>
      <c r="E1067">
        <v>11</v>
      </c>
      <c r="F1067">
        <v>0</v>
      </c>
      <c r="G1067">
        <v>0</v>
      </c>
      <c r="H1067">
        <f>표3[[#This Row],[공격성공횟수]]/(표3[[#This Row],[공격실패횟수]]+표3[[#This Row],[공격성공횟수]])</f>
        <v>0.26666666666666666</v>
      </c>
    </row>
    <row r="1068" spans="1:8" x14ac:dyDescent="0.4">
      <c r="A1068">
        <v>534</v>
      </c>
      <c r="B1068" t="s">
        <v>3</v>
      </c>
      <c r="C1068">
        <v>1</v>
      </c>
      <c r="D1068">
        <v>4</v>
      </c>
      <c r="E1068">
        <v>9</v>
      </c>
      <c r="F1068">
        <v>1</v>
      </c>
      <c r="G1068">
        <v>0</v>
      </c>
      <c r="H1068">
        <f>표3[[#This Row],[공격성공횟수]]/(표3[[#This Row],[공격실패횟수]]+표3[[#This Row],[공격성공횟수]])</f>
        <v>0.30769230769230771</v>
      </c>
    </row>
    <row r="1069" spans="1:8" hidden="1" x14ac:dyDescent="0.4">
      <c r="A1069">
        <v>534</v>
      </c>
      <c r="B1069" t="s">
        <v>1</v>
      </c>
      <c r="C1069">
        <v>0</v>
      </c>
      <c r="D1069">
        <v>1</v>
      </c>
      <c r="E1069">
        <v>10</v>
      </c>
      <c r="F1069">
        <v>4</v>
      </c>
      <c r="G1069">
        <v>1</v>
      </c>
      <c r="H1069">
        <f>표3[[#This Row],[공격성공횟수]]/(표3[[#This Row],[공격실패횟수]]+표3[[#This Row],[공격성공횟수]])</f>
        <v>9.0909090909090912E-2</v>
      </c>
    </row>
    <row r="1070" spans="1:8" x14ac:dyDescent="0.4">
      <c r="A1070">
        <v>535</v>
      </c>
      <c r="B1070" t="s">
        <v>3</v>
      </c>
      <c r="C1070">
        <v>1</v>
      </c>
      <c r="D1070">
        <v>4</v>
      </c>
      <c r="E1070">
        <v>18</v>
      </c>
      <c r="F1070">
        <v>0</v>
      </c>
      <c r="G1070">
        <v>0</v>
      </c>
      <c r="H1070">
        <f>표3[[#This Row],[공격성공횟수]]/(표3[[#This Row],[공격실패횟수]]+표3[[#This Row],[공격성공횟수]])</f>
        <v>0.18181818181818182</v>
      </c>
    </row>
    <row r="1071" spans="1:8" hidden="1" x14ac:dyDescent="0.4">
      <c r="A1071">
        <v>535</v>
      </c>
      <c r="B1071" t="s">
        <v>1</v>
      </c>
      <c r="C1071">
        <v>0</v>
      </c>
      <c r="D1071">
        <v>0</v>
      </c>
      <c r="E1071">
        <v>21</v>
      </c>
      <c r="F1071">
        <v>4</v>
      </c>
      <c r="G1071">
        <v>1</v>
      </c>
      <c r="H1071">
        <f>표3[[#This Row],[공격성공횟수]]/(표3[[#This Row],[공격실패횟수]]+표3[[#This Row],[공격성공횟수]])</f>
        <v>0</v>
      </c>
    </row>
    <row r="1072" spans="1:8" x14ac:dyDescent="0.4">
      <c r="A1072">
        <v>536</v>
      </c>
      <c r="B1072" t="s">
        <v>3</v>
      </c>
      <c r="C1072">
        <v>0</v>
      </c>
      <c r="D1072">
        <v>0</v>
      </c>
      <c r="E1072">
        <v>18</v>
      </c>
      <c r="F1072">
        <v>4</v>
      </c>
      <c r="G1072">
        <v>1</v>
      </c>
      <c r="H1072">
        <f>표3[[#This Row],[공격성공횟수]]/(표3[[#This Row],[공격실패횟수]]+표3[[#This Row],[공격성공횟수]])</f>
        <v>0</v>
      </c>
    </row>
    <row r="1073" spans="1:8" hidden="1" x14ac:dyDescent="0.4">
      <c r="A1073">
        <v>536</v>
      </c>
      <c r="B1073" t="s">
        <v>1</v>
      </c>
      <c r="C1073">
        <v>1</v>
      </c>
      <c r="D1073">
        <v>4</v>
      </c>
      <c r="E1073">
        <v>15</v>
      </c>
      <c r="F1073">
        <v>0</v>
      </c>
      <c r="G1073">
        <v>0</v>
      </c>
      <c r="H1073">
        <f>표3[[#This Row],[공격성공횟수]]/(표3[[#This Row],[공격실패횟수]]+표3[[#This Row],[공격성공횟수]])</f>
        <v>0.21052631578947367</v>
      </c>
    </row>
    <row r="1074" spans="1:8" x14ac:dyDescent="0.4">
      <c r="A1074">
        <v>537</v>
      </c>
      <c r="B1074" t="s">
        <v>3</v>
      </c>
      <c r="C1074">
        <v>1</v>
      </c>
      <c r="D1074">
        <v>4</v>
      </c>
      <c r="E1074">
        <v>30</v>
      </c>
      <c r="F1074">
        <v>1</v>
      </c>
      <c r="G1074">
        <v>0</v>
      </c>
      <c r="H1074">
        <f>표3[[#This Row],[공격성공횟수]]/(표3[[#This Row],[공격실패횟수]]+표3[[#This Row],[공격성공횟수]])</f>
        <v>0.11764705882352941</v>
      </c>
    </row>
    <row r="1075" spans="1:8" hidden="1" x14ac:dyDescent="0.4">
      <c r="A1075">
        <v>537</v>
      </c>
      <c r="B1075" t="s">
        <v>1</v>
      </c>
      <c r="C1075">
        <v>0</v>
      </c>
      <c r="D1075">
        <v>1</v>
      </c>
      <c r="E1075">
        <v>30</v>
      </c>
      <c r="F1075">
        <v>4</v>
      </c>
      <c r="G1075">
        <v>1</v>
      </c>
      <c r="H1075">
        <f>표3[[#This Row],[공격성공횟수]]/(표3[[#This Row],[공격실패횟수]]+표3[[#This Row],[공격성공횟수]])</f>
        <v>3.2258064516129031E-2</v>
      </c>
    </row>
    <row r="1076" spans="1:8" x14ac:dyDescent="0.4">
      <c r="A1076">
        <v>538</v>
      </c>
      <c r="B1076" t="s">
        <v>3</v>
      </c>
      <c r="C1076">
        <v>1</v>
      </c>
      <c r="D1076">
        <v>4</v>
      </c>
      <c r="E1076">
        <v>12</v>
      </c>
      <c r="F1076">
        <v>3</v>
      </c>
      <c r="G1076">
        <v>0</v>
      </c>
      <c r="H1076">
        <f>표3[[#This Row],[공격성공횟수]]/(표3[[#This Row],[공격실패횟수]]+표3[[#This Row],[공격성공횟수]])</f>
        <v>0.25</v>
      </c>
    </row>
    <row r="1077" spans="1:8" hidden="1" x14ac:dyDescent="0.4">
      <c r="A1077">
        <v>538</v>
      </c>
      <c r="B1077" t="s">
        <v>1</v>
      </c>
      <c r="C1077">
        <v>0</v>
      </c>
      <c r="D1077">
        <v>3</v>
      </c>
      <c r="E1077">
        <v>13</v>
      </c>
      <c r="F1077">
        <v>4</v>
      </c>
      <c r="G1077">
        <v>1</v>
      </c>
      <c r="H1077">
        <f>표3[[#This Row],[공격성공횟수]]/(표3[[#This Row],[공격실패횟수]]+표3[[#This Row],[공격성공횟수]])</f>
        <v>0.1875</v>
      </c>
    </row>
    <row r="1078" spans="1:8" x14ac:dyDescent="0.4">
      <c r="A1078">
        <v>539</v>
      </c>
      <c r="B1078" t="s">
        <v>3</v>
      </c>
      <c r="C1078">
        <v>1</v>
      </c>
      <c r="D1078">
        <v>4</v>
      </c>
      <c r="E1078">
        <v>6</v>
      </c>
      <c r="F1078">
        <v>1</v>
      </c>
      <c r="G1078">
        <v>0</v>
      </c>
      <c r="H1078">
        <f>표3[[#This Row],[공격성공횟수]]/(표3[[#This Row],[공격실패횟수]]+표3[[#This Row],[공격성공횟수]])</f>
        <v>0.4</v>
      </c>
    </row>
    <row r="1079" spans="1:8" hidden="1" x14ac:dyDescent="0.4">
      <c r="A1079">
        <v>539</v>
      </c>
      <c r="B1079" t="s">
        <v>1</v>
      </c>
      <c r="C1079">
        <v>0</v>
      </c>
      <c r="D1079">
        <v>1</v>
      </c>
      <c r="E1079">
        <v>8</v>
      </c>
      <c r="F1079">
        <v>4</v>
      </c>
      <c r="G1079">
        <v>1</v>
      </c>
      <c r="H1079">
        <f>표3[[#This Row],[공격성공횟수]]/(표3[[#This Row],[공격실패횟수]]+표3[[#This Row],[공격성공횟수]])</f>
        <v>0.1111111111111111</v>
      </c>
    </row>
    <row r="1080" spans="1:8" x14ac:dyDescent="0.4">
      <c r="A1080">
        <v>540</v>
      </c>
      <c r="B1080" t="s">
        <v>3</v>
      </c>
      <c r="C1080">
        <v>1</v>
      </c>
      <c r="D1080">
        <v>4</v>
      </c>
      <c r="E1080">
        <v>8</v>
      </c>
      <c r="F1080">
        <v>3</v>
      </c>
      <c r="G1080">
        <v>0</v>
      </c>
      <c r="H1080">
        <f>표3[[#This Row],[공격성공횟수]]/(표3[[#This Row],[공격실패횟수]]+표3[[#This Row],[공격성공횟수]])</f>
        <v>0.33333333333333331</v>
      </c>
    </row>
    <row r="1081" spans="1:8" hidden="1" x14ac:dyDescent="0.4">
      <c r="A1081">
        <v>540</v>
      </c>
      <c r="B1081" t="s">
        <v>1</v>
      </c>
      <c r="C1081">
        <v>0</v>
      </c>
      <c r="D1081">
        <v>3</v>
      </c>
      <c r="E1081">
        <v>9</v>
      </c>
      <c r="F1081">
        <v>4</v>
      </c>
      <c r="G1081">
        <v>1</v>
      </c>
      <c r="H1081">
        <f>표3[[#This Row],[공격성공횟수]]/(표3[[#This Row],[공격실패횟수]]+표3[[#This Row],[공격성공횟수]])</f>
        <v>0.25</v>
      </c>
    </row>
    <row r="1082" spans="1:8" x14ac:dyDescent="0.4">
      <c r="A1082">
        <v>541</v>
      </c>
      <c r="B1082" t="s">
        <v>3</v>
      </c>
      <c r="C1082">
        <v>1</v>
      </c>
      <c r="D1082">
        <v>4</v>
      </c>
      <c r="E1082">
        <v>7</v>
      </c>
      <c r="F1082">
        <v>0</v>
      </c>
      <c r="G1082">
        <v>0</v>
      </c>
      <c r="H1082">
        <f>표3[[#This Row],[공격성공횟수]]/(표3[[#This Row],[공격실패횟수]]+표3[[#This Row],[공격성공횟수]])</f>
        <v>0.36363636363636365</v>
      </c>
    </row>
    <row r="1083" spans="1:8" hidden="1" x14ac:dyDescent="0.4">
      <c r="A1083">
        <v>541</v>
      </c>
      <c r="B1083" t="s">
        <v>1</v>
      </c>
      <c r="C1083">
        <v>0</v>
      </c>
      <c r="D1083">
        <v>0</v>
      </c>
      <c r="E1083">
        <v>11</v>
      </c>
      <c r="F1083">
        <v>4</v>
      </c>
      <c r="G1083">
        <v>1</v>
      </c>
      <c r="H1083">
        <f>표3[[#This Row],[공격성공횟수]]/(표3[[#This Row],[공격실패횟수]]+표3[[#This Row],[공격성공횟수]])</f>
        <v>0</v>
      </c>
    </row>
    <row r="1084" spans="1:8" x14ac:dyDescent="0.4">
      <c r="A1084">
        <v>542</v>
      </c>
      <c r="B1084" t="s">
        <v>3</v>
      </c>
      <c r="C1084">
        <v>1</v>
      </c>
      <c r="D1084">
        <v>4</v>
      </c>
      <c r="E1084">
        <v>13</v>
      </c>
      <c r="F1084">
        <v>2</v>
      </c>
      <c r="G1084">
        <v>0</v>
      </c>
      <c r="H1084">
        <f>표3[[#This Row],[공격성공횟수]]/(표3[[#This Row],[공격실패횟수]]+표3[[#This Row],[공격성공횟수]])</f>
        <v>0.23529411764705882</v>
      </c>
    </row>
    <row r="1085" spans="1:8" hidden="1" x14ac:dyDescent="0.4">
      <c r="A1085">
        <v>542</v>
      </c>
      <c r="B1085" t="s">
        <v>1</v>
      </c>
      <c r="C1085">
        <v>0</v>
      </c>
      <c r="D1085">
        <v>2</v>
      </c>
      <c r="E1085">
        <v>18</v>
      </c>
      <c r="F1085">
        <v>4</v>
      </c>
      <c r="G1085">
        <v>1</v>
      </c>
      <c r="H1085">
        <f>표3[[#This Row],[공격성공횟수]]/(표3[[#This Row],[공격실패횟수]]+표3[[#This Row],[공격성공횟수]])</f>
        <v>0.1</v>
      </c>
    </row>
    <row r="1086" spans="1:8" x14ac:dyDescent="0.4">
      <c r="A1086">
        <v>543</v>
      </c>
      <c r="B1086" t="s">
        <v>3</v>
      </c>
      <c r="C1086">
        <v>1</v>
      </c>
      <c r="D1086">
        <v>4</v>
      </c>
      <c r="E1086">
        <v>9</v>
      </c>
      <c r="F1086">
        <v>0</v>
      </c>
      <c r="G1086">
        <v>0</v>
      </c>
      <c r="H1086">
        <f>표3[[#This Row],[공격성공횟수]]/(표3[[#This Row],[공격실패횟수]]+표3[[#This Row],[공격성공횟수]])</f>
        <v>0.30769230769230771</v>
      </c>
    </row>
    <row r="1087" spans="1:8" hidden="1" x14ac:dyDescent="0.4">
      <c r="A1087">
        <v>543</v>
      </c>
      <c r="B1087" t="s">
        <v>1</v>
      </c>
      <c r="C1087">
        <v>0</v>
      </c>
      <c r="D1087">
        <v>0</v>
      </c>
      <c r="E1087">
        <v>13</v>
      </c>
      <c r="F1087">
        <v>4</v>
      </c>
      <c r="G1087">
        <v>1</v>
      </c>
      <c r="H1087">
        <f>표3[[#This Row],[공격성공횟수]]/(표3[[#This Row],[공격실패횟수]]+표3[[#This Row],[공격성공횟수]])</f>
        <v>0</v>
      </c>
    </row>
    <row r="1088" spans="1:8" x14ac:dyDescent="0.4">
      <c r="A1088">
        <v>544</v>
      </c>
      <c r="B1088" t="s">
        <v>3</v>
      </c>
      <c r="C1088">
        <v>1</v>
      </c>
      <c r="D1088">
        <v>4</v>
      </c>
      <c r="E1088">
        <v>19</v>
      </c>
      <c r="F1088">
        <v>1</v>
      </c>
      <c r="G1088">
        <v>0</v>
      </c>
      <c r="H1088">
        <f>표3[[#This Row],[공격성공횟수]]/(표3[[#This Row],[공격실패횟수]]+표3[[#This Row],[공격성공횟수]])</f>
        <v>0.17391304347826086</v>
      </c>
    </row>
    <row r="1089" spans="1:8" hidden="1" x14ac:dyDescent="0.4">
      <c r="A1089">
        <v>544</v>
      </c>
      <c r="B1089" t="s">
        <v>1</v>
      </c>
      <c r="C1089">
        <v>0</v>
      </c>
      <c r="D1089">
        <v>1</v>
      </c>
      <c r="E1089">
        <v>21</v>
      </c>
      <c r="F1089">
        <v>4</v>
      </c>
      <c r="G1089">
        <v>1</v>
      </c>
      <c r="H1089">
        <f>표3[[#This Row],[공격성공횟수]]/(표3[[#This Row],[공격실패횟수]]+표3[[#This Row],[공격성공횟수]])</f>
        <v>4.5454545454545456E-2</v>
      </c>
    </row>
    <row r="1090" spans="1:8" x14ac:dyDescent="0.4">
      <c r="A1090">
        <v>545</v>
      </c>
      <c r="B1090" t="s">
        <v>3</v>
      </c>
      <c r="C1090">
        <v>1</v>
      </c>
      <c r="D1090">
        <v>4</v>
      </c>
      <c r="E1090">
        <v>33</v>
      </c>
      <c r="F1090">
        <v>0</v>
      </c>
      <c r="G1090">
        <v>0</v>
      </c>
      <c r="H1090">
        <f>표3[[#This Row],[공격성공횟수]]/(표3[[#This Row],[공격실패횟수]]+표3[[#This Row],[공격성공횟수]])</f>
        <v>0.10810810810810811</v>
      </c>
    </row>
    <row r="1091" spans="1:8" hidden="1" x14ac:dyDescent="0.4">
      <c r="A1091">
        <v>545</v>
      </c>
      <c r="B1091" t="s">
        <v>1</v>
      </c>
      <c r="C1091">
        <v>0</v>
      </c>
      <c r="D1091">
        <v>0</v>
      </c>
      <c r="E1091">
        <v>36</v>
      </c>
      <c r="F1091">
        <v>4</v>
      </c>
      <c r="G1091">
        <v>1</v>
      </c>
      <c r="H1091">
        <f>표3[[#This Row],[공격성공횟수]]/(표3[[#This Row],[공격실패횟수]]+표3[[#This Row],[공격성공횟수]])</f>
        <v>0</v>
      </c>
    </row>
    <row r="1092" spans="1:8" x14ac:dyDescent="0.4">
      <c r="A1092">
        <v>546</v>
      </c>
      <c r="B1092" t="s">
        <v>3</v>
      </c>
      <c r="C1092">
        <v>1</v>
      </c>
      <c r="D1092">
        <v>4</v>
      </c>
      <c r="E1092">
        <v>15</v>
      </c>
      <c r="F1092">
        <v>1</v>
      </c>
      <c r="G1092">
        <v>0</v>
      </c>
      <c r="H1092">
        <f>표3[[#This Row],[공격성공횟수]]/(표3[[#This Row],[공격실패횟수]]+표3[[#This Row],[공격성공횟수]])</f>
        <v>0.21052631578947367</v>
      </c>
    </row>
    <row r="1093" spans="1:8" hidden="1" x14ac:dyDescent="0.4">
      <c r="A1093">
        <v>546</v>
      </c>
      <c r="B1093" t="s">
        <v>1</v>
      </c>
      <c r="C1093">
        <v>0</v>
      </c>
      <c r="D1093">
        <v>1</v>
      </c>
      <c r="E1093">
        <v>16</v>
      </c>
      <c r="F1093">
        <v>4</v>
      </c>
      <c r="G1093">
        <v>1</v>
      </c>
      <c r="H1093">
        <f>표3[[#This Row],[공격성공횟수]]/(표3[[#This Row],[공격실패횟수]]+표3[[#This Row],[공격성공횟수]])</f>
        <v>5.8823529411764705E-2</v>
      </c>
    </row>
    <row r="1094" spans="1:8" x14ac:dyDescent="0.4">
      <c r="A1094">
        <v>547</v>
      </c>
      <c r="B1094" t="s">
        <v>3</v>
      </c>
      <c r="C1094">
        <v>1</v>
      </c>
      <c r="D1094">
        <v>4</v>
      </c>
      <c r="E1094">
        <v>8</v>
      </c>
      <c r="F1094">
        <v>1</v>
      </c>
      <c r="G1094">
        <v>0</v>
      </c>
      <c r="H1094">
        <f>표3[[#This Row],[공격성공횟수]]/(표3[[#This Row],[공격실패횟수]]+표3[[#This Row],[공격성공횟수]])</f>
        <v>0.33333333333333331</v>
      </c>
    </row>
    <row r="1095" spans="1:8" hidden="1" x14ac:dyDescent="0.4">
      <c r="A1095">
        <v>547</v>
      </c>
      <c r="B1095" t="s">
        <v>1</v>
      </c>
      <c r="C1095">
        <v>0</v>
      </c>
      <c r="D1095">
        <v>1</v>
      </c>
      <c r="E1095">
        <v>11</v>
      </c>
      <c r="F1095">
        <v>4</v>
      </c>
      <c r="G1095">
        <v>1</v>
      </c>
      <c r="H1095">
        <f>표3[[#This Row],[공격성공횟수]]/(표3[[#This Row],[공격실패횟수]]+표3[[#This Row],[공격성공횟수]])</f>
        <v>8.3333333333333329E-2</v>
      </c>
    </row>
    <row r="1096" spans="1:8" x14ac:dyDescent="0.4">
      <c r="A1096">
        <v>548</v>
      </c>
      <c r="B1096" t="s">
        <v>3</v>
      </c>
      <c r="C1096">
        <v>1</v>
      </c>
      <c r="D1096">
        <v>4</v>
      </c>
      <c r="E1096">
        <v>33</v>
      </c>
      <c r="F1096">
        <v>2</v>
      </c>
      <c r="G1096">
        <v>0</v>
      </c>
      <c r="H1096">
        <f>표3[[#This Row],[공격성공횟수]]/(표3[[#This Row],[공격실패횟수]]+표3[[#This Row],[공격성공횟수]])</f>
        <v>0.10810810810810811</v>
      </c>
    </row>
    <row r="1097" spans="1:8" hidden="1" x14ac:dyDescent="0.4">
      <c r="A1097">
        <v>548</v>
      </c>
      <c r="B1097" t="s">
        <v>1</v>
      </c>
      <c r="C1097">
        <v>0</v>
      </c>
      <c r="D1097">
        <v>2</v>
      </c>
      <c r="E1097">
        <v>35</v>
      </c>
      <c r="F1097">
        <v>4</v>
      </c>
      <c r="G1097">
        <v>1</v>
      </c>
      <c r="H1097">
        <f>표3[[#This Row],[공격성공횟수]]/(표3[[#This Row],[공격실패횟수]]+표3[[#This Row],[공격성공횟수]])</f>
        <v>5.4054054054054057E-2</v>
      </c>
    </row>
    <row r="1098" spans="1:8" x14ac:dyDescent="0.4">
      <c r="A1098">
        <v>549</v>
      </c>
      <c r="B1098" t="s">
        <v>3</v>
      </c>
      <c r="C1098">
        <v>1</v>
      </c>
      <c r="D1098">
        <v>4</v>
      </c>
      <c r="E1098">
        <v>13</v>
      </c>
      <c r="F1098">
        <v>2</v>
      </c>
      <c r="G1098">
        <v>0</v>
      </c>
      <c r="H1098">
        <f>표3[[#This Row],[공격성공횟수]]/(표3[[#This Row],[공격실패횟수]]+표3[[#This Row],[공격성공횟수]])</f>
        <v>0.23529411764705882</v>
      </c>
    </row>
    <row r="1099" spans="1:8" hidden="1" x14ac:dyDescent="0.4">
      <c r="A1099">
        <v>549</v>
      </c>
      <c r="B1099" t="s">
        <v>1</v>
      </c>
      <c r="C1099">
        <v>0</v>
      </c>
      <c r="D1099">
        <v>2</v>
      </c>
      <c r="E1099">
        <v>24</v>
      </c>
      <c r="F1099">
        <v>4</v>
      </c>
      <c r="G1099">
        <v>1</v>
      </c>
      <c r="H1099">
        <f>표3[[#This Row],[공격성공횟수]]/(표3[[#This Row],[공격실패횟수]]+표3[[#This Row],[공격성공횟수]])</f>
        <v>7.6923076923076927E-2</v>
      </c>
    </row>
    <row r="1100" spans="1:8" x14ac:dyDescent="0.4">
      <c r="A1100">
        <v>550</v>
      </c>
      <c r="B1100" t="s">
        <v>3</v>
      </c>
      <c r="C1100">
        <v>1</v>
      </c>
      <c r="D1100">
        <v>4</v>
      </c>
      <c r="E1100">
        <v>15</v>
      </c>
      <c r="F1100">
        <v>2</v>
      </c>
      <c r="G1100">
        <v>0</v>
      </c>
      <c r="H1100">
        <f>표3[[#This Row],[공격성공횟수]]/(표3[[#This Row],[공격실패횟수]]+표3[[#This Row],[공격성공횟수]])</f>
        <v>0.21052631578947367</v>
      </c>
    </row>
    <row r="1101" spans="1:8" hidden="1" x14ac:dyDescent="0.4">
      <c r="A1101">
        <v>550</v>
      </c>
      <c r="B1101" t="s">
        <v>1</v>
      </c>
      <c r="C1101">
        <v>0</v>
      </c>
      <c r="D1101">
        <v>2</v>
      </c>
      <c r="E1101">
        <v>17</v>
      </c>
      <c r="F1101">
        <v>4</v>
      </c>
      <c r="G1101">
        <v>1</v>
      </c>
      <c r="H1101">
        <f>표3[[#This Row],[공격성공횟수]]/(표3[[#This Row],[공격실패횟수]]+표3[[#This Row],[공격성공횟수]])</f>
        <v>0.10526315789473684</v>
      </c>
    </row>
    <row r="1102" spans="1:8" x14ac:dyDescent="0.4">
      <c r="A1102">
        <v>551</v>
      </c>
      <c r="B1102" t="s">
        <v>3</v>
      </c>
      <c r="C1102">
        <v>0</v>
      </c>
      <c r="D1102">
        <v>0</v>
      </c>
      <c r="E1102">
        <v>18</v>
      </c>
      <c r="F1102">
        <v>4</v>
      </c>
      <c r="G1102">
        <v>1</v>
      </c>
      <c r="H1102">
        <f>표3[[#This Row],[공격성공횟수]]/(표3[[#This Row],[공격실패횟수]]+표3[[#This Row],[공격성공횟수]])</f>
        <v>0</v>
      </c>
    </row>
    <row r="1103" spans="1:8" hidden="1" x14ac:dyDescent="0.4">
      <c r="A1103">
        <v>551</v>
      </c>
      <c r="B1103" t="s">
        <v>1</v>
      </c>
      <c r="C1103">
        <v>1</v>
      </c>
      <c r="D1103">
        <v>4</v>
      </c>
      <c r="E1103">
        <v>14</v>
      </c>
      <c r="F1103">
        <v>0</v>
      </c>
      <c r="G1103">
        <v>0</v>
      </c>
      <c r="H1103">
        <f>표3[[#This Row],[공격성공횟수]]/(표3[[#This Row],[공격실패횟수]]+표3[[#This Row],[공격성공횟수]])</f>
        <v>0.22222222222222221</v>
      </c>
    </row>
    <row r="1104" spans="1:8" x14ac:dyDescent="0.4">
      <c r="A1104">
        <v>552</v>
      </c>
      <c r="B1104" t="s">
        <v>3</v>
      </c>
      <c r="C1104">
        <v>1</v>
      </c>
      <c r="D1104">
        <v>4</v>
      </c>
      <c r="E1104">
        <v>17</v>
      </c>
      <c r="F1104">
        <v>0</v>
      </c>
      <c r="G1104">
        <v>0</v>
      </c>
      <c r="H1104">
        <f>표3[[#This Row],[공격성공횟수]]/(표3[[#This Row],[공격실패횟수]]+표3[[#This Row],[공격성공횟수]])</f>
        <v>0.19047619047619047</v>
      </c>
    </row>
    <row r="1105" spans="1:8" hidden="1" x14ac:dyDescent="0.4">
      <c r="A1105">
        <v>552</v>
      </c>
      <c r="B1105" t="s">
        <v>1</v>
      </c>
      <c r="C1105">
        <v>0</v>
      </c>
      <c r="D1105">
        <v>0</v>
      </c>
      <c r="E1105">
        <v>30</v>
      </c>
      <c r="F1105">
        <v>4</v>
      </c>
      <c r="G1105">
        <v>1</v>
      </c>
      <c r="H1105">
        <f>표3[[#This Row],[공격성공횟수]]/(표3[[#This Row],[공격실패횟수]]+표3[[#This Row],[공격성공횟수]])</f>
        <v>0</v>
      </c>
    </row>
    <row r="1106" spans="1:8" x14ac:dyDescent="0.4">
      <c r="A1106">
        <v>553</v>
      </c>
      <c r="B1106" t="s">
        <v>3</v>
      </c>
      <c r="C1106">
        <v>1</v>
      </c>
      <c r="D1106">
        <v>4</v>
      </c>
      <c r="E1106">
        <v>6</v>
      </c>
      <c r="F1106">
        <v>1</v>
      </c>
      <c r="G1106">
        <v>0</v>
      </c>
      <c r="H1106">
        <f>표3[[#This Row],[공격성공횟수]]/(표3[[#This Row],[공격실패횟수]]+표3[[#This Row],[공격성공횟수]])</f>
        <v>0.4</v>
      </c>
    </row>
    <row r="1107" spans="1:8" hidden="1" x14ac:dyDescent="0.4">
      <c r="A1107">
        <v>553</v>
      </c>
      <c r="B1107" t="s">
        <v>1</v>
      </c>
      <c r="C1107">
        <v>0</v>
      </c>
      <c r="D1107">
        <v>1</v>
      </c>
      <c r="E1107">
        <v>9</v>
      </c>
      <c r="F1107">
        <v>4</v>
      </c>
      <c r="G1107">
        <v>1</v>
      </c>
      <c r="H1107">
        <f>표3[[#This Row],[공격성공횟수]]/(표3[[#This Row],[공격실패횟수]]+표3[[#This Row],[공격성공횟수]])</f>
        <v>0.1</v>
      </c>
    </row>
    <row r="1108" spans="1:8" x14ac:dyDescent="0.4">
      <c r="A1108">
        <v>554</v>
      </c>
      <c r="B1108" t="s">
        <v>3</v>
      </c>
      <c r="C1108">
        <v>1</v>
      </c>
      <c r="D1108">
        <v>4</v>
      </c>
      <c r="E1108">
        <v>11</v>
      </c>
      <c r="F1108">
        <v>0</v>
      </c>
      <c r="G1108">
        <v>0</v>
      </c>
      <c r="H1108">
        <f>표3[[#This Row],[공격성공횟수]]/(표3[[#This Row],[공격실패횟수]]+표3[[#This Row],[공격성공횟수]])</f>
        <v>0.26666666666666666</v>
      </c>
    </row>
    <row r="1109" spans="1:8" hidden="1" x14ac:dyDescent="0.4">
      <c r="A1109">
        <v>554</v>
      </c>
      <c r="B1109" t="s">
        <v>1</v>
      </c>
      <c r="C1109">
        <v>0</v>
      </c>
      <c r="D1109">
        <v>0</v>
      </c>
      <c r="E1109">
        <v>15</v>
      </c>
      <c r="F1109">
        <v>4</v>
      </c>
      <c r="G1109">
        <v>1</v>
      </c>
      <c r="H1109">
        <f>표3[[#This Row],[공격성공횟수]]/(표3[[#This Row],[공격실패횟수]]+표3[[#This Row],[공격성공횟수]])</f>
        <v>0</v>
      </c>
    </row>
    <row r="1110" spans="1:8" x14ac:dyDescent="0.4">
      <c r="A1110">
        <v>555</v>
      </c>
      <c r="B1110" t="s">
        <v>3</v>
      </c>
      <c r="C1110">
        <v>1</v>
      </c>
      <c r="D1110">
        <v>4</v>
      </c>
      <c r="E1110">
        <v>22</v>
      </c>
      <c r="F1110">
        <v>3</v>
      </c>
      <c r="G1110">
        <v>0</v>
      </c>
      <c r="H1110">
        <f>표3[[#This Row],[공격성공횟수]]/(표3[[#This Row],[공격실패횟수]]+표3[[#This Row],[공격성공횟수]])</f>
        <v>0.15384615384615385</v>
      </c>
    </row>
    <row r="1111" spans="1:8" hidden="1" x14ac:dyDescent="0.4">
      <c r="A1111">
        <v>555</v>
      </c>
      <c r="B1111" t="s">
        <v>1</v>
      </c>
      <c r="C1111">
        <v>0</v>
      </c>
      <c r="D1111">
        <v>3</v>
      </c>
      <c r="E1111">
        <v>22</v>
      </c>
      <c r="F1111">
        <v>4</v>
      </c>
      <c r="G1111">
        <v>1</v>
      </c>
      <c r="H1111">
        <f>표3[[#This Row],[공격성공횟수]]/(표3[[#This Row],[공격실패횟수]]+표3[[#This Row],[공격성공횟수]])</f>
        <v>0.12</v>
      </c>
    </row>
    <row r="1112" spans="1:8" x14ac:dyDescent="0.4">
      <c r="A1112">
        <v>556</v>
      </c>
      <c r="B1112" t="s">
        <v>3</v>
      </c>
      <c r="C1112">
        <v>1</v>
      </c>
      <c r="D1112">
        <v>4</v>
      </c>
      <c r="E1112">
        <v>11</v>
      </c>
      <c r="F1112">
        <v>1</v>
      </c>
      <c r="G1112">
        <v>0</v>
      </c>
      <c r="H1112">
        <f>표3[[#This Row],[공격성공횟수]]/(표3[[#This Row],[공격실패횟수]]+표3[[#This Row],[공격성공횟수]])</f>
        <v>0.26666666666666666</v>
      </c>
    </row>
    <row r="1113" spans="1:8" hidden="1" x14ac:dyDescent="0.4">
      <c r="A1113">
        <v>556</v>
      </c>
      <c r="B1113" t="s">
        <v>1</v>
      </c>
      <c r="C1113">
        <v>0</v>
      </c>
      <c r="D1113">
        <v>1</v>
      </c>
      <c r="E1113">
        <v>13</v>
      </c>
      <c r="F1113">
        <v>4</v>
      </c>
      <c r="G1113">
        <v>1</v>
      </c>
      <c r="H1113">
        <f>표3[[#This Row],[공격성공횟수]]/(표3[[#This Row],[공격실패횟수]]+표3[[#This Row],[공격성공횟수]])</f>
        <v>7.1428571428571425E-2</v>
      </c>
    </row>
    <row r="1114" spans="1:8" x14ac:dyDescent="0.4">
      <c r="A1114">
        <v>557</v>
      </c>
      <c r="B1114" t="s">
        <v>3</v>
      </c>
      <c r="C1114">
        <v>1</v>
      </c>
      <c r="D1114">
        <v>4</v>
      </c>
      <c r="E1114">
        <v>8</v>
      </c>
      <c r="F1114">
        <v>0</v>
      </c>
      <c r="G1114">
        <v>0</v>
      </c>
      <c r="H1114">
        <f>표3[[#This Row],[공격성공횟수]]/(표3[[#This Row],[공격실패횟수]]+표3[[#This Row],[공격성공횟수]])</f>
        <v>0.33333333333333331</v>
      </c>
    </row>
    <row r="1115" spans="1:8" hidden="1" x14ac:dyDescent="0.4">
      <c r="A1115">
        <v>557</v>
      </c>
      <c r="B1115" t="s">
        <v>1</v>
      </c>
      <c r="C1115">
        <v>0</v>
      </c>
      <c r="D1115">
        <v>0</v>
      </c>
      <c r="E1115">
        <v>12</v>
      </c>
      <c r="F1115">
        <v>4</v>
      </c>
      <c r="G1115">
        <v>1</v>
      </c>
      <c r="H1115">
        <f>표3[[#This Row],[공격성공횟수]]/(표3[[#This Row],[공격실패횟수]]+표3[[#This Row],[공격성공횟수]])</f>
        <v>0</v>
      </c>
    </row>
    <row r="1116" spans="1:8" x14ac:dyDescent="0.4">
      <c r="A1116">
        <v>558</v>
      </c>
      <c r="B1116" t="s">
        <v>3</v>
      </c>
      <c r="C1116">
        <v>1</v>
      </c>
      <c r="D1116">
        <v>4</v>
      </c>
      <c r="E1116">
        <v>6</v>
      </c>
      <c r="F1116">
        <v>0</v>
      </c>
      <c r="G1116">
        <v>0</v>
      </c>
      <c r="H1116">
        <f>표3[[#This Row],[공격성공횟수]]/(표3[[#This Row],[공격실패횟수]]+표3[[#This Row],[공격성공횟수]])</f>
        <v>0.4</v>
      </c>
    </row>
    <row r="1117" spans="1:8" hidden="1" x14ac:dyDescent="0.4">
      <c r="A1117">
        <v>558</v>
      </c>
      <c r="B1117" t="s">
        <v>1</v>
      </c>
      <c r="C1117">
        <v>0</v>
      </c>
      <c r="D1117">
        <v>0</v>
      </c>
      <c r="E1117">
        <v>10</v>
      </c>
      <c r="F1117">
        <v>4</v>
      </c>
      <c r="G1117">
        <v>1</v>
      </c>
      <c r="H1117">
        <f>표3[[#This Row],[공격성공횟수]]/(표3[[#This Row],[공격실패횟수]]+표3[[#This Row],[공격성공횟수]])</f>
        <v>0</v>
      </c>
    </row>
    <row r="1118" spans="1:8" x14ac:dyDescent="0.4">
      <c r="A1118">
        <v>559</v>
      </c>
      <c r="B1118" t="s">
        <v>3</v>
      </c>
      <c r="C1118">
        <v>1</v>
      </c>
      <c r="D1118">
        <v>4</v>
      </c>
      <c r="E1118">
        <v>32</v>
      </c>
      <c r="F1118">
        <v>0</v>
      </c>
      <c r="G1118">
        <v>0</v>
      </c>
      <c r="H1118">
        <f>표3[[#This Row],[공격성공횟수]]/(표3[[#This Row],[공격실패횟수]]+표3[[#This Row],[공격성공횟수]])</f>
        <v>0.1111111111111111</v>
      </c>
    </row>
    <row r="1119" spans="1:8" hidden="1" x14ac:dyDescent="0.4">
      <c r="A1119">
        <v>559</v>
      </c>
      <c r="B1119" t="s">
        <v>1</v>
      </c>
      <c r="C1119">
        <v>0</v>
      </c>
      <c r="D1119">
        <v>0</v>
      </c>
      <c r="E1119">
        <v>35</v>
      </c>
      <c r="F1119">
        <v>4</v>
      </c>
      <c r="G1119">
        <v>1</v>
      </c>
      <c r="H1119">
        <f>표3[[#This Row],[공격성공횟수]]/(표3[[#This Row],[공격실패횟수]]+표3[[#This Row],[공격성공횟수]])</f>
        <v>0</v>
      </c>
    </row>
    <row r="1120" spans="1:8" x14ac:dyDescent="0.4">
      <c r="A1120">
        <v>560</v>
      </c>
      <c r="B1120" t="s">
        <v>3</v>
      </c>
      <c r="C1120">
        <v>0</v>
      </c>
      <c r="D1120">
        <v>1</v>
      </c>
      <c r="E1120">
        <v>18</v>
      </c>
      <c r="F1120">
        <v>4</v>
      </c>
      <c r="G1120">
        <v>1</v>
      </c>
      <c r="H1120">
        <f>표3[[#This Row],[공격성공횟수]]/(표3[[#This Row],[공격실패횟수]]+표3[[#This Row],[공격성공횟수]])</f>
        <v>5.2631578947368418E-2</v>
      </c>
    </row>
    <row r="1121" spans="1:8" hidden="1" x14ac:dyDescent="0.4">
      <c r="A1121">
        <v>560</v>
      </c>
      <c r="B1121" t="s">
        <v>1</v>
      </c>
      <c r="C1121">
        <v>1</v>
      </c>
      <c r="D1121">
        <v>4</v>
      </c>
      <c r="E1121">
        <v>24</v>
      </c>
      <c r="F1121">
        <v>1</v>
      </c>
      <c r="G1121">
        <v>0</v>
      </c>
      <c r="H1121">
        <f>표3[[#This Row],[공격성공횟수]]/(표3[[#This Row],[공격실패횟수]]+표3[[#This Row],[공격성공횟수]])</f>
        <v>0.14285714285714285</v>
      </c>
    </row>
    <row r="1122" spans="1:8" x14ac:dyDescent="0.4">
      <c r="A1122">
        <v>561</v>
      </c>
      <c r="B1122" t="s">
        <v>3</v>
      </c>
      <c r="C1122">
        <v>0</v>
      </c>
      <c r="D1122">
        <v>0</v>
      </c>
      <c r="E1122">
        <v>11</v>
      </c>
      <c r="F1122">
        <v>4</v>
      </c>
      <c r="G1122">
        <v>1</v>
      </c>
      <c r="H1122">
        <f>표3[[#This Row],[공격성공횟수]]/(표3[[#This Row],[공격실패횟수]]+표3[[#This Row],[공격성공횟수]])</f>
        <v>0</v>
      </c>
    </row>
    <row r="1123" spans="1:8" hidden="1" x14ac:dyDescent="0.4">
      <c r="A1123">
        <v>561</v>
      </c>
      <c r="B1123" t="s">
        <v>1</v>
      </c>
      <c r="C1123">
        <v>1</v>
      </c>
      <c r="D1123">
        <v>4</v>
      </c>
      <c r="E1123">
        <v>12</v>
      </c>
      <c r="F1123">
        <v>0</v>
      </c>
      <c r="G1123">
        <v>0</v>
      </c>
      <c r="H1123">
        <f>표3[[#This Row],[공격성공횟수]]/(표3[[#This Row],[공격실패횟수]]+표3[[#This Row],[공격성공횟수]])</f>
        <v>0.25</v>
      </c>
    </row>
    <row r="1124" spans="1:8" x14ac:dyDescent="0.4">
      <c r="A1124">
        <v>562</v>
      </c>
      <c r="B1124" t="s">
        <v>3</v>
      </c>
      <c r="C1124">
        <v>1</v>
      </c>
      <c r="D1124">
        <v>4</v>
      </c>
      <c r="E1124">
        <v>10</v>
      </c>
      <c r="F1124">
        <v>1</v>
      </c>
      <c r="G1124">
        <v>0</v>
      </c>
      <c r="H1124">
        <f>표3[[#This Row],[공격성공횟수]]/(표3[[#This Row],[공격실패횟수]]+표3[[#This Row],[공격성공횟수]])</f>
        <v>0.2857142857142857</v>
      </c>
    </row>
    <row r="1125" spans="1:8" hidden="1" x14ac:dyDescent="0.4">
      <c r="A1125">
        <v>562</v>
      </c>
      <c r="B1125" t="s">
        <v>1</v>
      </c>
      <c r="C1125">
        <v>0</v>
      </c>
      <c r="D1125">
        <v>1</v>
      </c>
      <c r="E1125">
        <v>12</v>
      </c>
      <c r="F1125">
        <v>4</v>
      </c>
      <c r="G1125">
        <v>1</v>
      </c>
      <c r="H1125">
        <f>표3[[#This Row],[공격성공횟수]]/(표3[[#This Row],[공격실패횟수]]+표3[[#This Row],[공격성공횟수]])</f>
        <v>7.6923076923076927E-2</v>
      </c>
    </row>
    <row r="1126" spans="1:8" x14ac:dyDescent="0.4">
      <c r="A1126">
        <v>563</v>
      </c>
      <c r="B1126" t="s">
        <v>3</v>
      </c>
      <c r="C1126">
        <v>1</v>
      </c>
      <c r="D1126">
        <v>4</v>
      </c>
      <c r="E1126">
        <v>5</v>
      </c>
      <c r="F1126">
        <v>1</v>
      </c>
      <c r="G1126">
        <v>0</v>
      </c>
      <c r="H1126">
        <f>표3[[#This Row],[공격성공횟수]]/(표3[[#This Row],[공격실패횟수]]+표3[[#This Row],[공격성공횟수]])</f>
        <v>0.44444444444444442</v>
      </c>
    </row>
    <row r="1127" spans="1:8" hidden="1" x14ac:dyDescent="0.4">
      <c r="A1127">
        <v>563</v>
      </c>
      <c r="B1127" t="s">
        <v>1</v>
      </c>
      <c r="C1127">
        <v>0</v>
      </c>
      <c r="D1127">
        <v>1</v>
      </c>
      <c r="E1127">
        <v>7</v>
      </c>
      <c r="F1127">
        <v>4</v>
      </c>
      <c r="G1127">
        <v>1</v>
      </c>
      <c r="H1127">
        <f>표3[[#This Row],[공격성공횟수]]/(표3[[#This Row],[공격실패횟수]]+표3[[#This Row],[공격성공횟수]])</f>
        <v>0.125</v>
      </c>
    </row>
    <row r="1128" spans="1:8" x14ac:dyDescent="0.4">
      <c r="A1128">
        <v>564</v>
      </c>
      <c r="B1128" t="s">
        <v>3</v>
      </c>
      <c r="C1128">
        <v>1</v>
      </c>
      <c r="D1128">
        <v>4</v>
      </c>
      <c r="E1128">
        <v>30</v>
      </c>
      <c r="F1128">
        <v>0</v>
      </c>
      <c r="G1128">
        <v>0</v>
      </c>
      <c r="H1128">
        <f>표3[[#This Row],[공격성공횟수]]/(표3[[#This Row],[공격실패횟수]]+표3[[#This Row],[공격성공횟수]])</f>
        <v>0.11764705882352941</v>
      </c>
    </row>
    <row r="1129" spans="1:8" hidden="1" x14ac:dyDescent="0.4">
      <c r="A1129">
        <v>564</v>
      </c>
      <c r="B1129" t="s">
        <v>1</v>
      </c>
      <c r="C1129">
        <v>0</v>
      </c>
      <c r="D1129">
        <v>0</v>
      </c>
      <c r="E1129">
        <v>33</v>
      </c>
      <c r="F1129">
        <v>4</v>
      </c>
      <c r="G1129">
        <v>1</v>
      </c>
      <c r="H1129">
        <f>표3[[#This Row],[공격성공횟수]]/(표3[[#This Row],[공격실패횟수]]+표3[[#This Row],[공격성공횟수]])</f>
        <v>0</v>
      </c>
    </row>
    <row r="1130" spans="1:8" x14ac:dyDescent="0.4">
      <c r="A1130">
        <v>565</v>
      </c>
      <c r="B1130" t="s">
        <v>3</v>
      </c>
      <c r="C1130">
        <v>0</v>
      </c>
      <c r="D1130">
        <v>1</v>
      </c>
      <c r="E1130">
        <v>5</v>
      </c>
      <c r="F1130">
        <v>4</v>
      </c>
      <c r="G1130">
        <v>1</v>
      </c>
      <c r="H1130">
        <f>표3[[#This Row],[공격성공횟수]]/(표3[[#This Row],[공격실패횟수]]+표3[[#This Row],[공격성공횟수]])</f>
        <v>0.16666666666666666</v>
      </c>
    </row>
    <row r="1131" spans="1:8" hidden="1" x14ac:dyDescent="0.4">
      <c r="A1131">
        <v>565</v>
      </c>
      <c r="B1131" t="s">
        <v>1</v>
      </c>
      <c r="C1131">
        <v>1</v>
      </c>
      <c r="D1131">
        <v>4</v>
      </c>
      <c r="E1131">
        <v>19</v>
      </c>
      <c r="F1131">
        <v>1</v>
      </c>
      <c r="G1131">
        <v>0</v>
      </c>
      <c r="H1131">
        <f>표3[[#This Row],[공격성공횟수]]/(표3[[#This Row],[공격실패횟수]]+표3[[#This Row],[공격성공횟수]])</f>
        <v>0.17391304347826086</v>
      </c>
    </row>
    <row r="1132" spans="1:8" x14ac:dyDescent="0.4">
      <c r="A1132">
        <v>566</v>
      </c>
      <c r="B1132" t="s">
        <v>3</v>
      </c>
      <c r="C1132">
        <v>1</v>
      </c>
      <c r="D1132">
        <v>4</v>
      </c>
      <c r="E1132">
        <v>19</v>
      </c>
      <c r="F1132">
        <v>0</v>
      </c>
      <c r="G1132">
        <v>0</v>
      </c>
      <c r="H1132">
        <f>표3[[#This Row],[공격성공횟수]]/(표3[[#This Row],[공격실패횟수]]+표3[[#This Row],[공격성공횟수]])</f>
        <v>0.17391304347826086</v>
      </c>
    </row>
    <row r="1133" spans="1:8" hidden="1" x14ac:dyDescent="0.4">
      <c r="A1133">
        <v>566</v>
      </c>
      <c r="B1133" t="s">
        <v>1</v>
      </c>
      <c r="C1133">
        <v>0</v>
      </c>
      <c r="D1133">
        <v>0</v>
      </c>
      <c r="E1133">
        <v>21</v>
      </c>
      <c r="F1133">
        <v>4</v>
      </c>
      <c r="G1133">
        <v>1</v>
      </c>
      <c r="H1133">
        <f>표3[[#This Row],[공격성공횟수]]/(표3[[#This Row],[공격실패횟수]]+표3[[#This Row],[공격성공횟수]])</f>
        <v>0</v>
      </c>
    </row>
    <row r="1134" spans="1:8" x14ac:dyDescent="0.4">
      <c r="A1134">
        <v>567</v>
      </c>
      <c r="B1134" t="s">
        <v>3</v>
      </c>
      <c r="C1134">
        <v>1</v>
      </c>
      <c r="D1134">
        <v>4</v>
      </c>
      <c r="E1134">
        <v>7</v>
      </c>
      <c r="F1134">
        <v>0</v>
      </c>
      <c r="G1134">
        <v>0</v>
      </c>
      <c r="H1134">
        <f>표3[[#This Row],[공격성공횟수]]/(표3[[#This Row],[공격실패횟수]]+표3[[#This Row],[공격성공횟수]])</f>
        <v>0.36363636363636365</v>
      </c>
    </row>
    <row r="1135" spans="1:8" hidden="1" x14ac:dyDescent="0.4">
      <c r="A1135">
        <v>567</v>
      </c>
      <c r="B1135" t="s">
        <v>1</v>
      </c>
      <c r="C1135">
        <v>0</v>
      </c>
      <c r="D1135">
        <v>0</v>
      </c>
      <c r="E1135">
        <v>10</v>
      </c>
      <c r="F1135">
        <v>4</v>
      </c>
      <c r="G1135">
        <v>1</v>
      </c>
      <c r="H1135">
        <f>표3[[#This Row],[공격성공횟수]]/(표3[[#This Row],[공격실패횟수]]+표3[[#This Row],[공격성공횟수]])</f>
        <v>0</v>
      </c>
    </row>
    <row r="1136" spans="1:8" x14ac:dyDescent="0.4">
      <c r="A1136">
        <v>568</v>
      </c>
      <c r="B1136" t="s">
        <v>3</v>
      </c>
      <c r="C1136">
        <v>1</v>
      </c>
      <c r="D1136">
        <v>4</v>
      </c>
      <c r="E1136">
        <v>20</v>
      </c>
      <c r="F1136">
        <v>0</v>
      </c>
      <c r="G1136">
        <v>0</v>
      </c>
      <c r="H1136">
        <f>표3[[#This Row],[공격성공횟수]]/(표3[[#This Row],[공격실패횟수]]+표3[[#This Row],[공격성공횟수]])</f>
        <v>0.16666666666666666</v>
      </c>
    </row>
    <row r="1137" spans="1:8" hidden="1" x14ac:dyDescent="0.4">
      <c r="A1137">
        <v>568</v>
      </c>
      <c r="B1137" t="s">
        <v>1</v>
      </c>
      <c r="C1137">
        <v>0</v>
      </c>
      <c r="D1137">
        <v>0</v>
      </c>
      <c r="E1137">
        <v>24</v>
      </c>
      <c r="F1137">
        <v>4</v>
      </c>
      <c r="G1137">
        <v>1</v>
      </c>
      <c r="H1137">
        <f>표3[[#This Row],[공격성공횟수]]/(표3[[#This Row],[공격실패횟수]]+표3[[#This Row],[공격성공횟수]])</f>
        <v>0</v>
      </c>
    </row>
    <row r="1138" spans="1:8" x14ac:dyDescent="0.4">
      <c r="A1138">
        <v>569</v>
      </c>
      <c r="B1138" t="s">
        <v>3</v>
      </c>
      <c r="C1138">
        <v>1</v>
      </c>
      <c r="D1138">
        <v>4</v>
      </c>
      <c r="E1138">
        <v>8</v>
      </c>
      <c r="F1138">
        <v>1</v>
      </c>
      <c r="G1138">
        <v>0</v>
      </c>
      <c r="H1138">
        <f>표3[[#This Row],[공격성공횟수]]/(표3[[#This Row],[공격실패횟수]]+표3[[#This Row],[공격성공횟수]])</f>
        <v>0.33333333333333331</v>
      </c>
    </row>
    <row r="1139" spans="1:8" hidden="1" x14ac:dyDescent="0.4">
      <c r="A1139">
        <v>569</v>
      </c>
      <c r="B1139" t="s">
        <v>1</v>
      </c>
      <c r="C1139">
        <v>0</v>
      </c>
      <c r="D1139">
        <v>1</v>
      </c>
      <c r="E1139">
        <v>11</v>
      </c>
      <c r="F1139">
        <v>4</v>
      </c>
      <c r="G1139">
        <v>1</v>
      </c>
      <c r="H1139">
        <f>표3[[#This Row],[공격성공횟수]]/(표3[[#This Row],[공격실패횟수]]+표3[[#This Row],[공격성공횟수]])</f>
        <v>8.3333333333333329E-2</v>
      </c>
    </row>
    <row r="1140" spans="1:8" x14ac:dyDescent="0.4">
      <c r="A1140">
        <v>570</v>
      </c>
      <c r="B1140" t="s">
        <v>3</v>
      </c>
      <c r="C1140">
        <v>0</v>
      </c>
      <c r="D1140">
        <v>2</v>
      </c>
      <c r="E1140">
        <v>11</v>
      </c>
      <c r="F1140">
        <v>4</v>
      </c>
      <c r="G1140">
        <v>1</v>
      </c>
      <c r="H1140">
        <f>표3[[#This Row],[공격성공횟수]]/(표3[[#This Row],[공격실패횟수]]+표3[[#This Row],[공격성공횟수]])</f>
        <v>0.15384615384615385</v>
      </c>
    </row>
    <row r="1141" spans="1:8" hidden="1" x14ac:dyDescent="0.4">
      <c r="A1141">
        <v>570</v>
      </c>
      <c r="B1141" t="s">
        <v>1</v>
      </c>
      <c r="C1141">
        <v>1</v>
      </c>
      <c r="D1141">
        <v>4</v>
      </c>
      <c r="E1141">
        <v>9</v>
      </c>
      <c r="F1141">
        <v>2</v>
      </c>
      <c r="G1141">
        <v>0</v>
      </c>
      <c r="H1141">
        <f>표3[[#This Row],[공격성공횟수]]/(표3[[#This Row],[공격실패횟수]]+표3[[#This Row],[공격성공횟수]])</f>
        <v>0.30769230769230771</v>
      </c>
    </row>
    <row r="1142" spans="1:8" x14ac:dyDescent="0.4">
      <c r="A1142">
        <v>571</v>
      </c>
      <c r="B1142" t="s">
        <v>3</v>
      </c>
      <c r="C1142">
        <v>1</v>
      </c>
      <c r="D1142">
        <v>4</v>
      </c>
      <c r="E1142">
        <v>19</v>
      </c>
      <c r="F1142">
        <v>1</v>
      </c>
      <c r="G1142">
        <v>0</v>
      </c>
      <c r="H1142">
        <f>표3[[#This Row],[공격성공횟수]]/(표3[[#This Row],[공격실패횟수]]+표3[[#This Row],[공격성공횟수]])</f>
        <v>0.17391304347826086</v>
      </c>
    </row>
    <row r="1143" spans="1:8" hidden="1" x14ac:dyDescent="0.4">
      <c r="A1143">
        <v>571</v>
      </c>
      <c r="B1143" t="s">
        <v>1</v>
      </c>
      <c r="C1143">
        <v>0</v>
      </c>
      <c r="D1143">
        <v>1</v>
      </c>
      <c r="E1143">
        <v>20</v>
      </c>
      <c r="F1143">
        <v>4</v>
      </c>
      <c r="G1143">
        <v>1</v>
      </c>
      <c r="H1143">
        <f>표3[[#This Row],[공격성공횟수]]/(표3[[#This Row],[공격실패횟수]]+표3[[#This Row],[공격성공횟수]])</f>
        <v>4.7619047619047616E-2</v>
      </c>
    </row>
    <row r="1144" spans="1:8" x14ac:dyDescent="0.4">
      <c r="A1144">
        <v>572</v>
      </c>
      <c r="B1144" t="s">
        <v>3</v>
      </c>
      <c r="C1144">
        <v>0</v>
      </c>
      <c r="D1144">
        <v>1</v>
      </c>
      <c r="E1144">
        <v>9</v>
      </c>
      <c r="F1144">
        <v>4</v>
      </c>
      <c r="G1144">
        <v>1</v>
      </c>
      <c r="H1144">
        <f>표3[[#This Row],[공격성공횟수]]/(표3[[#This Row],[공격실패횟수]]+표3[[#This Row],[공격성공횟수]])</f>
        <v>0.1</v>
      </c>
    </row>
    <row r="1145" spans="1:8" hidden="1" x14ac:dyDescent="0.4">
      <c r="A1145">
        <v>572</v>
      </c>
      <c r="B1145" t="s">
        <v>1</v>
      </c>
      <c r="C1145">
        <v>1</v>
      </c>
      <c r="D1145">
        <v>4</v>
      </c>
      <c r="E1145">
        <v>7</v>
      </c>
      <c r="F1145">
        <v>1</v>
      </c>
      <c r="G1145">
        <v>0</v>
      </c>
      <c r="H1145">
        <f>표3[[#This Row],[공격성공횟수]]/(표3[[#This Row],[공격실패횟수]]+표3[[#This Row],[공격성공횟수]])</f>
        <v>0.36363636363636365</v>
      </c>
    </row>
    <row r="1146" spans="1:8" x14ac:dyDescent="0.4">
      <c r="A1146">
        <v>573</v>
      </c>
      <c r="B1146" t="s">
        <v>3</v>
      </c>
      <c r="C1146">
        <v>0</v>
      </c>
      <c r="D1146">
        <v>0</v>
      </c>
      <c r="E1146">
        <v>8</v>
      </c>
      <c r="F1146">
        <v>4</v>
      </c>
      <c r="G1146">
        <v>1</v>
      </c>
      <c r="H1146">
        <f>표3[[#This Row],[공격성공횟수]]/(표3[[#This Row],[공격실패횟수]]+표3[[#This Row],[공격성공횟수]])</f>
        <v>0</v>
      </c>
    </row>
    <row r="1147" spans="1:8" hidden="1" x14ac:dyDescent="0.4">
      <c r="A1147">
        <v>573</v>
      </c>
      <c r="B1147" t="s">
        <v>1</v>
      </c>
      <c r="C1147">
        <v>1</v>
      </c>
      <c r="D1147">
        <v>4</v>
      </c>
      <c r="E1147">
        <v>8</v>
      </c>
      <c r="F1147">
        <v>0</v>
      </c>
      <c r="G1147">
        <v>0</v>
      </c>
      <c r="H1147">
        <f>표3[[#This Row],[공격성공횟수]]/(표3[[#This Row],[공격실패횟수]]+표3[[#This Row],[공격성공횟수]])</f>
        <v>0.33333333333333331</v>
      </c>
    </row>
    <row r="1148" spans="1:8" x14ac:dyDescent="0.4">
      <c r="A1148">
        <v>574</v>
      </c>
      <c r="B1148" t="s">
        <v>3</v>
      </c>
      <c r="C1148">
        <v>1</v>
      </c>
      <c r="D1148">
        <v>4</v>
      </c>
      <c r="E1148">
        <v>5</v>
      </c>
      <c r="F1148">
        <v>0</v>
      </c>
      <c r="G1148">
        <v>0</v>
      </c>
      <c r="H1148">
        <f>표3[[#This Row],[공격성공횟수]]/(표3[[#This Row],[공격실패횟수]]+표3[[#This Row],[공격성공횟수]])</f>
        <v>0.44444444444444442</v>
      </c>
    </row>
    <row r="1149" spans="1:8" hidden="1" x14ac:dyDescent="0.4">
      <c r="A1149">
        <v>574</v>
      </c>
      <c r="B1149" t="s">
        <v>1</v>
      </c>
      <c r="C1149">
        <v>0</v>
      </c>
      <c r="D1149">
        <v>0</v>
      </c>
      <c r="E1149">
        <v>8</v>
      </c>
      <c r="F1149">
        <v>4</v>
      </c>
      <c r="G1149">
        <v>1</v>
      </c>
      <c r="H1149">
        <f>표3[[#This Row],[공격성공횟수]]/(표3[[#This Row],[공격실패횟수]]+표3[[#This Row],[공격성공횟수]])</f>
        <v>0</v>
      </c>
    </row>
    <row r="1150" spans="1:8" x14ac:dyDescent="0.4">
      <c r="A1150">
        <v>575</v>
      </c>
      <c r="B1150" t="s">
        <v>3</v>
      </c>
      <c r="C1150">
        <v>1</v>
      </c>
      <c r="D1150">
        <v>4</v>
      </c>
      <c r="E1150">
        <v>6</v>
      </c>
      <c r="F1150">
        <v>0</v>
      </c>
      <c r="G1150">
        <v>0</v>
      </c>
      <c r="H1150">
        <f>표3[[#This Row],[공격성공횟수]]/(표3[[#This Row],[공격실패횟수]]+표3[[#This Row],[공격성공횟수]])</f>
        <v>0.4</v>
      </c>
    </row>
    <row r="1151" spans="1:8" hidden="1" x14ac:dyDescent="0.4">
      <c r="A1151">
        <v>575</v>
      </c>
      <c r="B1151" t="s">
        <v>1</v>
      </c>
      <c r="C1151">
        <v>0</v>
      </c>
      <c r="D1151">
        <v>0</v>
      </c>
      <c r="E1151">
        <v>9</v>
      </c>
      <c r="F1151">
        <v>4</v>
      </c>
      <c r="G1151">
        <v>1</v>
      </c>
      <c r="H1151">
        <f>표3[[#This Row],[공격성공횟수]]/(표3[[#This Row],[공격실패횟수]]+표3[[#This Row],[공격성공횟수]])</f>
        <v>0</v>
      </c>
    </row>
    <row r="1152" spans="1:8" x14ac:dyDescent="0.4">
      <c r="A1152">
        <v>576</v>
      </c>
      <c r="B1152" t="s">
        <v>3</v>
      </c>
      <c r="C1152">
        <v>1</v>
      </c>
      <c r="D1152">
        <v>4</v>
      </c>
      <c r="E1152">
        <v>10</v>
      </c>
      <c r="F1152">
        <v>0</v>
      </c>
      <c r="G1152">
        <v>0</v>
      </c>
      <c r="H1152">
        <f>표3[[#This Row],[공격성공횟수]]/(표3[[#This Row],[공격실패횟수]]+표3[[#This Row],[공격성공횟수]])</f>
        <v>0.2857142857142857</v>
      </c>
    </row>
    <row r="1153" spans="1:8" hidden="1" x14ac:dyDescent="0.4">
      <c r="A1153">
        <v>576</v>
      </c>
      <c r="B1153" t="s">
        <v>1</v>
      </c>
      <c r="C1153">
        <v>0</v>
      </c>
      <c r="D1153">
        <v>0</v>
      </c>
      <c r="E1153">
        <v>14</v>
      </c>
      <c r="F1153">
        <v>4</v>
      </c>
      <c r="G1153">
        <v>1</v>
      </c>
      <c r="H1153">
        <f>표3[[#This Row],[공격성공횟수]]/(표3[[#This Row],[공격실패횟수]]+표3[[#This Row],[공격성공횟수]])</f>
        <v>0</v>
      </c>
    </row>
    <row r="1154" spans="1:8" x14ac:dyDescent="0.4">
      <c r="A1154">
        <v>577</v>
      </c>
      <c r="B1154" t="s">
        <v>3</v>
      </c>
      <c r="C1154">
        <v>0</v>
      </c>
      <c r="D1154">
        <v>0</v>
      </c>
      <c r="E1154">
        <v>12</v>
      </c>
      <c r="F1154">
        <v>4</v>
      </c>
      <c r="G1154">
        <v>1</v>
      </c>
      <c r="H1154">
        <f>표3[[#This Row],[공격성공횟수]]/(표3[[#This Row],[공격실패횟수]]+표3[[#This Row],[공격성공횟수]])</f>
        <v>0</v>
      </c>
    </row>
    <row r="1155" spans="1:8" hidden="1" x14ac:dyDescent="0.4">
      <c r="A1155">
        <v>577</v>
      </c>
      <c r="B1155" t="s">
        <v>1</v>
      </c>
      <c r="C1155">
        <v>1</v>
      </c>
      <c r="D1155">
        <v>4</v>
      </c>
      <c r="E1155">
        <v>9</v>
      </c>
      <c r="F1155">
        <v>0</v>
      </c>
      <c r="G1155">
        <v>0</v>
      </c>
      <c r="H1155">
        <f>표3[[#This Row],[공격성공횟수]]/(표3[[#This Row],[공격실패횟수]]+표3[[#This Row],[공격성공횟수]])</f>
        <v>0.30769230769230771</v>
      </c>
    </row>
    <row r="1156" spans="1:8" x14ac:dyDescent="0.4">
      <c r="A1156">
        <v>578</v>
      </c>
      <c r="B1156" t="s">
        <v>3</v>
      </c>
      <c r="C1156">
        <v>1</v>
      </c>
      <c r="D1156">
        <v>4</v>
      </c>
      <c r="E1156">
        <v>22</v>
      </c>
      <c r="F1156">
        <v>0</v>
      </c>
      <c r="G1156">
        <v>0</v>
      </c>
      <c r="H1156">
        <f>표3[[#This Row],[공격성공횟수]]/(표3[[#This Row],[공격실패횟수]]+표3[[#This Row],[공격성공횟수]])</f>
        <v>0.15384615384615385</v>
      </c>
    </row>
    <row r="1157" spans="1:8" hidden="1" x14ac:dyDescent="0.4">
      <c r="A1157">
        <v>578</v>
      </c>
      <c r="B1157" t="s">
        <v>1</v>
      </c>
      <c r="C1157">
        <v>0</v>
      </c>
      <c r="D1157">
        <v>0</v>
      </c>
      <c r="E1157">
        <v>24</v>
      </c>
      <c r="F1157">
        <v>4</v>
      </c>
      <c r="G1157">
        <v>1</v>
      </c>
      <c r="H1157">
        <f>표3[[#This Row],[공격성공횟수]]/(표3[[#This Row],[공격실패횟수]]+표3[[#This Row],[공격성공횟수]])</f>
        <v>0</v>
      </c>
    </row>
    <row r="1158" spans="1:8" x14ac:dyDescent="0.4">
      <c r="A1158">
        <v>579</v>
      </c>
      <c r="B1158" t="s">
        <v>3</v>
      </c>
      <c r="C1158">
        <v>1</v>
      </c>
      <c r="D1158">
        <v>4</v>
      </c>
      <c r="E1158">
        <v>17</v>
      </c>
      <c r="F1158">
        <v>0</v>
      </c>
      <c r="G1158">
        <v>0</v>
      </c>
      <c r="H1158">
        <f>표3[[#This Row],[공격성공횟수]]/(표3[[#This Row],[공격실패횟수]]+표3[[#This Row],[공격성공횟수]])</f>
        <v>0.19047619047619047</v>
      </c>
    </row>
    <row r="1159" spans="1:8" hidden="1" x14ac:dyDescent="0.4">
      <c r="A1159">
        <v>579</v>
      </c>
      <c r="B1159" t="s">
        <v>1</v>
      </c>
      <c r="C1159">
        <v>0</v>
      </c>
      <c r="D1159">
        <v>0</v>
      </c>
      <c r="E1159">
        <v>20</v>
      </c>
      <c r="F1159">
        <v>4</v>
      </c>
      <c r="G1159">
        <v>1</v>
      </c>
      <c r="H1159">
        <f>표3[[#This Row],[공격성공횟수]]/(표3[[#This Row],[공격실패횟수]]+표3[[#This Row],[공격성공횟수]])</f>
        <v>0</v>
      </c>
    </row>
    <row r="1160" spans="1:8" x14ac:dyDescent="0.4">
      <c r="A1160">
        <v>580</v>
      </c>
      <c r="B1160" t="s">
        <v>3</v>
      </c>
      <c r="C1160">
        <v>1</v>
      </c>
      <c r="D1160">
        <v>4</v>
      </c>
      <c r="E1160">
        <v>9</v>
      </c>
      <c r="F1160">
        <v>0</v>
      </c>
      <c r="G1160">
        <v>0</v>
      </c>
      <c r="H1160">
        <f>표3[[#This Row],[공격성공횟수]]/(표3[[#This Row],[공격실패횟수]]+표3[[#This Row],[공격성공횟수]])</f>
        <v>0.30769230769230771</v>
      </c>
    </row>
    <row r="1161" spans="1:8" hidden="1" x14ac:dyDescent="0.4">
      <c r="A1161">
        <v>580</v>
      </c>
      <c r="B1161" t="s">
        <v>1</v>
      </c>
      <c r="C1161">
        <v>0</v>
      </c>
      <c r="D1161">
        <v>0</v>
      </c>
      <c r="E1161">
        <v>13</v>
      </c>
      <c r="F1161">
        <v>4</v>
      </c>
      <c r="G1161">
        <v>1</v>
      </c>
      <c r="H1161">
        <f>표3[[#This Row],[공격성공횟수]]/(표3[[#This Row],[공격실패횟수]]+표3[[#This Row],[공격성공횟수]])</f>
        <v>0</v>
      </c>
    </row>
    <row r="1162" spans="1:8" x14ac:dyDescent="0.4">
      <c r="A1162">
        <v>581</v>
      </c>
      <c r="B1162" t="s">
        <v>3</v>
      </c>
      <c r="C1162">
        <v>1</v>
      </c>
      <c r="D1162">
        <v>4</v>
      </c>
      <c r="E1162">
        <v>5</v>
      </c>
      <c r="F1162">
        <v>0</v>
      </c>
      <c r="G1162">
        <v>0</v>
      </c>
      <c r="H1162">
        <f>표3[[#This Row],[공격성공횟수]]/(표3[[#This Row],[공격실패횟수]]+표3[[#This Row],[공격성공횟수]])</f>
        <v>0.44444444444444442</v>
      </c>
    </row>
    <row r="1163" spans="1:8" hidden="1" x14ac:dyDescent="0.4">
      <c r="A1163">
        <v>581</v>
      </c>
      <c r="B1163" t="s">
        <v>1</v>
      </c>
      <c r="C1163">
        <v>0</v>
      </c>
      <c r="D1163">
        <v>0</v>
      </c>
      <c r="E1163">
        <v>8</v>
      </c>
      <c r="F1163">
        <v>4</v>
      </c>
      <c r="G1163">
        <v>1</v>
      </c>
      <c r="H1163">
        <f>표3[[#This Row],[공격성공횟수]]/(표3[[#This Row],[공격실패횟수]]+표3[[#This Row],[공격성공횟수]])</f>
        <v>0</v>
      </c>
    </row>
    <row r="1164" spans="1:8" x14ac:dyDescent="0.4">
      <c r="A1164">
        <v>582</v>
      </c>
      <c r="B1164" t="s">
        <v>3</v>
      </c>
      <c r="C1164">
        <v>1</v>
      </c>
      <c r="D1164">
        <v>4</v>
      </c>
      <c r="E1164">
        <v>7</v>
      </c>
      <c r="F1164">
        <v>0</v>
      </c>
      <c r="G1164">
        <v>0</v>
      </c>
      <c r="H1164">
        <f>표3[[#This Row],[공격성공횟수]]/(표3[[#This Row],[공격실패횟수]]+표3[[#This Row],[공격성공횟수]])</f>
        <v>0.36363636363636365</v>
      </c>
    </row>
    <row r="1165" spans="1:8" hidden="1" x14ac:dyDescent="0.4">
      <c r="A1165">
        <v>582</v>
      </c>
      <c r="B1165" t="s">
        <v>1</v>
      </c>
      <c r="C1165">
        <v>0</v>
      </c>
      <c r="D1165">
        <v>0</v>
      </c>
      <c r="E1165">
        <v>11</v>
      </c>
      <c r="F1165">
        <v>4</v>
      </c>
      <c r="G1165">
        <v>1</v>
      </c>
      <c r="H1165">
        <f>표3[[#This Row],[공격성공횟수]]/(표3[[#This Row],[공격실패횟수]]+표3[[#This Row],[공격성공횟수]])</f>
        <v>0</v>
      </c>
    </row>
    <row r="1166" spans="1:8" x14ac:dyDescent="0.4">
      <c r="A1166">
        <v>583</v>
      </c>
      <c r="B1166" t="s">
        <v>3</v>
      </c>
      <c r="C1166">
        <v>1</v>
      </c>
      <c r="D1166">
        <v>4</v>
      </c>
      <c r="E1166">
        <v>6</v>
      </c>
      <c r="F1166">
        <v>1</v>
      </c>
      <c r="G1166">
        <v>0</v>
      </c>
      <c r="H1166">
        <f>표3[[#This Row],[공격성공횟수]]/(표3[[#This Row],[공격실패횟수]]+표3[[#This Row],[공격성공횟수]])</f>
        <v>0.4</v>
      </c>
    </row>
    <row r="1167" spans="1:8" hidden="1" x14ac:dyDescent="0.4">
      <c r="A1167">
        <v>583</v>
      </c>
      <c r="B1167" t="s">
        <v>1</v>
      </c>
      <c r="C1167">
        <v>0</v>
      </c>
      <c r="D1167">
        <v>1</v>
      </c>
      <c r="E1167">
        <v>8</v>
      </c>
      <c r="F1167">
        <v>4</v>
      </c>
      <c r="G1167">
        <v>1</v>
      </c>
      <c r="H1167">
        <f>표3[[#This Row],[공격성공횟수]]/(표3[[#This Row],[공격실패횟수]]+표3[[#This Row],[공격성공횟수]])</f>
        <v>0.1111111111111111</v>
      </c>
    </row>
    <row r="1168" spans="1:8" x14ac:dyDescent="0.4">
      <c r="A1168">
        <v>584</v>
      </c>
      <c r="B1168" t="s">
        <v>3</v>
      </c>
      <c r="C1168">
        <v>1</v>
      </c>
      <c r="D1168">
        <v>4</v>
      </c>
      <c r="E1168">
        <v>13</v>
      </c>
      <c r="F1168">
        <v>0</v>
      </c>
      <c r="G1168">
        <v>0</v>
      </c>
      <c r="H1168">
        <f>표3[[#This Row],[공격성공횟수]]/(표3[[#This Row],[공격실패횟수]]+표3[[#This Row],[공격성공횟수]])</f>
        <v>0.23529411764705882</v>
      </c>
    </row>
    <row r="1169" spans="1:8" hidden="1" x14ac:dyDescent="0.4">
      <c r="A1169">
        <v>584</v>
      </c>
      <c r="B1169" t="s">
        <v>1</v>
      </c>
      <c r="C1169">
        <v>0</v>
      </c>
      <c r="D1169">
        <v>0</v>
      </c>
      <c r="E1169">
        <v>17</v>
      </c>
      <c r="F1169">
        <v>4</v>
      </c>
      <c r="G1169">
        <v>1</v>
      </c>
      <c r="H1169">
        <f>표3[[#This Row],[공격성공횟수]]/(표3[[#This Row],[공격실패횟수]]+표3[[#This Row],[공격성공횟수]])</f>
        <v>0</v>
      </c>
    </row>
    <row r="1170" spans="1:8" x14ac:dyDescent="0.4">
      <c r="A1170">
        <v>585</v>
      </c>
      <c r="B1170" t="s">
        <v>3</v>
      </c>
      <c r="C1170">
        <v>1</v>
      </c>
      <c r="D1170">
        <v>4</v>
      </c>
      <c r="E1170">
        <v>9</v>
      </c>
      <c r="F1170">
        <v>0</v>
      </c>
      <c r="G1170">
        <v>0</v>
      </c>
      <c r="H1170">
        <f>표3[[#This Row],[공격성공횟수]]/(표3[[#This Row],[공격실패횟수]]+표3[[#This Row],[공격성공횟수]])</f>
        <v>0.30769230769230771</v>
      </c>
    </row>
    <row r="1171" spans="1:8" hidden="1" x14ac:dyDescent="0.4">
      <c r="A1171">
        <v>585</v>
      </c>
      <c r="B1171" t="s">
        <v>1</v>
      </c>
      <c r="C1171">
        <v>0</v>
      </c>
      <c r="D1171">
        <v>0</v>
      </c>
      <c r="E1171">
        <v>13</v>
      </c>
      <c r="F1171">
        <v>4</v>
      </c>
      <c r="G1171">
        <v>1</v>
      </c>
      <c r="H1171">
        <f>표3[[#This Row],[공격성공횟수]]/(표3[[#This Row],[공격실패횟수]]+표3[[#This Row],[공격성공횟수]])</f>
        <v>0</v>
      </c>
    </row>
    <row r="1172" spans="1:8" x14ac:dyDescent="0.4">
      <c r="A1172">
        <v>586</v>
      </c>
      <c r="B1172" t="s">
        <v>3</v>
      </c>
      <c r="C1172">
        <v>1</v>
      </c>
      <c r="D1172">
        <v>4</v>
      </c>
      <c r="E1172">
        <v>4</v>
      </c>
      <c r="F1172">
        <v>0</v>
      </c>
      <c r="G1172">
        <v>0</v>
      </c>
      <c r="H1172">
        <f>표3[[#This Row],[공격성공횟수]]/(표3[[#This Row],[공격실패횟수]]+표3[[#This Row],[공격성공횟수]])</f>
        <v>0.5</v>
      </c>
    </row>
    <row r="1173" spans="1:8" hidden="1" x14ac:dyDescent="0.4">
      <c r="A1173">
        <v>586</v>
      </c>
      <c r="B1173" t="s">
        <v>1</v>
      </c>
      <c r="C1173">
        <v>0</v>
      </c>
      <c r="D1173">
        <v>0</v>
      </c>
      <c r="E1173">
        <v>7</v>
      </c>
      <c r="F1173">
        <v>4</v>
      </c>
      <c r="G1173">
        <v>1</v>
      </c>
      <c r="H1173">
        <f>표3[[#This Row],[공격성공횟수]]/(표3[[#This Row],[공격실패횟수]]+표3[[#This Row],[공격성공횟수]])</f>
        <v>0</v>
      </c>
    </row>
    <row r="1174" spans="1:8" x14ac:dyDescent="0.4">
      <c r="A1174">
        <v>587</v>
      </c>
      <c r="B1174" t="s">
        <v>3</v>
      </c>
      <c r="C1174">
        <v>1</v>
      </c>
      <c r="D1174">
        <v>4</v>
      </c>
      <c r="E1174">
        <v>13</v>
      </c>
      <c r="F1174">
        <v>0</v>
      </c>
      <c r="G1174">
        <v>0</v>
      </c>
      <c r="H1174">
        <f>표3[[#This Row],[공격성공횟수]]/(표3[[#This Row],[공격실패횟수]]+표3[[#This Row],[공격성공횟수]])</f>
        <v>0.23529411764705882</v>
      </c>
    </row>
    <row r="1175" spans="1:8" hidden="1" x14ac:dyDescent="0.4">
      <c r="A1175">
        <v>587</v>
      </c>
      <c r="B1175" t="s">
        <v>1</v>
      </c>
      <c r="C1175">
        <v>0</v>
      </c>
      <c r="D1175">
        <v>0</v>
      </c>
      <c r="E1175">
        <v>17</v>
      </c>
      <c r="F1175">
        <v>4</v>
      </c>
      <c r="G1175">
        <v>1</v>
      </c>
      <c r="H1175">
        <f>표3[[#This Row],[공격성공횟수]]/(표3[[#This Row],[공격실패횟수]]+표3[[#This Row],[공격성공횟수]])</f>
        <v>0</v>
      </c>
    </row>
    <row r="1176" spans="1:8" x14ac:dyDescent="0.4">
      <c r="A1176">
        <v>588</v>
      </c>
      <c r="B1176" t="s">
        <v>3</v>
      </c>
      <c r="C1176">
        <v>1</v>
      </c>
      <c r="D1176">
        <v>4</v>
      </c>
      <c r="E1176">
        <v>9</v>
      </c>
      <c r="F1176">
        <v>0</v>
      </c>
      <c r="G1176">
        <v>0</v>
      </c>
      <c r="H1176">
        <f>표3[[#This Row],[공격성공횟수]]/(표3[[#This Row],[공격실패횟수]]+표3[[#This Row],[공격성공횟수]])</f>
        <v>0.30769230769230771</v>
      </c>
    </row>
    <row r="1177" spans="1:8" hidden="1" x14ac:dyDescent="0.4">
      <c r="A1177">
        <v>588</v>
      </c>
      <c r="B1177" t="s">
        <v>1</v>
      </c>
      <c r="C1177">
        <v>0</v>
      </c>
      <c r="D1177">
        <v>0</v>
      </c>
      <c r="E1177">
        <v>13</v>
      </c>
      <c r="F1177">
        <v>4</v>
      </c>
      <c r="G1177">
        <v>1</v>
      </c>
      <c r="H1177">
        <f>표3[[#This Row],[공격성공횟수]]/(표3[[#This Row],[공격실패횟수]]+표3[[#This Row],[공격성공횟수]])</f>
        <v>0</v>
      </c>
    </row>
    <row r="1178" spans="1:8" x14ac:dyDescent="0.4">
      <c r="A1178">
        <v>589</v>
      </c>
      <c r="B1178" t="s">
        <v>3</v>
      </c>
      <c r="C1178">
        <v>1</v>
      </c>
      <c r="D1178">
        <v>4</v>
      </c>
      <c r="E1178">
        <v>5</v>
      </c>
      <c r="F1178">
        <v>0</v>
      </c>
      <c r="G1178">
        <v>0</v>
      </c>
      <c r="H1178">
        <f>표3[[#This Row],[공격성공횟수]]/(표3[[#This Row],[공격실패횟수]]+표3[[#This Row],[공격성공횟수]])</f>
        <v>0.44444444444444442</v>
      </c>
    </row>
    <row r="1179" spans="1:8" hidden="1" x14ac:dyDescent="0.4">
      <c r="A1179">
        <v>589</v>
      </c>
      <c r="B1179" t="s">
        <v>1</v>
      </c>
      <c r="C1179">
        <v>0</v>
      </c>
      <c r="D1179">
        <v>0</v>
      </c>
      <c r="E1179">
        <v>8</v>
      </c>
      <c r="F1179">
        <v>4</v>
      </c>
      <c r="G1179">
        <v>1</v>
      </c>
      <c r="H1179">
        <f>표3[[#This Row],[공격성공횟수]]/(표3[[#This Row],[공격실패횟수]]+표3[[#This Row],[공격성공횟수]])</f>
        <v>0</v>
      </c>
    </row>
    <row r="1180" spans="1:8" x14ac:dyDescent="0.4">
      <c r="A1180">
        <v>590</v>
      </c>
      <c r="B1180" t="s">
        <v>3</v>
      </c>
      <c r="C1180">
        <v>1</v>
      </c>
      <c r="D1180">
        <v>4</v>
      </c>
      <c r="E1180">
        <v>7</v>
      </c>
      <c r="F1180">
        <v>0</v>
      </c>
      <c r="G1180">
        <v>0</v>
      </c>
      <c r="H1180">
        <f>표3[[#This Row],[공격성공횟수]]/(표3[[#This Row],[공격실패횟수]]+표3[[#This Row],[공격성공횟수]])</f>
        <v>0.36363636363636365</v>
      </c>
    </row>
    <row r="1181" spans="1:8" hidden="1" x14ac:dyDescent="0.4">
      <c r="A1181">
        <v>590</v>
      </c>
      <c r="B1181" t="s">
        <v>1</v>
      </c>
      <c r="C1181">
        <v>0</v>
      </c>
      <c r="D1181">
        <v>0</v>
      </c>
      <c r="E1181">
        <v>11</v>
      </c>
      <c r="F1181">
        <v>4</v>
      </c>
      <c r="G1181">
        <v>1</v>
      </c>
      <c r="H1181">
        <f>표3[[#This Row],[공격성공횟수]]/(표3[[#This Row],[공격실패횟수]]+표3[[#This Row],[공격성공횟수]])</f>
        <v>0</v>
      </c>
    </row>
    <row r="1182" spans="1:8" x14ac:dyDescent="0.4">
      <c r="A1182">
        <v>591</v>
      </c>
      <c r="B1182" t="s">
        <v>3</v>
      </c>
      <c r="C1182">
        <v>1</v>
      </c>
      <c r="D1182">
        <v>4</v>
      </c>
      <c r="E1182">
        <v>15</v>
      </c>
      <c r="F1182">
        <v>0</v>
      </c>
      <c r="G1182">
        <v>0</v>
      </c>
      <c r="H1182">
        <f>표3[[#This Row],[공격성공횟수]]/(표3[[#This Row],[공격실패횟수]]+표3[[#This Row],[공격성공횟수]])</f>
        <v>0.21052631578947367</v>
      </c>
    </row>
    <row r="1183" spans="1:8" hidden="1" x14ac:dyDescent="0.4">
      <c r="A1183">
        <v>591</v>
      </c>
      <c r="B1183" t="s">
        <v>1</v>
      </c>
      <c r="C1183">
        <v>0</v>
      </c>
      <c r="D1183">
        <v>0</v>
      </c>
      <c r="E1183">
        <v>23</v>
      </c>
      <c r="F1183">
        <v>4</v>
      </c>
      <c r="G1183">
        <v>1</v>
      </c>
      <c r="H1183">
        <f>표3[[#This Row],[공격성공횟수]]/(표3[[#This Row],[공격실패횟수]]+표3[[#This Row],[공격성공횟수]])</f>
        <v>0</v>
      </c>
    </row>
    <row r="1184" spans="1:8" x14ac:dyDescent="0.4">
      <c r="A1184">
        <v>592</v>
      </c>
      <c r="B1184" t="s">
        <v>3</v>
      </c>
      <c r="C1184">
        <v>1</v>
      </c>
      <c r="D1184">
        <v>4</v>
      </c>
      <c r="E1184">
        <v>8</v>
      </c>
      <c r="F1184">
        <v>0</v>
      </c>
      <c r="G1184">
        <v>0</v>
      </c>
      <c r="H1184">
        <f>표3[[#This Row],[공격성공횟수]]/(표3[[#This Row],[공격실패횟수]]+표3[[#This Row],[공격성공횟수]])</f>
        <v>0.33333333333333331</v>
      </c>
    </row>
    <row r="1185" spans="1:8" hidden="1" x14ac:dyDescent="0.4">
      <c r="A1185">
        <v>592</v>
      </c>
      <c r="B1185" t="s">
        <v>1</v>
      </c>
      <c r="C1185">
        <v>0</v>
      </c>
      <c r="D1185">
        <v>0</v>
      </c>
      <c r="E1185">
        <v>12</v>
      </c>
      <c r="F1185">
        <v>4</v>
      </c>
      <c r="G1185">
        <v>1</v>
      </c>
      <c r="H1185">
        <f>표3[[#This Row],[공격성공횟수]]/(표3[[#This Row],[공격실패횟수]]+표3[[#This Row],[공격성공횟수]])</f>
        <v>0</v>
      </c>
    </row>
    <row r="1186" spans="1:8" x14ac:dyDescent="0.4">
      <c r="A1186">
        <v>593</v>
      </c>
      <c r="B1186" t="s">
        <v>3</v>
      </c>
      <c r="C1186">
        <v>1</v>
      </c>
      <c r="D1186">
        <v>4</v>
      </c>
      <c r="E1186">
        <v>5</v>
      </c>
      <c r="F1186">
        <v>1</v>
      </c>
      <c r="G1186">
        <v>0</v>
      </c>
      <c r="H1186">
        <f>표3[[#This Row],[공격성공횟수]]/(표3[[#This Row],[공격실패횟수]]+표3[[#This Row],[공격성공횟수]])</f>
        <v>0.44444444444444442</v>
      </c>
    </row>
    <row r="1187" spans="1:8" hidden="1" x14ac:dyDescent="0.4">
      <c r="A1187">
        <v>593</v>
      </c>
      <c r="B1187" t="s">
        <v>1</v>
      </c>
      <c r="C1187">
        <v>0</v>
      </c>
      <c r="D1187">
        <v>1</v>
      </c>
      <c r="E1187">
        <v>7</v>
      </c>
      <c r="F1187">
        <v>4</v>
      </c>
      <c r="G1187">
        <v>1</v>
      </c>
      <c r="H1187">
        <f>표3[[#This Row],[공격성공횟수]]/(표3[[#This Row],[공격실패횟수]]+표3[[#This Row],[공격성공횟수]])</f>
        <v>0.125</v>
      </c>
    </row>
    <row r="1188" spans="1:8" x14ac:dyDescent="0.4">
      <c r="A1188">
        <v>594</v>
      </c>
      <c r="B1188" t="s">
        <v>3</v>
      </c>
      <c r="C1188">
        <v>1</v>
      </c>
      <c r="D1188">
        <v>4</v>
      </c>
      <c r="E1188">
        <v>9</v>
      </c>
      <c r="F1188">
        <v>1</v>
      </c>
      <c r="G1188">
        <v>0</v>
      </c>
      <c r="H1188">
        <f>표3[[#This Row],[공격성공횟수]]/(표3[[#This Row],[공격실패횟수]]+표3[[#This Row],[공격성공횟수]])</f>
        <v>0.30769230769230771</v>
      </c>
    </row>
    <row r="1189" spans="1:8" hidden="1" x14ac:dyDescent="0.4">
      <c r="A1189">
        <v>594</v>
      </c>
      <c r="B1189" t="s">
        <v>1</v>
      </c>
      <c r="C1189">
        <v>0</v>
      </c>
      <c r="D1189">
        <v>1</v>
      </c>
      <c r="E1189">
        <v>12</v>
      </c>
      <c r="F1189">
        <v>4</v>
      </c>
      <c r="G1189">
        <v>1</v>
      </c>
      <c r="H1189">
        <f>표3[[#This Row],[공격성공횟수]]/(표3[[#This Row],[공격실패횟수]]+표3[[#This Row],[공격성공횟수]])</f>
        <v>7.6923076923076927E-2</v>
      </c>
    </row>
    <row r="1190" spans="1:8" x14ac:dyDescent="0.4">
      <c r="A1190">
        <v>595</v>
      </c>
      <c r="B1190" t="s">
        <v>3</v>
      </c>
      <c r="C1190">
        <v>1</v>
      </c>
      <c r="D1190">
        <v>4</v>
      </c>
      <c r="E1190">
        <v>28</v>
      </c>
      <c r="F1190">
        <v>0</v>
      </c>
      <c r="G1190">
        <v>0</v>
      </c>
      <c r="H1190">
        <f>표3[[#This Row],[공격성공횟수]]/(표3[[#This Row],[공격실패횟수]]+표3[[#This Row],[공격성공횟수]])</f>
        <v>0.125</v>
      </c>
    </row>
    <row r="1191" spans="1:8" hidden="1" x14ac:dyDescent="0.4">
      <c r="A1191">
        <v>595</v>
      </c>
      <c r="B1191" t="s">
        <v>1</v>
      </c>
      <c r="C1191">
        <v>0</v>
      </c>
      <c r="D1191">
        <v>0</v>
      </c>
      <c r="E1191">
        <v>31</v>
      </c>
      <c r="F1191">
        <v>4</v>
      </c>
      <c r="G1191">
        <v>1</v>
      </c>
      <c r="H1191">
        <f>표3[[#This Row],[공격성공횟수]]/(표3[[#This Row],[공격실패횟수]]+표3[[#This Row],[공격성공횟수]])</f>
        <v>0</v>
      </c>
    </row>
    <row r="1192" spans="1:8" x14ac:dyDescent="0.4">
      <c r="A1192">
        <v>596</v>
      </c>
      <c r="B1192" t="s">
        <v>3</v>
      </c>
      <c r="C1192">
        <v>1</v>
      </c>
      <c r="D1192">
        <v>4</v>
      </c>
      <c r="E1192">
        <v>37</v>
      </c>
      <c r="F1192">
        <v>1</v>
      </c>
      <c r="G1192">
        <v>0</v>
      </c>
      <c r="H1192">
        <f>표3[[#This Row],[공격성공횟수]]/(표3[[#This Row],[공격실패횟수]]+표3[[#This Row],[공격성공횟수]])</f>
        <v>9.7560975609756101E-2</v>
      </c>
    </row>
    <row r="1193" spans="1:8" hidden="1" x14ac:dyDescent="0.4">
      <c r="A1193">
        <v>596</v>
      </c>
      <c r="B1193" t="s">
        <v>1</v>
      </c>
      <c r="C1193">
        <v>0</v>
      </c>
      <c r="D1193">
        <v>1</v>
      </c>
      <c r="E1193">
        <v>38</v>
      </c>
      <c r="F1193">
        <v>4</v>
      </c>
      <c r="G1193">
        <v>1</v>
      </c>
      <c r="H1193">
        <f>표3[[#This Row],[공격성공횟수]]/(표3[[#This Row],[공격실패횟수]]+표3[[#This Row],[공격성공횟수]])</f>
        <v>2.564102564102564E-2</v>
      </c>
    </row>
    <row r="1194" spans="1:8" x14ac:dyDescent="0.4">
      <c r="A1194">
        <v>597</v>
      </c>
      <c r="B1194" t="s">
        <v>3</v>
      </c>
      <c r="C1194">
        <v>1</v>
      </c>
      <c r="D1194">
        <v>4</v>
      </c>
      <c r="E1194">
        <v>11</v>
      </c>
      <c r="F1194">
        <v>1</v>
      </c>
      <c r="G1194">
        <v>0</v>
      </c>
      <c r="H1194">
        <f>표3[[#This Row],[공격성공횟수]]/(표3[[#This Row],[공격실패횟수]]+표3[[#This Row],[공격성공횟수]])</f>
        <v>0.26666666666666666</v>
      </c>
    </row>
    <row r="1195" spans="1:8" hidden="1" x14ac:dyDescent="0.4">
      <c r="A1195">
        <v>597</v>
      </c>
      <c r="B1195" t="s">
        <v>1</v>
      </c>
      <c r="C1195">
        <v>0</v>
      </c>
      <c r="D1195">
        <v>1</v>
      </c>
      <c r="E1195">
        <v>14</v>
      </c>
      <c r="F1195">
        <v>4</v>
      </c>
      <c r="G1195">
        <v>1</v>
      </c>
      <c r="H1195">
        <f>표3[[#This Row],[공격성공횟수]]/(표3[[#This Row],[공격실패횟수]]+표3[[#This Row],[공격성공횟수]])</f>
        <v>6.6666666666666666E-2</v>
      </c>
    </row>
    <row r="1196" spans="1:8" x14ac:dyDescent="0.4">
      <c r="A1196">
        <v>598</v>
      </c>
      <c r="B1196" t="s">
        <v>3</v>
      </c>
      <c r="C1196">
        <v>1</v>
      </c>
      <c r="D1196">
        <v>4</v>
      </c>
      <c r="E1196">
        <v>9</v>
      </c>
      <c r="F1196">
        <v>0</v>
      </c>
      <c r="G1196">
        <v>0</v>
      </c>
      <c r="H1196">
        <f>표3[[#This Row],[공격성공횟수]]/(표3[[#This Row],[공격실패횟수]]+표3[[#This Row],[공격성공횟수]])</f>
        <v>0.30769230769230771</v>
      </c>
    </row>
    <row r="1197" spans="1:8" hidden="1" x14ac:dyDescent="0.4">
      <c r="A1197">
        <v>598</v>
      </c>
      <c r="B1197" t="s">
        <v>1</v>
      </c>
      <c r="C1197">
        <v>0</v>
      </c>
      <c r="D1197">
        <v>0</v>
      </c>
      <c r="E1197">
        <v>12</v>
      </c>
      <c r="F1197">
        <v>4</v>
      </c>
      <c r="G1197">
        <v>1</v>
      </c>
      <c r="H1197">
        <f>표3[[#This Row],[공격성공횟수]]/(표3[[#This Row],[공격실패횟수]]+표3[[#This Row],[공격성공횟수]])</f>
        <v>0</v>
      </c>
    </row>
    <row r="1198" spans="1:8" x14ac:dyDescent="0.4">
      <c r="A1198">
        <v>599</v>
      </c>
      <c r="B1198" t="s">
        <v>3</v>
      </c>
      <c r="C1198">
        <v>0</v>
      </c>
      <c r="D1198">
        <v>1</v>
      </c>
      <c r="E1198">
        <v>25</v>
      </c>
      <c r="F1198">
        <v>4</v>
      </c>
      <c r="G1198">
        <v>1</v>
      </c>
      <c r="H1198">
        <f>표3[[#This Row],[공격성공횟수]]/(표3[[#This Row],[공격실패횟수]]+표3[[#This Row],[공격성공횟수]])</f>
        <v>3.8461538461538464E-2</v>
      </c>
    </row>
    <row r="1199" spans="1:8" hidden="1" x14ac:dyDescent="0.4">
      <c r="A1199">
        <v>599</v>
      </c>
      <c r="B1199" t="s">
        <v>1</v>
      </c>
      <c r="C1199">
        <v>1</v>
      </c>
      <c r="D1199">
        <v>4</v>
      </c>
      <c r="E1199">
        <v>22</v>
      </c>
      <c r="F1199">
        <v>1</v>
      </c>
      <c r="G1199">
        <v>0</v>
      </c>
      <c r="H1199">
        <f>표3[[#This Row],[공격성공횟수]]/(표3[[#This Row],[공격실패횟수]]+표3[[#This Row],[공격성공횟수]])</f>
        <v>0.15384615384615385</v>
      </c>
    </row>
    <row r="1200" spans="1:8" x14ac:dyDescent="0.4">
      <c r="A1200">
        <v>600</v>
      </c>
      <c r="B1200" t="s">
        <v>3</v>
      </c>
      <c r="C1200">
        <v>1</v>
      </c>
      <c r="D1200">
        <v>4</v>
      </c>
      <c r="E1200">
        <v>17</v>
      </c>
      <c r="F1200">
        <v>0</v>
      </c>
      <c r="G1200">
        <v>0</v>
      </c>
      <c r="H1200">
        <f>표3[[#This Row],[공격성공횟수]]/(표3[[#This Row],[공격실패횟수]]+표3[[#This Row],[공격성공횟수]])</f>
        <v>0.19047619047619047</v>
      </c>
    </row>
    <row r="1201" spans="1:8" hidden="1" x14ac:dyDescent="0.4">
      <c r="A1201">
        <v>600</v>
      </c>
      <c r="B1201" t="s">
        <v>1</v>
      </c>
      <c r="C1201">
        <v>0</v>
      </c>
      <c r="D1201">
        <v>0</v>
      </c>
      <c r="E1201">
        <v>20</v>
      </c>
      <c r="F1201">
        <v>4</v>
      </c>
      <c r="G1201">
        <v>1</v>
      </c>
      <c r="H1201">
        <f>표3[[#This Row],[공격성공횟수]]/(표3[[#This Row],[공격실패횟수]]+표3[[#This Row],[공격성공횟수]])</f>
        <v>0</v>
      </c>
    </row>
    <row r="1202" spans="1:8" x14ac:dyDescent="0.4">
      <c r="A1202">
        <v>601</v>
      </c>
      <c r="B1202" t="s">
        <v>3</v>
      </c>
      <c r="C1202">
        <v>1</v>
      </c>
      <c r="D1202">
        <v>4</v>
      </c>
      <c r="E1202">
        <v>19</v>
      </c>
      <c r="F1202">
        <v>2</v>
      </c>
      <c r="G1202">
        <v>0</v>
      </c>
      <c r="H1202">
        <f>표3[[#This Row],[공격성공횟수]]/(표3[[#This Row],[공격실패횟수]]+표3[[#This Row],[공격성공횟수]])</f>
        <v>0.17391304347826086</v>
      </c>
    </row>
    <row r="1203" spans="1:8" hidden="1" x14ac:dyDescent="0.4">
      <c r="A1203">
        <v>601</v>
      </c>
      <c r="B1203" t="s">
        <v>1</v>
      </c>
      <c r="C1203">
        <v>0</v>
      </c>
      <c r="D1203">
        <v>2</v>
      </c>
      <c r="E1203">
        <v>20</v>
      </c>
      <c r="F1203">
        <v>4</v>
      </c>
      <c r="G1203">
        <v>1</v>
      </c>
      <c r="H1203">
        <f>표3[[#This Row],[공격성공횟수]]/(표3[[#This Row],[공격실패횟수]]+표3[[#This Row],[공격성공횟수]])</f>
        <v>9.0909090909090912E-2</v>
      </c>
    </row>
    <row r="1204" spans="1:8" x14ac:dyDescent="0.4">
      <c r="A1204">
        <v>602</v>
      </c>
      <c r="B1204" t="s">
        <v>3</v>
      </c>
      <c r="C1204">
        <v>1</v>
      </c>
      <c r="D1204">
        <v>4</v>
      </c>
      <c r="E1204">
        <v>28</v>
      </c>
      <c r="F1204">
        <v>2</v>
      </c>
      <c r="G1204">
        <v>0</v>
      </c>
      <c r="H1204">
        <f>표3[[#This Row],[공격성공횟수]]/(표3[[#This Row],[공격실패횟수]]+표3[[#This Row],[공격성공횟수]])</f>
        <v>0.125</v>
      </c>
    </row>
    <row r="1205" spans="1:8" hidden="1" x14ac:dyDescent="0.4">
      <c r="A1205">
        <v>602</v>
      </c>
      <c r="B1205" t="s">
        <v>1</v>
      </c>
      <c r="C1205">
        <v>0</v>
      </c>
      <c r="D1205">
        <v>2</v>
      </c>
      <c r="E1205">
        <v>29</v>
      </c>
      <c r="F1205">
        <v>4</v>
      </c>
      <c r="G1205">
        <v>1</v>
      </c>
      <c r="H1205">
        <f>표3[[#This Row],[공격성공횟수]]/(표3[[#This Row],[공격실패횟수]]+표3[[#This Row],[공격성공횟수]])</f>
        <v>6.4516129032258063E-2</v>
      </c>
    </row>
    <row r="1206" spans="1:8" x14ac:dyDescent="0.4">
      <c r="A1206">
        <v>603</v>
      </c>
      <c r="B1206" t="s">
        <v>3</v>
      </c>
      <c r="C1206">
        <v>1</v>
      </c>
      <c r="D1206">
        <v>4</v>
      </c>
      <c r="E1206">
        <v>14</v>
      </c>
      <c r="F1206">
        <v>0</v>
      </c>
      <c r="G1206">
        <v>0</v>
      </c>
      <c r="H1206">
        <f>표3[[#This Row],[공격성공횟수]]/(표3[[#This Row],[공격실패횟수]]+표3[[#This Row],[공격성공횟수]])</f>
        <v>0.22222222222222221</v>
      </c>
    </row>
    <row r="1207" spans="1:8" hidden="1" x14ac:dyDescent="0.4">
      <c r="A1207">
        <v>603</v>
      </c>
      <c r="B1207" t="s">
        <v>1</v>
      </c>
      <c r="C1207">
        <v>0</v>
      </c>
      <c r="D1207">
        <v>0</v>
      </c>
      <c r="E1207">
        <v>17</v>
      </c>
      <c r="F1207">
        <v>4</v>
      </c>
      <c r="G1207">
        <v>1</v>
      </c>
      <c r="H1207">
        <f>표3[[#This Row],[공격성공횟수]]/(표3[[#This Row],[공격실패횟수]]+표3[[#This Row],[공격성공횟수]])</f>
        <v>0</v>
      </c>
    </row>
    <row r="1208" spans="1:8" x14ac:dyDescent="0.4">
      <c r="A1208">
        <v>604</v>
      </c>
      <c r="B1208" t="s">
        <v>3</v>
      </c>
      <c r="C1208">
        <v>1</v>
      </c>
      <c r="D1208">
        <v>4</v>
      </c>
      <c r="E1208">
        <v>11</v>
      </c>
      <c r="F1208">
        <v>2</v>
      </c>
      <c r="G1208">
        <v>0</v>
      </c>
      <c r="H1208">
        <f>표3[[#This Row],[공격성공횟수]]/(표3[[#This Row],[공격실패횟수]]+표3[[#This Row],[공격성공횟수]])</f>
        <v>0.26666666666666666</v>
      </c>
    </row>
    <row r="1209" spans="1:8" hidden="1" x14ac:dyDescent="0.4">
      <c r="A1209">
        <v>604</v>
      </c>
      <c r="B1209" t="s">
        <v>1</v>
      </c>
      <c r="C1209">
        <v>0</v>
      </c>
      <c r="D1209">
        <v>2</v>
      </c>
      <c r="E1209">
        <v>13</v>
      </c>
      <c r="F1209">
        <v>4</v>
      </c>
      <c r="G1209">
        <v>1</v>
      </c>
      <c r="H1209">
        <f>표3[[#This Row],[공격성공횟수]]/(표3[[#This Row],[공격실패횟수]]+표3[[#This Row],[공격성공횟수]])</f>
        <v>0.13333333333333333</v>
      </c>
    </row>
    <row r="1210" spans="1:8" x14ac:dyDescent="0.4">
      <c r="A1210">
        <v>605</v>
      </c>
      <c r="B1210" t="s">
        <v>3</v>
      </c>
      <c r="C1210">
        <v>1</v>
      </c>
      <c r="D1210">
        <v>4</v>
      </c>
      <c r="E1210">
        <v>9</v>
      </c>
      <c r="F1210">
        <v>0</v>
      </c>
      <c r="G1210">
        <v>0</v>
      </c>
      <c r="H1210">
        <f>표3[[#This Row],[공격성공횟수]]/(표3[[#This Row],[공격실패횟수]]+표3[[#This Row],[공격성공횟수]])</f>
        <v>0.30769230769230771</v>
      </c>
    </row>
    <row r="1211" spans="1:8" hidden="1" x14ac:dyDescent="0.4">
      <c r="A1211">
        <v>605</v>
      </c>
      <c r="B1211" t="s">
        <v>1</v>
      </c>
      <c r="C1211">
        <v>0</v>
      </c>
      <c r="D1211">
        <v>0</v>
      </c>
      <c r="E1211">
        <v>13</v>
      </c>
      <c r="F1211">
        <v>4</v>
      </c>
      <c r="G1211">
        <v>1</v>
      </c>
      <c r="H1211">
        <f>표3[[#This Row],[공격성공횟수]]/(표3[[#This Row],[공격실패횟수]]+표3[[#This Row],[공격성공횟수]])</f>
        <v>0</v>
      </c>
    </row>
    <row r="1212" spans="1:8" x14ac:dyDescent="0.4">
      <c r="A1212">
        <v>606</v>
      </c>
      <c r="B1212" t="s">
        <v>3</v>
      </c>
      <c r="C1212">
        <v>1</v>
      </c>
      <c r="D1212">
        <v>4</v>
      </c>
      <c r="E1212">
        <v>18</v>
      </c>
      <c r="F1212">
        <v>0</v>
      </c>
      <c r="G1212">
        <v>0</v>
      </c>
      <c r="H1212">
        <f>표3[[#This Row],[공격성공횟수]]/(표3[[#This Row],[공격실패횟수]]+표3[[#This Row],[공격성공횟수]])</f>
        <v>0.18181818181818182</v>
      </c>
    </row>
    <row r="1213" spans="1:8" hidden="1" x14ac:dyDescent="0.4">
      <c r="A1213">
        <v>606</v>
      </c>
      <c r="B1213" t="s">
        <v>1</v>
      </c>
      <c r="C1213">
        <v>0</v>
      </c>
      <c r="D1213">
        <v>0</v>
      </c>
      <c r="E1213">
        <v>21</v>
      </c>
      <c r="F1213">
        <v>4</v>
      </c>
      <c r="G1213">
        <v>1</v>
      </c>
      <c r="H1213">
        <f>표3[[#This Row],[공격성공횟수]]/(표3[[#This Row],[공격실패횟수]]+표3[[#This Row],[공격성공횟수]])</f>
        <v>0</v>
      </c>
    </row>
    <row r="1214" spans="1:8" x14ac:dyDescent="0.4">
      <c r="A1214">
        <v>607</v>
      </c>
      <c r="B1214" t="s">
        <v>3</v>
      </c>
      <c r="C1214">
        <v>1</v>
      </c>
      <c r="D1214">
        <v>4</v>
      </c>
      <c r="E1214">
        <v>23</v>
      </c>
      <c r="F1214">
        <v>1</v>
      </c>
      <c r="G1214">
        <v>0</v>
      </c>
      <c r="H1214">
        <f>표3[[#This Row],[공격성공횟수]]/(표3[[#This Row],[공격실패횟수]]+표3[[#This Row],[공격성공횟수]])</f>
        <v>0.14814814814814814</v>
      </c>
    </row>
    <row r="1215" spans="1:8" hidden="1" x14ac:dyDescent="0.4">
      <c r="A1215">
        <v>607</v>
      </c>
      <c r="B1215" t="s">
        <v>1</v>
      </c>
      <c r="C1215">
        <v>0</v>
      </c>
      <c r="D1215">
        <v>1</v>
      </c>
      <c r="E1215">
        <v>36</v>
      </c>
      <c r="F1215">
        <v>4</v>
      </c>
      <c r="G1215">
        <v>1</v>
      </c>
      <c r="H1215">
        <f>표3[[#This Row],[공격성공횟수]]/(표3[[#This Row],[공격실패횟수]]+표3[[#This Row],[공격성공횟수]])</f>
        <v>2.7027027027027029E-2</v>
      </c>
    </row>
    <row r="1216" spans="1:8" x14ac:dyDescent="0.4">
      <c r="A1216">
        <v>608</v>
      </c>
      <c r="B1216" t="s">
        <v>3</v>
      </c>
      <c r="C1216">
        <v>1</v>
      </c>
      <c r="D1216">
        <v>4</v>
      </c>
      <c r="E1216">
        <v>14</v>
      </c>
      <c r="F1216">
        <v>2</v>
      </c>
      <c r="G1216">
        <v>0</v>
      </c>
      <c r="H1216">
        <f>표3[[#This Row],[공격성공횟수]]/(표3[[#This Row],[공격실패횟수]]+표3[[#This Row],[공격성공횟수]])</f>
        <v>0.22222222222222221</v>
      </c>
    </row>
    <row r="1217" spans="1:8" hidden="1" x14ac:dyDescent="0.4">
      <c r="A1217">
        <v>608</v>
      </c>
      <c r="B1217" t="s">
        <v>1</v>
      </c>
      <c r="C1217">
        <v>0</v>
      </c>
      <c r="D1217">
        <v>2</v>
      </c>
      <c r="E1217">
        <v>15</v>
      </c>
      <c r="F1217">
        <v>4</v>
      </c>
      <c r="G1217">
        <v>1</v>
      </c>
      <c r="H1217">
        <f>표3[[#This Row],[공격성공횟수]]/(표3[[#This Row],[공격실패횟수]]+표3[[#This Row],[공격성공횟수]])</f>
        <v>0.11764705882352941</v>
      </c>
    </row>
    <row r="1218" spans="1:8" x14ac:dyDescent="0.4">
      <c r="A1218">
        <v>609</v>
      </c>
      <c r="B1218" t="s">
        <v>3</v>
      </c>
      <c r="C1218">
        <v>1</v>
      </c>
      <c r="D1218">
        <v>4</v>
      </c>
      <c r="E1218">
        <v>16</v>
      </c>
      <c r="F1218">
        <v>1</v>
      </c>
      <c r="G1218">
        <v>0</v>
      </c>
      <c r="H1218">
        <f>표3[[#This Row],[공격성공횟수]]/(표3[[#This Row],[공격실패횟수]]+표3[[#This Row],[공격성공횟수]])</f>
        <v>0.2</v>
      </c>
    </row>
    <row r="1219" spans="1:8" hidden="1" x14ac:dyDescent="0.4">
      <c r="A1219">
        <v>609</v>
      </c>
      <c r="B1219" t="s">
        <v>1</v>
      </c>
      <c r="C1219">
        <v>0</v>
      </c>
      <c r="D1219">
        <v>1</v>
      </c>
      <c r="E1219">
        <v>18</v>
      </c>
      <c r="F1219">
        <v>4</v>
      </c>
      <c r="G1219">
        <v>1</v>
      </c>
      <c r="H1219">
        <f>표3[[#This Row],[공격성공횟수]]/(표3[[#This Row],[공격실패횟수]]+표3[[#This Row],[공격성공횟수]])</f>
        <v>5.2631578947368418E-2</v>
      </c>
    </row>
    <row r="1220" spans="1:8" x14ac:dyDescent="0.4">
      <c r="A1220">
        <v>610</v>
      </c>
      <c r="B1220" t="s">
        <v>3</v>
      </c>
      <c r="C1220">
        <v>1</v>
      </c>
      <c r="D1220">
        <v>4</v>
      </c>
      <c r="E1220">
        <v>24</v>
      </c>
      <c r="F1220">
        <v>1</v>
      </c>
      <c r="G1220">
        <v>0</v>
      </c>
      <c r="H1220">
        <f>표3[[#This Row],[공격성공횟수]]/(표3[[#This Row],[공격실패횟수]]+표3[[#This Row],[공격성공횟수]])</f>
        <v>0.14285714285714285</v>
      </c>
    </row>
    <row r="1221" spans="1:8" hidden="1" x14ac:dyDescent="0.4">
      <c r="A1221">
        <v>610</v>
      </c>
      <c r="B1221" t="s">
        <v>1</v>
      </c>
      <c r="C1221">
        <v>0</v>
      </c>
      <c r="D1221">
        <v>1</v>
      </c>
      <c r="E1221">
        <v>28</v>
      </c>
      <c r="F1221">
        <v>4</v>
      </c>
      <c r="G1221">
        <v>1</v>
      </c>
      <c r="H1221">
        <f>표3[[#This Row],[공격성공횟수]]/(표3[[#This Row],[공격실패횟수]]+표3[[#This Row],[공격성공횟수]])</f>
        <v>3.4482758620689655E-2</v>
      </c>
    </row>
    <row r="1222" spans="1:8" x14ac:dyDescent="0.4">
      <c r="A1222">
        <v>611</v>
      </c>
      <c r="B1222" t="s">
        <v>3</v>
      </c>
      <c r="C1222">
        <v>1</v>
      </c>
      <c r="D1222">
        <v>4</v>
      </c>
      <c r="E1222">
        <v>41</v>
      </c>
      <c r="F1222">
        <v>3</v>
      </c>
      <c r="G1222">
        <v>0</v>
      </c>
      <c r="H1222">
        <f>표3[[#This Row],[공격성공횟수]]/(표3[[#This Row],[공격실패횟수]]+표3[[#This Row],[공격성공횟수]])</f>
        <v>8.8888888888888892E-2</v>
      </c>
    </row>
    <row r="1223" spans="1:8" hidden="1" x14ac:dyDescent="0.4">
      <c r="A1223">
        <v>611</v>
      </c>
      <c r="B1223" t="s">
        <v>1</v>
      </c>
      <c r="C1223">
        <v>0</v>
      </c>
      <c r="D1223">
        <v>3</v>
      </c>
      <c r="E1223">
        <v>48</v>
      </c>
      <c r="F1223">
        <v>4</v>
      </c>
      <c r="G1223">
        <v>1</v>
      </c>
      <c r="H1223">
        <f>표3[[#This Row],[공격성공횟수]]/(표3[[#This Row],[공격실패횟수]]+표3[[#This Row],[공격성공횟수]])</f>
        <v>5.8823529411764705E-2</v>
      </c>
    </row>
    <row r="1224" spans="1:8" x14ac:dyDescent="0.4">
      <c r="A1224">
        <v>612</v>
      </c>
      <c r="B1224" t="s">
        <v>3</v>
      </c>
      <c r="C1224">
        <v>1</v>
      </c>
      <c r="D1224">
        <v>4</v>
      </c>
      <c r="E1224">
        <v>5</v>
      </c>
      <c r="F1224">
        <v>2</v>
      </c>
      <c r="G1224">
        <v>0</v>
      </c>
      <c r="H1224">
        <f>표3[[#This Row],[공격성공횟수]]/(표3[[#This Row],[공격실패횟수]]+표3[[#This Row],[공격성공횟수]])</f>
        <v>0.44444444444444442</v>
      </c>
    </row>
    <row r="1225" spans="1:8" hidden="1" x14ac:dyDescent="0.4">
      <c r="A1225">
        <v>612</v>
      </c>
      <c r="B1225" t="s">
        <v>1</v>
      </c>
      <c r="C1225">
        <v>0</v>
      </c>
      <c r="D1225">
        <v>2</v>
      </c>
      <c r="E1225">
        <v>7</v>
      </c>
      <c r="F1225">
        <v>4</v>
      </c>
      <c r="G1225">
        <v>1</v>
      </c>
      <c r="H1225">
        <f>표3[[#This Row],[공격성공횟수]]/(표3[[#This Row],[공격실패횟수]]+표3[[#This Row],[공격성공횟수]])</f>
        <v>0.22222222222222221</v>
      </c>
    </row>
    <row r="1226" spans="1:8" x14ac:dyDescent="0.4">
      <c r="A1226">
        <v>613</v>
      </c>
      <c r="B1226" t="s">
        <v>3</v>
      </c>
      <c r="C1226">
        <v>1</v>
      </c>
      <c r="D1226">
        <v>4</v>
      </c>
      <c r="E1226">
        <v>20</v>
      </c>
      <c r="F1226">
        <v>2</v>
      </c>
      <c r="G1226">
        <v>0</v>
      </c>
      <c r="H1226">
        <f>표3[[#This Row],[공격성공횟수]]/(표3[[#This Row],[공격실패횟수]]+표3[[#This Row],[공격성공횟수]])</f>
        <v>0.16666666666666666</v>
      </c>
    </row>
    <row r="1227" spans="1:8" hidden="1" x14ac:dyDescent="0.4">
      <c r="A1227">
        <v>613</v>
      </c>
      <c r="B1227" t="s">
        <v>1</v>
      </c>
      <c r="C1227">
        <v>0</v>
      </c>
      <c r="D1227">
        <v>2</v>
      </c>
      <c r="E1227">
        <v>21</v>
      </c>
      <c r="F1227">
        <v>4</v>
      </c>
      <c r="G1227">
        <v>1</v>
      </c>
      <c r="H1227">
        <f>표3[[#This Row],[공격성공횟수]]/(표3[[#This Row],[공격실패횟수]]+표3[[#This Row],[공격성공횟수]])</f>
        <v>8.6956521739130432E-2</v>
      </c>
    </row>
    <row r="1228" spans="1:8" x14ac:dyDescent="0.4">
      <c r="A1228">
        <v>614</v>
      </c>
      <c r="B1228" t="s">
        <v>3</v>
      </c>
      <c r="C1228">
        <v>1</v>
      </c>
      <c r="D1228">
        <v>4</v>
      </c>
      <c r="E1228">
        <v>15</v>
      </c>
      <c r="F1228">
        <v>2</v>
      </c>
      <c r="G1228">
        <v>0</v>
      </c>
      <c r="H1228">
        <f>표3[[#This Row],[공격성공횟수]]/(표3[[#This Row],[공격실패횟수]]+표3[[#This Row],[공격성공횟수]])</f>
        <v>0.21052631578947367</v>
      </c>
    </row>
    <row r="1229" spans="1:8" hidden="1" x14ac:dyDescent="0.4">
      <c r="A1229">
        <v>614</v>
      </c>
      <c r="B1229" t="s">
        <v>1</v>
      </c>
      <c r="C1229">
        <v>0</v>
      </c>
      <c r="D1229">
        <v>2</v>
      </c>
      <c r="E1229">
        <v>17</v>
      </c>
      <c r="F1229">
        <v>4</v>
      </c>
      <c r="G1229">
        <v>1</v>
      </c>
      <c r="H1229">
        <f>표3[[#This Row],[공격성공횟수]]/(표3[[#This Row],[공격실패횟수]]+표3[[#This Row],[공격성공횟수]])</f>
        <v>0.10526315789473684</v>
      </c>
    </row>
    <row r="1230" spans="1:8" x14ac:dyDescent="0.4">
      <c r="A1230">
        <v>615</v>
      </c>
      <c r="B1230" t="s">
        <v>3</v>
      </c>
      <c r="C1230">
        <v>1</v>
      </c>
      <c r="D1230">
        <v>4</v>
      </c>
      <c r="E1230">
        <v>11</v>
      </c>
      <c r="F1230">
        <v>1</v>
      </c>
      <c r="G1230">
        <v>0</v>
      </c>
      <c r="H1230">
        <f>표3[[#This Row],[공격성공횟수]]/(표3[[#This Row],[공격실패횟수]]+표3[[#This Row],[공격성공횟수]])</f>
        <v>0.26666666666666666</v>
      </c>
    </row>
    <row r="1231" spans="1:8" hidden="1" x14ac:dyDescent="0.4">
      <c r="A1231">
        <v>615</v>
      </c>
      <c r="B1231" t="s">
        <v>1</v>
      </c>
      <c r="C1231">
        <v>0</v>
      </c>
      <c r="D1231">
        <v>1</v>
      </c>
      <c r="E1231">
        <v>13</v>
      </c>
      <c r="F1231">
        <v>4</v>
      </c>
      <c r="G1231">
        <v>1</v>
      </c>
      <c r="H1231">
        <f>표3[[#This Row],[공격성공횟수]]/(표3[[#This Row],[공격실패횟수]]+표3[[#This Row],[공격성공횟수]])</f>
        <v>7.1428571428571425E-2</v>
      </c>
    </row>
    <row r="1232" spans="1:8" x14ac:dyDescent="0.4">
      <c r="A1232">
        <v>616</v>
      </c>
      <c r="B1232" t="s">
        <v>3</v>
      </c>
      <c r="C1232">
        <v>1</v>
      </c>
      <c r="D1232">
        <v>4</v>
      </c>
      <c r="E1232">
        <v>11</v>
      </c>
      <c r="F1232">
        <v>3</v>
      </c>
      <c r="G1232">
        <v>0</v>
      </c>
      <c r="H1232">
        <f>표3[[#This Row],[공격성공횟수]]/(표3[[#This Row],[공격실패횟수]]+표3[[#This Row],[공격성공횟수]])</f>
        <v>0.26666666666666666</v>
      </c>
    </row>
    <row r="1233" spans="1:8" hidden="1" x14ac:dyDescent="0.4">
      <c r="A1233">
        <v>616</v>
      </c>
      <c r="B1233" t="s">
        <v>1</v>
      </c>
      <c r="C1233">
        <v>0</v>
      </c>
      <c r="D1233">
        <v>3</v>
      </c>
      <c r="E1233">
        <v>12</v>
      </c>
      <c r="F1233">
        <v>4</v>
      </c>
      <c r="G1233">
        <v>1</v>
      </c>
      <c r="H1233">
        <f>표3[[#This Row],[공격성공횟수]]/(표3[[#This Row],[공격실패횟수]]+표3[[#This Row],[공격성공횟수]])</f>
        <v>0.2</v>
      </c>
    </row>
    <row r="1234" spans="1:8" x14ac:dyDescent="0.4">
      <c r="A1234">
        <v>617</v>
      </c>
      <c r="B1234" t="s">
        <v>3</v>
      </c>
      <c r="C1234">
        <v>1</v>
      </c>
      <c r="D1234">
        <v>4</v>
      </c>
      <c r="E1234">
        <v>12</v>
      </c>
      <c r="F1234">
        <v>0</v>
      </c>
      <c r="G1234">
        <v>0</v>
      </c>
      <c r="H1234">
        <f>표3[[#This Row],[공격성공횟수]]/(표3[[#This Row],[공격실패횟수]]+표3[[#This Row],[공격성공횟수]])</f>
        <v>0.25</v>
      </c>
    </row>
    <row r="1235" spans="1:8" hidden="1" x14ac:dyDescent="0.4">
      <c r="A1235">
        <v>617</v>
      </c>
      <c r="B1235" t="s">
        <v>1</v>
      </c>
      <c r="C1235">
        <v>0</v>
      </c>
      <c r="D1235">
        <v>0</v>
      </c>
      <c r="E1235">
        <v>15</v>
      </c>
      <c r="F1235">
        <v>4</v>
      </c>
      <c r="G1235">
        <v>1</v>
      </c>
      <c r="H1235">
        <f>표3[[#This Row],[공격성공횟수]]/(표3[[#This Row],[공격실패횟수]]+표3[[#This Row],[공격성공횟수]])</f>
        <v>0</v>
      </c>
    </row>
    <row r="1236" spans="1:8" x14ac:dyDescent="0.4">
      <c r="A1236">
        <v>618</v>
      </c>
      <c r="B1236" t="s">
        <v>3</v>
      </c>
      <c r="C1236">
        <v>1</v>
      </c>
      <c r="D1236">
        <v>4</v>
      </c>
      <c r="E1236">
        <v>10</v>
      </c>
      <c r="F1236">
        <v>1</v>
      </c>
      <c r="G1236">
        <v>0</v>
      </c>
      <c r="H1236">
        <f>표3[[#This Row],[공격성공횟수]]/(표3[[#This Row],[공격실패횟수]]+표3[[#This Row],[공격성공횟수]])</f>
        <v>0.2857142857142857</v>
      </c>
    </row>
    <row r="1237" spans="1:8" hidden="1" x14ac:dyDescent="0.4">
      <c r="A1237">
        <v>618</v>
      </c>
      <c r="B1237" t="s">
        <v>1</v>
      </c>
      <c r="C1237">
        <v>0</v>
      </c>
      <c r="D1237">
        <v>1</v>
      </c>
      <c r="E1237">
        <v>12</v>
      </c>
      <c r="F1237">
        <v>4</v>
      </c>
      <c r="G1237">
        <v>1</v>
      </c>
      <c r="H1237">
        <f>표3[[#This Row],[공격성공횟수]]/(표3[[#This Row],[공격실패횟수]]+표3[[#This Row],[공격성공횟수]])</f>
        <v>7.6923076923076927E-2</v>
      </c>
    </row>
    <row r="1238" spans="1:8" x14ac:dyDescent="0.4">
      <c r="A1238">
        <v>619</v>
      </c>
      <c r="B1238" t="s">
        <v>3</v>
      </c>
      <c r="C1238">
        <v>1</v>
      </c>
      <c r="D1238">
        <v>4</v>
      </c>
      <c r="E1238">
        <v>9</v>
      </c>
      <c r="F1238">
        <v>1</v>
      </c>
      <c r="G1238">
        <v>0</v>
      </c>
      <c r="H1238">
        <f>표3[[#This Row],[공격성공횟수]]/(표3[[#This Row],[공격실패횟수]]+표3[[#This Row],[공격성공횟수]])</f>
        <v>0.30769230769230771</v>
      </c>
    </row>
    <row r="1239" spans="1:8" hidden="1" x14ac:dyDescent="0.4">
      <c r="A1239">
        <v>619</v>
      </c>
      <c r="B1239" t="s">
        <v>1</v>
      </c>
      <c r="C1239">
        <v>0</v>
      </c>
      <c r="D1239">
        <v>1</v>
      </c>
      <c r="E1239">
        <v>14</v>
      </c>
      <c r="F1239">
        <v>4</v>
      </c>
      <c r="G1239">
        <v>1</v>
      </c>
      <c r="H1239">
        <f>표3[[#This Row],[공격성공횟수]]/(표3[[#This Row],[공격실패횟수]]+표3[[#This Row],[공격성공횟수]])</f>
        <v>6.6666666666666666E-2</v>
      </c>
    </row>
    <row r="1240" spans="1:8" x14ac:dyDescent="0.4">
      <c r="A1240">
        <v>620</v>
      </c>
      <c r="B1240" t="s">
        <v>3</v>
      </c>
      <c r="C1240">
        <v>0</v>
      </c>
      <c r="D1240">
        <v>2</v>
      </c>
      <c r="E1240">
        <v>17</v>
      </c>
      <c r="F1240">
        <v>4</v>
      </c>
      <c r="G1240">
        <v>1</v>
      </c>
      <c r="H1240">
        <f>표3[[#This Row],[공격성공횟수]]/(표3[[#This Row],[공격실패횟수]]+표3[[#This Row],[공격성공횟수]])</f>
        <v>0.10526315789473684</v>
      </c>
    </row>
    <row r="1241" spans="1:8" hidden="1" x14ac:dyDescent="0.4">
      <c r="A1241">
        <v>620</v>
      </c>
      <c r="B1241" t="s">
        <v>1</v>
      </c>
      <c r="C1241">
        <v>1</v>
      </c>
      <c r="D1241">
        <v>4</v>
      </c>
      <c r="E1241">
        <v>15</v>
      </c>
      <c r="F1241">
        <v>2</v>
      </c>
      <c r="G1241">
        <v>0</v>
      </c>
      <c r="H1241">
        <f>표3[[#This Row],[공격성공횟수]]/(표3[[#This Row],[공격실패횟수]]+표3[[#This Row],[공격성공횟수]])</f>
        <v>0.21052631578947367</v>
      </c>
    </row>
    <row r="1242" spans="1:8" x14ac:dyDescent="0.4">
      <c r="A1242">
        <v>621</v>
      </c>
      <c r="B1242" t="s">
        <v>3</v>
      </c>
      <c r="C1242">
        <v>1</v>
      </c>
      <c r="D1242">
        <v>4</v>
      </c>
      <c r="E1242">
        <v>11</v>
      </c>
      <c r="F1242">
        <v>1</v>
      </c>
      <c r="G1242">
        <v>0</v>
      </c>
      <c r="H1242">
        <f>표3[[#This Row],[공격성공횟수]]/(표3[[#This Row],[공격실패횟수]]+표3[[#This Row],[공격성공횟수]])</f>
        <v>0.26666666666666666</v>
      </c>
    </row>
    <row r="1243" spans="1:8" hidden="1" x14ac:dyDescent="0.4">
      <c r="A1243">
        <v>621</v>
      </c>
      <c r="B1243" t="s">
        <v>1</v>
      </c>
      <c r="C1243">
        <v>0</v>
      </c>
      <c r="D1243">
        <v>1</v>
      </c>
      <c r="E1243">
        <v>13</v>
      </c>
      <c r="F1243">
        <v>4</v>
      </c>
      <c r="G1243">
        <v>1</v>
      </c>
      <c r="H1243">
        <f>표3[[#This Row],[공격성공횟수]]/(표3[[#This Row],[공격실패횟수]]+표3[[#This Row],[공격성공횟수]])</f>
        <v>7.1428571428571425E-2</v>
      </c>
    </row>
    <row r="1244" spans="1:8" x14ac:dyDescent="0.4">
      <c r="A1244">
        <v>622</v>
      </c>
      <c r="B1244" t="s">
        <v>3</v>
      </c>
      <c r="C1244">
        <v>1</v>
      </c>
      <c r="D1244">
        <v>4</v>
      </c>
      <c r="E1244">
        <v>6</v>
      </c>
      <c r="F1244">
        <v>0</v>
      </c>
      <c r="G1244">
        <v>0</v>
      </c>
      <c r="H1244">
        <f>표3[[#This Row],[공격성공횟수]]/(표3[[#This Row],[공격실패횟수]]+표3[[#This Row],[공격성공횟수]])</f>
        <v>0.4</v>
      </c>
    </row>
    <row r="1245" spans="1:8" hidden="1" x14ac:dyDescent="0.4">
      <c r="A1245">
        <v>622</v>
      </c>
      <c r="B1245" t="s">
        <v>1</v>
      </c>
      <c r="C1245">
        <v>0</v>
      </c>
      <c r="D1245">
        <v>0</v>
      </c>
      <c r="E1245">
        <v>9</v>
      </c>
      <c r="F1245">
        <v>4</v>
      </c>
      <c r="G1245">
        <v>1</v>
      </c>
      <c r="H1245">
        <f>표3[[#This Row],[공격성공횟수]]/(표3[[#This Row],[공격실패횟수]]+표3[[#This Row],[공격성공횟수]])</f>
        <v>0</v>
      </c>
    </row>
    <row r="1246" spans="1:8" x14ac:dyDescent="0.4">
      <c r="A1246">
        <v>623</v>
      </c>
      <c r="B1246" t="s">
        <v>3</v>
      </c>
      <c r="C1246">
        <v>1</v>
      </c>
      <c r="D1246">
        <v>4</v>
      </c>
      <c r="E1246">
        <v>11</v>
      </c>
      <c r="F1246">
        <v>3</v>
      </c>
      <c r="G1246">
        <v>0</v>
      </c>
      <c r="H1246">
        <f>표3[[#This Row],[공격성공횟수]]/(표3[[#This Row],[공격실패횟수]]+표3[[#This Row],[공격성공횟수]])</f>
        <v>0.26666666666666666</v>
      </c>
    </row>
    <row r="1247" spans="1:8" hidden="1" x14ac:dyDescent="0.4">
      <c r="A1247">
        <v>623</v>
      </c>
      <c r="B1247" t="s">
        <v>1</v>
      </c>
      <c r="C1247">
        <v>0</v>
      </c>
      <c r="D1247">
        <v>3</v>
      </c>
      <c r="E1247">
        <v>12</v>
      </c>
      <c r="F1247">
        <v>4</v>
      </c>
      <c r="G1247">
        <v>1</v>
      </c>
      <c r="H1247">
        <f>표3[[#This Row],[공격성공횟수]]/(표3[[#This Row],[공격실패횟수]]+표3[[#This Row],[공격성공횟수]])</f>
        <v>0.2</v>
      </c>
    </row>
    <row r="1248" spans="1:8" x14ac:dyDescent="0.4">
      <c r="A1248">
        <v>624</v>
      </c>
      <c r="B1248" t="s">
        <v>3</v>
      </c>
      <c r="C1248">
        <v>1</v>
      </c>
      <c r="D1248">
        <v>4</v>
      </c>
      <c r="E1248">
        <v>6</v>
      </c>
      <c r="F1248">
        <v>1</v>
      </c>
      <c r="G1248">
        <v>0</v>
      </c>
      <c r="H1248">
        <f>표3[[#This Row],[공격성공횟수]]/(표3[[#This Row],[공격실패횟수]]+표3[[#This Row],[공격성공횟수]])</f>
        <v>0.4</v>
      </c>
    </row>
    <row r="1249" spans="1:8" hidden="1" x14ac:dyDescent="0.4">
      <c r="A1249">
        <v>624</v>
      </c>
      <c r="B1249" t="s">
        <v>1</v>
      </c>
      <c r="C1249">
        <v>0</v>
      </c>
      <c r="D1249">
        <v>1</v>
      </c>
      <c r="E1249">
        <v>9</v>
      </c>
      <c r="F1249">
        <v>4</v>
      </c>
      <c r="G1249">
        <v>1</v>
      </c>
      <c r="H1249">
        <f>표3[[#This Row],[공격성공횟수]]/(표3[[#This Row],[공격실패횟수]]+표3[[#This Row],[공격성공횟수]])</f>
        <v>0.1</v>
      </c>
    </row>
    <row r="1250" spans="1:8" x14ac:dyDescent="0.4">
      <c r="A1250">
        <v>625</v>
      </c>
      <c r="B1250" t="s">
        <v>3</v>
      </c>
      <c r="C1250">
        <v>1</v>
      </c>
      <c r="D1250">
        <v>4</v>
      </c>
      <c r="E1250">
        <v>9</v>
      </c>
      <c r="F1250">
        <v>0</v>
      </c>
      <c r="G1250">
        <v>0</v>
      </c>
      <c r="H1250">
        <f>표3[[#This Row],[공격성공횟수]]/(표3[[#This Row],[공격실패횟수]]+표3[[#This Row],[공격성공횟수]])</f>
        <v>0.30769230769230771</v>
      </c>
    </row>
    <row r="1251" spans="1:8" hidden="1" x14ac:dyDescent="0.4">
      <c r="A1251">
        <v>625</v>
      </c>
      <c r="B1251" t="s">
        <v>1</v>
      </c>
      <c r="C1251">
        <v>0</v>
      </c>
      <c r="D1251">
        <v>0</v>
      </c>
      <c r="E1251">
        <v>12</v>
      </c>
      <c r="F1251">
        <v>4</v>
      </c>
      <c r="G1251">
        <v>1</v>
      </c>
      <c r="H1251">
        <f>표3[[#This Row],[공격성공횟수]]/(표3[[#This Row],[공격실패횟수]]+표3[[#This Row],[공격성공횟수]])</f>
        <v>0</v>
      </c>
    </row>
    <row r="1252" spans="1:8" x14ac:dyDescent="0.4">
      <c r="A1252">
        <v>626</v>
      </c>
      <c r="B1252" t="s">
        <v>3</v>
      </c>
      <c r="C1252">
        <v>1</v>
      </c>
      <c r="D1252">
        <v>4</v>
      </c>
      <c r="E1252">
        <v>5</v>
      </c>
      <c r="F1252">
        <v>2</v>
      </c>
      <c r="G1252">
        <v>0</v>
      </c>
      <c r="H1252">
        <f>표3[[#This Row],[공격성공횟수]]/(표3[[#This Row],[공격실패횟수]]+표3[[#This Row],[공격성공횟수]])</f>
        <v>0.44444444444444442</v>
      </c>
    </row>
    <row r="1253" spans="1:8" hidden="1" x14ac:dyDescent="0.4">
      <c r="A1253">
        <v>626</v>
      </c>
      <c r="B1253" t="s">
        <v>1</v>
      </c>
      <c r="C1253">
        <v>0</v>
      </c>
      <c r="D1253">
        <v>2</v>
      </c>
      <c r="E1253">
        <v>7</v>
      </c>
      <c r="F1253">
        <v>4</v>
      </c>
      <c r="G1253">
        <v>1</v>
      </c>
      <c r="H1253">
        <f>표3[[#This Row],[공격성공횟수]]/(표3[[#This Row],[공격실패횟수]]+표3[[#This Row],[공격성공횟수]])</f>
        <v>0.22222222222222221</v>
      </c>
    </row>
    <row r="1254" spans="1:8" x14ac:dyDescent="0.4">
      <c r="A1254">
        <v>627</v>
      </c>
      <c r="B1254" t="s">
        <v>3</v>
      </c>
      <c r="C1254">
        <v>1</v>
      </c>
      <c r="D1254">
        <v>4</v>
      </c>
      <c r="E1254">
        <v>15</v>
      </c>
      <c r="F1254">
        <v>0</v>
      </c>
      <c r="G1254">
        <v>0</v>
      </c>
      <c r="H1254">
        <f>표3[[#This Row],[공격성공횟수]]/(표3[[#This Row],[공격실패횟수]]+표3[[#This Row],[공격성공횟수]])</f>
        <v>0.21052631578947367</v>
      </c>
    </row>
    <row r="1255" spans="1:8" hidden="1" x14ac:dyDescent="0.4">
      <c r="A1255">
        <v>627</v>
      </c>
      <c r="B1255" t="s">
        <v>1</v>
      </c>
      <c r="C1255">
        <v>0</v>
      </c>
      <c r="D1255">
        <v>0</v>
      </c>
      <c r="E1255">
        <v>19</v>
      </c>
      <c r="F1255">
        <v>4</v>
      </c>
      <c r="G1255">
        <v>1</v>
      </c>
      <c r="H1255">
        <f>표3[[#This Row],[공격성공횟수]]/(표3[[#This Row],[공격실패횟수]]+표3[[#This Row],[공격성공횟수]])</f>
        <v>0</v>
      </c>
    </row>
    <row r="1256" spans="1:8" x14ac:dyDescent="0.4">
      <c r="A1256">
        <v>628</v>
      </c>
      <c r="B1256" t="s">
        <v>3</v>
      </c>
      <c r="C1256">
        <v>1</v>
      </c>
      <c r="D1256">
        <v>4</v>
      </c>
      <c r="E1256">
        <v>14</v>
      </c>
      <c r="F1256">
        <v>3</v>
      </c>
      <c r="G1256">
        <v>0</v>
      </c>
      <c r="H1256">
        <f>표3[[#This Row],[공격성공횟수]]/(표3[[#This Row],[공격실패횟수]]+표3[[#This Row],[공격성공횟수]])</f>
        <v>0.22222222222222221</v>
      </c>
    </row>
    <row r="1257" spans="1:8" hidden="1" x14ac:dyDescent="0.4">
      <c r="A1257">
        <v>628</v>
      </c>
      <c r="B1257" t="s">
        <v>1</v>
      </c>
      <c r="C1257">
        <v>0</v>
      </c>
      <c r="D1257">
        <v>3</v>
      </c>
      <c r="E1257">
        <v>14</v>
      </c>
      <c r="F1257">
        <v>4</v>
      </c>
      <c r="G1257">
        <v>1</v>
      </c>
      <c r="H1257">
        <f>표3[[#This Row],[공격성공횟수]]/(표3[[#This Row],[공격실패횟수]]+표3[[#This Row],[공격성공횟수]])</f>
        <v>0.17647058823529413</v>
      </c>
    </row>
    <row r="1258" spans="1:8" x14ac:dyDescent="0.4">
      <c r="A1258">
        <v>629</v>
      </c>
      <c r="B1258" t="s">
        <v>3</v>
      </c>
      <c r="C1258">
        <v>1</v>
      </c>
      <c r="D1258">
        <v>4</v>
      </c>
      <c r="E1258">
        <v>10</v>
      </c>
      <c r="F1258">
        <v>1</v>
      </c>
      <c r="G1258">
        <v>0</v>
      </c>
      <c r="H1258">
        <f>표3[[#This Row],[공격성공횟수]]/(표3[[#This Row],[공격실패횟수]]+표3[[#This Row],[공격성공횟수]])</f>
        <v>0.2857142857142857</v>
      </c>
    </row>
    <row r="1259" spans="1:8" hidden="1" x14ac:dyDescent="0.4">
      <c r="A1259">
        <v>629</v>
      </c>
      <c r="B1259" t="s">
        <v>1</v>
      </c>
      <c r="C1259">
        <v>0</v>
      </c>
      <c r="D1259">
        <v>1</v>
      </c>
      <c r="E1259">
        <v>12</v>
      </c>
      <c r="F1259">
        <v>4</v>
      </c>
      <c r="G1259">
        <v>1</v>
      </c>
      <c r="H1259">
        <f>표3[[#This Row],[공격성공횟수]]/(표3[[#This Row],[공격실패횟수]]+표3[[#This Row],[공격성공횟수]])</f>
        <v>7.6923076923076927E-2</v>
      </c>
    </row>
    <row r="1260" spans="1:8" x14ac:dyDescent="0.4">
      <c r="A1260">
        <v>630</v>
      </c>
      <c r="B1260" t="s">
        <v>3</v>
      </c>
      <c r="C1260">
        <v>1</v>
      </c>
      <c r="D1260">
        <v>4</v>
      </c>
      <c r="E1260">
        <v>16</v>
      </c>
      <c r="F1260">
        <v>2</v>
      </c>
      <c r="G1260">
        <v>0</v>
      </c>
      <c r="H1260">
        <f>표3[[#This Row],[공격성공횟수]]/(표3[[#This Row],[공격실패횟수]]+표3[[#This Row],[공격성공횟수]])</f>
        <v>0.2</v>
      </c>
    </row>
    <row r="1261" spans="1:8" hidden="1" x14ac:dyDescent="0.4">
      <c r="A1261">
        <v>630</v>
      </c>
      <c r="B1261" t="s">
        <v>1</v>
      </c>
      <c r="C1261">
        <v>0</v>
      </c>
      <c r="D1261">
        <v>2</v>
      </c>
      <c r="E1261">
        <v>18</v>
      </c>
      <c r="F1261">
        <v>4</v>
      </c>
      <c r="G1261">
        <v>1</v>
      </c>
      <c r="H1261">
        <f>표3[[#This Row],[공격성공횟수]]/(표3[[#This Row],[공격실패횟수]]+표3[[#This Row],[공격성공횟수]])</f>
        <v>0.1</v>
      </c>
    </row>
    <row r="1262" spans="1:8" x14ac:dyDescent="0.4">
      <c r="A1262">
        <v>631</v>
      </c>
      <c r="B1262" t="s">
        <v>3</v>
      </c>
      <c r="C1262">
        <v>1</v>
      </c>
      <c r="D1262">
        <v>4</v>
      </c>
      <c r="E1262">
        <v>9</v>
      </c>
      <c r="F1262">
        <v>1</v>
      </c>
      <c r="G1262">
        <v>0</v>
      </c>
      <c r="H1262">
        <f>표3[[#This Row],[공격성공횟수]]/(표3[[#This Row],[공격실패횟수]]+표3[[#This Row],[공격성공횟수]])</f>
        <v>0.30769230769230771</v>
      </c>
    </row>
    <row r="1263" spans="1:8" hidden="1" x14ac:dyDescent="0.4">
      <c r="A1263">
        <v>631</v>
      </c>
      <c r="B1263" t="s">
        <v>1</v>
      </c>
      <c r="C1263">
        <v>0</v>
      </c>
      <c r="D1263">
        <v>1</v>
      </c>
      <c r="E1263">
        <v>11</v>
      </c>
      <c r="F1263">
        <v>4</v>
      </c>
      <c r="G1263">
        <v>1</v>
      </c>
      <c r="H1263">
        <f>표3[[#This Row],[공격성공횟수]]/(표3[[#This Row],[공격실패횟수]]+표3[[#This Row],[공격성공횟수]])</f>
        <v>8.3333333333333329E-2</v>
      </c>
    </row>
    <row r="1264" spans="1:8" x14ac:dyDescent="0.4">
      <c r="A1264">
        <v>632</v>
      </c>
      <c r="B1264" t="s">
        <v>3</v>
      </c>
      <c r="C1264">
        <v>1</v>
      </c>
      <c r="D1264">
        <v>4</v>
      </c>
      <c r="E1264">
        <v>14</v>
      </c>
      <c r="F1264">
        <v>2</v>
      </c>
      <c r="G1264">
        <v>0</v>
      </c>
      <c r="H1264">
        <f>표3[[#This Row],[공격성공횟수]]/(표3[[#This Row],[공격실패횟수]]+표3[[#This Row],[공격성공횟수]])</f>
        <v>0.22222222222222221</v>
      </c>
    </row>
    <row r="1265" spans="1:8" hidden="1" x14ac:dyDescent="0.4">
      <c r="A1265">
        <v>632</v>
      </c>
      <c r="B1265" t="s">
        <v>1</v>
      </c>
      <c r="C1265">
        <v>0</v>
      </c>
      <c r="D1265">
        <v>2</v>
      </c>
      <c r="E1265">
        <v>16</v>
      </c>
      <c r="F1265">
        <v>4</v>
      </c>
      <c r="G1265">
        <v>1</v>
      </c>
      <c r="H1265">
        <f>표3[[#This Row],[공격성공횟수]]/(표3[[#This Row],[공격실패횟수]]+표3[[#This Row],[공격성공횟수]])</f>
        <v>0.1111111111111111</v>
      </c>
    </row>
    <row r="1266" spans="1:8" x14ac:dyDescent="0.4">
      <c r="A1266">
        <v>633</v>
      </c>
      <c r="B1266" t="s">
        <v>3</v>
      </c>
      <c r="C1266">
        <v>1</v>
      </c>
      <c r="D1266">
        <v>4</v>
      </c>
      <c r="E1266">
        <v>30</v>
      </c>
      <c r="F1266">
        <v>2</v>
      </c>
      <c r="G1266">
        <v>0</v>
      </c>
      <c r="H1266">
        <f>표3[[#This Row],[공격성공횟수]]/(표3[[#This Row],[공격실패횟수]]+표3[[#This Row],[공격성공횟수]])</f>
        <v>0.11764705882352941</v>
      </c>
    </row>
    <row r="1267" spans="1:8" hidden="1" x14ac:dyDescent="0.4">
      <c r="A1267">
        <v>633</v>
      </c>
      <c r="B1267" t="s">
        <v>1</v>
      </c>
      <c r="C1267">
        <v>0</v>
      </c>
      <c r="D1267">
        <v>2</v>
      </c>
      <c r="E1267">
        <v>31</v>
      </c>
      <c r="F1267">
        <v>4</v>
      </c>
      <c r="G1267">
        <v>1</v>
      </c>
      <c r="H1267">
        <f>표3[[#This Row],[공격성공횟수]]/(표3[[#This Row],[공격실패횟수]]+표3[[#This Row],[공격성공횟수]])</f>
        <v>6.0606060606060608E-2</v>
      </c>
    </row>
    <row r="1268" spans="1:8" x14ac:dyDescent="0.4">
      <c r="A1268">
        <v>634</v>
      </c>
      <c r="B1268" t="s">
        <v>3</v>
      </c>
      <c r="C1268">
        <v>0</v>
      </c>
      <c r="D1268">
        <v>0</v>
      </c>
      <c r="E1268">
        <v>16</v>
      </c>
      <c r="F1268">
        <v>4</v>
      </c>
      <c r="G1268">
        <v>1</v>
      </c>
      <c r="H1268">
        <f>표3[[#This Row],[공격성공횟수]]/(표3[[#This Row],[공격실패횟수]]+표3[[#This Row],[공격성공횟수]])</f>
        <v>0</v>
      </c>
    </row>
    <row r="1269" spans="1:8" hidden="1" x14ac:dyDescent="0.4">
      <c r="A1269">
        <v>634</v>
      </c>
      <c r="B1269" t="s">
        <v>1</v>
      </c>
      <c r="C1269">
        <v>1</v>
      </c>
      <c r="D1269">
        <v>4</v>
      </c>
      <c r="E1269">
        <v>13</v>
      </c>
      <c r="F1269">
        <v>0</v>
      </c>
      <c r="G1269">
        <v>0</v>
      </c>
      <c r="H1269">
        <f>표3[[#This Row],[공격성공횟수]]/(표3[[#This Row],[공격실패횟수]]+표3[[#This Row],[공격성공횟수]])</f>
        <v>0.23529411764705882</v>
      </c>
    </row>
    <row r="1270" spans="1:8" x14ac:dyDescent="0.4">
      <c r="A1270">
        <v>635</v>
      </c>
      <c r="B1270" t="s">
        <v>3</v>
      </c>
      <c r="C1270">
        <v>1</v>
      </c>
      <c r="D1270">
        <v>4</v>
      </c>
      <c r="E1270">
        <v>10</v>
      </c>
      <c r="F1270">
        <v>0</v>
      </c>
      <c r="G1270">
        <v>0</v>
      </c>
      <c r="H1270">
        <f>표3[[#This Row],[공격성공횟수]]/(표3[[#This Row],[공격실패횟수]]+표3[[#This Row],[공격성공횟수]])</f>
        <v>0.2857142857142857</v>
      </c>
    </row>
    <row r="1271" spans="1:8" hidden="1" x14ac:dyDescent="0.4">
      <c r="A1271">
        <v>635</v>
      </c>
      <c r="B1271" t="s">
        <v>1</v>
      </c>
      <c r="C1271">
        <v>0</v>
      </c>
      <c r="D1271">
        <v>0</v>
      </c>
      <c r="E1271">
        <v>13</v>
      </c>
      <c r="F1271">
        <v>4</v>
      </c>
      <c r="G1271">
        <v>1</v>
      </c>
      <c r="H1271">
        <f>표3[[#This Row],[공격성공횟수]]/(표3[[#This Row],[공격실패횟수]]+표3[[#This Row],[공격성공횟수]])</f>
        <v>0</v>
      </c>
    </row>
    <row r="1272" spans="1:8" x14ac:dyDescent="0.4">
      <c r="A1272">
        <v>636</v>
      </c>
      <c r="B1272" t="s">
        <v>3</v>
      </c>
      <c r="C1272">
        <v>1</v>
      </c>
      <c r="D1272">
        <v>4</v>
      </c>
      <c r="E1272">
        <v>6</v>
      </c>
      <c r="F1272">
        <v>0</v>
      </c>
      <c r="G1272">
        <v>0</v>
      </c>
      <c r="H1272">
        <f>표3[[#This Row],[공격성공횟수]]/(표3[[#This Row],[공격실패횟수]]+표3[[#This Row],[공격성공횟수]])</f>
        <v>0.4</v>
      </c>
    </row>
    <row r="1273" spans="1:8" hidden="1" x14ac:dyDescent="0.4">
      <c r="A1273">
        <v>636</v>
      </c>
      <c r="B1273" t="s">
        <v>1</v>
      </c>
      <c r="C1273">
        <v>0</v>
      </c>
      <c r="D1273">
        <v>0</v>
      </c>
      <c r="E1273">
        <v>10</v>
      </c>
      <c r="F1273">
        <v>4</v>
      </c>
      <c r="G1273">
        <v>1</v>
      </c>
      <c r="H1273">
        <f>표3[[#This Row],[공격성공횟수]]/(표3[[#This Row],[공격실패횟수]]+표3[[#This Row],[공격성공횟수]])</f>
        <v>0</v>
      </c>
    </row>
    <row r="1274" spans="1:8" x14ac:dyDescent="0.4">
      <c r="A1274">
        <v>637</v>
      </c>
      <c r="B1274" t="s">
        <v>3</v>
      </c>
      <c r="C1274">
        <v>1</v>
      </c>
      <c r="D1274">
        <v>4</v>
      </c>
      <c r="E1274">
        <v>24</v>
      </c>
      <c r="F1274">
        <v>2</v>
      </c>
      <c r="G1274">
        <v>0</v>
      </c>
      <c r="H1274">
        <f>표3[[#This Row],[공격성공횟수]]/(표3[[#This Row],[공격실패횟수]]+표3[[#This Row],[공격성공횟수]])</f>
        <v>0.14285714285714285</v>
      </c>
    </row>
    <row r="1275" spans="1:8" hidden="1" x14ac:dyDescent="0.4">
      <c r="A1275">
        <v>637</v>
      </c>
      <c r="B1275" t="s">
        <v>1</v>
      </c>
      <c r="C1275">
        <v>0</v>
      </c>
      <c r="D1275">
        <v>2</v>
      </c>
      <c r="E1275">
        <v>27</v>
      </c>
      <c r="F1275">
        <v>4</v>
      </c>
      <c r="G1275">
        <v>1</v>
      </c>
      <c r="H1275">
        <f>표3[[#This Row],[공격성공횟수]]/(표3[[#This Row],[공격실패횟수]]+표3[[#This Row],[공격성공횟수]])</f>
        <v>6.8965517241379309E-2</v>
      </c>
    </row>
    <row r="1276" spans="1:8" x14ac:dyDescent="0.4">
      <c r="A1276">
        <v>638</v>
      </c>
      <c r="B1276" t="s">
        <v>3</v>
      </c>
      <c r="C1276">
        <v>0</v>
      </c>
      <c r="D1276">
        <v>1</v>
      </c>
      <c r="E1276">
        <v>13</v>
      </c>
      <c r="F1276">
        <v>4</v>
      </c>
      <c r="G1276">
        <v>1</v>
      </c>
      <c r="H1276">
        <f>표3[[#This Row],[공격성공횟수]]/(표3[[#This Row],[공격실패횟수]]+표3[[#This Row],[공격성공횟수]])</f>
        <v>7.1428571428571425E-2</v>
      </c>
    </row>
    <row r="1277" spans="1:8" hidden="1" x14ac:dyDescent="0.4">
      <c r="A1277">
        <v>638</v>
      </c>
      <c r="B1277" t="s">
        <v>1</v>
      </c>
      <c r="C1277">
        <v>1</v>
      </c>
      <c r="D1277">
        <v>4</v>
      </c>
      <c r="E1277">
        <v>17</v>
      </c>
      <c r="F1277">
        <v>1</v>
      </c>
      <c r="G1277">
        <v>0</v>
      </c>
      <c r="H1277">
        <f>표3[[#This Row],[공격성공횟수]]/(표3[[#This Row],[공격실패횟수]]+표3[[#This Row],[공격성공횟수]])</f>
        <v>0.19047619047619047</v>
      </c>
    </row>
    <row r="1278" spans="1:8" x14ac:dyDescent="0.4">
      <c r="A1278">
        <v>639</v>
      </c>
      <c r="B1278" t="s">
        <v>3</v>
      </c>
      <c r="C1278">
        <v>1</v>
      </c>
      <c r="D1278">
        <v>4</v>
      </c>
      <c r="E1278">
        <v>9</v>
      </c>
      <c r="F1278">
        <v>0</v>
      </c>
      <c r="G1278">
        <v>0</v>
      </c>
      <c r="H1278">
        <f>표3[[#This Row],[공격성공횟수]]/(표3[[#This Row],[공격실패횟수]]+표3[[#This Row],[공격성공횟수]])</f>
        <v>0.30769230769230771</v>
      </c>
    </row>
    <row r="1279" spans="1:8" hidden="1" x14ac:dyDescent="0.4">
      <c r="A1279">
        <v>639</v>
      </c>
      <c r="B1279" t="s">
        <v>1</v>
      </c>
      <c r="C1279">
        <v>0</v>
      </c>
      <c r="D1279">
        <v>0</v>
      </c>
      <c r="E1279">
        <v>11</v>
      </c>
      <c r="F1279">
        <v>4</v>
      </c>
      <c r="G1279">
        <v>1</v>
      </c>
      <c r="H1279">
        <f>표3[[#This Row],[공격성공횟수]]/(표3[[#This Row],[공격실패횟수]]+표3[[#This Row],[공격성공횟수]])</f>
        <v>0</v>
      </c>
    </row>
    <row r="1280" spans="1:8" x14ac:dyDescent="0.4">
      <c r="A1280">
        <v>640</v>
      </c>
      <c r="B1280" t="s">
        <v>3</v>
      </c>
      <c r="C1280">
        <v>1</v>
      </c>
      <c r="D1280">
        <v>4</v>
      </c>
      <c r="E1280">
        <v>11</v>
      </c>
      <c r="F1280">
        <v>2</v>
      </c>
      <c r="G1280">
        <v>0</v>
      </c>
      <c r="H1280">
        <f>표3[[#This Row],[공격성공횟수]]/(표3[[#This Row],[공격실패횟수]]+표3[[#This Row],[공격성공횟수]])</f>
        <v>0.26666666666666666</v>
      </c>
    </row>
    <row r="1281" spans="1:8" hidden="1" x14ac:dyDescent="0.4">
      <c r="A1281">
        <v>640</v>
      </c>
      <c r="B1281" t="s">
        <v>1</v>
      </c>
      <c r="C1281">
        <v>0</v>
      </c>
      <c r="D1281">
        <v>2</v>
      </c>
      <c r="E1281">
        <v>13</v>
      </c>
      <c r="F1281">
        <v>4</v>
      </c>
      <c r="G1281">
        <v>1</v>
      </c>
      <c r="H1281">
        <f>표3[[#This Row],[공격성공횟수]]/(표3[[#This Row],[공격실패횟수]]+표3[[#This Row],[공격성공횟수]])</f>
        <v>0.13333333333333333</v>
      </c>
    </row>
    <row r="1282" spans="1:8" x14ac:dyDescent="0.4">
      <c r="A1282">
        <v>641</v>
      </c>
      <c r="B1282" t="s">
        <v>3</v>
      </c>
      <c r="C1282">
        <v>0</v>
      </c>
      <c r="D1282">
        <v>0</v>
      </c>
      <c r="E1282">
        <v>25</v>
      </c>
      <c r="F1282">
        <v>4</v>
      </c>
      <c r="G1282">
        <v>1</v>
      </c>
      <c r="H1282">
        <f>표3[[#This Row],[공격성공횟수]]/(표3[[#This Row],[공격실패횟수]]+표3[[#This Row],[공격성공횟수]])</f>
        <v>0</v>
      </c>
    </row>
    <row r="1283" spans="1:8" hidden="1" x14ac:dyDescent="0.4">
      <c r="A1283">
        <v>641</v>
      </c>
      <c r="B1283" t="s">
        <v>1</v>
      </c>
      <c r="C1283">
        <v>1</v>
      </c>
      <c r="D1283">
        <v>4</v>
      </c>
      <c r="E1283">
        <v>21</v>
      </c>
      <c r="F1283">
        <v>0</v>
      </c>
      <c r="G1283">
        <v>0</v>
      </c>
      <c r="H1283">
        <f>표3[[#This Row],[공격성공횟수]]/(표3[[#This Row],[공격실패횟수]]+표3[[#This Row],[공격성공횟수]])</f>
        <v>0.16</v>
      </c>
    </row>
    <row r="1284" spans="1:8" x14ac:dyDescent="0.4">
      <c r="A1284">
        <v>642</v>
      </c>
      <c r="B1284" t="s">
        <v>3</v>
      </c>
      <c r="C1284">
        <v>1</v>
      </c>
      <c r="D1284">
        <v>4</v>
      </c>
      <c r="E1284">
        <v>11</v>
      </c>
      <c r="F1284">
        <v>0</v>
      </c>
      <c r="G1284">
        <v>0</v>
      </c>
      <c r="H1284">
        <f>표3[[#This Row],[공격성공횟수]]/(표3[[#This Row],[공격실패횟수]]+표3[[#This Row],[공격성공횟수]])</f>
        <v>0.26666666666666666</v>
      </c>
    </row>
    <row r="1285" spans="1:8" hidden="1" x14ac:dyDescent="0.4">
      <c r="A1285">
        <v>642</v>
      </c>
      <c r="B1285" t="s">
        <v>1</v>
      </c>
      <c r="C1285">
        <v>0</v>
      </c>
      <c r="D1285">
        <v>0</v>
      </c>
      <c r="E1285">
        <v>14</v>
      </c>
      <c r="F1285">
        <v>4</v>
      </c>
      <c r="G1285">
        <v>1</v>
      </c>
      <c r="H1285">
        <f>표3[[#This Row],[공격성공횟수]]/(표3[[#This Row],[공격실패횟수]]+표3[[#This Row],[공격성공횟수]])</f>
        <v>0</v>
      </c>
    </row>
    <row r="1286" spans="1:8" x14ac:dyDescent="0.4">
      <c r="A1286">
        <v>643</v>
      </c>
      <c r="B1286" t="s">
        <v>3</v>
      </c>
      <c r="C1286">
        <v>1</v>
      </c>
      <c r="D1286">
        <v>4</v>
      </c>
      <c r="E1286">
        <v>11</v>
      </c>
      <c r="F1286">
        <v>1</v>
      </c>
      <c r="G1286">
        <v>0</v>
      </c>
      <c r="H1286">
        <f>표3[[#This Row],[공격성공횟수]]/(표3[[#This Row],[공격실패횟수]]+표3[[#This Row],[공격성공횟수]])</f>
        <v>0.26666666666666666</v>
      </c>
    </row>
    <row r="1287" spans="1:8" hidden="1" x14ac:dyDescent="0.4">
      <c r="A1287">
        <v>643</v>
      </c>
      <c r="B1287" t="s">
        <v>1</v>
      </c>
      <c r="C1287">
        <v>0</v>
      </c>
      <c r="D1287">
        <v>1</v>
      </c>
      <c r="E1287">
        <v>13</v>
      </c>
      <c r="F1287">
        <v>4</v>
      </c>
      <c r="G1287">
        <v>1</v>
      </c>
      <c r="H1287">
        <f>표3[[#This Row],[공격성공횟수]]/(표3[[#This Row],[공격실패횟수]]+표3[[#This Row],[공격성공횟수]])</f>
        <v>7.1428571428571425E-2</v>
      </c>
    </row>
    <row r="1288" spans="1:8" x14ac:dyDescent="0.4">
      <c r="A1288">
        <v>644</v>
      </c>
      <c r="B1288" t="s">
        <v>3</v>
      </c>
      <c r="C1288">
        <v>1</v>
      </c>
      <c r="D1288">
        <v>4</v>
      </c>
      <c r="E1288">
        <v>9</v>
      </c>
      <c r="F1288">
        <v>0</v>
      </c>
      <c r="G1288">
        <v>0</v>
      </c>
      <c r="H1288">
        <f>표3[[#This Row],[공격성공횟수]]/(표3[[#This Row],[공격실패횟수]]+표3[[#This Row],[공격성공횟수]])</f>
        <v>0.30769230769230771</v>
      </c>
    </row>
    <row r="1289" spans="1:8" hidden="1" x14ac:dyDescent="0.4">
      <c r="A1289">
        <v>644</v>
      </c>
      <c r="B1289" t="s">
        <v>1</v>
      </c>
      <c r="C1289">
        <v>0</v>
      </c>
      <c r="D1289">
        <v>0</v>
      </c>
      <c r="E1289">
        <v>12</v>
      </c>
      <c r="F1289">
        <v>4</v>
      </c>
      <c r="G1289">
        <v>1</v>
      </c>
      <c r="H1289">
        <f>표3[[#This Row],[공격성공횟수]]/(표3[[#This Row],[공격실패횟수]]+표3[[#This Row],[공격성공횟수]])</f>
        <v>0</v>
      </c>
    </row>
    <row r="1290" spans="1:8" x14ac:dyDescent="0.4">
      <c r="A1290">
        <v>645</v>
      </c>
      <c r="B1290" t="s">
        <v>3</v>
      </c>
      <c r="C1290">
        <v>1</v>
      </c>
      <c r="D1290">
        <v>4</v>
      </c>
      <c r="E1290">
        <v>6</v>
      </c>
      <c r="F1290">
        <v>1</v>
      </c>
      <c r="G1290">
        <v>0</v>
      </c>
      <c r="H1290">
        <f>표3[[#This Row],[공격성공횟수]]/(표3[[#This Row],[공격실패횟수]]+표3[[#This Row],[공격성공횟수]])</f>
        <v>0.4</v>
      </c>
    </row>
    <row r="1291" spans="1:8" hidden="1" x14ac:dyDescent="0.4">
      <c r="A1291">
        <v>645</v>
      </c>
      <c r="B1291" t="s">
        <v>1</v>
      </c>
      <c r="C1291">
        <v>0</v>
      </c>
      <c r="D1291">
        <v>1</v>
      </c>
      <c r="E1291">
        <v>9</v>
      </c>
      <c r="F1291">
        <v>4</v>
      </c>
      <c r="G1291">
        <v>1</v>
      </c>
      <c r="H1291">
        <f>표3[[#This Row],[공격성공횟수]]/(표3[[#This Row],[공격실패횟수]]+표3[[#This Row],[공격성공횟수]])</f>
        <v>0.1</v>
      </c>
    </row>
    <row r="1292" spans="1:8" x14ac:dyDescent="0.4">
      <c r="A1292">
        <v>646</v>
      </c>
      <c r="B1292" t="s">
        <v>3</v>
      </c>
      <c r="C1292">
        <v>0</v>
      </c>
      <c r="D1292">
        <v>2</v>
      </c>
      <c r="E1292">
        <v>22</v>
      </c>
      <c r="F1292">
        <v>4</v>
      </c>
      <c r="G1292">
        <v>1</v>
      </c>
      <c r="H1292">
        <f>표3[[#This Row],[공격성공횟수]]/(표3[[#This Row],[공격실패횟수]]+표3[[#This Row],[공격성공횟수]])</f>
        <v>8.3333333333333329E-2</v>
      </c>
    </row>
    <row r="1293" spans="1:8" hidden="1" x14ac:dyDescent="0.4">
      <c r="A1293">
        <v>646</v>
      </c>
      <c r="B1293" t="s">
        <v>1</v>
      </c>
      <c r="C1293">
        <v>1</v>
      </c>
      <c r="D1293">
        <v>4</v>
      </c>
      <c r="E1293">
        <v>28</v>
      </c>
      <c r="F1293">
        <v>2</v>
      </c>
      <c r="G1293">
        <v>0</v>
      </c>
      <c r="H1293">
        <f>표3[[#This Row],[공격성공횟수]]/(표3[[#This Row],[공격실패횟수]]+표3[[#This Row],[공격성공횟수]])</f>
        <v>0.125</v>
      </c>
    </row>
    <row r="1294" spans="1:8" x14ac:dyDescent="0.4">
      <c r="A1294">
        <v>647</v>
      </c>
      <c r="B1294" t="s">
        <v>3</v>
      </c>
      <c r="C1294">
        <v>1</v>
      </c>
      <c r="D1294">
        <v>4</v>
      </c>
      <c r="E1294">
        <v>5</v>
      </c>
      <c r="F1294">
        <v>2</v>
      </c>
      <c r="G1294">
        <v>0</v>
      </c>
      <c r="H1294">
        <f>표3[[#This Row],[공격성공횟수]]/(표3[[#This Row],[공격실패횟수]]+표3[[#This Row],[공격성공횟수]])</f>
        <v>0.44444444444444442</v>
      </c>
    </row>
    <row r="1295" spans="1:8" hidden="1" x14ac:dyDescent="0.4">
      <c r="A1295">
        <v>647</v>
      </c>
      <c r="B1295" t="s">
        <v>1</v>
      </c>
      <c r="C1295">
        <v>0</v>
      </c>
      <c r="D1295">
        <v>2</v>
      </c>
      <c r="E1295">
        <v>6</v>
      </c>
      <c r="F1295">
        <v>4</v>
      </c>
      <c r="G1295">
        <v>1</v>
      </c>
      <c r="H1295">
        <f>표3[[#This Row],[공격성공횟수]]/(표3[[#This Row],[공격실패횟수]]+표3[[#This Row],[공격성공횟수]])</f>
        <v>0.25</v>
      </c>
    </row>
    <row r="1296" spans="1:8" x14ac:dyDescent="0.4">
      <c r="A1296">
        <v>648</v>
      </c>
      <c r="B1296" t="s">
        <v>3</v>
      </c>
      <c r="C1296">
        <v>1</v>
      </c>
      <c r="D1296">
        <v>4</v>
      </c>
      <c r="E1296">
        <v>20</v>
      </c>
      <c r="F1296">
        <v>1</v>
      </c>
      <c r="G1296">
        <v>0</v>
      </c>
      <c r="H1296">
        <f>표3[[#This Row],[공격성공횟수]]/(표3[[#This Row],[공격실패횟수]]+표3[[#This Row],[공격성공횟수]])</f>
        <v>0.16666666666666666</v>
      </c>
    </row>
    <row r="1297" spans="1:8" hidden="1" x14ac:dyDescent="0.4">
      <c r="A1297">
        <v>648</v>
      </c>
      <c r="B1297" t="s">
        <v>1</v>
      </c>
      <c r="C1297">
        <v>0</v>
      </c>
      <c r="D1297">
        <v>1</v>
      </c>
      <c r="E1297">
        <v>22</v>
      </c>
      <c r="F1297">
        <v>4</v>
      </c>
      <c r="G1297">
        <v>1</v>
      </c>
      <c r="H1297">
        <f>표3[[#This Row],[공격성공횟수]]/(표3[[#This Row],[공격실패횟수]]+표3[[#This Row],[공격성공횟수]])</f>
        <v>4.3478260869565216E-2</v>
      </c>
    </row>
    <row r="1298" spans="1:8" x14ac:dyDescent="0.4">
      <c r="A1298">
        <v>649</v>
      </c>
      <c r="B1298" t="s">
        <v>3</v>
      </c>
      <c r="C1298">
        <v>1</v>
      </c>
      <c r="D1298">
        <v>4</v>
      </c>
      <c r="E1298">
        <v>16</v>
      </c>
      <c r="F1298">
        <v>0</v>
      </c>
      <c r="G1298">
        <v>0</v>
      </c>
      <c r="H1298">
        <f>표3[[#This Row],[공격성공횟수]]/(표3[[#This Row],[공격실패횟수]]+표3[[#This Row],[공격성공횟수]])</f>
        <v>0.2</v>
      </c>
    </row>
    <row r="1299" spans="1:8" hidden="1" x14ac:dyDescent="0.4">
      <c r="A1299">
        <v>649</v>
      </c>
      <c r="B1299" t="s">
        <v>1</v>
      </c>
      <c r="C1299">
        <v>0</v>
      </c>
      <c r="D1299">
        <v>0</v>
      </c>
      <c r="E1299">
        <v>19</v>
      </c>
      <c r="F1299">
        <v>4</v>
      </c>
      <c r="G1299">
        <v>1</v>
      </c>
      <c r="H1299">
        <f>표3[[#This Row],[공격성공횟수]]/(표3[[#This Row],[공격실패횟수]]+표3[[#This Row],[공격성공횟수]])</f>
        <v>0</v>
      </c>
    </row>
    <row r="1300" spans="1:8" x14ac:dyDescent="0.4">
      <c r="A1300">
        <v>650</v>
      </c>
      <c r="B1300" t="s">
        <v>3</v>
      </c>
      <c r="C1300">
        <v>1</v>
      </c>
      <c r="D1300">
        <v>4</v>
      </c>
      <c r="E1300">
        <v>24</v>
      </c>
      <c r="F1300">
        <v>2</v>
      </c>
      <c r="G1300">
        <v>0</v>
      </c>
      <c r="H1300">
        <f>표3[[#This Row],[공격성공횟수]]/(표3[[#This Row],[공격실패횟수]]+표3[[#This Row],[공격성공횟수]])</f>
        <v>0.14285714285714285</v>
      </c>
    </row>
    <row r="1301" spans="1:8" hidden="1" x14ac:dyDescent="0.4">
      <c r="A1301">
        <v>650</v>
      </c>
      <c r="B1301" t="s">
        <v>1</v>
      </c>
      <c r="C1301">
        <v>0</v>
      </c>
      <c r="D1301">
        <v>2</v>
      </c>
      <c r="E1301">
        <v>32</v>
      </c>
      <c r="F1301">
        <v>4</v>
      </c>
      <c r="G1301">
        <v>1</v>
      </c>
      <c r="H1301">
        <f>표3[[#This Row],[공격성공횟수]]/(표3[[#This Row],[공격실패횟수]]+표3[[#This Row],[공격성공횟수]])</f>
        <v>5.8823529411764705E-2</v>
      </c>
    </row>
    <row r="1302" spans="1:8" x14ac:dyDescent="0.4">
      <c r="A1302">
        <v>651</v>
      </c>
      <c r="B1302" t="s">
        <v>3</v>
      </c>
      <c r="C1302">
        <v>1</v>
      </c>
      <c r="D1302">
        <v>4</v>
      </c>
      <c r="E1302">
        <v>8</v>
      </c>
      <c r="F1302">
        <v>1</v>
      </c>
      <c r="G1302">
        <v>0</v>
      </c>
      <c r="H1302">
        <f>표3[[#This Row],[공격성공횟수]]/(표3[[#This Row],[공격실패횟수]]+표3[[#This Row],[공격성공횟수]])</f>
        <v>0.33333333333333331</v>
      </c>
    </row>
    <row r="1303" spans="1:8" hidden="1" x14ac:dyDescent="0.4">
      <c r="A1303">
        <v>651</v>
      </c>
      <c r="B1303" t="s">
        <v>1</v>
      </c>
      <c r="C1303">
        <v>0</v>
      </c>
      <c r="D1303">
        <v>1</v>
      </c>
      <c r="E1303">
        <v>11</v>
      </c>
      <c r="F1303">
        <v>4</v>
      </c>
      <c r="G1303">
        <v>1</v>
      </c>
      <c r="H1303">
        <f>표3[[#This Row],[공격성공횟수]]/(표3[[#This Row],[공격실패횟수]]+표3[[#This Row],[공격성공횟수]])</f>
        <v>8.3333333333333329E-2</v>
      </c>
    </row>
    <row r="1304" spans="1:8" x14ac:dyDescent="0.4">
      <c r="A1304">
        <v>652</v>
      </c>
      <c r="B1304" t="s">
        <v>3</v>
      </c>
      <c r="C1304">
        <v>1</v>
      </c>
      <c r="D1304">
        <v>4</v>
      </c>
      <c r="E1304">
        <v>10</v>
      </c>
      <c r="F1304">
        <v>0</v>
      </c>
      <c r="G1304">
        <v>0</v>
      </c>
      <c r="H1304">
        <f>표3[[#This Row],[공격성공횟수]]/(표3[[#This Row],[공격실패횟수]]+표3[[#This Row],[공격성공횟수]])</f>
        <v>0.2857142857142857</v>
      </c>
    </row>
    <row r="1305" spans="1:8" hidden="1" x14ac:dyDescent="0.4">
      <c r="A1305">
        <v>652</v>
      </c>
      <c r="B1305" t="s">
        <v>1</v>
      </c>
      <c r="C1305">
        <v>0</v>
      </c>
      <c r="D1305">
        <v>0</v>
      </c>
      <c r="E1305">
        <v>13</v>
      </c>
      <c r="F1305">
        <v>4</v>
      </c>
      <c r="G1305">
        <v>1</v>
      </c>
      <c r="H1305">
        <f>표3[[#This Row],[공격성공횟수]]/(표3[[#This Row],[공격실패횟수]]+표3[[#This Row],[공격성공횟수]])</f>
        <v>0</v>
      </c>
    </row>
    <row r="1306" spans="1:8" x14ac:dyDescent="0.4">
      <c r="A1306">
        <v>653</v>
      </c>
      <c r="B1306" t="s">
        <v>3</v>
      </c>
      <c r="C1306">
        <v>1</v>
      </c>
      <c r="D1306">
        <v>4</v>
      </c>
      <c r="E1306">
        <v>27</v>
      </c>
      <c r="F1306">
        <v>2</v>
      </c>
      <c r="G1306">
        <v>0</v>
      </c>
      <c r="H1306">
        <f>표3[[#This Row],[공격성공횟수]]/(표3[[#This Row],[공격실패횟수]]+표3[[#This Row],[공격성공횟수]])</f>
        <v>0.12903225806451613</v>
      </c>
    </row>
    <row r="1307" spans="1:8" hidden="1" x14ac:dyDescent="0.4">
      <c r="A1307">
        <v>653</v>
      </c>
      <c r="B1307" t="s">
        <v>1</v>
      </c>
      <c r="C1307">
        <v>0</v>
      </c>
      <c r="D1307">
        <v>2</v>
      </c>
      <c r="E1307">
        <v>28</v>
      </c>
      <c r="F1307">
        <v>4</v>
      </c>
      <c r="G1307">
        <v>1</v>
      </c>
      <c r="H1307">
        <f>표3[[#This Row],[공격성공횟수]]/(표3[[#This Row],[공격실패횟수]]+표3[[#This Row],[공격성공횟수]])</f>
        <v>6.6666666666666666E-2</v>
      </c>
    </row>
    <row r="1308" spans="1:8" x14ac:dyDescent="0.4">
      <c r="A1308">
        <v>654</v>
      </c>
      <c r="B1308" t="s">
        <v>3</v>
      </c>
      <c r="C1308">
        <v>1</v>
      </c>
      <c r="D1308">
        <v>4</v>
      </c>
      <c r="E1308">
        <v>14</v>
      </c>
      <c r="F1308">
        <v>0</v>
      </c>
      <c r="G1308">
        <v>0</v>
      </c>
      <c r="H1308">
        <f>표3[[#This Row],[공격성공횟수]]/(표3[[#This Row],[공격실패횟수]]+표3[[#This Row],[공격성공횟수]])</f>
        <v>0.22222222222222221</v>
      </c>
    </row>
    <row r="1309" spans="1:8" hidden="1" x14ac:dyDescent="0.4">
      <c r="A1309">
        <v>654</v>
      </c>
      <c r="B1309" t="s">
        <v>1</v>
      </c>
      <c r="C1309">
        <v>0</v>
      </c>
      <c r="D1309">
        <v>0</v>
      </c>
      <c r="E1309">
        <v>18</v>
      </c>
      <c r="F1309">
        <v>4</v>
      </c>
      <c r="G1309">
        <v>1</v>
      </c>
      <c r="H1309">
        <f>표3[[#This Row],[공격성공횟수]]/(표3[[#This Row],[공격실패횟수]]+표3[[#This Row],[공격성공횟수]])</f>
        <v>0</v>
      </c>
    </row>
    <row r="1310" spans="1:8" x14ac:dyDescent="0.4">
      <c r="A1310">
        <v>655</v>
      </c>
      <c r="B1310" t="s">
        <v>3</v>
      </c>
      <c r="C1310">
        <v>1</v>
      </c>
      <c r="D1310">
        <v>4</v>
      </c>
      <c r="E1310">
        <v>5</v>
      </c>
      <c r="F1310">
        <v>0</v>
      </c>
      <c r="G1310">
        <v>0</v>
      </c>
      <c r="H1310">
        <f>표3[[#This Row],[공격성공횟수]]/(표3[[#This Row],[공격실패횟수]]+표3[[#This Row],[공격성공횟수]])</f>
        <v>0.44444444444444442</v>
      </c>
    </row>
    <row r="1311" spans="1:8" hidden="1" x14ac:dyDescent="0.4">
      <c r="A1311">
        <v>655</v>
      </c>
      <c r="B1311" t="s">
        <v>1</v>
      </c>
      <c r="C1311">
        <v>0</v>
      </c>
      <c r="D1311">
        <v>0</v>
      </c>
      <c r="E1311">
        <v>9</v>
      </c>
      <c r="F1311">
        <v>4</v>
      </c>
      <c r="G1311">
        <v>1</v>
      </c>
      <c r="H1311">
        <f>표3[[#This Row],[공격성공횟수]]/(표3[[#This Row],[공격실패횟수]]+표3[[#This Row],[공격성공횟수]])</f>
        <v>0</v>
      </c>
    </row>
    <row r="1312" spans="1:8" x14ac:dyDescent="0.4">
      <c r="A1312">
        <v>656</v>
      </c>
      <c r="B1312" t="s">
        <v>3</v>
      </c>
      <c r="C1312">
        <v>1</v>
      </c>
      <c r="D1312">
        <v>4</v>
      </c>
      <c r="E1312">
        <v>26</v>
      </c>
      <c r="F1312">
        <v>3</v>
      </c>
      <c r="G1312">
        <v>0</v>
      </c>
      <c r="H1312">
        <f>표3[[#This Row],[공격성공횟수]]/(표3[[#This Row],[공격실패횟수]]+표3[[#This Row],[공격성공횟수]])</f>
        <v>0.13333333333333333</v>
      </c>
    </row>
    <row r="1313" spans="1:8" hidden="1" x14ac:dyDescent="0.4">
      <c r="A1313">
        <v>656</v>
      </c>
      <c r="B1313" t="s">
        <v>1</v>
      </c>
      <c r="C1313">
        <v>0</v>
      </c>
      <c r="D1313">
        <v>3</v>
      </c>
      <c r="E1313">
        <v>26</v>
      </c>
      <c r="F1313">
        <v>4</v>
      </c>
      <c r="G1313">
        <v>1</v>
      </c>
      <c r="H1313">
        <f>표3[[#This Row],[공격성공횟수]]/(표3[[#This Row],[공격실패횟수]]+표3[[#This Row],[공격성공횟수]])</f>
        <v>0.10344827586206896</v>
      </c>
    </row>
    <row r="1314" spans="1:8" x14ac:dyDescent="0.4">
      <c r="A1314">
        <v>657</v>
      </c>
      <c r="B1314" t="s">
        <v>3</v>
      </c>
      <c r="C1314">
        <v>1</v>
      </c>
      <c r="D1314">
        <v>4</v>
      </c>
      <c r="E1314">
        <v>12</v>
      </c>
      <c r="F1314">
        <v>2</v>
      </c>
      <c r="G1314">
        <v>0</v>
      </c>
      <c r="H1314">
        <f>표3[[#This Row],[공격성공횟수]]/(표3[[#This Row],[공격실패횟수]]+표3[[#This Row],[공격성공횟수]])</f>
        <v>0.25</v>
      </c>
    </row>
    <row r="1315" spans="1:8" hidden="1" x14ac:dyDescent="0.4">
      <c r="A1315">
        <v>657</v>
      </c>
      <c r="B1315" t="s">
        <v>1</v>
      </c>
      <c r="C1315">
        <v>0</v>
      </c>
      <c r="D1315">
        <v>2</v>
      </c>
      <c r="E1315">
        <v>14</v>
      </c>
      <c r="F1315">
        <v>4</v>
      </c>
      <c r="G1315">
        <v>1</v>
      </c>
      <c r="H1315">
        <f>표3[[#This Row],[공격성공횟수]]/(표3[[#This Row],[공격실패횟수]]+표3[[#This Row],[공격성공횟수]])</f>
        <v>0.125</v>
      </c>
    </row>
    <row r="1316" spans="1:8" x14ac:dyDescent="0.4">
      <c r="A1316">
        <v>658</v>
      </c>
      <c r="B1316" t="s">
        <v>3</v>
      </c>
      <c r="C1316">
        <v>0</v>
      </c>
      <c r="D1316">
        <v>0</v>
      </c>
      <c r="E1316">
        <v>16</v>
      </c>
      <c r="F1316">
        <v>4</v>
      </c>
      <c r="G1316">
        <v>1</v>
      </c>
      <c r="H1316">
        <f>표3[[#This Row],[공격성공횟수]]/(표3[[#This Row],[공격실패횟수]]+표3[[#This Row],[공격성공횟수]])</f>
        <v>0</v>
      </c>
    </row>
    <row r="1317" spans="1:8" hidden="1" x14ac:dyDescent="0.4">
      <c r="A1317">
        <v>658</v>
      </c>
      <c r="B1317" t="s">
        <v>1</v>
      </c>
      <c r="C1317">
        <v>1</v>
      </c>
      <c r="D1317">
        <v>4</v>
      </c>
      <c r="E1317">
        <v>12</v>
      </c>
      <c r="F1317">
        <v>0</v>
      </c>
      <c r="G1317">
        <v>0</v>
      </c>
      <c r="H1317">
        <f>표3[[#This Row],[공격성공횟수]]/(표3[[#This Row],[공격실패횟수]]+표3[[#This Row],[공격성공횟수]])</f>
        <v>0.25</v>
      </c>
    </row>
    <row r="1318" spans="1:8" x14ac:dyDescent="0.4">
      <c r="A1318">
        <v>659</v>
      </c>
      <c r="B1318" t="s">
        <v>3</v>
      </c>
      <c r="C1318">
        <v>1</v>
      </c>
      <c r="D1318">
        <v>4</v>
      </c>
      <c r="E1318">
        <v>8</v>
      </c>
      <c r="F1318">
        <v>2</v>
      </c>
      <c r="G1318">
        <v>0</v>
      </c>
      <c r="H1318">
        <f>표3[[#This Row],[공격성공횟수]]/(표3[[#This Row],[공격실패횟수]]+표3[[#This Row],[공격성공횟수]])</f>
        <v>0.33333333333333331</v>
      </c>
    </row>
    <row r="1319" spans="1:8" hidden="1" x14ac:dyDescent="0.4">
      <c r="A1319">
        <v>659</v>
      </c>
      <c r="B1319" t="s">
        <v>1</v>
      </c>
      <c r="C1319">
        <v>0</v>
      </c>
      <c r="D1319">
        <v>2</v>
      </c>
      <c r="E1319">
        <v>9</v>
      </c>
      <c r="F1319">
        <v>4</v>
      </c>
      <c r="G1319">
        <v>1</v>
      </c>
      <c r="H1319">
        <f>표3[[#This Row],[공격성공횟수]]/(표3[[#This Row],[공격실패횟수]]+표3[[#This Row],[공격성공횟수]])</f>
        <v>0.18181818181818182</v>
      </c>
    </row>
    <row r="1320" spans="1:8" x14ac:dyDescent="0.4">
      <c r="A1320">
        <v>660</v>
      </c>
      <c r="B1320" t="s">
        <v>3</v>
      </c>
      <c r="C1320">
        <v>1</v>
      </c>
      <c r="D1320">
        <v>4</v>
      </c>
      <c r="E1320">
        <v>6</v>
      </c>
      <c r="F1320">
        <v>1</v>
      </c>
      <c r="G1320">
        <v>0</v>
      </c>
      <c r="H1320">
        <f>표3[[#This Row],[공격성공횟수]]/(표3[[#This Row],[공격실패횟수]]+표3[[#This Row],[공격성공횟수]])</f>
        <v>0.4</v>
      </c>
    </row>
    <row r="1321" spans="1:8" hidden="1" x14ac:dyDescent="0.4">
      <c r="A1321">
        <v>660</v>
      </c>
      <c r="B1321" t="s">
        <v>1</v>
      </c>
      <c r="C1321">
        <v>0</v>
      </c>
      <c r="D1321">
        <v>1</v>
      </c>
      <c r="E1321">
        <v>10</v>
      </c>
      <c r="F1321">
        <v>4</v>
      </c>
      <c r="G1321">
        <v>1</v>
      </c>
      <c r="H1321">
        <f>표3[[#This Row],[공격성공횟수]]/(표3[[#This Row],[공격실패횟수]]+표3[[#This Row],[공격성공횟수]])</f>
        <v>9.0909090909090912E-2</v>
      </c>
    </row>
    <row r="1322" spans="1:8" x14ac:dyDescent="0.4">
      <c r="A1322">
        <v>661</v>
      </c>
      <c r="B1322" t="s">
        <v>3</v>
      </c>
      <c r="C1322">
        <v>0</v>
      </c>
      <c r="D1322">
        <v>0</v>
      </c>
      <c r="E1322">
        <v>29</v>
      </c>
      <c r="F1322">
        <v>4</v>
      </c>
      <c r="G1322">
        <v>1</v>
      </c>
      <c r="H1322">
        <f>표3[[#This Row],[공격성공횟수]]/(표3[[#This Row],[공격실패횟수]]+표3[[#This Row],[공격성공횟수]])</f>
        <v>0</v>
      </c>
    </row>
    <row r="1323" spans="1:8" hidden="1" x14ac:dyDescent="0.4">
      <c r="A1323">
        <v>661</v>
      </c>
      <c r="B1323" t="s">
        <v>1</v>
      </c>
      <c r="C1323">
        <v>1</v>
      </c>
      <c r="D1323">
        <v>4</v>
      </c>
      <c r="E1323">
        <v>31</v>
      </c>
      <c r="F1323">
        <v>0</v>
      </c>
      <c r="G1323">
        <v>0</v>
      </c>
      <c r="H1323">
        <f>표3[[#This Row],[공격성공횟수]]/(표3[[#This Row],[공격실패횟수]]+표3[[#This Row],[공격성공횟수]])</f>
        <v>0.11428571428571428</v>
      </c>
    </row>
    <row r="1324" spans="1:8" x14ac:dyDescent="0.4">
      <c r="A1324">
        <v>662</v>
      </c>
      <c r="B1324" t="s">
        <v>3</v>
      </c>
      <c r="C1324">
        <v>1</v>
      </c>
      <c r="D1324">
        <v>4</v>
      </c>
      <c r="E1324">
        <v>11</v>
      </c>
      <c r="F1324">
        <v>1</v>
      </c>
      <c r="G1324">
        <v>0</v>
      </c>
      <c r="H1324">
        <f>표3[[#This Row],[공격성공횟수]]/(표3[[#This Row],[공격실패횟수]]+표3[[#This Row],[공격성공횟수]])</f>
        <v>0.26666666666666666</v>
      </c>
    </row>
    <row r="1325" spans="1:8" hidden="1" x14ac:dyDescent="0.4">
      <c r="A1325">
        <v>662</v>
      </c>
      <c r="B1325" t="s">
        <v>1</v>
      </c>
      <c r="C1325">
        <v>0</v>
      </c>
      <c r="D1325">
        <v>1</v>
      </c>
      <c r="E1325">
        <v>12</v>
      </c>
      <c r="F1325">
        <v>4</v>
      </c>
      <c r="G1325">
        <v>1</v>
      </c>
      <c r="H1325">
        <f>표3[[#This Row],[공격성공횟수]]/(표3[[#This Row],[공격실패횟수]]+표3[[#This Row],[공격성공횟수]])</f>
        <v>7.6923076923076927E-2</v>
      </c>
    </row>
    <row r="1326" spans="1:8" x14ac:dyDescent="0.4">
      <c r="A1326">
        <v>663</v>
      </c>
      <c r="B1326" t="s">
        <v>3</v>
      </c>
      <c r="C1326">
        <v>1</v>
      </c>
      <c r="D1326">
        <v>4</v>
      </c>
      <c r="E1326">
        <v>11</v>
      </c>
      <c r="F1326">
        <v>1</v>
      </c>
      <c r="G1326">
        <v>0</v>
      </c>
      <c r="H1326">
        <f>표3[[#This Row],[공격성공횟수]]/(표3[[#This Row],[공격실패횟수]]+표3[[#This Row],[공격성공횟수]])</f>
        <v>0.26666666666666666</v>
      </c>
    </row>
    <row r="1327" spans="1:8" hidden="1" x14ac:dyDescent="0.4">
      <c r="A1327">
        <v>663</v>
      </c>
      <c r="B1327" t="s">
        <v>1</v>
      </c>
      <c r="C1327">
        <v>0</v>
      </c>
      <c r="D1327">
        <v>1</v>
      </c>
      <c r="E1327">
        <v>14</v>
      </c>
      <c r="F1327">
        <v>4</v>
      </c>
      <c r="G1327">
        <v>1</v>
      </c>
      <c r="H1327">
        <f>표3[[#This Row],[공격성공횟수]]/(표3[[#This Row],[공격실패횟수]]+표3[[#This Row],[공격성공횟수]])</f>
        <v>6.6666666666666666E-2</v>
      </c>
    </row>
    <row r="1328" spans="1:8" x14ac:dyDescent="0.4">
      <c r="A1328">
        <v>664</v>
      </c>
      <c r="B1328" t="s">
        <v>3</v>
      </c>
      <c r="C1328">
        <v>1</v>
      </c>
      <c r="D1328">
        <v>4</v>
      </c>
      <c r="E1328">
        <v>7</v>
      </c>
      <c r="F1328">
        <v>0</v>
      </c>
      <c r="G1328">
        <v>0</v>
      </c>
      <c r="H1328">
        <f>표3[[#This Row],[공격성공횟수]]/(표3[[#This Row],[공격실패횟수]]+표3[[#This Row],[공격성공횟수]])</f>
        <v>0.36363636363636365</v>
      </c>
    </row>
    <row r="1329" spans="1:8" hidden="1" x14ac:dyDescent="0.4">
      <c r="A1329">
        <v>664</v>
      </c>
      <c r="B1329" t="s">
        <v>1</v>
      </c>
      <c r="C1329">
        <v>0</v>
      </c>
      <c r="D1329">
        <v>0</v>
      </c>
      <c r="E1329">
        <v>11</v>
      </c>
      <c r="F1329">
        <v>4</v>
      </c>
      <c r="G1329">
        <v>1</v>
      </c>
      <c r="H1329">
        <f>표3[[#This Row],[공격성공횟수]]/(표3[[#This Row],[공격실패횟수]]+표3[[#This Row],[공격성공횟수]])</f>
        <v>0</v>
      </c>
    </row>
    <row r="1330" spans="1:8" x14ac:dyDescent="0.4">
      <c r="A1330">
        <v>665</v>
      </c>
      <c r="B1330" t="s">
        <v>3</v>
      </c>
      <c r="C1330">
        <v>1</v>
      </c>
      <c r="D1330">
        <v>4</v>
      </c>
      <c r="E1330">
        <v>14</v>
      </c>
      <c r="F1330">
        <v>0</v>
      </c>
      <c r="G1330">
        <v>0</v>
      </c>
      <c r="H1330">
        <f>표3[[#This Row],[공격성공횟수]]/(표3[[#This Row],[공격실패횟수]]+표3[[#This Row],[공격성공횟수]])</f>
        <v>0.22222222222222221</v>
      </c>
    </row>
    <row r="1331" spans="1:8" hidden="1" x14ac:dyDescent="0.4">
      <c r="A1331">
        <v>665</v>
      </c>
      <c r="B1331" t="s">
        <v>1</v>
      </c>
      <c r="C1331">
        <v>0</v>
      </c>
      <c r="D1331">
        <v>0</v>
      </c>
      <c r="E1331">
        <v>17</v>
      </c>
      <c r="F1331">
        <v>4</v>
      </c>
      <c r="G1331">
        <v>1</v>
      </c>
      <c r="H1331">
        <f>표3[[#This Row],[공격성공횟수]]/(표3[[#This Row],[공격실패횟수]]+표3[[#This Row],[공격성공횟수]])</f>
        <v>0</v>
      </c>
    </row>
    <row r="1332" spans="1:8" x14ac:dyDescent="0.4">
      <c r="A1332">
        <v>666</v>
      </c>
      <c r="B1332" t="s">
        <v>3</v>
      </c>
      <c r="C1332">
        <v>1</v>
      </c>
      <c r="D1332">
        <v>4</v>
      </c>
      <c r="E1332">
        <v>9</v>
      </c>
      <c r="F1332">
        <v>0</v>
      </c>
      <c r="G1332">
        <v>0</v>
      </c>
      <c r="H1332">
        <f>표3[[#This Row],[공격성공횟수]]/(표3[[#This Row],[공격실패횟수]]+표3[[#This Row],[공격성공횟수]])</f>
        <v>0.30769230769230771</v>
      </c>
    </row>
    <row r="1333" spans="1:8" hidden="1" x14ac:dyDescent="0.4">
      <c r="A1333">
        <v>666</v>
      </c>
      <c r="B1333" t="s">
        <v>1</v>
      </c>
      <c r="C1333">
        <v>0</v>
      </c>
      <c r="D1333">
        <v>0</v>
      </c>
      <c r="E1333">
        <v>13</v>
      </c>
      <c r="F1333">
        <v>4</v>
      </c>
      <c r="G1333">
        <v>1</v>
      </c>
      <c r="H1333">
        <f>표3[[#This Row],[공격성공횟수]]/(표3[[#This Row],[공격실패횟수]]+표3[[#This Row],[공격성공횟수]])</f>
        <v>0</v>
      </c>
    </row>
    <row r="1334" spans="1:8" x14ac:dyDescent="0.4">
      <c r="A1334">
        <v>667</v>
      </c>
      <c r="B1334" t="s">
        <v>3</v>
      </c>
      <c r="C1334">
        <v>1</v>
      </c>
      <c r="D1334">
        <v>4</v>
      </c>
      <c r="E1334">
        <v>47</v>
      </c>
      <c r="F1334">
        <v>0</v>
      </c>
      <c r="G1334">
        <v>0</v>
      </c>
      <c r="H1334">
        <f>표3[[#This Row],[공격성공횟수]]/(표3[[#This Row],[공격실패횟수]]+표3[[#This Row],[공격성공횟수]])</f>
        <v>7.8431372549019607E-2</v>
      </c>
    </row>
    <row r="1335" spans="1:8" hidden="1" x14ac:dyDescent="0.4">
      <c r="A1335">
        <v>667</v>
      </c>
      <c r="B1335" t="s">
        <v>1</v>
      </c>
      <c r="C1335">
        <v>0</v>
      </c>
      <c r="D1335">
        <v>0</v>
      </c>
      <c r="E1335">
        <v>50</v>
      </c>
      <c r="F1335">
        <v>4</v>
      </c>
      <c r="G1335">
        <v>1</v>
      </c>
      <c r="H1335">
        <f>표3[[#This Row],[공격성공횟수]]/(표3[[#This Row],[공격실패횟수]]+표3[[#This Row],[공격성공횟수]])</f>
        <v>0</v>
      </c>
    </row>
    <row r="1336" spans="1:8" x14ac:dyDescent="0.4">
      <c r="A1336">
        <v>668</v>
      </c>
      <c r="B1336" t="s">
        <v>3</v>
      </c>
      <c r="C1336">
        <v>1</v>
      </c>
      <c r="D1336">
        <v>4</v>
      </c>
      <c r="E1336">
        <v>11</v>
      </c>
      <c r="F1336">
        <v>2</v>
      </c>
      <c r="G1336">
        <v>0</v>
      </c>
      <c r="H1336">
        <f>표3[[#This Row],[공격성공횟수]]/(표3[[#This Row],[공격실패횟수]]+표3[[#This Row],[공격성공횟수]])</f>
        <v>0.26666666666666666</v>
      </c>
    </row>
    <row r="1337" spans="1:8" hidden="1" x14ac:dyDescent="0.4">
      <c r="A1337">
        <v>668</v>
      </c>
      <c r="B1337" t="s">
        <v>1</v>
      </c>
      <c r="C1337">
        <v>0</v>
      </c>
      <c r="D1337">
        <v>2</v>
      </c>
      <c r="E1337">
        <v>13</v>
      </c>
      <c r="F1337">
        <v>4</v>
      </c>
      <c r="G1337">
        <v>1</v>
      </c>
      <c r="H1337">
        <f>표3[[#This Row],[공격성공횟수]]/(표3[[#This Row],[공격실패횟수]]+표3[[#This Row],[공격성공횟수]])</f>
        <v>0.13333333333333333</v>
      </c>
    </row>
    <row r="1338" spans="1:8" x14ac:dyDescent="0.4">
      <c r="A1338">
        <v>669</v>
      </c>
      <c r="B1338" t="s">
        <v>3</v>
      </c>
      <c r="C1338">
        <v>1</v>
      </c>
      <c r="D1338">
        <v>4</v>
      </c>
      <c r="E1338">
        <v>11</v>
      </c>
      <c r="F1338">
        <v>2</v>
      </c>
      <c r="G1338">
        <v>0</v>
      </c>
      <c r="H1338">
        <f>표3[[#This Row],[공격성공횟수]]/(표3[[#This Row],[공격실패횟수]]+표3[[#This Row],[공격성공횟수]])</f>
        <v>0.26666666666666666</v>
      </c>
    </row>
    <row r="1339" spans="1:8" hidden="1" x14ac:dyDescent="0.4">
      <c r="A1339">
        <v>669</v>
      </c>
      <c r="B1339" t="s">
        <v>1</v>
      </c>
      <c r="C1339">
        <v>0</v>
      </c>
      <c r="D1339">
        <v>2</v>
      </c>
      <c r="E1339">
        <v>13</v>
      </c>
      <c r="F1339">
        <v>4</v>
      </c>
      <c r="G1339">
        <v>1</v>
      </c>
      <c r="H1339">
        <f>표3[[#This Row],[공격성공횟수]]/(표3[[#This Row],[공격실패횟수]]+표3[[#This Row],[공격성공횟수]])</f>
        <v>0.13333333333333333</v>
      </c>
    </row>
    <row r="1340" spans="1:8" x14ac:dyDescent="0.4">
      <c r="A1340">
        <v>670</v>
      </c>
      <c r="B1340" t="s">
        <v>3</v>
      </c>
      <c r="C1340">
        <v>1</v>
      </c>
      <c r="D1340">
        <v>4</v>
      </c>
      <c r="E1340">
        <v>21</v>
      </c>
      <c r="F1340">
        <v>2</v>
      </c>
      <c r="G1340">
        <v>0</v>
      </c>
      <c r="H1340">
        <f>표3[[#This Row],[공격성공횟수]]/(표3[[#This Row],[공격실패횟수]]+표3[[#This Row],[공격성공횟수]])</f>
        <v>0.16</v>
      </c>
    </row>
    <row r="1341" spans="1:8" hidden="1" x14ac:dyDescent="0.4">
      <c r="A1341">
        <v>670</v>
      </c>
      <c r="B1341" t="s">
        <v>1</v>
      </c>
      <c r="C1341">
        <v>0</v>
      </c>
      <c r="D1341">
        <v>2</v>
      </c>
      <c r="E1341">
        <v>22</v>
      </c>
      <c r="F1341">
        <v>4</v>
      </c>
      <c r="G1341">
        <v>1</v>
      </c>
      <c r="H1341">
        <f>표3[[#This Row],[공격성공횟수]]/(표3[[#This Row],[공격실패횟수]]+표3[[#This Row],[공격성공횟수]])</f>
        <v>8.3333333333333329E-2</v>
      </c>
    </row>
    <row r="1342" spans="1:8" x14ac:dyDescent="0.4">
      <c r="A1342">
        <v>671</v>
      </c>
      <c r="B1342" t="s">
        <v>3</v>
      </c>
      <c r="C1342">
        <v>0</v>
      </c>
      <c r="D1342">
        <v>2</v>
      </c>
      <c r="E1342">
        <v>25</v>
      </c>
      <c r="F1342">
        <v>4</v>
      </c>
      <c r="G1342">
        <v>1</v>
      </c>
      <c r="H1342">
        <f>표3[[#This Row],[공격성공횟수]]/(표3[[#This Row],[공격실패횟수]]+표3[[#This Row],[공격성공횟수]])</f>
        <v>7.407407407407407E-2</v>
      </c>
    </row>
    <row r="1343" spans="1:8" hidden="1" x14ac:dyDescent="0.4">
      <c r="A1343">
        <v>671</v>
      </c>
      <c r="B1343" t="s">
        <v>1</v>
      </c>
      <c r="C1343">
        <v>1</v>
      </c>
      <c r="D1343">
        <v>4</v>
      </c>
      <c r="E1343">
        <v>24</v>
      </c>
      <c r="F1343">
        <v>2</v>
      </c>
      <c r="G1343">
        <v>0</v>
      </c>
      <c r="H1343">
        <f>표3[[#This Row],[공격성공횟수]]/(표3[[#This Row],[공격실패횟수]]+표3[[#This Row],[공격성공횟수]])</f>
        <v>0.14285714285714285</v>
      </c>
    </row>
    <row r="1344" spans="1:8" x14ac:dyDescent="0.4">
      <c r="A1344">
        <v>672</v>
      </c>
      <c r="B1344" t="s">
        <v>3</v>
      </c>
      <c r="C1344">
        <v>1</v>
      </c>
      <c r="D1344">
        <v>4</v>
      </c>
      <c r="E1344">
        <v>4</v>
      </c>
      <c r="F1344">
        <v>0</v>
      </c>
      <c r="G1344">
        <v>0</v>
      </c>
      <c r="H1344">
        <f>표3[[#This Row],[공격성공횟수]]/(표3[[#This Row],[공격실패횟수]]+표3[[#This Row],[공격성공횟수]])</f>
        <v>0.5</v>
      </c>
    </row>
    <row r="1345" spans="1:8" hidden="1" x14ac:dyDescent="0.4">
      <c r="A1345">
        <v>672</v>
      </c>
      <c r="B1345" t="s">
        <v>1</v>
      </c>
      <c r="C1345">
        <v>0</v>
      </c>
      <c r="D1345">
        <v>0</v>
      </c>
      <c r="E1345">
        <v>7</v>
      </c>
      <c r="F1345">
        <v>4</v>
      </c>
      <c r="G1345">
        <v>1</v>
      </c>
      <c r="H1345">
        <f>표3[[#This Row],[공격성공횟수]]/(표3[[#This Row],[공격실패횟수]]+표3[[#This Row],[공격성공횟수]])</f>
        <v>0</v>
      </c>
    </row>
    <row r="1346" spans="1:8" x14ac:dyDescent="0.4">
      <c r="A1346">
        <v>673</v>
      </c>
      <c r="B1346" t="s">
        <v>3</v>
      </c>
      <c r="C1346">
        <v>1</v>
      </c>
      <c r="D1346">
        <v>4</v>
      </c>
      <c r="E1346">
        <v>8</v>
      </c>
      <c r="F1346">
        <v>1</v>
      </c>
      <c r="G1346">
        <v>0</v>
      </c>
      <c r="H1346">
        <f>표3[[#This Row],[공격성공횟수]]/(표3[[#This Row],[공격실패횟수]]+표3[[#This Row],[공격성공횟수]])</f>
        <v>0.33333333333333331</v>
      </c>
    </row>
    <row r="1347" spans="1:8" hidden="1" x14ac:dyDescent="0.4">
      <c r="A1347">
        <v>673</v>
      </c>
      <c r="B1347" t="s">
        <v>1</v>
      </c>
      <c r="C1347">
        <v>0</v>
      </c>
      <c r="D1347">
        <v>1</v>
      </c>
      <c r="E1347">
        <v>11</v>
      </c>
      <c r="F1347">
        <v>4</v>
      </c>
      <c r="G1347">
        <v>1</v>
      </c>
      <c r="H1347">
        <f>표3[[#This Row],[공격성공횟수]]/(표3[[#This Row],[공격실패횟수]]+표3[[#This Row],[공격성공횟수]])</f>
        <v>8.3333333333333329E-2</v>
      </c>
    </row>
    <row r="1348" spans="1:8" x14ac:dyDescent="0.4">
      <c r="A1348">
        <v>674</v>
      </c>
      <c r="B1348" t="s">
        <v>3</v>
      </c>
      <c r="C1348">
        <v>1</v>
      </c>
      <c r="D1348">
        <v>4</v>
      </c>
      <c r="E1348">
        <v>10</v>
      </c>
      <c r="F1348">
        <v>0</v>
      </c>
      <c r="G1348">
        <v>0</v>
      </c>
      <c r="H1348">
        <f>표3[[#This Row],[공격성공횟수]]/(표3[[#This Row],[공격실패횟수]]+표3[[#This Row],[공격성공횟수]])</f>
        <v>0.2857142857142857</v>
      </c>
    </row>
    <row r="1349" spans="1:8" hidden="1" x14ac:dyDescent="0.4">
      <c r="A1349">
        <v>674</v>
      </c>
      <c r="B1349" t="s">
        <v>1</v>
      </c>
      <c r="C1349">
        <v>0</v>
      </c>
      <c r="D1349">
        <v>0</v>
      </c>
      <c r="E1349">
        <v>13</v>
      </c>
      <c r="F1349">
        <v>4</v>
      </c>
      <c r="G1349">
        <v>1</v>
      </c>
      <c r="H1349">
        <f>표3[[#This Row],[공격성공횟수]]/(표3[[#This Row],[공격실패횟수]]+표3[[#This Row],[공격성공횟수]])</f>
        <v>0</v>
      </c>
    </row>
    <row r="1350" spans="1:8" x14ac:dyDescent="0.4">
      <c r="A1350">
        <v>675</v>
      </c>
      <c r="B1350" t="s">
        <v>3</v>
      </c>
      <c r="C1350">
        <v>1</v>
      </c>
      <c r="D1350">
        <v>4</v>
      </c>
      <c r="E1350">
        <v>20</v>
      </c>
      <c r="F1350">
        <v>0</v>
      </c>
      <c r="G1350">
        <v>0</v>
      </c>
      <c r="H1350">
        <f>표3[[#This Row],[공격성공횟수]]/(표3[[#This Row],[공격실패횟수]]+표3[[#This Row],[공격성공횟수]])</f>
        <v>0.16666666666666666</v>
      </c>
    </row>
    <row r="1351" spans="1:8" hidden="1" x14ac:dyDescent="0.4">
      <c r="A1351">
        <v>675</v>
      </c>
      <c r="B1351" t="s">
        <v>1</v>
      </c>
      <c r="C1351">
        <v>0</v>
      </c>
      <c r="D1351">
        <v>0</v>
      </c>
      <c r="E1351">
        <v>23</v>
      </c>
      <c r="F1351">
        <v>4</v>
      </c>
      <c r="G1351">
        <v>1</v>
      </c>
      <c r="H1351">
        <f>표3[[#This Row],[공격성공횟수]]/(표3[[#This Row],[공격실패횟수]]+표3[[#This Row],[공격성공횟수]])</f>
        <v>0</v>
      </c>
    </row>
    <row r="1352" spans="1:8" x14ac:dyDescent="0.4">
      <c r="A1352">
        <v>676</v>
      </c>
      <c r="B1352" t="s">
        <v>3</v>
      </c>
      <c r="C1352">
        <v>0</v>
      </c>
      <c r="D1352">
        <v>1</v>
      </c>
      <c r="E1352">
        <v>20</v>
      </c>
      <c r="F1352">
        <v>4</v>
      </c>
      <c r="G1352">
        <v>1</v>
      </c>
      <c r="H1352">
        <f>표3[[#This Row],[공격성공횟수]]/(표3[[#This Row],[공격실패횟수]]+표3[[#This Row],[공격성공횟수]])</f>
        <v>4.7619047619047616E-2</v>
      </c>
    </row>
    <row r="1353" spans="1:8" hidden="1" x14ac:dyDescent="0.4">
      <c r="A1353">
        <v>676</v>
      </c>
      <c r="B1353" t="s">
        <v>1</v>
      </c>
      <c r="C1353">
        <v>1</v>
      </c>
      <c r="D1353">
        <v>4</v>
      </c>
      <c r="E1353">
        <v>18</v>
      </c>
      <c r="F1353">
        <v>1</v>
      </c>
      <c r="G1353">
        <v>0</v>
      </c>
      <c r="H1353">
        <f>표3[[#This Row],[공격성공횟수]]/(표3[[#This Row],[공격실패횟수]]+표3[[#This Row],[공격성공횟수]])</f>
        <v>0.18181818181818182</v>
      </c>
    </row>
    <row r="1354" spans="1:8" x14ac:dyDescent="0.4">
      <c r="A1354">
        <v>677</v>
      </c>
      <c r="B1354" t="s">
        <v>3</v>
      </c>
      <c r="C1354">
        <v>1</v>
      </c>
      <c r="D1354">
        <v>4</v>
      </c>
      <c r="E1354">
        <v>33</v>
      </c>
      <c r="F1354">
        <v>3</v>
      </c>
      <c r="G1354">
        <v>0</v>
      </c>
      <c r="H1354">
        <f>표3[[#This Row],[공격성공횟수]]/(표3[[#This Row],[공격실패횟수]]+표3[[#This Row],[공격성공횟수]])</f>
        <v>0.10810810810810811</v>
      </c>
    </row>
    <row r="1355" spans="1:8" hidden="1" x14ac:dyDescent="0.4">
      <c r="A1355">
        <v>677</v>
      </c>
      <c r="B1355" t="s">
        <v>1</v>
      </c>
      <c r="C1355">
        <v>0</v>
      </c>
      <c r="D1355">
        <v>3</v>
      </c>
      <c r="E1355">
        <v>32</v>
      </c>
      <c r="F1355">
        <v>4</v>
      </c>
      <c r="G1355">
        <v>1</v>
      </c>
      <c r="H1355">
        <f>표3[[#This Row],[공격성공횟수]]/(표3[[#This Row],[공격실패횟수]]+표3[[#This Row],[공격성공횟수]])</f>
        <v>8.5714285714285715E-2</v>
      </c>
    </row>
    <row r="1356" spans="1:8" x14ac:dyDescent="0.4">
      <c r="A1356">
        <v>678</v>
      </c>
      <c r="B1356" t="s">
        <v>3</v>
      </c>
      <c r="C1356">
        <v>1</v>
      </c>
      <c r="D1356">
        <v>4</v>
      </c>
      <c r="E1356">
        <v>25</v>
      </c>
      <c r="F1356">
        <v>1</v>
      </c>
      <c r="G1356">
        <v>0</v>
      </c>
      <c r="H1356">
        <f>표3[[#This Row],[공격성공횟수]]/(표3[[#This Row],[공격실패횟수]]+표3[[#This Row],[공격성공횟수]])</f>
        <v>0.13793103448275862</v>
      </c>
    </row>
    <row r="1357" spans="1:8" hidden="1" x14ac:dyDescent="0.4">
      <c r="A1357">
        <v>678</v>
      </c>
      <c r="B1357" t="s">
        <v>1</v>
      </c>
      <c r="C1357">
        <v>0</v>
      </c>
      <c r="D1357">
        <v>1</v>
      </c>
      <c r="E1357">
        <v>27</v>
      </c>
      <c r="F1357">
        <v>4</v>
      </c>
      <c r="G1357">
        <v>1</v>
      </c>
      <c r="H1357">
        <f>표3[[#This Row],[공격성공횟수]]/(표3[[#This Row],[공격실패횟수]]+표3[[#This Row],[공격성공횟수]])</f>
        <v>3.5714285714285712E-2</v>
      </c>
    </row>
    <row r="1358" spans="1:8" x14ac:dyDescent="0.4">
      <c r="A1358">
        <v>679</v>
      </c>
      <c r="B1358" t="s">
        <v>3</v>
      </c>
      <c r="C1358">
        <v>0</v>
      </c>
      <c r="D1358">
        <v>3</v>
      </c>
      <c r="E1358">
        <v>24</v>
      </c>
      <c r="F1358">
        <v>4</v>
      </c>
      <c r="G1358">
        <v>1</v>
      </c>
      <c r="H1358">
        <f>표3[[#This Row],[공격성공횟수]]/(표3[[#This Row],[공격실패횟수]]+표3[[#This Row],[공격성공횟수]])</f>
        <v>0.1111111111111111</v>
      </c>
    </row>
    <row r="1359" spans="1:8" hidden="1" x14ac:dyDescent="0.4">
      <c r="A1359">
        <v>679</v>
      </c>
      <c r="B1359" t="s">
        <v>1</v>
      </c>
      <c r="C1359">
        <v>1</v>
      </c>
      <c r="D1359">
        <v>4</v>
      </c>
      <c r="E1359">
        <v>24</v>
      </c>
      <c r="F1359">
        <v>3</v>
      </c>
      <c r="G1359">
        <v>0</v>
      </c>
      <c r="H1359">
        <f>표3[[#This Row],[공격성공횟수]]/(표3[[#This Row],[공격실패횟수]]+표3[[#This Row],[공격성공횟수]])</f>
        <v>0.14285714285714285</v>
      </c>
    </row>
    <row r="1360" spans="1:8" x14ac:dyDescent="0.4">
      <c r="A1360">
        <v>680</v>
      </c>
      <c r="B1360" t="s">
        <v>3</v>
      </c>
      <c r="C1360">
        <v>1</v>
      </c>
      <c r="D1360">
        <v>4</v>
      </c>
      <c r="E1360">
        <v>13</v>
      </c>
      <c r="F1360">
        <v>3</v>
      </c>
      <c r="G1360">
        <v>0</v>
      </c>
      <c r="H1360">
        <f>표3[[#This Row],[공격성공횟수]]/(표3[[#This Row],[공격실패횟수]]+표3[[#This Row],[공격성공횟수]])</f>
        <v>0.23529411764705882</v>
      </c>
    </row>
    <row r="1361" spans="1:8" hidden="1" x14ac:dyDescent="0.4">
      <c r="A1361">
        <v>680</v>
      </c>
      <c r="B1361" t="s">
        <v>1</v>
      </c>
      <c r="C1361">
        <v>0</v>
      </c>
      <c r="D1361">
        <v>3</v>
      </c>
      <c r="E1361">
        <v>12</v>
      </c>
      <c r="F1361">
        <v>4</v>
      </c>
      <c r="G1361">
        <v>1</v>
      </c>
      <c r="H1361">
        <f>표3[[#This Row],[공격성공횟수]]/(표3[[#This Row],[공격실패횟수]]+표3[[#This Row],[공격성공횟수]])</f>
        <v>0.2</v>
      </c>
    </row>
    <row r="1362" spans="1:8" x14ac:dyDescent="0.4">
      <c r="A1362">
        <v>681</v>
      </c>
      <c r="B1362" t="s">
        <v>3</v>
      </c>
      <c r="C1362">
        <v>0</v>
      </c>
      <c r="D1362">
        <v>0</v>
      </c>
      <c r="E1362">
        <v>24</v>
      </c>
      <c r="F1362">
        <v>4</v>
      </c>
      <c r="G1362">
        <v>1</v>
      </c>
      <c r="H1362">
        <f>표3[[#This Row],[공격성공횟수]]/(표3[[#This Row],[공격실패횟수]]+표3[[#This Row],[공격성공횟수]])</f>
        <v>0</v>
      </c>
    </row>
    <row r="1363" spans="1:8" hidden="1" x14ac:dyDescent="0.4">
      <c r="A1363">
        <v>681</v>
      </c>
      <c r="B1363" t="s">
        <v>1</v>
      </c>
      <c r="C1363">
        <v>1</v>
      </c>
      <c r="D1363">
        <v>4</v>
      </c>
      <c r="E1363">
        <v>21</v>
      </c>
      <c r="F1363">
        <v>0</v>
      </c>
      <c r="G1363">
        <v>0</v>
      </c>
      <c r="H1363">
        <f>표3[[#This Row],[공격성공횟수]]/(표3[[#This Row],[공격실패횟수]]+표3[[#This Row],[공격성공횟수]])</f>
        <v>0.16</v>
      </c>
    </row>
    <row r="1364" spans="1:8" x14ac:dyDescent="0.4">
      <c r="A1364">
        <v>682</v>
      </c>
      <c r="B1364" t="s">
        <v>3</v>
      </c>
      <c r="C1364">
        <v>1</v>
      </c>
      <c r="D1364">
        <v>4</v>
      </c>
      <c r="E1364">
        <v>14</v>
      </c>
      <c r="F1364">
        <v>0</v>
      </c>
      <c r="G1364">
        <v>0</v>
      </c>
      <c r="H1364">
        <f>표3[[#This Row],[공격성공횟수]]/(표3[[#This Row],[공격실패횟수]]+표3[[#This Row],[공격성공횟수]])</f>
        <v>0.22222222222222221</v>
      </c>
    </row>
    <row r="1365" spans="1:8" hidden="1" x14ac:dyDescent="0.4">
      <c r="A1365">
        <v>682</v>
      </c>
      <c r="B1365" t="s">
        <v>1</v>
      </c>
      <c r="C1365">
        <v>0</v>
      </c>
      <c r="D1365">
        <v>0</v>
      </c>
      <c r="E1365">
        <v>17</v>
      </c>
      <c r="F1365">
        <v>4</v>
      </c>
      <c r="G1365">
        <v>1</v>
      </c>
      <c r="H1365">
        <f>표3[[#This Row],[공격성공횟수]]/(표3[[#This Row],[공격실패횟수]]+표3[[#This Row],[공격성공횟수]])</f>
        <v>0</v>
      </c>
    </row>
    <row r="1366" spans="1:8" x14ac:dyDescent="0.4">
      <c r="A1366">
        <v>683</v>
      </c>
      <c r="B1366" t="s">
        <v>3</v>
      </c>
      <c r="C1366">
        <v>1</v>
      </c>
      <c r="D1366">
        <v>4</v>
      </c>
      <c r="E1366">
        <v>4</v>
      </c>
      <c r="F1366">
        <v>0</v>
      </c>
      <c r="G1366">
        <v>0</v>
      </c>
      <c r="H1366">
        <f>표3[[#This Row],[공격성공횟수]]/(표3[[#This Row],[공격실패횟수]]+표3[[#This Row],[공격성공횟수]])</f>
        <v>0.5</v>
      </c>
    </row>
    <row r="1367" spans="1:8" hidden="1" x14ac:dyDescent="0.4">
      <c r="A1367">
        <v>683</v>
      </c>
      <c r="B1367" t="s">
        <v>1</v>
      </c>
      <c r="C1367">
        <v>0</v>
      </c>
      <c r="D1367">
        <v>0</v>
      </c>
      <c r="E1367">
        <v>7</v>
      </c>
      <c r="F1367">
        <v>4</v>
      </c>
      <c r="G1367">
        <v>1</v>
      </c>
      <c r="H1367">
        <f>표3[[#This Row],[공격성공횟수]]/(표3[[#This Row],[공격실패횟수]]+표3[[#This Row],[공격성공횟수]])</f>
        <v>0</v>
      </c>
    </row>
    <row r="1368" spans="1:8" x14ac:dyDescent="0.4">
      <c r="A1368">
        <v>684</v>
      </c>
      <c r="B1368" t="s">
        <v>3</v>
      </c>
      <c r="C1368">
        <v>1</v>
      </c>
      <c r="D1368">
        <v>4</v>
      </c>
      <c r="E1368">
        <v>5</v>
      </c>
      <c r="F1368">
        <v>1</v>
      </c>
      <c r="G1368">
        <v>0</v>
      </c>
      <c r="H1368">
        <f>표3[[#This Row],[공격성공횟수]]/(표3[[#This Row],[공격실패횟수]]+표3[[#This Row],[공격성공횟수]])</f>
        <v>0.44444444444444442</v>
      </c>
    </row>
    <row r="1369" spans="1:8" hidden="1" x14ac:dyDescent="0.4">
      <c r="A1369">
        <v>684</v>
      </c>
      <c r="B1369" t="s">
        <v>1</v>
      </c>
      <c r="C1369">
        <v>0</v>
      </c>
      <c r="D1369">
        <v>1</v>
      </c>
      <c r="E1369">
        <v>8</v>
      </c>
      <c r="F1369">
        <v>4</v>
      </c>
      <c r="G1369">
        <v>1</v>
      </c>
      <c r="H1369">
        <f>표3[[#This Row],[공격성공횟수]]/(표3[[#This Row],[공격실패횟수]]+표3[[#This Row],[공격성공횟수]])</f>
        <v>0.1111111111111111</v>
      </c>
    </row>
    <row r="1370" spans="1:8" x14ac:dyDescent="0.4">
      <c r="A1370">
        <v>685</v>
      </c>
      <c r="B1370" t="s">
        <v>3</v>
      </c>
      <c r="C1370">
        <v>1</v>
      </c>
      <c r="D1370">
        <v>4</v>
      </c>
      <c r="E1370">
        <v>13</v>
      </c>
      <c r="F1370">
        <v>1</v>
      </c>
      <c r="G1370">
        <v>0</v>
      </c>
      <c r="H1370">
        <f>표3[[#This Row],[공격성공횟수]]/(표3[[#This Row],[공격실패횟수]]+표3[[#This Row],[공격성공횟수]])</f>
        <v>0.23529411764705882</v>
      </c>
    </row>
    <row r="1371" spans="1:8" hidden="1" x14ac:dyDescent="0.4">
      <c r="A1371">
        <v>685</v>
      </c>
      <c r="B1371" t="s">
        <v>1</v>
      </c>
      <c r="C1371">
        <v>0</v>
      </c>
      <c r="D1371">
        <v>1</v>
      </c>
      <c r="E1371">
        <v>15</v>
      </c>
      <c r="F1371">
        <v>4</v>
      </c>
      <c r="G1371">
        <v>1</v>
      </c>
      <c r="H1371">
        <f>표3[[#This Row],[공격성공횟수]]/(표3[[#This Row],[공격실패횟수]]+표3[[#This Row],[공격성공횟수]])</f>
        <v>6.25E-2</v>
      </c>
    </row>
    <row r="1372" spans="1:8" x14ac:dyDescent="0.4">
      <c r="A1372">
        <v>686</v>
      </c>
      <c r="B1372" t="s">
        <v>3</v>
      </c>
      <c r="C1372">
        <v>1</v>
      </c>
      <c r="D1372">
        <v>4</v>
      </c>
      <c r="E1372">
        <v>10</v>
      </c>
      <c r="F1372">
        <v>1</v>
      </c>
      <c r="G1372">
        <v>0</v>
      </c>
      <c r="H1372">
        <f>표3[[#This Row],[공격성공횟수]]/(표3[[#This Row],[공격실패횟수]]+표3[[#This Row],[공격성공횟수]])</f>
        <v>0.2857142857142857</v>
      </c>
    </row>
    <row r="1373" spans="1:8" hidden="1" x14ac:dyDescent="0.4">
      <c r="A1373">
        <v>686</v>
      </c>
      <c r="B1373" t="s">
        <v>1</v>
      </c>
      <c r="C1373">
        <v>0</v>
      </c>
      <c r="D1373">
        <v>1</v>
      </c>
      <c r="E1373">
        <v>13</v>
      </c>
      <c r="F1373">
        <v>4</v>
      </c>
      <c r="G1373">
        <v>1</v>
      </c>
      <c r="H1373">
        <f>표3[[#This Row],[공격성공횟수]]/(표3[[#This Row],[공격실패횟수]]+표3[[#This Row],[공격성공횟수]])</f>
        <v>7.1428571428571425E-2</v>
      </c>
    </row>
    <row r="1374" spans="1:8" x14ac:dyDescent="0.4">
      <c r="A1374">
        <v>687</v>
      </c>
      <c r="B1374" t="s">
        <v>3</v>
      </c>
      <c r="C1374">
        <v>1</v>
      </c>
      <c r="D1374">
        <v>4</v>
      </c>
      <c r="E1374">
        <v>16</v>
      </c>
      <c r="F1374">
        <v>0</v>
      </c>
      <c r="G1374">
        <v>0</v>
      </c>
      <c r="H1374">
        <f>표3[[#This Row],[공격성공횟수]]/(표3[[#This Row],[공격실패횟수]]+표3[[#This Row],[공격성공횟수]])</f>
        <v>0.2</v>
      </c>
    </row>
    <row r="1375" spans="1:8" hidden="1" x14ac:dyDescent="0.4">
      <c r="A1375">
        <v>687</v>
      </c>
      <c r="B1375" t="s">
        <v>1</v>
      </c>
      <c r="C1375">
        <v>0</v>
      </c>
      <c r="D1375">
        <v>0</v>
      </c>
      <c r="E1375">
        <v>19</v>
      </c>
      <c r="F1375">
        <v>4</v>
      </c>
      <c r="G1375">
        <v>1</v>
      </c>
      <c r="H1375">
        <f>표3[[#This Row],[공격성공횟수]]/(표3[[#This Row],[공격실패횟수]]+표3[[#This Row],[공격성공횟수]])</f>
        <v>0</v>
      </c>
    </row>
    <row r="1376" spans="1:8" x14ac:dyDescent="0.4">
      <c r="A1376">
        <v>688</v>
      </c>
      <c r="B1376" t="s">
        <v>3</v>
      </c>
      <c r="C1376">
        <v>0</v>
      </c>
      <c r="D1376">
        <v>0</v>
      </c>
      <c r="E1376">
        <v>18</v>
      </c>
      <c r="F1376">
        <v>4</v>
      </c>
      <c r="G1376">
        <v>1</v>
      </c>
      <c r="H1376">
        <f>표3[[#This Row],[공격성공횟수]]/(표3[[#This Row],[공격실패횟수]]+표3[[#This Row],[공격성공횟수]])</f>
        <v>0</v>
      </c>
    </row>
    <row r="1377" spans="1:8" hidden="1" x14ac:dyDescent="0.4">
      <c r="A1377">
        <v>688</v>
      </c>
      <c r="B1377" t="s">
        <v>1</v>
      </c>
      <c r="C1377">
        <v>1</v>
      </c>
      <c r="D1377">
        <v>4</v>
      </c>
      <c r="E1377">
        <v>14</v>
      </c>
      <c r="F1377">
        <v>0</v>
      </c>
      <c r="G1377">
        <v>0</v>
      </c>
      <c r="H1377">
        <f>표3[[#This Row],[공격성공횟수]]/(표3[[#This Row],[공격실패횟수]]+표3[[#This Row],[공격성공횟수]])</f>
        <v>0.22222222222222221</v>
      </c>
    </row>
    <row r="1378" spans="1:8" x14ac:dyDescent="0.4">
      <c r="A1378">
        <v>689</v>
      </c>
      <c r="B1378" t="s">
        <v>3</v>
      </c>
      <c r="C1378">
        <v>1</v>
      </c>
      <c r="D1378">
        <v>4</v>
      </c>
      <c r="E1378">
        <v>8</v>
      </c>
      <c r="F1378">
        <v>2</v>
      </c>
      <c r="G1378">
        <v>0</v>
      </c>
      <c r="H1378">
        <f>표3[[#This Row],[공격성공횟수]]/(표3[[#This Row],[공격실패횟수]]+표3[[#This Row],[공격성공횟수]])</f>
        <v>0.33333333333333331</v>
      </c>
    </row>
    <row r="1379" spans="1:8" hidden="1" x14ac:dyDescent="0.4">
      <c r="A1379">
        <v>689</v>
      </c>
      <c r="B1379" t="s">
        <v>1</v>
      </c>
      <c r="C1379">
        <v>0</v>
      </c>
      <c r="D1379">
        <v>2</v>
      </c>
      <c r="E1379">
        <v>8</v>
      </c>
      <c r="F1379">
        <v>4</v>
      </c>
      <c r="G1379">
        <v>1</v>
      </c>
      <c r="H1379">
        <f>표3[[#This Row],[공격성공횟수]]/(표3[[#This Row],[공격실패횟수]]+표3[[#This Row],[공격성공횟수]])</f>
        <v>0.2</v>
      </c>
    </row>
    <row r="1380" spans="1:8" x14ac:dyDescent="0.4">
      <c r="A1380">
        <v>690</v>
      </c>
      <c r="B1380" t="s">
        <v>3</v>
      </c>
      <c r="C1380">
        <v>1</v>
      </c>
      <c r="D1380">
        <v>4</v>
      </c>
      <c r="E1380">
        <v>6</v>
      </c>
      <c r="F1380">
        <v>2</v>
      </c>
      <c r="G1380">
        <v>0</v>
      </c>
      <c r="H1380">
        <f>표3[[#This Row],[공격성공횟수]]/(표3[[#This Row],[공격실패횟수]]+표3[[#This Row],[공격성공횟수]])</f>
        <v>0.4</v>
      </c>
    </row>
    <row r="1381" spans="1:8" hidden="1" x14ac:dyDescent="0.4">
      <c r="A1381">
        <v>690</v>
      </c>
      <c r="B1381" t="s">
        <v>1</v>
      </c>
      <c r="C1381">
        <v>0</v>
      </c>
      <c r="D1381">
        <v>2</v>
      </c>
      <c r="E1381">
        <v>7</v>
      </c>
      <c r="F1381">
        <v>4</v>
      </c>
      <c r="G1381">
        <v>1</v>
      </c>
      <c r="H1381">
        <f>표3[[#This Row],[공격성공횟수]]/(표3[[#This Row],[공격실패횟수]]+표3[[#This Row],[공격성공횟수]])</f>
        <v>0.22222222222222221</v>
      </c>
    </row>
    <row r="1382" spans="1:8" x14ac:dyDescent="0.4">
      <c r="A1382">
        <v>691</v>
      </c>
      <c r="B1382" t="s">
        <v>3</v>
      </c>
      <c r="C1382">
        <v>1</v>
      </c>
      <c r="D1382">
        <v>4</v>
      </c>
      <c r="E1382">
        <v>8</v>
      </c>
      <c r="F1382">
        <v>1</v>
      </c>
      <c r="G1382">
        <v>0</v>
      </c>
      <c r="H1382">
        <f>표3[[#This Row],[공격성공횟수]]/(표3[[#This Row],[공격실패횟수]]+표3[[#This Row],[공격성공횟수]])</f>
        <v>0.33333333333333331</v>
      </c>
    </row>
    <row r="1383" spans="1:8" hidden="1" x14ac:dyDescent="0.4">
      <c r="A1383">
        <v>691</v>
      </c>
      <c r="B1383" t="s">
        <v>1</v>
      </c>
      <c r="C1383">
        <v>0</v>
      </c>
      <c r="D1383">
        <v>1</v>
      </c>
      <c r="E1383">
        <v>11</v>
      </c>
      <c r="F1383">
        <v>4</v>
      </c>
      <c r="G1383">
        <v>1</v>
      </c>
      <c r="H1383">
        <f>표3[[#This Row],[공격성공횟수]]/(표3[[#This Row],[공격실패횟수]]+표3[[#This Row],[공격성공횟수]])</f>
        <v>8.3333333333333329E-2</v>
      </c>
    </row>
    <row r="1384" spans="1:8" x14ac:dyDescent="0.4">
      <c r="A1384">
        <v>692</v>
      </c>
      <c r="B1384" t="s">
        <v>3</v>
      </c>
      <c r="C1384">
        <v>0</v>
      </c>
      <c r="D1384">
        <v>0</v>
      </c>
      <c r="E1384">
        <v>24</v>
      </c>
      <c r="F1384">
        <v>4</v>
      </c>
      <c r="G1384">
        <v>1</v>
      </c>
      <c r="H1384">
        <f>표3[[#This Row],[공격성공횟수]]/(표3[[#This Row],[공격실패횟수]]+표3[[#This Row],[공격성공횟수]])</f>
        <v>0</v>
      </c>
    </row>
    <row r="1385" spans="1:8" hidden="1" x14ac:dyDescent="0.4">
      <c r="A1385">
        <v>692</v>
      </c>
      <c r="B1385" t="s">
        <v>1</v>
      </c>
      <c r="C1385">
        <v>1</v>
      </c>
      <c r="D1385">
        <v>4</v>
      </c>
      <c r="E1385">
        <v>20</v>
      </c>
      <c r="F1385">
        <v>0</v>
      </c>
      <c r="G1385">
        <v>0</v>
      </c>
      <c r="H1385">
        <f>표3[[#This Row],[공격성공횟수]]/(표3[[#This Row],[공격실패횟수]]+표3[[#This Row],[공격성공횟수]])</f>
        <v>0.16666666666666666</v>
      </c>
    </row>
    <row r="1386" spans="1:8" x14ac:dyDescent="0.4">
      <c r="A1386">
        <v>693</v>
      </c>
      <c r="B1386" t="s">
        <v>3</v>
      </c>
      <c r="C1386">
        <v>1</v>
      </c>
      <c r="D1386">
        <v>4</v>
      </c>
      <c r="E1386">
        <v>12</v>
      </c>
      <c r="F1386">
        <v>1</v>
      </c>
      <c r="G1386">
        <v>0</v>
      </c>
      <c r="H1386">
        <f>표3[[#This Row],[공격성공횟수]]/(표3[[#This Row],[공격실패횟수]]+표3[[#This Row],[공격성공횟수]])</f>
        <v>0.25</v>
      </c>
    </row>
    <row r="1387" spans="1:8" hidden="1" x14ac:dyDescent="0.4">
      <c r="A1387">
        <v>693</v>
      </c>
      <c r="B1387" t="s">
        <v>1</v>
      </c>
      <c r="C1387">
        <v>0</v>
      </c>
      <c r="D1387">
        <v>1</v>
      </c>
      <c r="E1387">
        <v>14</v>
      </c>
      <c r="F1387">
        <v>4</v>
      </c>
      <c r="G1387">
        <v>1</v>
      </c>
      <c r="H1387">
        <f>표3[[#This Row],[공격성공횟수]]/(표3[[#This Row],[공격실패횟수]]+표3[[#This Row],[공격성공횟수]])</f>
        <v>6.6666666666666666E-2</v>
      </c>
    </row>
    <row r="1388" spans="1:8" x14ac:dyDescent="0.4">
      <c r="A1388">
        <v>694</v>
      </c>
      <c r="B1388" t="s">
        <v>3</v>
      </c>
      <c r="C1388">
        <v>1</v>
      </c>
      <c r="D1388">
        <v>4</v>
      </c>
      <c r="E1388">
        <v>9</v>
      </c>
      <c r="F1388">
        <v>0</v>
      </c>
      <c r="G1388">
        <v>0</v>
      </c>
      <c r="H1388">
        <f>표3[[#This Row],[공격성공횟수]]/(표3[[#This Row],[공격실패횟수]]+표3[[#This Row],[공격성공횟수]])</f>
        <v>0.30769230769230771</v>
      </c>
    </row>
    <row r="1389" spans="1:8" hidden="1" x14ac:dyDescent="0.4">
      <c r="A1389">
        <v>694</v>
      </c>
      <c r="B1389" t="s">
        <v>1</v>
      </c>
      <c r="C1389">
        <v>0</v>
      </c>
      <c r="D1389">
        <v>0</v>
      </c>
      <c r="E1389">
        <v>12</v>
      </c>
      <c r="F1389">
        <v>4</v>
      </c>
      <c r="G1389">
        <v>1</v>
      </c>
      <c r="H1389">
        <f>표3[[#This Row],[공격성공횟수]]/(표3[[#This Row],[공격실패횟수]]+표3[[#This Row],[공격성공횟수]])</f>
        <v>0</v>
      </c>
    </row>
    <row r="1390" spans="1:8" x14ac:dyDescent="0.4">
      <c r="A1390">
        <v>695</v>
      </c>
      <c r="B1390" t="s">
        <v>3</v>
      </c>
      <c r="C1390">
        <v>1</v>
      </c>
      <c r="D1390">
        <v>4</v>
      </c>
      <c r="E1390">
        <v>23</v>
      </c>
      <c r="F1390">
        <v>1</v>
      </c>
      <c r="G1390">
        <v>0</v>
      </c>
      <c r="H1390">
        <f>표3[[#This Row],[공격성공횟수]]/(표3[[#This Row],[공격실패횟수]]+표3[[#This Row],[공격성공횟수]])</f>
        <v>0.14814814814814814</v>
      </c>
    </row>
    <row r="1391" spans="1:8" hidden="1" x14ac:dyDescent="0.4">
      <c r="A1391">
        <v>695</v>
      </c>
      <c r="B1391" t="s">
        <v>1</v>
      </c>
      <c r="C1391">
        <v>0</v>
      </c>
      <c r="D1391">
        <v>1</v>
      </c>
      <c r="E1391">
        <v>28</v>
      </c>
      <c r="F1391">
        <v>4</v>
      </c>
      <c r="G1391">
        <v>1</v>
      </c>
      <c r="H1391">
        <f>표3[[#This Row],[공격성공횟수]]/(표3[[#This Row],[공격실패횟수]]+표3[[#This Row],[공격성공횟수]])</f>
        <v>3.4482758620689655E-2</v>
      </c>
    </row>
    <row r="1392" spans="1:8" x14ac:dyDescent="0.4">
      <c r="A1392">
        <v>696</v>
      </c>
      <c r="B1392" t="s">
        <v>3</v>
      </c>
      <c r="C1392">
        <v>1</v>
      </c>
      <c r="D1392">
        <v>4</v>
      </c>
      <c r="E1392">
        <v>17</v>
      </c>
      <c r="F1392">
        <v>0</v>
      </c>
      <c r="G1392">
        <v>0</v>
      </c>
      <c r="H1392">
        <f>표3[[#This Row],[공격성공횟수]]/(표3[[#This Row],[공격실패횟수]]+표3[[#This Row],[공격성공횟수]])</f>
        <v>0.19047619047619047</v>
      </c>
    </row>
    <row r="1393" spans="1:8" hidden="1" x14ac:dyDescent="0.4">
      <c r="A1393">
        <v>696</v>
      </c>
      <c r="B1393" t="s">
        <v>1</v>
      </c>
      <c r="C1393">
        <v>0</v>
      </c>
      <c r="D1393">
        <v>0</v>
      </c>
      <c r="E1393">
        <v>21</v>
      </c>
      <c r="F1393">
        <v>4</v>
      </c>
      <c r="G1393">
        <v>1</v>
      </c>
      <c r="H1393">
        <f>표3[[#This Row],[공격성공횟수]]/(표3[[#This Row],[공격실패횟수]]+표3[[#This Row],[공격성공횟수]])</f>
        <v>0</v>
      </c>
    </row>
    <row r="1394" spans="1:8" x14ac:dyDescent="0.4">
      <c r="A1394">
        <v>697</v>
      </c>
      <c r="B1394" t="s">
        <v>3</v>
      </c>
      <c r="C1394">
        <v>1</v>
      </c>
      <c r="D1394">
        <v>4</v>
      </c>
      <c r="E1394">
        <v>12</v>
      </c>
      <c r="F1394">
        <v>0</v>
      </c>
      <c r="G1394">
        <v>0</v>
      </c>
      <c r="H1394">
        <f>표3[[#This Row],[공격성공횟수]]/(표3[[#This Row],[공격실패횟수]]+표3[[#This Row],[공격성공횟수]])</f>
        <v>0.25</v>
      </c>
    </row>
    <row r="1395" spans="1:8" hidden="1" x14ac:dyDescent="0.4">
      <c r="A1395">
        <v>697</v>
      </c>
      <c r="B1395" t="s">
        <v>1</v>
      </c>
      <c r="C1395">
        <v>0</v>
      </c>
      <c r="D1395">
        <v>0</v>
      </c>
      <c r="E1395">
        <v>15</v>
      </c>
      <c r="F1395">
        <v>4</v>
      </c>
      <c r="G1395">
        <v>1</v>
      </c>
      <c r="H1395">
        <f>표3[[#This Row],[공격성공횟수]]/(표3[[#This Row],[공격실패횟수]]+표3[[#This Row],[공격성공횟수]])</f>
        <v>0</v>
      </c>
    </row>
    <row r="1396" spans="1:8" x14ac:dyDescent="0.4">
      <c r="A1396">
        <v>698</v>
      </c>
      <c r="B1396" t="s">
        <v>3</v>
      </c>
      <c r="C1396">
        <v>1</v>
      </c>
      <c r="D1396">
        <v>4</v>
      </c>
      <c r="E1396">
        <v>8</v>
      </c>
      <c r="F1396">
        <v>0</v>
      </c>
      <c r="G1396">
        <v>0</v>
      </c>
      <c r="H1396">
        <f>표3[[#This Row],[공격성공횟수]]/(표3[[#This Row],[공격실패횟수]]+표3[[#This Row],[공격성공횟수]])</f>
        <v>0.33333333333333331</v>
      </c>
    </row>
    <row r="1397" spans="1:8" hidden="1" x14ac:dyDescent="0.4">
      <c r="A1397">
        <v>698</v>
      </c>
      <c r="B1397" t="s">
        <v>1</v>
      </c>
      <c r="C1397">
        <v>0</v>
      </c>
      <c r="D1397">
        <v>0</v>
      </c>
      <c r="E1397">
        <v>12</v>
      </c>
      <c r="F1397">
        <v>4</v>
      </c>
      <c r="G1397">
        <v>1</v>
      </c>
      <c r="H1397">
        <f>표3[[#This Row],[공격성공횟수]]/(표3[[#This Row],[공격실패횟수]]+표3[[#This Row],[공격성공횟수]])</f>
        <v>0</v>
      </c>
    </row>
    <row r="1398" spans="1:8" x14ac:dyDescent="0.4">
      <c r="A1398">
        <v>699</v>
      </c>
      <c r="B1398" t="s">
        <v>3</v>
      </c>
      <c r="C1398">
        <v>1</v>
      </c>
      <c r="D1398">
        <v>4</v>
      </c>
      <c r="E1398">
        <v>14</v>
      </c>
      <c r="F1398">
        <v>2</v>
      </c>
      <c r="G1398">
        <v>0</v>
      </c>
      <c r="H1398">
        <f>표3[[#This Row],[공격성공횟수]]/(표3[[#This Row],[공격실패횟수]]+표3[[#This Row],[공격성공횟수]])</f>
        <v>0.22222222222222221</v>
      </c>
    </row>
    <row r="1399" spans="1:8" hidden="1" x14ac:dyDescent="0.4">
      <c r="A1399">
        <v>699</v>
      </c>
      <c r="B1399" t="s">
        <v>1</v>
      </c>
      <c r="C1399">
        <v>0</v>
      </c>
      <c r="D1399">
        <v>2</v>
      </c>
      <c r="E1399">
        <v>15</v>
      </c>
      <c r="F1399">
        <v>4</v>
      </c>
      <c r="G1399">
        <v>1</v>
      </c>
      <c r="H1399">
        <f>표3[[#This Row],[공격성공횟수]]/(표3[[#This Row],[공격실패횟수]]+표3[[#This Row],[공격성공횟수]])</f>
        <v>0.11764705882352941</v>
      </c>
    </row>
    <row r="1400" spans="1:8" x14ac:dyDescent="0.4">
      <c r="A1400">
        <v>700</v>
      </c>
      <c r="B1400" t="s">
        <v>3</v>
      </c>
      <c r="C1400">
        <v>0</v>
      </c>
      <c r="D1400">
        <v>0</v>
      </c>
      <c r="E1400">
        <v>10</v>
      </c>
      <c r="F1400">
        <v>4</v>
      </c>
      <c r="G1400">
        <v>1</v>
      </c>
      <c r="H1400">
        <f>표3[[#This Row],[공격성공횟수]]/(표3[[#This Row],[공격실패횟수]]+표3[[#This Row],[공격성공횟수]])</f>
        <v>0</v>
      </c>
    </row>
    <row r="1401" spans="1:8" hidden="1" x14ac:dyDescent="0.4">
      <c r="A1401">
        <v>700</v>
      </c>
      <c r="B1401" t="s">
        <v>1</v>
      </c>
      <c r="C1401">
        <v>1</v>
      </c>
      <c r="D1401">
        <v>4</v>
      </c>
      <c r="E1401">
        <v>7</v>
      </c>
      <c r="F1401">
        <v>0</v>
      </c>
      <c r="G1401">
        <v>0</v>
      </c>
      <c r="H1401">
        <f>표3[[#This Row],[공격성공횟수]]/(표3[[#This Row],[공격실패횟수]]+표3[[#This Row],[공격성공횟수]])</f>
        <v>0.36363636363636365</v>
      </c>
    </row>
    <row r="1402" spans="1:8" x14ac:dyDescent="0.4">
      <c r="A1402">
        <v>701</v>
      </c>
      <c r="B1402" t="s">
        <v>3</v>
      </c>
      <c r="C1402">
        <v>1</v>
      </c>
      <c r="D1402">
        <v>4</v>
      </c>
      <c r="E1402">
        <v>13</v>
      </c>
      <c r="F1402">
        <v>2</v>
      </c>
      <c r="G1402">
        <v>0</v>
      </c>
      <c r="H1402">
        <f>표3[[#This Row],[공격성공횟수]]/(표3[[#This Row],[공격실패횟수]]+표3[[#This Row],[공격성공횟수]])</f>
        <v>0.23529411764705882</v>
      </c>
    </row>
    <row r="1403" spans="1:8" hidden="1" x14ac:dyDescent="0.4">
      <c r="A1403">
        <v>701</v>
      </c>
      <c r="B1403" t="s">
        <v>1</v>
      </c>
      <c r="C1403">
        <v>0</v>
      </c>
      <c r="D1403">
        <v>2</v>
      </c>
      <c r="E1403">
        <v>13</v>
      </c>
      <c r="F1403">
        <v>4</v>
      </c>
      <c r="G1403">
        <v>1</v>
      </c>
      <c r="H1403">
        <f>표3[[#This Row],[공격성공횟수]]/(표3[[#This Row],[공격실패횟수]]+표3[[#This Row],[공격성공횟수]])</f>
        <v>0.13333333333333333</v>
      </c>
    </row>
    <row r="1404" spans="1:8" x14ac:dyDescent="0.4">
      <c r="A1404">
        <v>702</v>
      </c>
      <c r="B1404" t="s">
        <v>3</v>
      </c>
      <c r="C1404">
        <v>1</v>
      </c>
      <c r="D1404">
        <v>4</v>
      </c>
      <c r="E1404">
        <v>11</v>
      </c>
      <c r="F1404">
        <v>2</v>
      </c>
      <c r="G1404">
        <v>0</v>
      </c>
      <c r="H1404">
        <f>표3[[#This Row],[공격성공횟수]]/(표3[[#This Row],[공격실패횟수]]+표3[[#This Row],[공격성공횟수]])</f>
        <v>0.26666666666666666</v>
      </c>
    </row>
    <row r="1405" spans="1:8" hidden="1" x14ac:dyDescent="0.4">
      <c r="A1405">
        <v>702</v>
      </c>
      <c r="B1405" t="s">
        <v>1</v>
      </c>
      <c r="C1405">
        <v>0</v>
      </c>
      <c r="D1405">
        <v>2</v>
      </c>
      <c r="E1405">
        <v>13</v>
      </c>
      <c r="F1405">
        <v>4</v>
      </c>
      <c r="G1405">
        <v>1</v>
      </c>
      <c r="H1405">
        <f>표3[[#This Row],[공격성공횟수]]/(표3[[#This Row],[공격실패횟수]]+표3[[#This Row],[공격성공횟수]])</f>
        <v>0.13333333333333333</v>
      </c>
    </row>
    <row r="1406" spans="1:8" x14ac:dyDescent="0.4">
      <c r="A1406">
        <v>703</v>
      </c>
      <c r="B1406" t="s">
        <v>3</v>
      </c>
      <c r="C1406">
        <v>1</v>
      </c>
      <c r="D1406">
        <v>4</v>
      </c>
      <c r="E1406">
        <v>12</v>
      </c>
      <c r="F1406">
        <v>2</v>
      </c>
      <c r="G1406">
        <v>0</v>
      </c>
      <c r="H1406">
        <f>표3[[#This Row],[공격성공횟수]]/(표3[[#This Row],[공격실패횟수]]+표3[[#This Row],[공격성공횟수]])</f>
        <v>0.25</v>
      </c>
    </row>
    <row r="1407" spans="1:8" hidden="1" x14ac:dyDescent="0.4">
      <c r="A1407">
        <v>703</v>
      </c>
      <c r="B1407" t="s">
        <v>1</v>
      </c>
      <c r="C1407">
        <v>0</v>
      </c>
      <c r="D1407">
        <v>2</v>
      </c>
      <c r="E1407">
        <v>19</v>
      </c>
      <c r="F1407">
        <v>4</v>
      </c>
      <c r="G1407">
        <v>1</v>
      </c>
      <c r="H1407">
        <f>표3[[#This Row],[공격성공횟수]]/(표3[[#This Row],[공격실패횟수]]+표3[[#This Row],[공격성공횟수]])</f>
        <v>9.5238095238095233E-2</v>
      </c>
    </row>
    <row r="1408" spans="1:8" x14ac:dyDescent="0.4">
      <c r="A1408">
        <v>704</v>
      </c>
      <c r="B1408" t="s">
        <v>3</v>
      </c>
      <c r="C1408">
        <v>1</v>
      </c>
      <c r="D1408">
        <v>4</v>
      </c>
      <c r="E1408">
        <v>9</v>
      </c>
      <c r="F1408">
        <v>3</v>
      </c>
      <c r="G1408">
        <v>0</v>
      </c>
      <c r="H1408">
        <f>표3[[#This Row],[공격성공횟수]]/(표3[[#This Row],[공격실패횟수]]+표3[[#This Row],[공격성공횟수]])</f>
        <v>0.30769230769230771</v>
      </c>
    </row>
    <row r="1409" spans="1:8" hidden="1" x14ac:dyDescent="0.4">
      <c r="A1409">
        <v>704</v>
      </c>
      <c r="B1409" t="s">
        <v>1</v>
      </c>
      <c r="C1409">
        <v>0</v>
      </c>
      <c r="D1409">
        <v>3</v>
      </c>
      <c r="E1409">
        <v>10</v>
      </c>
      <c r="F1409">
        <v>4</v>
      </c>
      <c r="G1409">
        <v>1</v>
      </c>
      <c r="H1409">
        <f>표3[[#This Row],[공격성공횟수]]/(표3[[#This Row],[공격실패횟수]]+표3[[#This Row],[공격성공횟수]])</f>
        <v>0.23076923076923078</v>
      </c>
    </row>
    <row r="1410" spans="1:8" x14ac:dyDescent="0.4">
      <c r="A1410">
        <v>705</v>
      </c>
      <c r="B1410" t="s">
        <v>3</v>
      </c>
      <c r="C1410">
        <v>1</v>
      </c>
      <c r="D1410">
        <v>4</v>
      </c>
      <c r="E1410">
        <v>4</v>
      </c>
      <c r="F1410">
        <v>1</v>
      </c>
      <c r="G1410">
        <v>0</v>
      </c>
      <c r="H1410">
        <f>표3[[#This Row],[공격성공횟수]]/(표3[[#This Row],[공격실패횟수]]+표3[[#This Row],[공격성공횟수]])</f>
        <v>0.5</v>
      </c>
    </row>
    <row r="1411" spans="1:8" hidden="1" x14ac:dyDescent="0.4">
      <c r="A1411">
        <v>705</v>
      </c>
      <c r="B1411" t="s">
        <v>1</v>
      </c>
      <c r="C1411">
        <v>0</v>
      </c>
      <c r="D1411">
        <v>1</v>
      </c>
      <c r="E1411">
        <v>7</v>
      </c>
      <c r="F1411">
        <v>4</v>
      </c>
      <c r="G1411">
        <v>1</v>
      </c>
      <c r="H1411">
        <f>표3[[#This Row],[공격성공횟수]]/(표3[[#This Row],[공격실패횟수]]+표3[[#This Row],[공격성공횟수]])</f>
        <v>0.125</v>
      </c>
    </row>
    <row r="1412" spans="1:8" x14ac:dyDescent="0.4">
      <c r="A1412">
        <v>706</v>
      </c>
      <c r="B1412" t="s">
        <v>3</v>
      </c>
      <c r="C1412">
        <v>1</v>
      </c>
      <c r="D1412">
        <v>4</v>
      </c>
      <c r="E1412">
        <v>6</v>
      </c>
      <c r="F1412">
        <v>0</v>
      </c>
      <c r="G1412">
        <v>0</v>
      </c>
      <c r="H1412">
        <f>표3[[#This Row],[공격성공횟수]]/(표3[[#This Row],[공격실패횟수]]+표3[[#This Row],[공격성공횟수]])</f>
        <v>0.4</v>
      </c>
    </row>
    <row r="1413" spans="1:8" hidden="1" x14ac:dyDescent="0.4">
      <c r="A1413">
        <v>706</v>
      </c>
      <c r="B1413" t="s">
        <v>1</v>
      </c>
      <c r="C1413">
        <v>0</v>
      </c>
      <c r="D1413">
        <v>0</v>
      </c>
      <c r="E1413">
        <v>9</v>
      </c>
      <c r="F1413">
        <v>4</v>
      </c>
      <c r="G1413">
        <v>1</v>
      </c>
      <c r="H1413">
        <f>표3[[#This Row],[공격성공횟수]]/(표3[[#This Row],[공격실패횟수]]+표3[[#This Row],[공격성공횟수]])</f>
        <v>0</v>
      </c>
    </row>
    <row r="1414" spans="1:8" x14ac:dyDescent="0.4">
      <c r="A1414">
        <v>707</v>
      </c>
      <c r="B1414" t="s">
        <v>3</v>
      </c>
      <c r="C1414">
        <v>1</v>
      </c>
      <c r="D1414">
        <v>4</v>
      </c>
      <c r="E1414">
        <v>21</v>
      </c>
      <c r="F1414">
        <v>3</v>
      </c>
      <c r="G1414">
        <v>0</v>
      </c>
      <c r="H1414">
        <f>표3[[#This Row],[공격성공횟수]]/(표3[[#This Row],[공격실패횟수]]+표3[[#This Row],[공격성공횟수]])</f>
        <v>0.16</v>
      </c>
    </row>
    <row r="1415" spans="1:8" hidden="1" x14ac:dyDescent="0.4">
      <c r="A1415">
        <v>707</v>
      </c>
      <c r="B1415" t="s">
        <v>1</v>
      </c>
      <c r="C1415">
        <v>0</v>
      </c>
      <c r="D1415">
        <v>3</v>
      </c>
      <c r="E1415">
        <v>21</v>
      </c>
      <c r="F1415">
        <v>4</v>
      </c>
      <c r="G1415">
        <v>1</v>
      </c>
      <c r="H1415">
        <f>표3[[#This Row],[공격성공횟수]]/(표3[[#This Row],[공격실패횟수]]+표3[[#This Row],[공격성공횟수]])</f>
        <v>0.125</v>
      </c>
    </row>
    <row r="1416" spans="1:8" x14ac:dyDescent="0.4">
      <c r="A1416">
        <v>708</v>
      </c>
      <c r="B1416" t="s">
        <v>3</v>
      </c>
      <c r="C1416">
        <v>0</v>
      </c>
      <c r="D1416">
        <v>2</v>
      </c>
      <c r="E1416">
        <v>24</v>
      </c>
      <c r="F1416">
        <v>4</v>
      </c>
      <c r="G1416">
        <v>1</v>
      </c>
      <c r="H1416">
        <f>표3[[#This Row],[공격성공횟수]]/(표3[[#This Row],[공격실패횟수]]+표3[[#This Row],[공격성공횟수]])</f>
        <v>7.6923076923076927E-2</v>
      </c>
    </row>
    <row r="1417" spans="1:8" hidden="1" x14ac:dyDescent="0.4">
      <c r="A1417">
        <v>708</v>
      </c>
      <c r="B1417" t="s">
        <v>1</v>
      </c>
      <c r="C1417">
        <v>1</v>
      </c>
      <c r="D1417">
        <v>4</v>
      </c>
      <c r="E1417">
        <v>23</v>
      </c>
      <c r="F1417">
        <v>2</v>
      </c>
      <c r="G1417">
        <v>0</v>
      </c>
      <c r="H1417">
        <f>표3[[#This Row],[공격성공횟수]]/(표3[[#This Row],[공격실패횟수]]+표3[[#This Row],[공격성공횟수]])</f>
        <v>0.14814814814814814</v>
      </c>
    </row>
    <row r="1418" spans="1:8" x14ac:dyDescent="0.4">
      <c r="A1418">
        <v>709</v>
      </c>
      <c r="B1418" t="s">
        <v>3</v>
      </c>
      <c r="C1418">
        <v>1</v>
      </c>
      <c r="D1418">
        <v>4</v>
      </c>
      <c r="E1418">
        <v>6</v>
      </c>
      <c r="F1418">
        <v>1</v>
      </c>
      <c r="G1418">
        <v>0</v>
      </c>
      <c r="H1418">
        <f>표3[[#This Row],[공격성공횟수]]/(표3[[#This Row],[공격실패횟수]]+표3[[#This Row],[공격성공횟수]])</f>
        <v>0.4</v>
      </c>
    </row>
    <row r="1419" spans="1:8" hidden="1" x14ac:dyDescent="0.4">
      <c r="A1419">
        <v>709</v>
      </c>
      <c r="B1419" t="s">
        <v>1</v>
      </c>
      <c r="C1419">
        <v>0</v>
      </c>
      <c r="D1419">
        <v>1</v>
      </c>
      <c r="E1419">
        <v>8</v>
      </c>
      <c r="F1419">
        <v>4</v>
      </c>
      <c r="G1419">
        <v>1</v>
      </c>
      <c r="H1419">
        <f>표3[[#This Row],[공격성공횟수]]/(표3[[#This Row],[공격실패횟수]]+표3[[#This Row],[공격성공횟수]])</f>
        <v>0.1111111111111111</v>
      </c>
    </row>
    <row r="1420" spans="1:8" x14ac:dyDescent="0.4">
      <c r="A1420">
        <v>710</v>
      </c>
      <c r="B1420" t="s">
        <v>3</v>
      </c>
      <c r="C1420">
        <v>1</v>
      </c>
      <c r="D1420">
        <v>4</v>
      </c>
      <c r="E1420">
        <v>17</v>
      </c>
      <c r="F1420">
        <v>1</v>
      </c>
      <c r="G1420">
        <v>0</v>
      </c>
      <c r="H1420">
        <f>표3[[#This Row],[공격성공횟수]]/(표3[[#This Row],[공격실패횟수]]+표3[[#This Row],[공격성공횟수]])</f>
        <v>0.19047619047619047</v>
      </c>
    </row>
    <row r="1421" spans="1:8" hidden="1" x14ac:dyDescent="0.4">
      <c r="A1421">
        <v>710</v>
      </c>
      <c r="B1421" t="s">
        <v>1</v>
      </c>
      <c r="C1421">
        <v>0</v>
      </c>
      <c r="D1421">
        <v>1</v>
      </c>
      <c r="E1421">
        <v>22</v>
      </c>
      <c r="F1421">
        <v>4</v>
      </c>
      <c r="G1421">
        <v>1</v>
      </c>
      <c r="H1421">
        <f>표3[[#This Row],[공격성공횟수]]/(표3[[#This Row],[공격실패횟수]]+표3[[#This Row],[공격성공횟수]])</f>
        <v>4.3478260869565216E-2</v>
      </c>
    </row>
    <row r="1422" spans="1:8" x14ac:dyDescent="0.4">
      <c r="A1422">
        <v>711</v>
      </c>
      <c r="B1422" t="s">
        <v>3</v>
      </c>
      <c r="C1422">
        <v>1</v>
      </c>
      <c r="D1422">
        <v>4</v>
      </c>
      <c r="E1422">
        <v>6</v>
      </c>
      <c r="F1422">
        <v>0</v>
      </c>
      <c r="G1422">
        <v>0</v>
      </c>
      <c r="H1422">
        <f>표3[[#This Row],[공격성공횟수]]/(표3[[#This Row],[공격실패횟수]]+표3[[#This Row],[공격성공횟수]])</f>
        <v>0.4</v>
      </c>
    </row>
    <row r="1423" spans="1:8" hidden="1" x14ac:dyDescent="0.4">
      <c r="A1423">
        <v>711</v>
      </c>
      <c r="B1423" t="s">
        <v>1</v>
      </c>
      <c r="C1423">
        <v>0</v>
      </c>
      <c r="D1423">
        <v>0</v>
      </c>
      <c r="E1423">
        <v>9</v>
      </c>
      <c r="F1423">
        <v>4</v>
      </c>
      <c r="G1423">
        <v>1</v>
      </c>
      <c r="H1423">
        <f>표3[[#This Row],[공격성공횟수]]/(표3[[#This Row],[공격실패횟수]]+표3[[#This Row],[공격성공횟수]])</f>
        <v>0</v>
      </c>
    </row>
    <row r="1424" spans="1:8" x14ac:dyDescent="0.4">
      <c r="A1424">
        <v>712</v>
      </c>
      <c r="B1424" t="s">
        <v>3</v>
      </c>
      <c r="C1424">
        <v>0</v>
      </c>
      <c r="D1424">
        <v>0</v>
      </c>
      <c r="E1424">
        <v>26</v>
      </c>
      <c r="F1424">
        <v>4</v>
      </c>
      <c r="G1424">
        <v>1</v>
      </c>
      <c r="H1424">
        <f>표3[[#This Row],[공격성공횟수]]/(표3[[#This Row],[공격실패횟수]]+표3[[#This Row],[공격성공횟수]])</f>
        <v>0</v>
      </c>
    </row>
    <row r="1425" spans="1:8" hidden="1" x14ac:dyDescent="0.4">
      <c r="A1425">
        <v>712</v>
      </c>
      <c r="B1425" t="s">
        <v>1</v>
      </c>
      <c r="C1425">
        <v>1</v>
      </c>
      <c r="D1425">
        <v>4</v>
      </c>
      <c r="E1425">
        <v>22</v>
      </c>
      <c r="F1425">
        <v>0</v>
      </c>
      <c r="G1425">
        <v>0</v>
      </c>
      <c r="H1425">
        <f>표3[[#This Row],[공격성공횟수]]/(표3[[#This Row],[공격실패횟수]]+표3[[#This Row],[공격성공횟수]])</f>
        <v>0.15384615384615385</v>
      </c>
    </row>
    <row r="1426" spans="1:8" x14ac:dyDescent="0.4">
      <c r="A1426">
        <v>713</v>
      </c>
      <c r="B1426" t="s">
        <v>3</v>
      </c>
      <c r="C1426">
        <v>0</v>
      </c>
      <c r="D1426">
        <v>2</v>
      </c>
      <c r="E1426">
        <v>30</v>
      </c>
      <c r="F1426">
        <v>4</v>
      </c>
      <c r="G1426">
        <v>1</v>
      </c>
      <c r="H1426">
        <f>표3[[#This Row],[공격성공횟수]]/(표3[[#This Row],[공격실패횟수]]+표3[[#This Row],[공격성공횟수]])</f>
        <v>6.25E-2</v>
      </c>
    </row>
    <row r="1427" spans="1:8" hidden="1" x14ac:dyDescent="0.4">
      <c r="A1427">
        <v>713</v>
      </c>
      <c r="B1427" t="s">
        <v>1</v>
      </c>
      <c r="C1427">
        <v>1</v>
      </c>
      <c r="D1427">
        <v>4</v>
      </c>
      <c r="E1427">
        <v>31</v>
      </c>
      <c r="F1427">
        <v>2</v>
      </c>
      <c r="G1427">
        <v>0</v>
      </c>
      <c r="H1427">
        <f>표3[[#This Row],[공격성공횟수]]/(표3[[#This Row],[공격실패횟수]]+표3[[#This Row],[공격성공횟수]])</f>
        <v>0.11428571428571428</v>
      </c>
    </row>
    <row r="1428" spans="1:8" x14ac:dyDescent="0.4">
      <c r="A1428">
        <v>714</v>
      </c>
      <c r="B1428" t="s">
        <v>3</v>
      </c>
      <c r="C1428">
        <v>1</v>
      </c>
      <c r="D1428">
        <v>4</v>
      </c>
      <c r="E1428">
        <v>10</v>
      </c>
      <c r="F1428">
        <v>2</v>
      </c>
      <c r="G1428">
        <v>0</v>
      </c>
      <c r="H1428">
        <f>표3[[#This Row],[공격성공횟수]]/(표3[[#This Row],[공격실패횟수]]+표3[[#This Row],[공격성공횟수]])</f>
        <v>0.2857142857142857</v>
      </c>
    </row>
    <row r="1429" spans="1:8" hidden="1" x14ac:dyDescent="0.4">
      <c r="A1429">
        <v>714</v>
      </c>
      <c r="B1429" t="s">
        <v>1</v>
      </c>
      <c r="C1429">
        <v>0</v>
      </c>
      <c r="D1429">
        <v>2</v>
      </c>
      <c r="E1429">
        <v>17</v>
      </c>
      <c r="F1429">
        <v>4</v>
      </c>
      <c r="G1429">
        <v>1</v>
      </c>
      <c r="H1429">
        <f>표3[[#This Row],[공격성공횟수]]/(표3[[#This Row],[공격실패횟수]]+표3[[#This Row],[공격성공횟수]])</f>
        <v>0.10526315789473684</v>
      </c>
    </row>
    <row r="1430" spans="1:8" x14ac:dyDescent="0.4">
      <c r="A1430">
        <v>715</v>
      </c>
      <c r="B1430" t="s">
        <v>3</v>
      </c>
      <c r="C1430">
        <v>1</v>
      </c>
      <c r="D1430">
        <v>4</v>
      </c>
      <c r="E1430">
        <v>7</v>
      </c>
      <c r="F1430">
        <v>0</v>
      </c>
      <c r="G1430">
        <v>0</v>
      </c>
      <c r="H1430">
        <f>표3[[#This Row],[공격성공횟수]]/(표3[[#This Row],[공격실패횟수]]+표3[[#This Row],[공격성공횟수]])</f>
        <v>0.36363636363636365</v>
      </c>
    </row>
    <row r="1431" spans="1:8" hidden="1" x14ac:dyDescent="0.4">
      <c r="A1431">
        <v>715</v>
      </c>
      <c r="B1431" t="s">
        <v>1</v>
      </c>
      <c r="C1431">
        <v>0</v>
      </c>
      <c r="D1431">
        <v>0</v>
      </c>
      <c r="E1431">
        <v>10</v>
      </c>
      <c r="F1431">
        <v>4</v>
      </c>
      <c r="G1431">
        <v>1</v>
      </c>
      <c r="H1431">
        <f>표3[[#This Row],[공격성공횟수]]/(표3[[#This Row],[공격실패횟수]]+표3[[#This Row],[공격성공횟수]])</f>
        <v>0</v>
      </c>
    </row>
    <row r="1432" spans="1:8" x14ac:dyDescent="0.4">
      <c r="A1432">
        <v>716</v>
      </c>
      <c r="B1432" t="s">
        <v>3</v>
      </c>
      <c r="C1432">
        <v>1</v>
      </c>
      <c r="D1432">
        <v>4</v>
      </c>
      <c r="E1432">
        <v>6</v>
      </c>
      <c r="F1432">
        <v>2</v>
      </c>
      <c r="G1432">
        <v>0</v>
      </c>
      <c r="H1432">
        <f>표3[[#This Row],[공격성공횟수]]/(표3[[#This Row],[공격실패횟수]]+표3[[#This Row],[공격성공횟수]])</f>
        <v>0.4</v>
      </c>
    </row>
    <row r="1433" spans="1:8" hidden="1" x14ac:dyDescent="0.4">
      <c r="A1433">
        <v>716</v>
      </c>
      <c r="B1433" t="s">
        <v>1</v>
      </c>
      <c r="C1433">
        <v>0</v>
      </c>
      <c r="D1433">
        <v>2</v>
      </c>
      <c r="E1433">
        <v>8</v>
      </c>
      <c r="F1433">
        <v>4</v>
      </c>
      <c r="G1433">
        <v>1</v>
      </c>
      <c r="H1433">
        <f>표3[[#This Row],[공격성공횟수]]/(표3[[#This Row],[공격실패횟수]]+표3[[#This Row],[공격성공횟수]])</f>
        <v>0.2</v>
      </c>
    </row>
    <row r="1434" spans="1:8" x14ac:dyDescent="0.4">
      <c r="A1434">
        <v>717</v>
      </c>
      <c r="B1434" t="s">
        <v>3</v>
      </c>
      <c r="C1434">
        <v>1</v>
      </c>
      <c r="D1434">
        <v>4</v>
      </c>
      <c r="E1434">
        <v>7</v>
      </c>
      <c r="F1434">
        <v>1</v>
      </c>
      <c r="G1434">
        <v>0</v>
      </c>
      <c r="H1434">
        <f>표3[[#This Row],[공격성공횟수]]/(표3[[#This Row],[공격실패횟수]]+표3[[#This Row],[공격성공횟수]])</f>
        <v>0.36363636363636365</v>
      </c>
    </row>
    <row r="1435" spans="1:8" hidden="1" x14ac:dyDescent="0.4">
      <c r="A1435">
        <v>717</v>
      </c>
      <c r="B1435" t="s">
        <v>1</v>
      </c>
      <c r="C1435">
        <v>0</v>
      </c>
      <c r="D1435">
        <v>1</v>
      </c>
      <c r="E1435">
        <v>9</v>
      </c>
      <c r="F1435">
        <v>4</v>
      </c>
      <c r="G1435">
        <v>1</v>
      </c>
      <c r="H1435">
        <f>표3[[#This Row],[공격성공횟수]]/(표3[[#This Row],[공격실패횟수]]+표3[[#This Row],[공격성공횟수]])</f>
        <v>0.1</v>
      </c>
    </row>
    <row r="1436" spans="1:8" x14ac:dyDescent="0.4">
      <c r="A1436">
        <v>718</v>
      </c>
      <c r="B1436" t="s">
        <v>3</v>
      </c>
      <c r="C1436">
        <v>1</v>
      </c>
      <c r="D1436">
        <v>4</v>
      </c>
      <c r="E1436">
        <v>12</v>
      </c>
      <c r="F1436">
        <v>2</v>
      </c>
      <c r="G1436">
        <v>0</v>
      </c>
      <c r="H1436">
        <f>표3[[#This Row],[공격성공횟수]]/(표3[[#This Row],[공격실패횟수]]+표3[[#This Row],[공격성공횟수]])</f>
        <v>0.25</v>
      </c>
    </row>
    <row r="1437" spans="1:8" hidden="1" x14ac:dyDescent="0.4">
      <c r="A1437">
        <v>718</v>
      </c>
      <c r="B1437" t="s">
        <v>1</v>
      </c>
      <c r="C1437">
        <v>0</v>
      </c>
      <c r="D1437">
        <v>2</v>
      </c>
      <c r="E1437">
        <v>14</v>
      </c>
      <c r="F1437">
        <v>4</v>
      </c>
      <c r="G1437">
        <v>1</v>
      </c>
      <c r="H1437">
        <f>표3[[#This Row],[공격성공횟수]]/(표3[[#This Row],[공격실패횟수]]+표3[[#This Row],[공격성공횟수]])</f>
        <v>0.125</v>
      </c>
    </row>
    <row r="1438" spans="1:8" x14ac:dyDescent="0.4">
      <c r="A1438">
        <v>719</v>
      </c>
      <c r="B1438" t="s">
        <v>3</v>
      </c>
      <c r="C1438">
        <v>0</v>
      </c>
      <c r="D1438">
        <v>0</v>
      </c>
      <c r="E1438">
        <v>11</v>
      </c>
      <c r="F1438">
        <v>4</v>
      </c>
      <c r="G1438">
        <v>1</v>
      </c>
      <c r="H1438">
        <f>표3[[#This Row],[공격성공횟수]]/(표3[[#This Row],[공격실패횟수]]+표3[[#This Row],[공격성공횟수]])</f>
        <v>0</v>
      </c>
    </row>
    <row r="1439" spans="1:8" hidden="1" x14ac:dyDescent="0.4">
      <c r="A1439">
        <v>719</v>
      </c>
      <c r="B1439" t="s">
        <v>1</v>
      </c>
      <c r="C1439">
        <v>1</v>
      </c>
      <c r="D1439">
        <v>4</v>
      </c>
      <c r="E1439">
        <v>8</v>
      </c>
      <c r="F1439">
        <v>0</v>
      </c>
      <c r="G1439">
        <v>0</v>
      </c>
      <c r="H1439">
        <f>표3[[#This Row],[공격성공횟수]]/(표3[[#This Row],[공격실패횟수]]+표3[[#This Row],[공격성공횟수]])</f>
        <v>0.33333333333333331</v>
      </c>
    </row>
    <row r="1440" spans="1:8" x14ac:dyDescent="0.4">
      <c r="A1440">
        <v>720</v>
      </c>
      <c r="B1440" t="s">
        <v>3</v>
      </c>
      <c r="C1440">
        <v>1</v>
      </c>
      <c r="D1440">
        <v>4</v>
      </c>
      <c r="E1440">
        <v>13</v>
      </c>
      <c r="F1440">
        <v>1</v>
      </c>
      <c r="G1440">
        <v>0</v>
      </c>
      <c r="H1440">
        <f>표3[[#This Row],[공격성공횟수]]/(표3[[#This Row],[공격실패횟수]]+표3[[#This Row],[공격성공횟수]])</f>
        <v>0.23529411764705882</v>
      </c>
    </row>
    <row r="1441" spans="1:8" hidden="1" x14ac:dyDescent="0.4">
      <c r="A1441">
        <v>720</v>
      </c>
      <c r="B1441" t="s">
        <v>1</v>
      </c>
      <c r="C1441">
        <v>0</v>
      </c>
      <c r="D1441">
        <v>1</v>
      </c>
      <c r="E1441">
        <v>14</v>
      </c>
      <c r="F1441">
        <v>4</v>
      </c>
      <c r="G1441">
        <v>1</v>
      </c>
      <c r="H1441">
        <f>표3[[#This Row],[공격성공횟수]]/(표3[[#This Row],[공격실패횟수]]+표3[[#This Row],[공격성공횟수]])</f>
        <v>6.6666666666666666E-2</v>
      </c>
    </row>
    <row r="1442" spans="1:8" x14ac:dyDescent="0.4">
      <c r="A1442">
        <v>721</v>
      </c>
      <c r="B1442" t="s">
        <v>3</v>
      </c>
      <c r="C1442">
        <v>1</v>
      </c>
      <c r="D1442">
        <v>4</v>
      </c>
      <c r="E1442">
        <v>18</v>
      </c>
      <c r="F1442">
        <v>1</v>
      </c>
      <c r="G1442">
        <v>0</v>
      </c>
      <c r="H1442">
        <f>표3[[#This Row],[공격성공횟수]]/(표3[[#This Row],[공격실패횟수]]+표3[[#This Row],[공격성공횟수]])</f>
        <v>0.18181818181818182</v>
      </c>
    </row>
    <row r="1443" spans="1:8" hidden="1" x14ac:dyDescent="0.4">
      <c r="A1443">
        <v>721</v>
      </c>
      <c r="B1443" t="s">
        <v>1</v>
      </c>
      <c r="C1443">
        <v>0</v>
      </c>
      <c r="D1443">
        <v>1</v>
      </c>
      <c r="E1443">
        <v>21</v>
      </c>
      <c r="F1443">
        <v>4</v>
      </c>
      <c r="G1443">
        <v>1</v>
      </c>
      <c r="H1443">
        <f>표3[[#This Row],[공격성공횟수]]/(표3[[#This Row],[공격실패횟수]]+표3[[#This Row],[공격성공횟수]])</f>
        <v>4.5454545454545456E-2</v>
      </c>
    </row>
    <row r="1444" spans="1:8" x14ac:dyDescent="0.4">
      <c r="A1444">
        <v>722</v>
      </c>
      <c r="B1444" t="s">
        <v>3</v>
      </c>
      <c r="C1444">
        <v>1</v>
      </c>
      <c r="D1444">
        <v>4</v>
      </c>
      <c r="E1444">
        <v>14</v>
      </c>
      <c r="F1444">
        <v>0</v>
      </c>
      <c r="G1444">
        <v>0</v>
      </c>
      <c r="H1444">
        <f>표3[[#This Row],[공격성공횟수]]/(표3[[#This Row],[공격실패횟수]]+표3[[#This Row],[공격성공횟수]])</f>
        <v>0.22222222222222221</v>
      </c>
    </row>
    <row r="1445" spans="1:8" hidden="1" x14ac:dyDescent="0.4">
      <c r="A1445">
        <v>722</v>
      </c>
      <c r="B1445" t="s">
        <v>1</v>
      </c>
      <c r="C1445">
        <v>0</v>
      </c>
      <c r="D1445">
        <v>0</v>
      </c>
      <c r="E1445">
        <v>20</v>
      </c>
      <c r="F1445">
        <v>4</v>
      </c>
      <c r="G1445">
        <v>1</v>
      </c>
      <c r="H1445">
        <f>표3[[#This Row],[공격성공횟수]]/(표3[[#This Row],[공격실패횟수]]+표3[[#This Row],[공격성공횟수]])</f>
        <v>0</v>
      </c>
    </row>
    <row r="1446" spans="1:8" x14ac:dyDescent="0.4">
      <c r="A1446">
        <v>723</v>
      </c>
      <c r="B1446" t="s">
        <v>3</v>
      </c>
      <c r="C1446">
        <v>1</v>
      </c>
      <c r="D1446">
        <v>4</v>
      </c>
      <c r="E1446">
        <v>19</v>
      </c>
      <c r="F1446">
        <v>0</v>
      </c>
      <c r="G1446">
        <v>0</v>
      </c>
      <c r="H1446">
        <f>표3[[#This Row],[공격성공횟수]]/(표3[[#This Row],[공격실패횟수]]+표3[[#This Row],[공격성공횟수]])</f>
        <v>0.17391304347826086</v>
      </c>
    </row>
    <row r="1447" spans="1:8" hidden="1" x14ac:dyDescent="0.4">
      <c r="A1447">
        <v>723</v>
      </c>
      <c r="B1447" t="s">
        <v>1</v>
      </c>
      <c r="C1447">
        <v>0</v>
      </c>
      <c r="D1447">
        <v>0</v>
      </c>
      <c r="E1447">
        <v>24</v>
      </c>
      <c r="F1447">
        <v>4</v>
      </c>
      <c r="G1447">
        <v>1</v>
      </c>
      <c r="H1447">
        <f>표3[[#This Row],[공격성공횟수]]/(표3[[#This Row],[공격실패횟수]]+표3[[#This Row],[공격성공횟수]])</f>
        <v>0</v>
      </c>
    </row>
    <row r="1448" spans="1:8" x14ac:dyDescent="0.4">
      <c r="A1448">
        <v>724</v>
      </c>
      <c r="B1448" t="s">
        <v>3</v>
      </c>
      <c r="C1448">
        <v>1</v>
      </c>
      <c r="D1448">
        <v>4</v>
      </c>
      <c r="E1448">
        <v>6</v>
      </c>
      <c r="F1448">
        <v>0</v>
      </c>
      <c r="G1448">
        <v>0</v>
      </c>
      <c r="H1448">
        <f>표3[[#This Row],[공격성공횟수]]/(표3[[#This Row],[공격실패횟수]]+표3[[#This Row],[공격성공횟수]])</f>
        <v>0.4</v>
      </c>
    </row>
    <row r="1449" spans="1:8" hidden="1" x14ac:dyDescent="0.4">
      <c r="A1449">
        <v>724</v>
      </c>
      <c r="B1449" t="s">
        <v>1</v>
      </c>
      <c r="C1449">
        <v>0</v>
      </c>
      <c r="D1449">
        <v>0</v>
      </c>
      <c r="E1449">
        <v>10</v>
      </c>
      <c r="F1449">
        <v>4</v>
      </c>
      <c r="G1449">
        <v>1</v>
      </c>
      <c r="H1449">
        <f>표3[[#This Row],[공격성공횟수]]/(표3[[#This Row],[공격실패횟수]]+표3[[#This Row],[공격성공횟수]])</f>
        <v>0</v>
      </c>
    </row>
    <row r="1450" spans="1:8" x14ac:dyDescent="0.4">
      <c r="A1450">
        <v>725</v>
      </c>
      <c r="B1450" t="s">
        <v>3</v>
      </c>
      <c r="C1450">
        <v>1</v>
      </c>
      <c r="D1450">
        <v>4</v>
      </c>
      <c r="E1450">
        <v>11</v>
      </c>
      <c r="F1450">
        <v>1</v>
      </c>
      <c r="G1450">
        <v>0</v>
      </c>
      <c r="H1450">
        <f>표3[[#This Row],[공격성공횟수]]/(표3[[#This Row],[공격실패횟수]]+표3[[#This Row],[공격성공횟수]])</f>
        <v>0.26666666666666666</v>
      </c>
    </row>
    <row r="1451" spans="1:8" hidden="1" x14ac:dyDescent="0.4">
      <c r="A1451">
        <v>725</v>
      </c>
      <c r="B1451" t="s">
        <v>1</v>
      </c>
      <c r="C1451">
        <v>0</v>
      </c>
      <c r="D1451">
        <v>1</v>
      </c>
      <c r="E1451">
        <v>14</v>
      </c>
      <c r="F1451">
        <v>4</v>
      </c>
      <c r="G1451">
        <v>1</v>
      </c>
      <c r="H1451">
        <f>표3[[#This Row],[공격성공횟수]]/(표3[[#This Row],[공격실패횟수]]+표3[[#This Row],[공격성공횟수]])</f>
        <v>6.6666666666666666E-2</v>
      </c>
    </row>
    <row r="1452" spans="1:8" x14ac:dyDescent="0.4">
      <c r="A1452">
        <v>726</v>
      </c>
      <c r="B1452" t="s">
        <v>3</v>
      </c>
      <c r="C1452">
        <v>1</v>
      </c>
      <c r="D1452">
        <v>4</v>
      </c>
      <c r="E1452">
        <v>15</v>
      </c>
      <c r="F1452">
        <v>3</v>
      </c>
      <c r="G1452">
        <v>0</v>
      </c>
      <c r="H1452">
        <f>표3[[#This Row],[공격성공횟수]]/(표3[[#This Row],[공격실패횟수]]+표3[[#This Row],[공격성공횟수]])</f>
        <v>0.21052631578947367</v>
      </c>
    </row>
    <row r="1453" spans="1:8" hidden="1" x14ac:dyDescent="0.4">
      <c r="A1453">
        <v>726</v>
      </c>
      <c r="B1453" t="s">
        <v>1</v>
      </c>
      <c r="C1453">
        <v>0</v>
      </c>
      <c r="D1453">
        <v>3</v>
      </c>
      <c r="E1453">
        <v>15</v>
      </c>
      <c r="F1453">
        <v>4</v>
      </c>
      <c r="G1453">
        <v>1</v>
      </c>
      <c r="H1453">
        <f>표3[[#This Row],[공격성공횟수]]/(표3[[#This Row],[공격실패횟수]]+표3[[#This Row],[공격성공횟수]])</f>
        <v>0.16666666666666666</v>
      </c>
    </row>
    <row r="1454" spans="1:8" x14ac:dyDescent="0.4">
      <c r="A1454">
        <v>727</v>
      </c>
      <c r="B1454" t="s">
        <v>3</v>
      </c>
      <c r="C1454">
        <v>0</v>
      </c>
      <c r="D1454">
        <v>0</v>
      </c>
      <c r="E1454">
        <v>17</v>
      </c>
      <c r="F1454">
        <v>4</v>
      </c>
      <c r="G1454">
        <v>1</v>
      </c>
      <c r="H1454">
        <f>표3[[#This Row],[공격성공횟수]]/(표3[[#This Row],[공격실패횟수]]+표3[[#This Row],[공격성공횟수]])</f>
        <v>0</v>
      </c>
    </row>
    <row r="1455" spans="1:8" hidden="1" x14ac:dyDescent="0.4">
      <c r="A1455">
        <v>727</v>
      </c>
      <c r="B1455" t="s">
        <v>1</v>
      </c>
      <c r="C1455">
        <v>1</v>
      </c>
      <c r="D1455">
        <v>4</v>
      </c>
      <c r="E1455">
        <v>14</v>
      </c>
      <c r="F1455">
        <v>0</v>
      </c>
      <c r="G1455">
        <v>0</v>
      </c>
      <c r="H1455">
        <f>표3[[#This Row],[공격성공횟수]]/(표3[[#This Row],[공격실패횟수]]+표3[[#This Row],[공격성공횟수]])</f>
        <v>0.22222222222222221</v>
      </c>
    </row>
    <row r="1456" spans="1:8" x14ac:dyDescent="0.4">
      <c r="A1456">
        <v>728</v>
      </c>
      <c r="B1456" t="s">
        <v>3</v>
      </c>
      <c r="C1456">
        <v>1</v>
      </c>
      <c r="D1456">
        <v>4</v>
      </c>
      <c r="E1456">
        <v>12</v>
      </c>
      <c r="F1456">
        <v>0</v>
      </c>
      <c r="G1456">
        <v>0</v>
      </c>
      <c r="H1456">
        <f>표3[[#This Row],[공격성공횟수]]/(표3[[#This Row],[공격실패횟수]]+표3[[#This Row],[공격성공횟수]])</f>
        <v>0.25</v>
      </c>
    </row>
    <row r="1457" spans="1:8" hidden="1" x14ac:dyDescent="0.4">
      <c r="A1457">
        <v>728</v>
      </c>
      <c r="B1457" t="s">
        <v>1</v>
      </c>
      <c r="C1457">
        <v>0</v>
      </c>
      <c r="D1457">
        <v>0</v>
      </c>
      <c r="E1457">
        <v>14</v>
      </c>
      <c r="F1457">
        <v>4</v>
      </c>
      <c r="G1457">
        <v>1</v>
      </c>
      <c r="H1457">
        <f>표3[[#This Row],[공격성공횟수]]/(표3[[#This Row],[공격실패횟수]]+표3[[#This Row],[공격성공횟수]])</f>
        <v>0</v>
      </c>
    </row>
    <row r="1458" spans="1:8" x14ac:dyDescent="0.4">
      <c r="A1458">
        <v>729</v>
      </c>
      <c r="B1458" t="s">
        <v>3</v>
      </c>
      <c r="C1458">
        <v>0</v>
      </c>
      <c r="D1458">
        <v>3</v>
      </c>
      <c r="E1458">
        <v>7</v>
      </c>
      <c r="F1458">
        <v>4</v>
      </c>
      <c r="G1458">
        <v>1</v>
      </c>
      <c r="H1458">
        <f>표3[[#This Row],[공격성공횟수]]/(표3[[#This Row],[공격실패횟수]]+표3[[#This Row],[공격성공횟수]])</f>
        <v>0.3</v>
      </c>
    </row>
    <row r="1459" spans="1:8" hidden="1" x14ac:dyDescent="0.4">
      <c r="A1459">
        <v>729</v>
      </c>
      <c r="B1459" t="s">
        <v>1</v>
      </c>
      <c r="C1459">
        <v>1</v>
      </c>
      <c r="D1459">
        <v>4</v>
      </c>
      <c r="E1459">
        <v>7</v>
      </c>
      <c r="F1459">
        <v>3</v>
      </c>
      <c r="G1459">
        <v>0</v>
      </c>
      <c r="H1459">
        <f>표3[[#This Row],[공격성공횟수]]/(표3[[#This Row],[공격실패횟수]]+표3[[#This Row],[공격성공횟수]])</f>
        <v>0.36363636363636365</v>
      </c>
    </row>
    <row r="1460" spans="1:8" x14ac:dyDescent="0.4">
      <c r="A1460">
        <v>730</v>
      </c>
      <c r="B1460" t="s">
        <v>3</v>
      </c>
      <c r="C1460">
        <v>0</v>
      </c>
      <c r="D1460">
        <v>0</v>
      </c>
      <c r="E1460">
        <v>22</v>
      </c>
      <c r="F1460">
        <v>4</v>
      </c>
      <c r="G1460">
        <v>1</v>
      </c>
      <c r="H1460">
        <f>표3[[#This Row],[공격성공횟수]]/(표3[[#This Row],[공격실패횟수]]+표3[[#This Row],[공격성공횟수]])</f>
        <v>0</v>
      </c>
    </row>
    <row r="1461" spans="1:8" hidden="1" x14ac:dyDescent="0.4">
      <c r="A1461">
        <v>730</v>
      </c>
      <c r="B1461" t="s">
        <v>1</v>
      </c>
      <c r="C1461">
        <v>1</v>
      </c>
      <c r="D1461">
        <v>4</v>
      </c>
      <c r="E1461">
        <v>18</v>
      </c>
      <c r="F1461">
        <v>0</v>
      </c>
      <c r="G1461">
        <v>0</v>
      </c>
      <c r="H1461">
        <f>표3[[#This Row],[공격성공횟수]]/(표3[[#This Row],[공격실패횟수]]+표3[[#This Row],[공격성공횟수]])</f>
        <v>0.18181818181818182</v>
      </c>
    </row>
    <row r="1462" spans="1:8" x14ac:dyDescent="0.4">
      <c r="A1462">
        <v>731</v>
      </c>
      <c r="B1462" t="s">
        <v>3</v>
      </c>
      <c r="C1462">
        <v>0</v>
      </c>
      <c r="D1462">
        <v>1</v>
      </c>
      <c r="E1462">
        <v>14</v>
      </c>
      <c r="F1462">
        <v>4</v>
      </c>
      <c r="G1462">
        <v>1</v>
      </c>
      <c r="H1462">
        <f>표3[[#This Row],[공격성공횟수]]/(표3[[#This Row],[공격실패횟수]]+표3[[#This Row],[공격성공횟수]])</f>
        <v>6.6666666666666666E-2</v>
      </c>
    </row>
    <row r="1463" spans="1:8" hidden="1" x14ac:dyDescent="0.4">
      <c r="A1463">
        <v>731</v>
      </c>
      <c r="B1463" t="s">
        <v>1</v>
      </c>
      <c r="C1463">
        <v>1</v>
      </c>
      <c r="D1463">
        <v>4</v>
      </c>
      <c r="E1463">
        <v>16</v>
      </c>
      <c r="F1463">
        <v>1</v>
      </c>
      <c r="G1463">
        <v>0</v>
      </c>
      <c r="H1463">
        <f>표3[[#This Row],[공격성공횟수]]/(표3[[#This Row],[공격실패횟수]]+표3[[#This Row],[공격성공횟수]])</f>
        <v>0.2</v>
      </c>
    </row>
    <row r="1464" spans="1:8" x14ac:dyDescent="0.4">
      <c r="A1464">
        <v>732</v>
      </c>
      <c r="B1464" t="s">
        <v>3</v>
      </c>
      <c r="C1464">
        <v>1</v>
      </c>
      <c r="D1464">
        <v>4</v>
      </c>
      <c r="E1464">
        <v>21</v>
      </c>
      <c r="F1464">
        <v>1</v>
      </c>
      <c r="G1464">
        <v>0</v>
      </c>
      <c r="H1464">
        <f>표3[[#This Row],[공격성공횟수]]/(표3[[#This Row],[공격실패횟수]]+표3[[#This Row],[공격성공횟수]])</f>
        <v>0.16</v>
      </c>
    </row>
    <row r="1465" spans="1:8" hidden="1" x14ac:dyDescent="0.4">
      <c r="A1465">
        <v>732</v>
      </c>
      <c r="B1465" t="s">
        <v>1</v>
      </c>
      <c r="C1465">
        <v>0</v>
      </c>
      <c r="D1465">
        <v>1</v>
      </c>
      <c r="E1465">
        <v>26</v>
      </c>
      <c r="F1465">
        <v>4</v>
      </c>
      <c r="G1465">
        <v>1</v>
      </c>
      <c r="H1465">
        <f>표3[[#This Row],[공격성공횟수]]/(표3[[#This Row],[공격실패횟수]]+표3[[#This Row],[공격성공횟수]])</f>
        <v>3.7037037037037035E-2</v>
      </c>
    </row>
    <row r="1466" spans="1:8" x14ac:dyDescent="0.4">
      <c r="A1466">
        <v>733</v>
      </c>
      <c r="B1466" t="s">
        <v>3</v>
      </c>
      <c r="C1466">
        <v>1</v>
      </c>
      <c r="D1466">
        <v>4</v>
      </c>
      <c r="E1466">
        <v>9</v>
      </c>
      <c r="F1466">
        <v>1</v>
      </c>
      <c r="G1466">
        <v>0</v>
      </c>
      <c r="H1466">
        <f>표3[[#This Row],[공격성공횟수]]/(표3[[#This Row],[공격실패횟수]]+표3[[#This Row],[공격성공횟수]])</f>
        <v>0.30769230769230771</v>
      </c>
    </row>
    <row r="1467" spans="1:8" hidden="1" x14ac:dyDescent="0.4">
      <c r="A1467">
        <v>733</v>
      </c>
      <c r="B1467" t="s">
        <v>1</v>
      </c>
      <c r="C1467">
        <v>0</v>
      </c>
      <c r="D1467">
        <v>1</v>
      </c>
      <c r="E1467">
        <v>12</v>
      </c>
      <c r="F1467">
        <v>4</v>
      </c>
      <c r="G1467">
        <v>1</v>
      </c>
      <c r="H1467">
        <f>표3[[#This Row],[공격성공횟수]]/(표3[[#This Row],[공격실패횟수]]+표3[[#This Row],[공격성공횟수]])</f>
        <v>7.6923076923076927E-2</v>
      </c>
    </row>
    <row r="1468" spans="1:8" x14ac:dyDescent="0.4">
      <c r="A1468">
        <v>734</v>
      </c>
      <c r="B1468" t="s">
        <v>3</v>
      </c>
      <c r="C1468">
        <v>1</v>
      </c>
      <c r="D1468">
        <v>4</v>
      </c>
      <c r="E1468">
        <v>6</v>
      </c>
      <c r="F1468">
        <v>1</v>
      </c>
      <c r="G1468">
        <v>0</v>
      </c>
      <c r="H1468">
        <f>표3[[#This Row],[공격성공횟수]]/(표3[[#This Row],[공격실패횟수]]+표3[[#This Row],[공격성공횟수]])</f>
        <v>0.4</v>
      </c>
    </row>
    <row r="1469" spans="1:8" hidden="1" x14ac:dyDescent="0.4">
      <c r="A1469">
        <v>734</v>
      </c>
      <c r="B1469" t="s">
        <v>1</v>
      </c>
      <c r="C1469">
        <v>0</v>
      </c>
      <c r="D1469">
        <v>1</v>
      </c>
      <c r="E1469">
        <v>8</v>
      </c>
      <c r="F1469">
        <v>4</v>
      </c>
      <c r="G1469">
        <v>1</v>
      </c>
      <c r="H1469">
        <f>표3[[#This Row],[공격성공횟수]]/(표3[[#This Row],[공격실패횟수]]+표3[[#This Row],[공격성공횟수]])</f>
        <v>0.1111111111111111</v>
      </c>
    </row>
    <row r="1470" spans="1:8" x14ac:dyDescent="0.4">
      <c r="A1470">
        <v>735</v>
      </c>
      <c r="B1470" t="s">
        <v>3</v>
      </c>
      <c r="C1470">
        <v>1</v>
      </c>
      <c r="D1470">
        <v>4</v>
      </c>
      <c r="E1470">
        <v>12</v>
      </c>
      <c r="F1470">
        <v>0</v>
      </c>
      <c r="G1470">
        <v>0</v>
      </c>
      <c r="H1470">
        <f>표3[[#This Row],[공격성공횟수]]/(표3[[#This Row],[공격실패횟수]]+표3[[#This Row],[공격성공횟수]])</f>
        <v>0.25</v>
      </c>
    </row>
    <row r="1471" spans="1:8" hidden="1" x14ac:dyDescent="0.4">
      <c r="A1471">
        <v>735</v>
      </c>
      <c r="B1471" t="s">
        <v>1</v>
      </c>
      <c r="C1471">
        <v>0</v>
      </c>
      <c r="D1471">
        <v>0</v>
      </c>
      <c r="E1471">
        <v>15</v>
      </c>
      <c r="F1471">
        <v>4</v>
      </c>
      <c r="G1471">
        <v>1</v>
      </c>
      <c r="H1471">
        <f>표3[[#This Row],[공격성공횟수]]/(표3[[#This Row],[공격실패횟수]]+표3[[#This Row],[공격성공횟수]])</f>
        <v>0</v>
      </c>
    </row>
    <row r="1472" spans="1:8" x14ac:dyDescent="0.4">
      <c r="A1472">
        <v>736</v>
      </c>
      <c r="B1472" t="s">
        <v>3</v>
      </c>
      <c r="C1472">
        <v>1</v>
      </c>
      <c r="D1472">
        <v>4</v>
      </c>
      <c r="E1472">
        <v>6</v>
      </c>
      <c r="F1472">
        <v>0</v>
      </c>
      <c r="G1472">
        <v>0</v>
      </c>
      <c r="H1472">
        <f>표3[[#This Row],[공격성공횟수]]/(표3[[#This Row],[공격실패횟수]]+표3[[#This Row],[공격성공횟수]])</f>
        <v>0.4</v>
      </c>
    </row>
    <row r="1473" spans="1:8" hidden="1" x14ac:dyDescent="0.4">
      <c r="A1473">
        <v>736</v>
      </c>
      <c r="B1473" t="s">
        <v>1</v>
      </c>
      <c r="C1473">
        <v>0</v>
      </c>
      <c r="D1473">
        <v>0</v>
      </c>
      <c r="E1473">
        <v>10</v>
      </c>
      <c r="F1473">
        <v>4</v>
      </c>
      <c r="G1473">
        <v>1</v>
      </c>
      <c r="H1473">
        <f>표3[[#This Row],[공격성공횟수]]/(표3[[#This Row],[공격실패횟수]]+표3[[#This Row],[공격성공횟수]])</f>
        <v>0</v>
      </c>
    </row>
    <row r="1474" spans="1:8" x14ac:dyDescent="0.4">
      <c r="A1474">
        <v>737</v>
      </c>
      <c r="B1474" t="s">
        <v>3</v>
      </c>
      <c r="C1474">
        <v>1</v>
      </c>
      <c r="D1474">
        <v>4</v>
      </c>
      <c r="E1474">
        <v>7</v>
      </c>
      <c r="F1474">
        <v>3</v>
      </c>
      <c r="G1474">
        <v>0</v>
      </c>
      <c r="H1474">
        <f>표3[[#This Row],[공격성공횟수]]/(표3[[#This Row],[공격실패횟수]]+표3[[#This Row],[공격성공횟수]])</f>
        <v>0.36363636363636365</v>
      </c>
    </row>
    <row r="1475" spans="1:8" hidden="1" x14ac:dyDescent="0.4">
      <c r="A1475">
        <v>737</v>
      </c>
      <c r="B1475" t="s">
        <v>1</v>
      </c>
      <c r="C1475">
        <v>0</v>
      </c>
      <c r="D1475">
        <v>3</v>
      </c>
      <c r="E1475">
        <v>8</v>
      </c>
      <c r="F1475">
        <v>4</v>
      </c>
      <c r="G1475">
        <v>1</v>
      </c>
      <c r="H1475">
        <f>표3[[#This Row],[공격성공횟수]]/(표3[[#This Row],[공격실패횟수]]+표3[[#This Row],[공격성공횟수]])</f>
        <v>0.27272727272727271</v>
      </c>
    </row>
    <row r="1476" spans="1:8" x14ac:dyDescent="0.4">
      <c r="A1476">
        <v>738</v>
      </c>
      <c r="B1476" t="s">
        <v>3</v>
      </c>
      <c r="C1476">
        <v>1</v>
      </c>
      <c r="D1476">
        <v>4</v>
      </c>
      <c r="E1476">
        <v>12</v>
      </c>
      <c r="F1476">
        <v>1</v>
      </c>
      <c r="G1476">
        <v>0</v>
      </c>
      <c r="H1476">
        <f>표3[[#This Row],[공격성공횟수]]/(표3[[#This Row],[공격실패횟수]]+표3[[#This Row],[공격성공횟수]])</f>
        <v>0.25</v>
      </c>
    </row>
    <row r="1477" spans="1:8" hidden="1" x14ac:dyDescent="0.4">
      <c r="A1477">
        <v>738</v>
      </c>
      <c r="B1477" t="s">
        <v>1</v>
      </c>
      <c r="C1477">
        <v>0</v>
      </c>
      <c r="D1477">
        <v>1</v>
      </c>
      <c r="E1477">
        <v>14</v>
      </c>
      <c r="F1477">
        <v>4</v>
      </c>
      <c r="G1477">
        <v>1</v>
      </c>
      <c r="H1477">
        <f>표3[[#This Row],[공격성공횟수]]/(표3[[#This Row],[공격실패횟수]]+표3[[#This Row],[공격성공횟수]])</f>
        <v>6.6666666666666666E-2</v>
      </c>
    </row>
    <row r="1478" spans="1:8" x14ac:dyDescent="0.4">
      <c r="A1478">
        <v>739</v>
      </c>
      <c r="B1478" t="s">
        <v>3</v>
      </c>
      <c r="C1478">
        <v>1</v>
      </c>
      <c r="D1478">
        <v>4</v>
      </c>
      <c r="E1478">
        <v>21</v>
      </c>
      <c r="F1478">
        <v>0</v>
      </c>
      <c r="G1478">
        <v>0</v>
      </c>
      <c r="H1478">
        <f>표3[[#This Row],[공격성공횟수]]/(표3[[#This Row],[공격실패횟수]]+표3[[#This Row],[공격성공횟수]])</f>
        <v>0.16</v>
      </c>
    </row>
    <row r="1479" spans="1:8" hidden="1" x14ac:dyDescent="0.4">
      <c r="A1479">
        <v>739</v>
      </c>
      <c r="B1479" t="s">
        <v>1</v>
      </c>
      <c r="C1479">
        <v>0</v>
      </c>
      <c r="D1479">
        <v>0</v>
      </c>
      <c r="E1479">
        <v>33</v>
      </c>
      <c r="F1479">
        <v>4</v>
      </c>
      <c r="G1479">
        <v>1</v>
      </c>
      <c r="H1479">
        <f>표3[[#This Row],[공격성공횟수]]/(표3[[#This Row],[공격실패횟수]]+표3[[#This Row],[공격성공횟수]])</f>
        <v>0</v>
      </c>
    </row>
    <row r="1480" spans="1:8" x14ac:dyDescent="0.4">
      <c r="A1480">
        <v>740</v>
      </c>
      <c r="B1480" t="s">
        <v>3</v>
      </c>
      <c r="C1480">
        <v>1</v>
      </c>
      <c r="D1480">
        <v>4</v>
      </c>
      <c r="E1480">
        <v>5</v>
      </c>
      <c r="F1480">
        <v>1</v>
      </c>
      <c r="G1480">
        <v>0</v>
      </c>
      <c r="H1480">
        <f>표3[[#This Row],[공격성공횟수]]/(표3[[#This Row],[공격실패횟수]]+표3[[#This Row],[공격성공횟수]])</f>
        <v>0.44444444444444442</v>
      </c>
    </row>
    <row r="1481" spans="1:8" hidden="1" x14ac:dyDescent="0.4">
      <c r="A1481">
        <v>740</v>
      </c>
      <c r="B1481" t="s">
        <v>1</v>
      </c>
      <c r="C1481">
        <v>0</v>
      </c>
      <c r="D1481">
        <v>1</v>
      </c>
      <c r="E1481">
        <v>7</v>
      </c>
      <c r="F1481">
        <v>4</v>
      </c>
      <c r="G1481">
        <v>1</v>
      </c>
      <c r="H1481">
        <f>표3[[#This Row],[공격성공횟수]]/(표3[[#This Row],[공격실패횟수]]+표3[[#This Row],[공격성공횟수]])</f>
        <v>0.125</v>
      </c>
    </row>
    <row r="1482" spans="1:8" x14ac:dyDescent="0.4">
      <c r="A1482">
        <v>741</v>
      </c>
      <c r="B1482" t="s">
        <v>3</v>
      </c>
      <c r="C1482">
        <v>1</v>
      </c>
      <c r="D1482">
        <v>4</v>
      </c>
      <c r="E1482">
        <v>9</v>
      </c>
      <c r="F1482">
        <v>1</v>
      </c>
      <c r="G1482">
        <v>0</v>
      </c>
      <c r="H1482">
        <f>표3[[#This Row],[공격성공횟수]]/(표3[[#This Row],[공격실패횟수]]+표3[[#This Row],[공격성공횟수]])</f>
        <v>0.30769230769230771</v>
      </c>
    </row>
    <row r="1483" spans="1:8" hidden="1" x14ac:dyDescent="0.4">
      <c r="A1483">
        <v>741</v>
      </c>
      <c r="B1483" t="s">
        <v>1</v>
      </c>
      <c r="C1483">
        <v>0</v>
      </c>
      <c r="D1483">
        <v>1</v>
      </c>
      <c r="E1483">
        <v>12</v>
      </c>
      <c r="F1483">
        <v>4</v>
      </c>
      <c r="G1483">
        <v>1</v>
      </c>
      <c r="H1483">
        <f>표3[[#This Row],[공격성공횟수]]/(표3[[#This Row],[공격실패횟수]]+표3[[#This Row],[공격성공횟수]])</f>
        <v>7.6923076923076927E-2</v>
      </c>
    </row>
    <row r="1484" spans="1:8" x14ac:dyDescent="0.4">
      <c r="A1484">
        <v>742</v>
      </c>
      <c r="B1484" t="s">
        <v>3</v>
      </c>
      <c r="C1484">
        <v>1</v>
      </c>
      <c r="D1484">
        <v>4</v>
      </c>
      <c r="E1484">
        <v>8</v>
      </c>
      <c r="F1484">
        <v>2</v>
      </c>
      <c r="G1484">
        <v>0</v>
      </c>
      <c r="H1484">
        <f>표3[[#This Row],[공격성공횟수]]/(표3[[#This Row],[공격실패횟수]]+표3[[#This Row],[공격성공횟수]])</f>
        <v>0.33333333333333331</v>
      </c>
    </row>
    <row r="1485" spans="1:8" hidden="1" x14ac:dyDescent="0.4">
      <c r="A1485">
        <v>742</v>
      </c>
      <c r="B1485" t="s">
        <v>1</v>
      </c>
      <c r="C1485">
        <v>0</v>
      </c>
      <c r="D1485">
        <v>2</v>
      </c>
      <c r="E1485">
        <v>10</v>
      </c>
      <c r="F1485">
        <v>4</v>
      </c>
      <c r="G1485">
        <v>1</v>
      </c>
      <c r="H1485">
        <f>표3[[#This Row],[공격성공횟수]]/(표3[[#This Row],[공격실패횟수]]+표3[[#This Row],[공격성공횟수]])</f>
        <v>0.16666666666666666</v>
      </c>
    </row>
    <row r="1486" spans="1:8" x14ac:dyDescent="0.4">
      <c r="A1486">
        <v>743</v>
      </c>
      <c r="B1486" t="s">
        <v>3</v>
      </c>
      <c r="C1486">
        <v>1</v>
      </c>
      <c r="D1486">
        <v>4</v>
      </c>
      <c r="E1486">
        <v>15</v>
      </c>
      <c r="F1486">
        <v>2</v>
      </c>
      <c r="G1486">
        <v>0</v>
      </c>
      <c r="H1486">
        <f>표3[[#This Row],[공격성공횟수]]/(표3[[#This Row],[공격실패횟수]]+표3[[#This Row],[공격성공횟수]])</f>
        <v>0.21052631578947367</v>
      </c>
    </row>
    <row r="1487" spans="1:8" hidden="1" x14ac:dyDescent="0.4">
      <c r="A1487">
        <v>743</v>
      </c>
      <c r="B1487" t="s">
        <v>1</v>
      </c>
      <c r="C1487">
        <v>0</v>
      </c>
      <c r="D1487">
        <v>2</v>
      </c>
      <c r="E1487">
        <v>16</v>
      </c>
      <c r="F1487">
        <v>4</v>
      </c>
      <c r="G1487">
        <v>1</v>
      </c>
      <c r="H1487">
        <f>표3[[#This Row],[공격성공횟수]]/(표3[[#This Row],[공격실패횟수]]+표3[[#This Row],[공격성공횟수]])</f>
        <v>0.1111111111111111</v>
      </c>
    </row>
    <row r="1488" spans="1:8" x14ac:dyDescent="0.4">
      <c r="A1488">
        <v>744</v>
      </c>
      <c r="B1488" t="s">
        <v>3</v>
      </c>
      <c r="C1488">
        <v>0</v>
      </c>
      <c r="D1488">
        <v>0</v>
      </c>
      <c r="E1488">
        <v>20</v>
      </c>
      <c r="F1488">
        <v>4</v>
      </c>
      <c r="G1488">
        <v>1</v>
      </c>
      <c r="H1488">
        <f>표3[[#This Row],[공격성공횟수]]/(표3[[#This Row],[공격실패횟수]]+표3[[#This Row],[공격성공횟수]])</f>
        <v>0</v>
      </c>
    </row>
    <row r="1489" spans="1:8" hidden="1" x14ac:dyDescent="0.4">
      <c r="A1489">
        <v>744</v>
      </c>
      <c r="B1489" t="s">
        <v>1</v>
      </c>
      <c r="C1489">
        <v>1</v>
      </c>
      <c r="D1489">
        <v>4</v>
      </c>
      <c r="E1489">
        <v>16</v>
      </c>
      <c r="F1489">
        <v>0</v>
      </c>
      <c r="G1489">
        <v>0</v>
      </c>
      <c r="H1489">
        <f>표3[[#This Row],[공격성공횟수]]/(표3[[#This Row],[공격실패횟수]]+표3[[#This Row],[공격성공횟수]])</f>
        <v>0.2</v>
      </c>
    </row>
    <row r="1490" spans="1:8" x14ac:dyDescent="0.4">
      <c r="A1490">
        <v>745</v>
      </c>
      <c r="B1490" t="s">
        <v>3</v>
      </c>
      <c r="C1490">
        <v>0</v>
      </c>
      <c r="D1490">
        <v>1</v>
      </c>
      <c r="E1490">
        <v>18</v>
      </c>
      <c r="F1490">
        <v>4</v>
      </c>
      <c r="G1490">
        <v>1</v>
      </c>
      <c r="H1490">
        <f>표3[[#This Row],[공격성공횟수]]/(표3[[#This Row],[공격실패횟수]]+표3[[#This Row],[공격성공횟수]])</f>
        <v>5.2631578947368418E-2</v>
      </c>
    </row>
    <row r="1491" spans="1:8" hidden="1" x14ac:dyDescent="0.4">
      <c r="A1491">
        <v>745</v>
      </c>
      <c r="B1491" t="s">
        <v>1</v>
      </c>
      <c r="C1491">
        <v>1</v>
      </c>
      <c r="D1491">
        <v>4</v>
      </c>
      <c r="E1491">
        <v>14</v>
      </c>
      <c r="F1491">
        <v>1</v>
      </c>
      <c r="G1491">
        <v>0</v>
      </c>
      <c r="H1491">
        <f>표3[[#This Row],[공격성공횟수]]/(표3[[#This Row],[공격실패횟수]]+표3[[#This Row],[공격성공횟수]])</f>
        <v>0.22222222222222221</v>
      </c>
    </row>
    <row r="1492" spans="1:8" x14ac:dyDescent="0.4">
      <c r="A1492">
        <v>746</v>
      </c>
      <c r="B1492" t="s">
        <v>3</v>
      </c>
      <c r="C1492">
        <v>1</v>
      </c>
      <c r="D1492">
        <v>4</v>
      </c>
      <c r="E1492">
        <v>22</v>
      </c>
      <c r="F1492">
        <v>1</v>
      </c>
      <c r="G1492">
        <v>0</v>
      </c>
      <c r="H1492">
        <f>표3[[#This Row],[공격성공횟수]]/(표3[[#This Row],[공격실패횟수]]+표3[[#This Row],[공격성공횟수]])</f>
        <v>0.15384615384615385</v>
      </c>
    </row>
    <row r="1493" spans="1:8" hidden="1" x14ac:dyDescent="0.4">
      <c r="A1493">
        <v>746</v>
      </c>
      <c r="B1493" t="s">
        <v>1</v>
      </c>
      <c r="C1493">
        <v>0</v>
      </c>
      <c r="D1493">
        <v>1</v>
      </c>
      <c r="E1493">
        <v>23</v>
      </c>
      <c r="F1493">
        <v>4</v>
      </c>
      <c r="G1493">
        <v>1</v>
      </c>
      <c r="H1493">
        <f>표3[[#This Row],[공격성공횟수]]/(표3[[#This Row],[공격실패횟수]]+표3[[#This Row],[공격성공횟수]])</f>
        <v>4.1666666666666664E-2</v>
      </c>
    </row>
    <row r="1494" spans="1:8" x14ac:dyDescent="0.4">
      <c r="A1494">
        <v>747</v>
      </c>
      <c r="B1494" t="s">
        <v>3</v>
      </c>
      <c r="C1494">
        <v>0</v>
      </c>
      <c r="D1494">
        <v>1</v>
      </c>
      <c r="E1494">
        <v>14</v>
      </c>
      <c r="F1494">
        <v>4</v>
      </c>
      <c r="G1494">
        <v>1</v>
      </c>
      <c r="H1494">
        <f>표3[[#This Row],[공격성공횟수]]/(표3[[#This Row],[공격실패횟수]]+표3[[#This Row],[공격성공횟수]])</f>
        <v>6.6666666666666666E-2</v>
      </c>
    </row>
    <row r="1495" spans="1:8" hidden="1" x14ac:dyDescent="0.4">
      <c r="A1495">
        <v>747</v>
      </c>
      <c r="B1495" t="s">
        <v>1</v>
      </c>
      <c r="C1495">
        <v>1</v>
      </c>
      <c r="D1495">
        <v>4</v>
      </c>
      <c r="E1495">
        <v>13</v>
      </c>
      <c r="F1495">
        <v>1</v>
      </c>
      <c r="G1495">
        <v>0</v>
      </c>
      <c r="H1495">
        <f>표3[[#This Row],[공격성공횟수]]/(표3[[#This Row],[공격실패횟수]]+표3[[#This Row],[공격성공횟수]])</f>
        <v>0.23529411764705882</v>
      </c>
    </row>
    <row r="1496" spans="1:8" x14ac:dyDescent="0.4">
      <c r="A1496">
        <v>748</v>
      </c>
      <c r="B1496" t="s">
        <v>3</v>
      </c>
      <c r="C1496">
        <v>1</v>
      </c>
      <c r="D1496">
        <v>4</v>
      </c>
      <c r="E1496">
        <v>7</v>
      </c>
      <c r="F1496">
        <v>0</v>
      </c>
      <c r="G1496">
        <v>0</v>
      </c>
      <c r="H1496">
        <f>표3[[#This Row],[공격성공횟수]]/(표3[[#This Row],[공격실패횟수]]+표3[[#This Row],[공격성공횟수]])</f>
        <v>0.36363636363636365</v>
      </c>
    </row>
    <row r="1497" spans="1:8" hidden="1" x14ac:dyDescent="0.4">
      <c r="A1497">
        <v>748</v>
      </c>
      <c r="B1497" t="s">
        <v>1</v>
      </c>
      <c r="C1497">
        <v>0</v>
      </c>
      <c r="D1497">
        <v>0</v>
      </c>
      <c r="E1497">
        <v>10</v>
      </c>
      <c r="F1497">
        <v>4</v>
      </c>
      <c r="G1497">
        <v>1</v>
      </c>
      <c r="H1497">
        <f>표3[[#This Row],[공격성공횟수]]/(표3[[#This Row],[공격실패횟수]]+표3[[#This Row],[공격성공횟수]])</f>
        <v>0</v>
      </c>
    </row>
    <row r="1498" spans="1:8" x14ac:dyDescent="0.4">
      <c r="A1498">
        <v>749</v>
      </c>
      <c r="B1498" t="s">
        <v>3</v>
      </c>
      <c r="C1498">
        <v>1</v>
      </c>
      <c r="D1498">
        <v>4</v>
      </c>
      <c r="E1498">
        <v>6</v>
      </c>
      <c r="F1498">
        <v>0</v>
      </c>
      <c r="G1498">
        <v>0</v>
      </c>
      <c r="H1498">
        <f>표3[[#This Row],[공격성공횟수]]/(표3[[#This Row],[공격실패횟수]]+표3[[#This Row],[공격성공횟수]])</f>
        <v>0.4</v>
      </c>
    </row>
    <row r="1499" spans="1:8" hidden="1" x14ac:dyDescent="0.4">
      <c r="A1499">
        <v>749</v>
      </c>
      <c r="B1499" t="s">
        <v>1</v>
      </c>
      <c r="C1499">
        <v>0</v>
      </c>
      <c r="D1499">
        <v>0</v>
      </c>
      <c r="E1499">
        <v>10</v>
      </c>
      <c r="F1499">
        <v>4</v>
      </c>
      <c r="G1499">
        <v>1</v>
      </c>
      <c r="H1499">
        <f>표3[[#This Row],[공격성공횟수]]/(표3[[#This Row],[공격실패횟수]]+표3[[#This Row],[공격성공횟수]])</f>
        <v>0</v>
      </c>
    </row>
    <row r="1500" spans="1:8" x14ac:dyDescent="0.4">
      <c r="A1500">
        <v>750</v>
      </c>
      <c r="B1500" t="s">
        <v>3</v>
      </c>
      <c r="C1500">
        <v>1</v>
      </c>
      <c r="D1500">
        <v>4</v>
      </c>
      <c r="E1500">
        <v>6</v>
      </c>
      <c r="F1500">
        <v>2</v>
      </c>
      <c r="G1500">
        <v>0</v>
      </c>
      <c r="H1500">
        <f>표3[[#This Row],[공격성공횟수]]/(표3[[#This Row],[공격실패횟수]]+표3[[#This Row],[공격성공횟수]])</f>
        <v>0.4</v>
      </c>
    </row>
    <row r="1501" spans="1:8" hidden="1" x14ac:dyDescent="0.4">
      <c r="A1501">
        <v>750</v>
      </c>
      <c r="B1501" t="s">
        <v>1</v>
      </c>
      <c r="C1501">
        <v>0</v>
      </c>
      <c r="D1501">
        <v>2</v>
      </c>
      <c r="E1501">
        <v>7</v>
      </c>
      <c r="F1501">
        <v>4</v>
      </c>
      <c r="G1501">
        <v>1</v>
      </c>
      <c r="H1501">
        <f>표3[[#This Row],[공격성공횟수]]/(표3[[#This Row],[공격실패횟수]]+표3[[#This Row],[공격성공횟수]])</f>
        <v>0.22222222222222221</v>
      </c>
    </row>
    <row r="1502" spans="1:8" x14ac:dyDescent="0.4">
      <c r="A1502">
        <v>751</v>
      </c>
      <c r="B1502" t="s">
        <v>3</v>
      </c>
      <c r="C1502">
        <v>1</v>
      </c>
      <c r="D1502">
        <v>4</v>
      </c>
      <c r="E1502">
        <v>7</v>
      </c>
      <c r="F1502">
        <v>0</v>
      </c>
      <c r="G1502">
        <v>0</v>
      </c>
      <c r="H1502">
        <f>표3[[#This Row],[공격성공횟수]]/(표3[[#This Row],[공격실패횟수]]+표3[[#This Row],[공격성공횟수]])</f>
        <v>0.36363636363636365</v>
      </c>
    </row>
    <row r="1503" spans="1:8" hidden="1" x14ac:dyDescent="0.4">
      <c r="A1503">
        <v>751</v>
      </c>
      <c r="B1503" t="s">
        <v>1</v>
      </c>
      <c r="C1503">
        <v>0</v>
      </c>
      <c r="D1503">
        <v>0</v>
      </c>
      <c r="E1503">
        <v>11</v>
      </c>
      <c r="F1503">
        <v>4</v>
      </c>
      <c r="G1503">
        <v>1</v>
      </c>
      <c r="H1503">
        <f>표3[[#This Row],[공격성공횟수]]/(표3[[#This Row],[공격실패횟수]]+표3[[#This Row],[공격성공횟수]])</f>
        <v>0</v>
      </c>
    </row>
    <row r="1504" spans="1:8" x14ac:dyDescent="0.4">
      <c r="A1504">
        <v>752</v>
      </c>
      <c r="B1504" t="s">
        <v>3</v>
      </c>
      <c r="C1504">
        <v>1</v>
      </c>
      <c r="D1504">
        <v>4</v>
      </c>
      <c r="E1504">
        <v>27</v>
      </c>
      <c r="F1504">
        <v>2</v>
      </c>
      <c r="G1504">
        <v>0</v>
      </c>
      <c r="H1504">
        <f>표3[[#This Row],[공격성공횟수]]/(표3[[#This Row],[공격실패횟수]]+표3[[#This Row],[공격성공횟수]])</f>
        <v>0.12903225806451613</v>
      </c>
    </row>
    <row r="1505" spans="1:8" hidden="1" x14ac:dyDescent="0.4">
      <c r="A1505">
        <v>752</v>
      </c>
      <c r="B1505" t="s">
        <v>1</v>
      </c>
      <c r="C1505">
        <v>0</v>
      </c>
      <c r="D1505">
        <v>2</v>
      </c>
      <c r="E1505">
        <v>30</v>
      </c>
      <c r="F1505">
        <v>4</v>
      </c>
      <c r="G1505">
        <v>1</v>
      </c>
      <c r="H1505">
        <f>표3[[#This Row],[공격성공횟수]]/(표3[[#This Row],[공격실패횟수]]+표3[[#This Row],[공격성공횟수]])</f>
        <v>6.25E-2</v>
      </c>
    </row>
    <row r="1506" spans="1:8" x14ac:dyDescent="0.4">
      <c r="A1506">
        <v>753</v>
      </c>
      <c r="B1506" t="s">
        <v>3</v>
      </c>
      <c r="C1506">
        <v>1</v>
      </c>
      <c r="D1506">
        <v>4</v>
      </c>
      <c r="E1506">
        <v>24</v>
      </c>
      <c r="F1506">
        <v>3</v>
      </c>
      <c r="G1506">
        <v>0</v>
      </c>
      <c r="H1506">
        <f>표3[[#This Row],[공격성공횟수]]/(표3[[#This Row],[공격실패횟수]]+표3[[#This Row],[공격성공횟수]])</f>
        <v>0.14285714285714285</v>
      </c>
    </row>
    <row r="1507" spans="1:8" hidden="1" x14ac:dyDescent="0.4">
      <c r="A1507">
        <v>753</v>
      </c>
      <c r="B1507" t="s">
        <v>1</v>
      </c>
      <c r="C1507">
        <v>0</v>
      </c>
      <c r="D1507">
        <v>3</v>
      </c>
      <c r="E1507">
        <v>31</v>
      </c>
      <c r="F1507">
        <v>4</v>
      </c>
      <c r="G1507">
        <v>1</v>
      </c>
      <c r="H1507">
        <f>표3[[#This Row],[공격성공횟수]]/(표3[[#This Row],[공격실패횟수]]+표3[[#This Row],[공격성공횟수]])</f>
        <v>8.8235294117647065E-2</v>
      </c>
    </row>
    <row r="1508" spans="1:8" x14ac:dyDescent="0.4">
      <c r="A1508">
        <v>754</v>
      </c>
      <c r="B1508" t="s">
        <v>3</v>
      </c>
      <c r="C1508">
        <v>1</v>
      </c>
      <c r="D1508">
        <v>4</v>
      </c>
      <c r="E1508">
        <v>14</v>
      </c>
      <c r="F1508">
        <v>1</v>
      </c>
      <c r="G1508">
        <v>0</v>
      </c>
      <c r="H1508">
        <f>표3[[#This Row],[공격성공횟수]]/(표3[[#This Row],[공격실패횟수]]+표3[[#This Row],[공격성공횟수]])</f>
        <v>0.22222222222222221</v>
      </c>
    </row>
    <row r="1509" spans="1:8" hidden="1" x14ac:dyDescent="0.4">
      <c r="A1509">
        <v>754</v>
      </c>
      <c r="B1509" t="s">
        <v>1</v>
      </c>
      <c r="C1509">
        <v>0</v>
      </c>
      <c r="D1509">
        <v>1</v>
      </c>
      <c r="E1509">
        <v>17</v>
      </c>
      <c r="F1509">
        <v>4</v>
      </c>
      <c r="G1509">
        <v>1</v>
      </c>
      <c r="H1509">
        <f>표3[[#This Row],[공격성공횟수]]/(표3[[#This Row],[공격실패횟수]]+표3[[#This Row],[공격성공횟수]])</f>
        <v>5.5555555555555552E-2</v>
      </c>
    </row>
    <row r="1510" spans="1:8" x14ac:dyDescent="0.4">
      <c r="A1510">
        <v>755</v>
      </c>
      <c r="B1510" t="s">
        <v>3</v>
      </c>
      <c r="C1510">
        <v>0</v>
      </c>
      <c r="D1510">
        <v>0</v>
      </c>
      <c r="E1510">
        <v>21</v>
      </c>
      <c r="F1510">
        <v>4</v>
      </c>
      <c r="G1510">
        <v>1</v>
      </c>
      <c r="H1510">
        <f>표3[[#This Row],[공격성공횟수]]/(표3[[#This Row],[공격실패횟수]]+표3[[#This Row],[공격성공횟수]])</f>
        <v>0</v>
      </c>
    </row>
    <row r="1511" spans="1:8" hidden="1" x14ac:dyDescent="0.4">
      <c r="A1511">
        <v>755</v>
      </c>
      <c r="B1511" t="s">
        <v>1</v>
      </c>
      <c r="C1511">
        <v>1</v>
      </c>
      <c r="D1511">
        <v>4</v>
      </c>
      <c r="E1511">
        <v>17</v>
      </c>
      <c r="F1511">
        <v>0</v>
      </c>
      <c r="G1511">
        <v>0</v>
      </c>
      <c r="H1511">
        <f>표3[[#This Row],[공격성공횟수]]/(표3[[#This Row],[공격실패횟수]]+표3[[#This Row],[공격성공횟수]])</f>
        <v>0.19047619047619047</v>
      </c>
    </row>
    <row r="1512" spans="1:8" x14ac:dyDescent="0.4">
      <c r="A1512">
        <v>756</v>
      </c>
      <c r="B1512" t="s">
        <v>3</v>
      </c>
      <c r="C1512">
        <v>1</v>
      </c>
      <c r="D1512">
        <v>4</v>
      </c>
      <c r="E1512">
        <v>24</v>
      </c>
      <c r="F1512">
        <v>0</v>
      </c>
      <c r="G1512">
        <v>0</v>
      </c>
      <c r="H1512">
        <f>표3[[#This Row],[공격성공횟수]]/(표3[[#This Row],[공격실패횟수]]+표3[[#This Row],[공격성공횟수]])</f>
        <v>0.14285714285714285</v>
      </c>
    </row>
    <row r="1513" spans="1:8" hidden="1" x14ac:dyDescent="0.4">
      <c r="A1513">
        <v>756</v>
      </c>
      <c r="B1513" t="s">
        <v>1</v>
      </c>
      <c r="C1513">
        <v>0</v>
      </c>
      <c r="D1513">
        <v>0</v>
      </c>
      <c r="E1513">
        <v>26</v>
      </c>
      <c r="F1513">
        <v>4</v>
      </c>
      <c r="G1513">
        <v>1</v>
      </c>
      <c r="H1513">
        <f>표3[[#This Row],[공격성공횟수]]/(표3[[#This Row],[공격실패횟수]]+표3[[#This Row],[공격성공횟수]])</f>
        <v>0</v>
      </c>
    </row>
    <row r="1514" spans="1:8" x14ac:dyDescent="0.4">
      <c r="A1514">
        <v>757</v>
      </c>
      <c r="B1514" t="s">
        <v>3</v>
      </c>
      <c r="C1514">
        <v>1</v>
      </c>
      <c r="D1514">
        <v>4</v>
      </c>
      <c r="E1514">
        <v>8</v>
      </c>
      <c r="F1514">
        <v>0</v>
      </c>
      <c r="G1514">
        <v>0</v>
      </c>
      <c r="H1514">
        <f>표3[[#This Row],[공격성공횟수]]/(표3[[#This Row],[공격실패횟수]]+표3[[#This Row],[공격성공횟수]])</f>
        <v>0.33333333333333331</v>
      </c>
    </row>
    <row r="1515" spans="1:8" hidden="1" x14ac:dyDescent="0.4">
      <c r="A1515">
        <v>757</v>
      </c>
      <c r="B1515" t="s">
        <v>1</v>
      </c>
      <c r="C1515">
        <v>0</v>
      </c>
      <c r="D1515">
        <v>0</v>
      </c>
      <c r="E1515">
        <v>12</v>
      </c>
      <c r="F1515">
        <v>4</v>
      </c>
      <c r="G1515">
        <v>1</v>
      </c>
      <c r="H1515">
        <f>표3[[#This Row],[공격성공횟수]]/(표3[[#This Row],[공격실패횟수]]+표3[[#This Row],[공격성공횟수]])</f>
        <v>0</v>
      </c>
    </row>
    <row r="1516" spans="1:8" x14ac:dyDescent="0.4">
      <c r="A1516">
        <v>758</v>
      </c>
      <c r="B1516" t="s">
        <v>3</v>
      </c>
      <c r="C1516">
        <v>1</v>
      </c>
      <c r="D1516">
        <v>4</v>
      </c>
      <c r="E1516">
        <v>3</v>
      </c>
      <c r="F1516">
        <v>1</v>
      </c>
      <c r="G1516">
        <v>0</v>
      </c>
      <c r="H1516">
        <f>표3[[#This Row],[공격성공횟수]]/(표3[[#This Row],[공격실패횟수]]+표3[[#This Row],[공격성공횟수]])</f>
        <v>0.5714285714285714</v>
      </c>
    </row>
    <row r="1517" spans="1:8" hidden="1" x14ac:dyDescent="0.4">
      <c r="A1517">
        <v>758</v>
      </c>
      <c r="B1517" t="s">
        <v>1</v>
      </c>
      <c r="C1517">
        <v>0</v>
      </c>
      <c r="D1517">
        <v>1</v>
      </c>
      <c r="E1517">
        <v>5</v>
      </c>
      <c r="F1517">
        <v>4</v>
      </c>
      <c r="G1517">
        <v>1</v>
      </c>
      <c r="H1517">
        <f>표3[[#This Row],[공격성공횟수]]/(표3[[#This Row],[공격실패횟수]]+표3[[#This Row],[공격성공횟수]])</f>
        <v>0.16666666666666666</v>
      </c>
    </row>
    <row r="1518" spans="1:8" x14ac:dyDescent="0.4">
      <c r="A1518">
        <v>759</v>
      </c>
      <c r="B1518" t="s">
        <v>3</v>
      </c>
      <c r="C1518">
        <v>1</v>
      </c>
      <c r="D1518">
        <v>4</v>
      </c>
      <c r="E1518">
        <v>15</v>
      </c>
      <c r="F1518">
        <v>1</v>
      </c>
      <c r="G1518">
        <v>0</v>
      </c>
      <c r="H1518">
        <f>표3[[#This Row],[공격성공횟수]]/(표3[[#This Row],[공격실패횟수]]+표3[[#This Row],[공격성공횟수]])</f>
        <v>0.21052631578947367</v>
      </c>
    </row>
    <row r="1519" spans="1:8" hidden="1" x14ac:dyDescent="0.4">
      <c r="A1519">
        <v>759</v>
      </c>
      <c r="B1519" t="s">
        <v>1</v>
      </c>
      <c r="C1519">
        <v>0</v>
      </c>
      <c r="D1519">
        <v>1</v>
      </c>
      <c r="E1519">
        <v>18</v>
      </c>
      <c r="F1519">
        <v>4</v>
      </c>
      <c r="G1519">
        <v>1</v>
      </c>
      <c r="H1519">
        <f>표3[[#This Row],[공격성공횟수]]/(표3[[#This Row],[공격실패횟수]]+표3[[#This Row],[공격성공횟수]])</f>
        <v>5.2631578947368418E-2</v>
      </c>
    </row>
    <row r="1520" spans="1:8" x14ac:dyDescent="0.4">
      <c r="A1520">
        <v>760</v>
      </c>
      <c r="B1520" t="s">
        <v>3</v>
      </c>
      <c r="C1520">
        <v>1</v>
      </c>
      <c r="D1520">
        <v>4</v>
      </c>
      <c r="E1520">
        <v>16</v>
      </c>
      <c r="F1520">
        <v>2</v>
      </c>
      <c r="G1520">
        <v>0</v>
      </c>
      <c r="H1520">
        <f>표3[[#This Row],[공격성공횟수]]/(표3[[#This Row],[공격실패횟수]]+표3[[#This Row],[공격성공횟수]])</f>
        <v>0.2</v>
      </c>
    </row>
    <row r="1521" spans="1:8" hidden="1" x14ac:dyDescent="0.4">
      <c r="A1521">
        <v>760</v>
      </c>
      <c r="B1521" t="s">
        <v>1</v>
      </c>
      <c r="C1521">
        <v>0</v>
      </c>
      <c r="D1521">
        <v>2</v>
      </c>
      <c r="E1521">
        <v>17</v>
      </c>
      <c r="F1521">
        <v>4</v>
      </c>
      <c r="G1521">
        <v>1</v>
      </c>
      <c r="H1521">
        <f>표3[[#This Row],[공격성공횟수]]/(표3[[#This Row],[공격실패횟수]]+표3[[#This Row],[공격성공횟수]])</f>
        <v>0.10526315789473684</v>
      </c>
    </row>
    <row r="1522" spans="1:8" x14ac:dyDescent="0.4">
      <c r="A1522">
        <v>761</v>
      </c>
      <c r="B1522" t="s">
        <v>3</v>
      </c>
      <c r="C1522">
        <v>1</v>
      </c>
      <c r="D1522">
        <v>4</v>
      </c>
      <c r="E1522">
        <v>15</v>
      </c>
      <c r="F1522">
        <v>0</v>
      </c>
      <c r="G1522">
        <v>0</v>
      </c>
      <c r="H1522">
        <f>표3[[#This Row],[공격성공횟수]]/(표3[[#This Row],[공격실패횟수]]+표3[[#This Row],[공격성공횟수]])</f>
        <v>0.21052631578947367</v>
      </c>
    </row>
    <row r="1523" spans="1:8" hidden="1" x14ac:dyDescent="0.4">
      <c r="A1523">
        <v>761</v>
      </c>
      <c r="B1523" t="s">
        <v>1</v>
      </c>
      <c r="C1523">
        <v>0</v>
      </c>
      <c r="D1523">
        <v>0</v>
      </c>
      <c r="E1523">
        <v>18</v>
      </c>
      <c r="F1523">
        <v>4</v>
      </c>
      <c r="G1523">
        <v>1</v>
      </c>
      <c r="H1523">
        <f>표3[[#This Row],[공격성공횟수]]/(표3[[#This Row],[공격실패횟수]]+표3[[#This Row],[공격성공횟수]])</f>
        <v>0</v>
      </c>
    </row>
    <row r="1524" spans="1:8" x14ac:dyDescent="0.4">
      <c r="A1524">
        <v>762</v>
      </c>
      <c r="B1524" t="s">
        <v>3</v>
      </c>
      <c r="C1524">
        <v>1</v>
      </c>
      <c r="D1524">
        <v>4</v>
      </c>
      <c r="E1524">
        <v>9</v>
      </c>
      <c r="F1524">
        <v>1</v>
      </c>
      <c r="G1524">
        <v>0</v>
      </c>
      <c r="H1524">
        <f>표3[[#This Row],[공격성공횟수]]/(표3[[#This Row],[공격실패횟수]]+표3[[#This Row],[공격성공횟수]])</f>
        <v>0.30769230769230771</v>
      </c>
    </row>
    <row r="1525" spans="1:8" hidden="1" x14ac:dyDescent="0.4">
      <c r="A1525">
        <v>762</v>
      </c>
      <c r="B1525" t="s">
        <v>1</v>
      </c>
      <c r="C1525">
        <v>0</v>
      </c>
      <c r="D1525">
        <v>1</v>
      </c>
      <c r="E1525">
        <v>12</v>
      </c>
      <c r="F1525">
        <v>4</v>
      </c>
      <c r="G1525">
        <v>1</v>
      </c>
      <c r="H1525">
        <f>표3[[#This Row],[공격성공횟수]]/(표3[[#This Row],[공격실패횟수]]+표3[[#This Row],[공격성공횟수]])</f>
        <v>7.6923076923076927E-2</v>
      </c>
    </row>
    <row r="1526" spans="1:8" x14ac:dyDescent="0.4">
      <c r="A1526">
        <v>763</v>
      </c>
      <c r="B1526" t="s">
        <v>3</v>
      </c>
      <c r="C1526">
        <v>1</v>
      </c>
      <c r="D1526">
        <v>4</v>
      </c>
      <c r="E1526">
        <v>8</v>
      </c>
      <c r="F1526">
        <v>0</v>
      </c>
      <c r="G1526">
        <v>0</v>
      </c>
      <c r="H1526">
        <f>표3[[#This Row],[공격성공횟수]]/(표3[[#This Row],[공격실패횟수]]+표3[[#This Row],[공격성공횟수]])</f>
        <v>0.33333333333333331</v>
      </c>
    </row>
    <row r="1527" spans="1:8" hidden="1" x14ac:dyDescent="0.4">
      <c r="A1527">
        <v>763</v>
      </c>
      <c r="B1527" t="s">
        <v>1</v>
      </c>
      <c r="C1527">
        <v>0</v>
      </c>
      <c r="D1527">
        <v>0</v>
      </c>
      <c r="E1527">
        <v>13</v>
      </c>
      <c r="F1527">
        <v>4</v>
      </c>
      <c r="G1527">
        <v>1</v>
      </c>
      <c r="H1527">
        <f>표3[[#This Row],[공격성공횟수]]/(표3[[#This Row],[공격실패횟수]]+표3[[#This Row],[공격성공횟수]])</f>
        <v>0</v>
      </c>
    </row>
    <row r="1528" spans="1:8" x14ac:dyDescent="0.4">
      <c r="A1528">
        <v>764</v>
      </c>
      <c r="B1528" t="s">
        <v>3</v>
      </c>
      <c r="C1528">
        <v>0</v>
      </c>
      <c r="D1528">
        <v>0</v>
      </c>
      <c r="E1528">
        <v>21</v>
      </c>
      <c r="F1528">
        <v>4</v>
      </c>
      <c r="G1528">
        <v>1</v>
      </c>
      <c r="H1528">
        <f>표3[[#This Row],[공격성공횟수]]/(표3[[#This Row],[공격실패횟수]]+표3[[#This Row],[공격성공횟수]])</f>
        <v>0</v>
      </c>
    </row>
    <row r="1529" spans="1:8" hidden="1" x14ac:dyDescent="0.4">
      <c r="A1529">
        <v>764</v>
      </c>
      <c r="B1529" t="s">
        <v>1</v>
      </c>
      <c r="C1529">
        <v>1</v>
      </c>
      <c r="D1529">
        <v>4</v>
      </c>
      <c r="E1529">
        <v>19</v>
      </c>
      <c r="F1529">
        <v>0</v>
      </c>
      <c r="G1529">
        <v>0</v>
      </c>
      <c r="H1529">
        <f>표3[[#This Row],[공격성공횟수]]/(표3[[#This Row],[공격실패횟수]]+표3[[#This Row],[공격성공횟수]])</f>
        <v>0.17391304347826086</v>
      </c>
    </row>
    <row r="1530" spans="1:8" x14ac:dyDescent="0.4">
      <c r="A1530">
        <v>765</v>
      </c>
      <c r="B1530" t="s">
        <v>3</v>
      </c>
      <c r="C1530">
        <v>1</v>
      </c>
      <c r="D1530">
        <v>4</v>
      </c>
      <c r="E1530">
        <v>7</v>
      </c>
      <c r="F1530">
        <v>0</v>
      </c>
      <c r="G1530">
        <v>0</v>
      </c>
      <c r="H1530">
        <f>표3[[#This Row],[공격성공횟수]]/(표3[[#This Row],[공격실패횟수]]+표3[[#This Row],[공격성공횟수]])</f>
        <v>0.36363636363636365</v>
      </c>
    </row>
    <row r="1531" spans="1:8" hidden="1" x14ac:dyDescent="0.4">
      <c r="A1531">
        <v>765</v>
      </c>
      <c r="B1531" t="s">
        <v>1</v>
      </c>
      <c r="C1531">
        <v>0</v>
      </c>
      <c r="D1531">
        <v>0</v>
      </c>
      <c r="E1531">
        <v>9</v>
      </c>
      <c r="F1531">
        <v>4</v>
      </c>
      <c r="G1531">
        <v>1</v>
      </c>
      <c r="H1531">
        <f>표3[[#This Row],[공격성공횟수]]/(표3[[#This Row],[공격실패횟수]]+표3[[#This Row],[공격성공횟수]])</f>
        <v>0</v>
      </c>
    </row>
    <row r="1532" spans="1:8" x14ac:dyDescent="0.4">
      <c r="A1532">
        <v>766</v>
      </c>
      <c r="B1532" t="s">
        <v>3</v>
      </c>
      <c r="C1532">
        <v>1</v>
      </c>
      <c r="D1532">
        <v>4</v>
      </c>
      <c r="E1532">
        <v>1</v>
      </c>
      <c r="F1532">
        <v>1</v>
      </c>
      <c r="G1532">
        <v>0</v>
      </c>
      <c r="H1532">
        <f>표3[[#This Row],[공격성공횟수]]/(표3[[#This Row],[공격실패횟수]]+표3[[#This Row],[공격성공횟수]])</f>
        <v>0.8</v>
      </c>
    </row>
    <row r="1533" spans="1:8" hidden="1" x14ac:dyDescent="0.4">
      <c r="A1533">
        <v>766</v>
      </c>
      <c r="B1533" t="s">
        <v>1</v>
      </c>
      <c r="C1533">
        <v>0</v>
      </c>
      <c r="D1533">
        <v>1</v>
      </c>
      <c r="E1533">
        <v>4</v>
      </c>
      <c r="F1533">
        <v>4</v>
      </c>
      <c r="G1533">
        <v>1</v>
      </c>
      <c r="H1533">
        <f>표3[[#This Row],[공격성공횟수]]/(표3[[#This Row],[공격실패횟수]]+표3[[#This Row],[공격성공횟수]])</f>
        <v>0.2</v>
      </c>
    </row>
    <row r="1534" spans="1:8" x14ac:dyDescent="0.4">
      <c r="A1534">
        <v>767</v>
      </c>
      <c r="B1534" t="s">
        <v>3</v>
      </c>
      <c r="C1534">
        <v>0</v>
      </c>
      <c r="D1534">
        <v>0</v>
      </c>
      <c r="E1534">
        <v>26</v>
      </c>
      <c r="F1534">
        <v>4</v>
      </c>
      <c r="G1534">
        <v>1</v>
      </c>
      <c r="H1534">
        <f>표3[[#This Row],[공격성공횟수]]/(표3[[#This Row],[공격실패횟수]]+표3[[#This Row],[공격성공횟수]])</f>
        <v>0</v>
      </c>
    </row>
    <row r="1535" spans="1:8" hidden="1" x14ac:dyDescent="0.4">
      <c r="A1535">
        <v>767</v>
      </c>
      <c r="B1535" t="s">
        <v>1</v>
      </c>
      <c r="C1535">
        <v>1</v>
      </c>
      <c r="D1535">
        <v>4</v>
      </c>
      <c r="E1535">
        <v>21</v>
      </c>
      <c r="F1535">
        <v>0</v>
      </c>
      <c r="G1535">
        <v>0</v>
      </c>
      <c r="H1535">
        <f>표3[[#This Row],[공격성공횟수]]/(표3[[#This Row],[공격실패횟수]]+표3[[#This Row],[공격성공횟수]])</f>
        <v>0.16</v>
      </c>
    </row>
    <row r="1536" spans="1:8" x14ac:dyDescent="0.4">
      <c r="A1536">
        <v>768</v>
      </c>
      <c r="B1536" t="s">
        <v>3</v>
      </c>
      <c r="C1536">
        <v>1</v>
      </c>
      <c r="D1536">
        <v>4</v>
      </c>
      <c r="E1536">
        <v>8</v>
      </c>
      <c r="F1536">
        <v>2</v>
      </c>
      <c r="G1536">
        <v>0</v>
      </c>
      <c r="H1536">
        <f>표3[[#This Row],[공격성공횟수]]/(표3[[#This Row],[공격실패횟수]]+표3[[#This Row],[공격성공횟수]])</f>
        <v>0.33333333333333331</v>
      </c>
    </row>
    <row r="1537" spans="1:8" hidden="1" x14ac:dyDescent="0.4">
      <c r="A1537">
        <v>768</v>
      </c>
      <c r="B1537" t="s">
        <v>1</v>
      </c>
      <c r="C1537">
        <v>0</v>
      </c>
      <c r="D1537">
        <v>2</v>
      </c>
      <c r="E1537">
        <v>9</v>
      </c>
      <c r="F1537">
        <v>4</v>
      </c>
      <c r="G1537">
        <v>1</v>
      </c>
      <c r="H1537">
        <f>표3[[#This Row],[공격성공횟수]]/(표3[[#This Row],[공격실패횟수]]+표3[[#This Row],[공격성공횟수]])</f>
        <v>0.18181818181818182</v>
      </c>
    </row>
    <row r="1538" spans="1:8" x14ac:dyDescent="0.4">
      <c r="A1538">
        <v>769</v>
      </c>
      <c r="B1538" t="s">
        <v>3</v>
      </c>
      <c r="C1538">
        <v>0</v>
      </c>
      <c r="D1538">
        <v>1</v>
      </c>
      <c r="E1538">
        <v>16</v>
      </c>
      <c r="F1538">
        <v>4</v>
      </c>
      <c r="G1538">
        <v>1</v>
      </c>
      <c r="H1538">
        <f>표3[[#This Row],[공격성공횟수]]/(표3[[#This Row],[공격실패횟수]]+표3[[#This Row],[공격성공횟수]])</f>
        <v>5.8823529411764705E-2</v>
      </c>
    </row>
    <row r="1539" spans="1:8" hidden="1" x14ac:dyDescent="0.4">
      <c r="A1539">
        <v>769</v>
      </c>
      <c r="B1539" t="s">
        <v>1</v>
      </c>
      <c r="C1539">
        <v>1</v>
      </c>
      <c r="D1539">
        <v>4</v>
      </c>
      <c r="E1539">
        <v>25</v>
      </c>
      <c r="F1539">
        <v>1</v>
      </c>
      <c r="G1539">
        <v>0</v>
      </c>
      <c r="H1539">
        <f>표3[[#This Row],[공격성공횟수]]/(표3[[#This Row],[공격실패횟수]]+표3[[#This Row],[공격성공횟수]])</f>
        <v>0.13793103448275862</v>
      </c>
    </row>
    <row r="1540" spans="1:8" x14ac:dyDescent="0.4">
      <c r="A1540">
        <v>770</v>
      </c>
      <c r="B1540" t="s">
        <v>3</v>
      </c>
      <c r="C1540">
        <v>1</v>
      </c>
      <c r="D1540">
        <v>4</v>
      </c>
      <c r="E1540">
        <v>18</v>
      </c>
      <c r="F1540">
        <v>3</v>
      </c>
      <c r="G1540">
        <v>0</v>
      </c>
      <c r="H1540">
        <f>표3[[#This Row],[공격성공횟수]]/(표3[[#This Row],[공격실패횟수]]+표3[[#This Row],[공격성공횟수]])</f>
        <v>0.18181818181818182</v>
      </c>
    </row>
    <row r="1541" spans="1:8" hidden="1" x14ac:dyDescent="0.4">
      <c r="A1541">
        <v>770</v>
      </c>
      <c r="B1541" t="s">
        <v>1</v>
      </c>
      <c r="C1541">
        <v>0</v>
      </c>
      <c r="D1541">
        <v>3</v>
      </c>
      <c r="E1541">
        <v>17</v>
      </c>
      <c r="F1541">
        <v>4</v>
      </c>
      <c r="G1541">
        <v>1</v>
      </c>
      <c r="H1541">
        <f>표3[[#This Row],[공격성공횟수]]/(표3[[#This Row],[공격실패횟수]]+표3[[#This Row],[공격성공횟수]])</f>
        <v>0.15</v>
      </c>
    </row>
    <row r="1542" spans="1:8" x14ac:dyDescent="0.4">
      <c r="A1542">
        <v>771</v>
      </c>
      <c r="B1542" t="s">
        <v>3</v>
      </c>
      <c r="C1542">
        <v>1</v>
      </c>
      <c r="D1542">
        <v>4</v>
      </c>
      <c r="E1542">
        <v>7</v>
      </c>
      <c r="F1542">
        <v>0</v>
      </c>
      <c r="G1542">
        <v>0</v>
      </c>
      <c r="H1542">
        <f>표3[[#This Row],[공격성공횟수]]/(표3[[#This Row],[공격실패횟수]]+표3[[#This Row],[공격성공횟수]])</f>
        <v>0.36363636363636365</v>
      </c>
    </row>
    <row r="1543" spans="1:8" hidden="1" x14ac:dyDescent="0.4">
      <c r="A1543">
        <v>771</v>
      </c>
      <c r="B1543" t="s">
        <v>1</v>
      </c>
      <c r="C1543">
        <v>0</v>
      </c>
      <c r="D1543">
        <v>0</v>
      </c>
      <c r="E1543">
        <v>11</v>
      </c>
      <c r="F1543">
        <v>4</v>
      </c>
      <c r="G1543">
        <v>1</v>
      </c>
      <c r="H1543">
        <f>표3[[#This Row],[공격성공횟수]]/(표3[[#This Row],[공격실패횟수]]+표3[[#This Row],[공격성공횟수]])</f>
        <v>0</v>
      </c>
    </row>
    <row r="1544" spans="1:8" x14ac:dyDescent="0.4">
      <c r="A1544">
        <v>772</v>
      </c>
      <c r="B1544" t="s">
        <v>3</v>
      </c>
      <c r="C1544">
        <v>1</v>
      </c>
      <c r="D1544">
        <v>4</v>
      </c>
      <c r="E1544">
        <v>6</v>
      </c>
      <c r="F1544">
        <v>0</v>
      </c>
      <c r="G1544">
        <v>0</v>
      </c>
      <c r="H1544">
        <f>표3[[#This Row],[공격성공횟수]]/(표3[[#This Row],[공격실패횟수]]+표3[[#This Row],[공격성공횟수]])</f>
        <v>0.4</v>
      </c>
    </row>
    <row r="1545" spans="1:8" hidden="1" x14ac:dyDescent="0.4">
      <c r="A1545">
        <v>772</v>
      </c>
      <c r="B1545" t="s">
        <v>1</v>
      </c>
      <c r="C1545">
        <v>0</v>
      </c>
      <c r="D1545">
        <v>0</v>
      </c>
      <c r="E1545">
        <v>10</v>
      </c>
      <c r="F1545">
        <v>4</v>
      </c>
      <c r="G1545">
        <v>1</v>
      </c>
      <c r="H1545">
        <f>표3[[#This Row],[공격성공횟수]]/(표3[[#This Row],[공격실패횟수]]+표3[[#This Row],[공격성공횟수]])</f>
        <v>0</v>
      </c>
    </row>
    <row r="1546" spans="1:8" x14ac:dyDescent="0.4">
      <c r="A1546">
        <v>773</v>
      </c>
      <c r="B1546" t="s">
        <v>3</v>
      </c>
      <c r="C1546">
        <v>1</v>
      </c>
      <c r="D1546">
        <v>4</v>
      </c>
      <c r="E1546">
        <v>9</v>
      </c>
      <c r="F1546">
        <v>0</v>
      </c>
      <c r="G1546">
        <v>0</v>
      </c>
      <c r="H1546">
        <f>표3[[#This Row],[공격성공횟수]]/(표3[[#This Row],[공격실패횟수]]+표3[[#This Row],[공격성공횟수]])</f>
        <v>0.30769230769230771</v>
      </c>
    </row>
    <row r="1547" spans="1:8" hidden="1" x14ac:dyDescent="0.4">
      <c r="A1547">
        <v>773</v>
      </c>
      <c r="B1547" t="s">
        <v>1</v>
      </c>
      <c r="C1547">
        <v>0</v>
      </c>
      <c r="D1547">
        <v>0</v>
      </c>
      <c r="E1547">
        <v>12</v>
      </c>
      <c r="F1547">
        <v>4</v>
      </c>
      <c r="G1547">
        <v>1</v>
      </c>
      <c r="H1547">
        <f>표3[[#This Row],[공격성공횟수]]/(표3[[#This Row],[공격실패횟수]]+표3[[#This Row],[공격성공횟수]])</f>
        <v>0</v>
      </c>
    </row>
    <row r="1548" spans="1:8" x14ac:dyDescent="0.4">
      <c r="A1548">
        <v>774</v>
      </c>
      <c r="B1548" t="s">
        <v>3</v>
      </c>
      <c r="C1548">
        <v>1</v>
      </c>
      <c r="D1548">
        <v>4</v>
      </c>
      <c r="E1548">
        <v>10</v>
      </c>
      <c r="F1548">
        <v>3</v>
      </c>
      <c r="G1548">
        <v>0</v>
      </c>
      <c r="H1548">
        <f>표3[[#This Row],[공격성공횟수]]/(표3[[#This Row],[공격실패횟수]]+표3[[#This Row],[공격성공횟수]])</f>
        <v>0.2857142857142857</v>
      </c>
    </row>
    <row r="1549" spans="1:8" hidden="1" x14ac:dyDescent="0.4">
      <c r="A1549">
        <v>774</v>
      </c>
      <c r="B1549" t="s">
        <v>1</v>
      </c>
      <c r="C1549">
        <v>0</v>
      </c>
      <c r="D1549">
        <v>3</v>
      </c>
      <c r="E1549">
        <v>11</v>
      </c>
      <c r="F1549">
        <v>4</v>
      </c>
      <c r="G1549">
        <v>1</v>
      </c>
      <c r="H1549">
        <f>표3[[#This Row],[공격성공횟수]]/(표3[[#This Row],[공격실패횟수]]+표3[[#This Row],[공격성공횟수]])</f>
        <v>0.21428571428571427</v>
      </c>
    </row>
    <row r="1550" spans="1:8" x14ac:dyDescent="0.4">
      <c r="A1550">
        <v>775</v>
      </c>
      <c r="B1550" t="s">
        <v>3</v>
      </c>
      <c r="C1550">
        <v>0</v>
      </c>
      <c r="D1550">
        <v>0</v>
      </c>
      <c r="E1550">
        <v>16</v>
      </c>
      <c r="F1550">
        <v>4</v>
      </c>
      <c r="G1550">
        <v>1</v>
      </c>
      <c r="H1550">
        <f>표3[[#This Row],[공격성공횟수]]/(표3[[#This Row],[공격실패횟수]]+표3[[#This Row],[공격성공횟수]])</f>
        <v>0</v>
      </c>
    </row>
    <row r="1551" spans="1:8" hidden="1" x14ac:dyDescent="0.4">
      <c r="A1551">
        <v>775</v>
      </c>
      <c r="B1551" t="s">
        <v>1</v>
      </c>
      <c r="C1551">
        <v>1</v>
      </c>
      <c r="D1551">
        <v>4</v>
      </c>
      <c r="E1551">
        <v>12</v>
      </c>
      <c r="F1551">
        <v>0</v>
      </c>
      <c r="G1551">
        <v>0</v>
      </c>
      <c r="H1551">
        <f>표3[[#This Row],[공격성공횟수]]/(표3[[#This Row],[공격실패횟수]]+표3[[#This Row],[공격성공횟수]])</f>
        <v>0.25</v>
      </c>
    </row>
    <row r="1552" spans="1:8" x14ac:dyDescent="0.4">
      <c r="A1552">
        <v>776</v>
      </c>
      <c r="B1552" t="s">
        <v>3</v>
      </c>
      <c r="C1552">
        <v>1</v>
      </c>
      <c r="D1552">
        <v>4</v>
      </c>
      <c r="E1552">
        <v>11</v>
      </c>
      <c r="F1552">
        <v>3</v>
      </c>
      <c r="G1552">
        <v>0</v>
      </c>
      <c r="H1552">
        <f>표3[[#This Row],[공격성공횟수]]/(표3[[#This Row],[공격실패횟수]]+표3[[#This Row],[공격성공횟수]])</f>
        <v>0.26666666666666666</v>
      </c>
    </row>
    <row r="1553" spans="1:8" hidden="1" x14ac:dyDescent="0.4">
      <c r="A1553">
        <v>776</v>
      </c>
      <c r="B1553" t="s">
        <v>1</v>
      </c>
      <c r="C1553">
        <v>0</v>
      </c>
      <c r="D1553">
        <v>3</v>
      </c>
      <c r="E1553">
        <v>10</v>
      </c>
      <c r="F1553">
        <v>4</v>
      </c>
      <c r="G1553">
        <v>1</v>
      </c>
      <c r="H1553">
        <f>표3[[#This Row],[공격성공횟수]]/(표3[[#This Row],[공격실패횟수]]+표3[[#This Row],[공격성공횟수]])</f>
        <v>0.23076923076923078</v>
      </c>
    </row>
    <row r="1554" spans="1:8" x14ac:dyDescent="0.4">
      <c r="A1554">
        <v>777</v>
      </c>
      <c r="B1554" t="s">
        <v>3</v>
      </c>
      <c r="C1554">
        <v>1</v>
      </c>
      <c r="D1554">
        <v>4</v>
      </c>
      <c r="E1554">
        <v>17</v>
      </c>
      <c r="F1554">
        <v>0</v>
      </c>
      <c r="G1554">
        <v>0</v>
      </c>
      <c r="H1554">
        <f>표3[[#This Row],[공격성공횟수]]/(표3[[#This Row],[공격실패횟수]]+표3[[#This Row],[공격성공횟수]])</f>
        <v>0.19047619047619047</v>
      </c>
    </row>
    <row r="1555" spans="1:8" hidden="1" x14ac:dyDescent="0.4">
      <c r="A1555">
        <v>777</v>
      </c>
      <c r="B1555" t="s">
        <v>1</v>
      </c>
      <c r="C1555">
        <v>0</v>
      </c>
      <c r="D1555">
        <v>0</v>
      </c>
      <c r="E1555">
        <v>21</v>
      </c>
      <c r="F1555">
        <v>4</v>
      </c>
      <c r="G1555">
        <v>1</v>
      </c>
      <c r="H1555">
        <f>표3[[#This Row],[공격성공횟수]]/(표3[[#This Row],[공격실패횟수]]+표3[[#This Row],[공격성공횟수]])</f>
        <v>0</v>
      </c>
    </row>
    <row r="1556" spans="1:8" x14ac:dyDescent="0.4">
      <c r="A1556">
        <v>778</v>
      </c>
      <c r="B1556" t="s">
        <v>3</v>
      </c>
      <c r="C1556">
        <v>1</v>
      </c>
      <c r="D1556">
        <v>4</v>
      </c>
      <c r="E1556">
        <v>15</v>
      </c>
      <c r="F1556">
        <v>0</v>
      </c>
      <c r="G1556">
        <v>0</v>
      </c>
      <c r="H1556">
        <f>표3[[#This Row],[공격성공횟수]]/(표3[[#This Row],[공격실패횟수]]+표3[[#This Row],[공격성공횟수]])</f>
        <v>0.21052631578947367</v>
      </c>
    </row>
    <row r="1557" spans="1:8" hidden="1" x14ac:dyDescent="0.4">
      <c r="A1557">
        <v>778</v>
      </c>
      <c r="B1557" t="s">
        <v>1</v>
      </c>
      <c r="C1557">
        <v>0</v>
      </c>
      <c r="D1557">
        <v>0</v>
      </c>
      <c r="E1557">
        <v>18</v>
      </c>
      <c r="F1557">
        <v>4</v>
      </c>
      <c r="G1557">
        <v>1</v>
      </c>
      <c r="H1557">
        <f>표3[[#This Row],[공격성공횟수]]/(표3[[#This Row],[공격실패횟수]]+표3[[#This Row],[공격성공횟수]])</f>
        <v>0</v>
      </c>
    </row>
    <row r="1558" spans="1:8" x14ac:dyDescent="0.4">
      <c r="A1558">
        <v>779</v>
      </c>
      <c r="B1558" t="s">
        <v>3</v>
      </c>
      <c r="C1558">
        <v>0</v>
      </c>
      <c r="D1558">
        <v>0</v>
      </c>
      <c r="E1558">
        <v>19</v>
      </c>
      <c r="F1558">
        <v>4</v>
      </c>
      <c r="G1558">
        <v>1</v>
      </c>
      <c r="H1558">
        <f>표3[[#This Row],[공격성공횟수]]/(표3[[#This Row],[공격실패횟수]]+표3[[#This Row],[공격성공횟수]])</f>
        <v>0</v>
      </c>
    </row>
    <row r="1559" spans="1:8" hidden="1" x14ac:dyDescent="0.4">
      <c r="A1559">
        <v>779</v>
      </c>
      <c r="B1559" t="s">
        <v>1</v>
      </c>
      <c r="C1559">
        <v>1</v>
      </c>
      <c r="D1559">
        <v>4</v>
      </c>
      <c r="E1559">
        <v>18</v>
      </c>
      <c r="F1559">
        <v>0</v>
      </c>
      <c r="G1559">
        <v>0</v>
      </c>
      <c r="H1559">
        <f>표3[[#This Row],[공격성공횟수]]/(표3[[#This Row],[공격실패횟수]]+표3[[#This Row],[공격성공횟수]])</f>
        <v>0.18181818181818182</v>
      </c>
    </row>
    <row r="1560" spans="1:8" x14ac:dyDescent="0.4">
      <c r="A1560">
        <v>780</v>
      </c>
      <c r="B1560" t="s">
        <v>3</v>
      </c>
      <c r="C1560">
        <v>0</v>
      </c>
      <c r="D1560">
        <v>0</v>
      </c>
      <c r="E1560">
        <v>29</v>
      </c>
      <c r="F1560">
        <v>4</v>
      </c>
      <c r="G1560">
        <v>1</v>
      </c>
      <c r="H1560">
        <f>표3[[#This Row],[공격성공횟수]]/(표3[[#This Row],[공격실패횟수]]+표3[[#This Row],[공격성공횟수]])</f>
        <v>0</v>
      </c>
    </row>
    <row r="1561" spans="1:8" hidden="1" x14ac:dyDescent="0.4">
      <c r="A1561">
        <v>780</v>
      </c>
      <c r="B1561" t="s">
        <v>1</v>
      </c>
      <c r="C1561">
        <v>1</v>
      </c>
      <c r="D1561">
        <v>4</v>
      </c>
      <c r="E1561">
        <v>33</v>
      </c>
      <c r="F1561">
        <v>0</v>
      </c>
      <c r="G1561">
        <v>0</v>
      </c>
      <c r="H1561">
        <f>표3[[#This Row],[공격성공횟수]]/(표3[[#This Row],[공격실패횟수]]+표3[[#This Row],[공격성공횟수]])</f>
        <v>0.10810810810810811</v>
      </c>
    </row>
    <row r="1562" spans="1:8" x14ac:dyDescent="0.4">
      <c r="A1562">
        <v>781</v>
      </c>
      <c r="B1562" t="s">
        <v>3</v>
      </c>
      <c r="C1562">
        <v>1</v>
      </c>
      <c r="D1562">
        <v>4</v>
      </c>
      <c r="E1562">
        <v>12</v>
      </c>
      <c r="F1562">
        <v>1</v>
      </c>
      <c r="G1562">
        <v>0</v>
      </c>
      <c r="H1562">
        <f>표3[[#This Row],[공격성공횟수]]/(표3[[#This Row],[공격실패횟수]]+표3[[#This Row],[공격성공횟수]])</f>
        <v>0.25</v>
      </c>
    </row>
    <row r="1563" spans="1:8" hidden="1" x14ac:dyDescent="0.4">
      <c r="A1563">
        <v>781</v>
      </c>
      <c r="B1563" t="s">
        <v>1</v>
      </c>
      <c r="C1563">
        <v>0</v>
      </c>
      <c r="D1563">
        <v>1</v>
      </c>
      <c r="E1563">
        <v>13</v>
      </c>
      <c r="F1563">
        <v>4</v>
      </c>
      <c r="G1563">
        <v>1</v>
      </c>
      <c r="H1563">
        <f>표3[[#This Row],[공격성공횟수]]/(표3[[#This Row],[공격실패횟수]]+표3[[#This Row],[공격성공횟수]])</f>
        <v>7.1428571428571425E-2</v>
      </c>
    </row>
    <row r="1564" spans="1:8" x14ac:dyDescent="0.4">
      <c r="A1564">
        <v>782</v>
      </c>
      <c r="B1564" t="s">
        <v>3</v>
      </c>
      <c r="C1564">
        <v>1</v>
      </c>
      <c r="D1564">
        <v>4</v>
      </c>
      <c r="E1564">
        <v>27</v>
      </c>
      <c r="F1564">
        <v>0</v>
      </c>
      <c r="G1564">
        <v>0</v>
      </c>
      <c r="H1564">
        <f>표3[[#This Row],[공격성공횟수]]/(표3[[#This Row],[공격실패횟수]]+표3[[#This Row],[공격성공횟수]])</f>
        <v>0.12903225806451613</v>
      </c>
    </row>
    <row r="1565" spans="1:8" hidden="1" x14ac:dyDescent="0.4">
      <c r="A1565">
        <v>782</v>
      </c>
      <c r="B1565" t="s">
        <v>1</v>
      </c>
      <c r="C1565">
        <v>0</v>
      </c>
      <c r="D1565">
        <v>0</v>
      </c>
      <c r="E1565">
        <v>30</v>
      </c>
      <c r="F1565">
        <v>4</v>
      </c>
      <c r="G1565">
        <v>1</v>
      </c>
      <c r="H1565">
        <f>표3[[#This Row],[공격성공횟수]]/(표3[[#This Row],[공격실패횟수]]+표3[[#This Row],[공격성공횟수]])</f>
        <v>0</v>
      </c>
    </row>
    <row r="1566" spans="1:8" x14ac:dyDescent="0.4">
      <c r="A1566">
        <v>783</v>
      </c>
      <c r="B1566" t="s">
        <v>3</v>
      </c>
      <c r="C1566">
        <v>1</v>
      </c>
      <c r="D1566">
        <v>4</v>
      </c>
      <c r="E1566">
        <v>17</v>
      </c>
      <c r="F1566">
        <v>0</v>
      </c>
      <c r="G1566">
        <v>0</v>
      </c>
      <c r="H1566">
        <f>표3[[#This Row],[공격성공횟수]]/(표3[[#This Row],[공격실패횟수]]+표3[[#This Row],[공격성공횟수]])</f>
        <v>0.19047619047619047</v>
      </c>
    </row>
    <row r="1567" spans="1:8" hidden="1" x14ac:dyDescent="0.4">
      <c r="A1567">
        <v>783</v>
      </c>
      <c r="B1567" t="s">
        <v>1</v>
      </c>
      <c r="C1567">
        <v>0</v>
      </c>
      <c r="D1567">
        <v>0</v>
      </c>
      <c r="E1567">
        <v>20</v>
      </c>
      <c r="F1567">
        <v>4</v>
      </c>
      <c r="G1567">
        <v>1</v>
      </c>
      <c r="H1567">
        <f>표3[[#This Row],[공격성공횟수]]/(표3[[#This Row],[공격실패횟수]]+표3[[#This Row],[공격성공횟수]])</f>
        <v>0</v>
      </c>
    </row>
    <row r="1568" spans="1:8" x14ac:dyDescent="0.4">
      <c r="A1568">
        <v>784</v>
      </c>
      <c r="B1568" t="s">
        <v>3</v>
      </c>
      <c r="C1568">
        <v>1</v>
      </c>
      <c r="D1568">
        <v>4</v>
      </c>
      <c r="E1568">
        <v>7</v>
      </c>
      <c r="F1568">
        <v>1</v>
      </c>
      <c r="G1568">
        <v>0</v>
      </c>
      <c r="H1568">
        <f>표3[[#This Row],[공격성공횟수]]/(표3[[#This Row],[공격실패횟수]]+표3[[#This Row],[공격성공횟수]])</f>
        <v>0.36363636363636365</v>
      </c>
    </row>
    <row r="1569" spans="1:8" hidden="1" x14ac:dyDescent="0.4">
      <c r="A1569">
        <v>784</v>
      </c>
      <c r="B1569" t="s">
        <v>1</v>
      </c>
      <c r="C1569">
        <v>0</v>
      </c>
      <c r="D1569">
        <v>1</v>
      </c>
      <c r="E1569">
        <v>10</v>
      </c>
      <c r="F1569">
        <v>4</v>
      </c>
      <c r="G1569">
        <v>1</v>
      </c>
      <c r="H1569">
        <f>표3[[#This Row],[공격성공횟수]]/(표3[[#This Row],[공격실패횟수]]+표3[[#This Row],[공격성공횟수]])</f>
        <v>9.0909090909090912E-2</v>
      </c>
    </row>
    <row r="1570" spans="1:8" x14ac:dyDescent="0.4">
      <c r="A1570">
        <v>785</v>
      </c>
      <c r="B1570" t="s">
        <v>3</v>
      </c>
      <c r="C1570">
        <v>0</v>
      </c>
      <c r="D1570">
        <v>0</v>
      </c>
      <c r="E1570">
        <v>12</v>
      </c>
      <c r="F1570">
        <v>4</v>
      </c>
      <c r="G1570">
        <v>1</v>
      </c>
      <c r="H1570">
        <f>표3[[#This Row],[공격성공횟수]]/(표3[[#This Row],[공격실패횟수]]+표3[[#This Row],[공격성공횟수]])</f>
        <v>0</v>
      </c>
    </row>
    <row r="1571" spans="1:8" hidden="1" x14ac:dyDescent="0.4">
      <c r="A1571">
        <v>785</v>
      </c>
      <c r="B1571" t="s">
        <v>1</v>
      </c>
      <c r="C1571">
        <v>1</v>
      </c>
      <c r="D1571">
        <v>4</v>
      </c>
      <c r="E1571">
        <v>9</v>
      </c>
      <c r="F1571">
        <v>0</v>
      </c>
      <c r="G1571">
        <v>0</v>
      </c>
      <c r="H1571">
        <f>표3[[#This Row],[공격성공횟수]]/(표3[[#This Row],[공격실패횟수]]+표3[[#This Row],[공격성공횟수]])</f>
        <v>0.30769230769230771</v>
      </c>
    </row>
    <row r="1572" spans="1:8" x14ac:dyDescent="0.4">
      <c r="A1572">
        <v>786</v>
      </c>
      <c r="B1572" t="s">
        <v>3</v>
      </c>
      <c r="C1572">
        <v>1</v>
      </c>
      <c r="D1572">
        <v>4</v>
      </c>
      <c r="E1572">
        <v>17</v>
      </c>
      <c r="F1572">
        <v>3</v>
      </c>
      <c r="G1572">
        <v>0</v>
      </c>
      <c r="H1572">
        <f>표3[[#This Row],[공격성공횟수]]/(표3[[#This Row],[공격실패횟수]]+표3[[#This Row],[공격성공횟수]])</f>
        <v>0.19047619047619047</v>
      </c>
    </row>
    <row r="1573" spans="1:8" hidden="1" x14ac:dyDescent="0.4">
      <c r="A1573">
        <v>786</v>
      </c>
      <c r="B1573" t="s">
        <v>1</v>
      </c>
      <c r="C1573">
        <v>0</v>
      </c>
      <c r="D1573">
        <v>3</v>
      </c>
      <c r="E1573">
        <v>16</v>
      </c>
      <c r="F1573">
        <v>4</v>
      </c>
      <c r="G1573">
        <v>1</v>
      </c>
      <c r="H1573">
        <f>표3[[#This Row],[공격성공횟수]]/(표3[[#This Row],[공격실패횟수]]+표3[[#This Row],[공격성공횟수]])</f>
        <v>0.15789473684210525</v>
      </c>
    </row>
    <row r="1574" spans="1:8" x14ac:dyDescent="0.4">
      <c r="A1574">
        <v>787</v>
      </c>
      <c r="B1574" t="s">
        <v>3</v>
      </c>
      <c r="C1574">
        <v>1</v>
      </c>
      <c r="D1574">
        <v>4</v>
      </c>
      <c r="E1574">
        <v>6</v>
      </c>
      <c r="F1574">
        <v>1</v>
      </c>
      <c r="G1574">
        <v>0</v>
      </c>
      <c r="H1574">
        <f>표3[[#This Row],[공격성공횟수]]/(표3[[#This Row],[공격실패횟수]]+표3[[#This Row],[공격성공횟수]])</f>
        <v>0.4</v>
      </c>
    </row>
    <row r="1575" spans="1:8" hidden="1" x14ac:dyDescent="0.4">
      <c r="A1575">
        <v>787</v>
      </c>
      <c r="B1575" t="s">
        <v>1</v>
      </c>
      <c r="C1575">
        <v>0</v>
      </c>
      <c r="D1575">
        <v>1</v>
      </c>
      <c r="E1575">
        <v>9</v>
      </c>
      <c r="F1575">
        <v>4</v>
      </c>
      <c r="G1575">
        <v>1</v>
      </c>
      <c r="H1575">
        <f>표3[[#This Row],[공격성공횟수]]/(표3[[#This Row],[공격실패횟수]]+표3[[#This Row],[공격성공횟수]])</f>
        <v>0.1</v>
      </c>
    </row>
    <row r="1576" spans="1:8" x14ac:dyDescent="0.4">
      <c r="A1576">
        <v>788</v>
      </c>
      <c r="B1576" t="s">
        <v>3</v>
      </c>
      <c r="C1576">
        <v>1</v>
      </c>
      <c r="D1576">
        <v>4</v>
      </c>
      <c r="E1576">
        <v>31</v>
      </c>
      <c r="F1576">
        <v>2</v>
      </c>
      <c r="G1576">
        <v>0</v>
      </c>
      <c r="H1576">
        <f>표3[[#This Row],[공격성공횟수]]/(표3[[#This Row],[공격실패횟수]]+표3[[#This Row],[공격성공횟수]])</f>
        <v>0.11428571428571428</v>
      </c>
    </row>
    <row r="1577" spans="1:8" hidden="1" x14ac:dyDescent="0.4">
      <c r="A1577">
        <v>788</v>
      </c>
      <c r="B1577" t="s">
        <v>1</v>
      </c>
      <c r="C1577">
        <v>0</v>
      </c>
      <c r="D1577">
        <v>2</v>
      </c>
      <c r="E1577">
        <v>36</v>
      </c>
      <c r="F1577">
        <v>4</v>
      </c>
      <c r="G1577">
        <v>1</v>
      </c>
      <c r="H1577">
        <f>표3[[#This Row],[공격성공횟수]]/(표3[[#This Row],[공격실패횟수]]+표3[[#This Row],[공격성공횟수]])</f>
        <v>5.2631578947368418E-2</v>
      </c>
    </row>
    <row r="1578" spans="1:8" x14ac:dyDescent="0.4">
      <c r="A1578">
        <v>789</v>
      </c>
      <c r="B1578" t="s">
        <v>3</v>
      </c>
      <c r="C1578">
        <v>1</v>
      </c>
      <c r="D1578">
        <v>4</v>
      </c>
      <c r="E1578">
        <v>5</v>
      </c>
      <c r="F1578">
        <v>1</v>
      </c>
      <c r="G1578">
        <v>0</v>
      </c>
      <c r="H1578">
        <f>표3[[#This Row],[공격성공횟수]]/(표3[[#This Row],[공격실패횟수]]+표3[[#This Row],[공격성공횟수]])</f>
        <v>0.44444444444444442</v>
      </c>
    </row>
    <row r="1579" spans="1:8" hidden="1" x14ac:dyDescent="0.4">
      <c r="A1579">
        <v>789</v>
      </c>
      <c r="B1579" t="s">
        <v>1</v>
      </c>
      <c r="C1579">
        <v>0</v>
      </c>
      <c r="D1579">
        <v>1</v>
      </c>
      <c r="E1579">
        <v>8</v>
      </c>
      <c r="F1579">
        <v>4</v>
      </c>
      <c r="G1579">
        <v>1</v>
      </c>
      <c r="H1579">
        <f>표3[[#This Row],[공격성공횟수]]/(표3[[#This Row],[공격실패횟수]]+표3[[#This Row],[공격성공횟수]])</f>
        <v>0.1111111111111111</v>
      </c>
    </row>
    <row r="1580" spans="1:8" x14ac:dyDescent="0.4">
      <c r="A1580">
        <v>790</v>
      </c>
      <c r="B1580" t="s">
        <v>3</v>
      </c>
      <c r="C1580">
        <v>1</v>
      </c>
      <c r="D1580">
        <v>4</v>
      </c>
      <c r="E1580">
        <v>20</v>
      </c>
      <c r="F1580">
        <v>2</v>
      </c>
      <c r="G1580">
        <v>0</v>
      </c>
      <c r="H1580">
        <f>표3[[#This Row],[공격성공횟수]]/(표3[[#This Row],[공격실패횟수]]+표3[[#This Row],[공격성공횟수]])</f>
        <v>0.16666666666666666</v>
      </c>
    </row>
    <row r="1581" spans="1:8" hidden="1" x14ac:dyDescent="0.4">
      <c r="A1581">
        <v>790</v>
      </c>
      <c r="B1581" t="s">
        <v>1</v>
      </c>
      <c r="C1581">
        <v>0</v>
      </c>
      <c r="D1581">
        <v>2</v>
      </c>
      <c r="E1581">
        <v>22</v>
      </c>
      <c r="F1581">
        <v>4</v>
      </c>
      <c r="G1581">
        <v>1</v>
      </c>
      <c r="H1581">
        <f>표3[[#This Row],[공격성공횟수]]/(표3[[#This Row],[공격실패횟수]]+표3[[#This Row],[공격성공횟수]])</f>
        <v>8.3333333333333329E-2</v>
      </c>
    </row>
    <row r="1582" spans="1:8" x14ac:dyDescent="0.4">
      <c r="A1582">
        <v>791</v>
      </c>
      <c r="B1582" t="s">
        <v>3</v>
      </c>
      <c r="C1582">
        <v>1</v>
      </c>
      <c r="D1582">
        <v>4</v>
      </c>
      <c r="E1582">
        <v>6</v>
      </c>
      <c r="F1582">
        <v>0</v>
      </c>
      <c r="G1582">
        <v>0</v>
      </c>
      <c r="H1582">
        <f>표3[[#This Row],[공격성공횟수]]/(표3[[#This Row],[공격실패횟수]]+표3[[#This Row],[공격성공횟수]])</f>
        <v>0.4</v>
      </c>
    </row>
    <row r="1583" spans="1:8" hidden="1" x14ac:dyDescent="0.4">
      <c r="A1583">
        <v>791</v>
      </c>
      <c r="B1583" t="s">
        <v>1</v>
      </c>
      <c r="C1583">
        <v>0</v>
      </c>
      <c r="D1583">
        <v>0</v>
      </c>
      <c r="E1583">
        <v>10</v>
      </c>
      <c r="F1583">
        <v>4</v>
      </c>
      <c r="G1583">
        <v>1</v>
      </c>
      <c r="H1583">
        <f>표3[[#This Row],[공격성공횟수]]/(표3[[#This Row],[공격실패횟수]]+표3[[#This Row],[공격성공횟수]])</f>
        <v>0</v>
      </c>
    </row>
    <row r="1584" spans="1:8" x14ac:dyDescent="0.4">
      <c r="A1584">
        <v>792</v>
      </c>
      <c r="B1584" t="s">
        <v>3</v>
      </c>
      <c r="C1584">
        <v>0</v>
      </c>
      <c r="D1584">
        <v>0</v>
      </c>
      <c r="E1584">
        <v>23</v>
      </c>
      <c r="F1584">
        <v>4</v>
      </c>
      <c r="G1584">
        <v>1</v>
      </c>
      <c r="H1584">
        <f>표3[[#This Row],[공격성공횟수]]/(표3[[#This Row],[공격실패횟수]]+표3[[#This Row],[공격성공횟수]])</f>
        <v>0</v>
      </c>
    </row>
    <row r="1585" spans="1:8" hidden="1" x14ac:dyDescent="0.4">
      <c r="A1585">
        <v>792</v>
      </c>
      <c r="B1585" t="s">
        <v>1</v>
      </c>
      <c r="C1585">
        <v>1</v>
      </c>
      <c r="D1585">
        <v>4</v>
      </c>
      <c r="E1585">
        <v>25</v>
      </c>
      <c r="F1585">
        <v>0</v>
      </c>
      <c r="G1585">
        <v>0</v>
      </c>
      <c r="H1585">
        <f>표3[[#This Row],[공격성공횟수]]/(표3[[#This Row],[공격실패횟수]]+표3[[#This Row],[공격성공횟수]])</f>
        <v>0.13793103448275862</v>
      </c>
    </row>
    <row r="1586" spans="1:8" x14ac:dyDescent="0.4">
      <c r="A1586">
        <v>793</v>
      </c>
      <c r="B1586" t="s">
        <v>3</v>
      </c>
      <c r="C1586">
        <v>1</v>
      </c>
      <c r="D1586">
        <v>4</v>
      </c>
      <c r="E1586">
        <v>3</v>
      </c>
      <c r="F1586">
        <v>1</v>
      </c>
      <c r="G1586">
        <v>0</v>
      </c>
      <c r="H1586">
        <f>표3[[#This Row],[공격성공횟수]]/(표3[[#This Row],[공격실패횟수]]+표3[[#This Row],[공격성공횟수]])</f>
        <v>0.5714285714285714</v>
      </c>
    </row>
    <row r="1587" spans="1:8" hidden="1" x14ac:dyDescent="0.4">
      <c r="A1587">
        <v>793</v>
      </c>
      <c r="B1587" t="s">
        <v>1</v>
      </c>
      <c r="C1587">
        <v>0</v>
      </c>
      <c r="D1587">
        <v>1</v>
      </c>
      <c r="E1587">
        <v>5</v>
      </c>
      <c r="F1587">
        <v>4</v>
      </c>
      <c r="G1587">
        <v>1</v>
      </c>
      <c r="H1587">
        <f>표3[[#This Row],[공격성공횟수]]/(표3[[#This Row],[공격실패횟수]]+표3[[#This Row],[공격성공횟수]])</f>
        <v>0.16666666666666666</v>
      </c>
    </row>
    <row r="1588" spans="1:8" x14ac:dyDescent="0.4">
      <c r="A1588">
        <v>794</v>
      </c>
      <c r="B1588" t="s">
        <v>3</v>
      </c>
      <c r="C1588">
        <v>1</v>
      </c>
      <c r="D1588">
        <v>4</v>
      </c>
      <c r="E1588">
        <v>28</v>
      </c>
      <c r="F1588">
        <v>3</v>
      </c>
      <c r="G1588">
        <v>0</v>
      </c>
      <c r="H1588">
        <f>표3[[#This Row],[공격성공횟수]]/(표3[[#This Row],[공격실패횟수]]+표3[[#This Row],[공격성공횟수]])</f>
        <v>0.125</v>
      </c>
    </row>
    <row r="1589" spans="1:8" hidden="1" x14ac:dyDescent="0.4">
      <c r="A1589">
        <v>794</v>
      </c>
      <c r="B1589" t="s">
        <v>1</v>
      </c>
      <c r="C1589">
        <v>0</v>
      </c>
      <c r="D1589">
        <v>3</v>
      </c>
      <c r="E1589">
        <v>28</v>
      </c>
      <c r="F1589">
        <v>4</v>
      </c>
      <c r="G1589">
        <v>1</v>
      </c>
      <c r="H1589">
        <f>표3[[#This Row],[공격성공횟수]]/(표3[[#This Row],[공격실패횟수]]+표3[[#This Row],[공격성공횟수]])</f>
        <v>9.6774193548387094E-2</v>
      </c>
    </row>
    <row r="1590" spans="1:8" x14ac:dyDescent="0.4">
      <c r="A1590">
        <v>795</v>
      </c>
      <c r="B1590" t="s">
        <v>3</v>
      </c>
      <c r="C1590">
        <v>1</v>
      </c>
      <c r="D1590">
        <v>4</v>
      </c>
      <c r="E1590">
        <v>10</v>
      </c>
      <c r="F1590">
        <v>0</v>
      </c>
      <c r="G1590">
        <v>0</v>
      </c>
      <c r="H1590">
        <f>표3[[#This Row],[공격성공횟수]]/(표3[[#This Row],[공격실패횟수]]+표3[[#This Row],[공격성공횟수]])</f>
        <v>0.2857142857142857</v>
      </c>
    </row>
    <row r="1591" spans="1:8" hidden="1" x14ac:dyDescent="0.4">
      <c r="A1591">
        <v>795</v>
      </c>
      <c r="B1591" t="s">
        <v>1</v>
      </c>
      <c r="C1591">
        <v>0</v>
      </c>
      <c r="D1591">
        <v>0</v>
      </c>
      <c r="E1591">
        <v>14</v>
      </c>
      <c r="F1591">
        <v>4</v>
      </c>
      <c r="G1591">
        <v>1</v>
      </c>
      <c r="H1591">
        <f>표3[[#This Row],[공격성공횟수]]/(표3[[#This Row],[공격실패횟수]]+표3[[#This Row],[공격성공횟수]])</f>
        <v>0</v>
      </c>
    </row>
    <row r="1592" spans="1:8" x14ac:dyDescent="0.4">
      <c r="A1592">
        <v>796</v>
      </c>
      <c r="B1592" t="s">
        <v>3</v>
      </c>
      <c r="C1592">
        <v>1</v>
      </c>
      <c r="D1592">
        <v>4</v>
      </c>
      <c r="E1592">
        <v>8</v>
      </c>
      <c r="F1592">
        <v>1</v>
      </c>
      <c r="G1592">
        <v>0</v>
      </c>
      <c r="H1592">
        <f>표3[[#This Row],[공격성공횟수]]/(표3[[#This Row],[공격실패횟수]]+표3[[#This Row],[공격성공횟수]])</f>
        <v>0.33333333333333331</v>
      </c>
    </row>
    <row r="1593" spans="1:8" hidden="1" x14ac:dyDescent="0.4">
      <c r="A1593">
        <v>796</v>
      </c>
      <c r="B1593" t="s">
        <v>1</v>
      </c>
      <c r="C1593">
        <v>0</v>
      </c>
      <c r="D1593">
        <v>1</v>
      </c>
      <c r="E1593">
        <v>10</v>
      </c>
      <c r="F1593">
        <v>4</v>
      </c>
      <c r="G1593">
        <v>1</v>
      </c>
      <c r="H1593">
        <f>표3[[#This Row],[공격성공횟수]]/(표3[[#This Row],[공격실패횟수]]+표3[[#This Row],[공격성공횟수]])</f>
        <v>9.0909090909090912E-2</v>
      </c>
    </row>
    <row r="1594" spans="1:8" x14ac:dyDescent="0.4">
      <c r="A1594">
        <v>797</v>
      </c>
      <c r="B1594" t="s">
        <v>3</v>
      </c>
      <c r="C1594">
        <v>1</v>
      </c>
      <c r="D1594">
        <v>4</v>
      </c>
      <c r="E1594">
        <v>25</v>
      </c>
      <c r="F1594">
        <v>2</v>
      </c>
      <c r="G1594">
        <v>0</v>
      </c>
      <c r="H1594">
        <f>표3[[#This Row],[공격성공횟수]]/(표3[[#This Row],[공격실패횟수]]+표3[[#This Row],[공격성공횟수]])</f>
        <v>0.13793103448275862</v>
      </c>
    </row>
    <row r="1595" spans="1:8" hidden="1" x14ac:dyDescent="0.4">
      <c r="A1595">
        <v>797</v>
      </c>
      <c r="B1595" t="s">
        <v>1</v>
      </c>
      <c r="C1595">
        <v>0</v>
      </c>
      <c r="D1595">
        <v>2</v>
      </c>
      <c r="E1595">
        <v>26</v>
      </c>
      <c r="F1595">
        <v>4</v>
      </c>
      <c r="G1595">
        <v>1</v>
      </c>
      <c r="H1595">
        <f>표3[[#This Row],[공격성공횟수]]/(표3[[#This Row],[공격실패횟수]]+표3[[#This Row],[공격성공횟수]])</f>
        <v>7.1428571428571425E-2</v>
      </c>
    </row>
    <row r="1596" spans="1:8" x14ac:dyDescent="0.4">
      <c r="A1596">
        <v>798</v>
      </c>
      <c r="B1596" t="s">
        <v>3</v>
      </c>
      <c r="C1596">
        <v>1</v>
      </c>
      <c r="D1596">
        <v>4</v>
      </c>
      <c r="E1596">
        <v>12</v>
      </c>
      <c r="F1596">
        <v>1</v>
      </c>
      <c r="G1596">
        <v>0</v>
      </c>
      <c r="H1596">
        <f>표3[[#This Row],[공격성공횟수]]/(표3[[#This Row],[공격실패횟수]]+표3[[#This Row],[공격성공횟수]])</f>
        <v>0.25</v>
      </c>
    </row>
    <row r="1597" spans="1:8" hidden="1" x14ac:dyDescent="0.4">
      <c r="A1597">
        <v>798</v>
      </c>
      <c r="B1597" t="s">
        <v>1</v>
      </c>
      <c r="C1597">
        <v>0</v>
      </c>
      <c r="D1597">
        <v>1</v>
      </c>
      <c r="E1597">
        <v>15</v>
      </c>
      <c r="F1597">
        <v>4</v>
      </c>
      <c r="G1597">
        <v>1</v>
      </c>
      <c r="H1597">
        <f>표3[[#This Row],[공격성공횟수]]/(표3[[#This Row],[공격실패횟수]]+표3[[#This Row],[공격성공횟수]])</f>
        <v>6.25E-2</v>
      </c>
    </row>
    <row r="1598" spans="1:8" x14ac:dyDescent="0.4">
      <c r="A1598">
        <v>799</v>
      </c>
      <c r="B1598" t="s">
        <v>3</v>
      </c>
      <c r="C1598">
        <v>1</v>
      </c>
      <c r="D1598">
        <v>4</v>
      </c>
      <c r="E1598">
        <v>7</v>
      </c>
      <c r="F1598">
        <v>1</v>
      </c>
      <c r="G1598">
        <v>0</v>
      </c>
      <c r="H1598">
        <f>표3[[#This Row],[공격성공횟수]]/(표3[[#This Row],[공격실패횟수]]+표3[[#This Row],[공격성공횟수]])</f>
        <v>0.36363636363636365</v>
      </c>
    </row>
    <row r="1599" spans="1:8" hidden="1" x14ac:dyDescent="0.4">
      <c r="A1599">
        <v>799</v>
      </c>
      <c r="B1599" t="s">
        <v>1</v>
      </c>
      <c r="C1599">
        <v>0</v>
      </c>
      <c r="D1599">
        <v>1</v>
      </c>
      <c r="E1599">
        <v>9</v>
      </c>
      <c r="F1599">
        <v>4</v>
      </c>
      <c r="G1599">
        <v>1</v>
      </c>
      <c r="H1599">
        <f>표3[[#This Row],[공격성공횟수]]/(표3[[#This Row],[공격실패횟수]]+표3[[#This Row],[공격성공횟수]])</f>
        <v>0.1</v>
      </c>
    </row>
    <row r="1600" spans="1:8" x14ac:dyDescent="0.4">
      <c r="A1600">
        <v>800</v>
      </c>
      <c r="B1600" t="s">
        <v>3</v>
      </c>
      <c r="C1600">
        <v>1</v>
      </c>
      <c r="D1600">
        <v>4</v>
      </c>
      <c r="E1600">
        <v>24</v>
      </c>
      <c r="F1600">
        <v>2</v>
      </c>
      <c r="G1600">
        <v>0</v>
      </c>
      <c r="H1600">
        <f>표3[[#This Row],[공격성공횟수]]/(표3[[#This Row],[공격실패횟수]]+표3[[#This Row],[공격성공횟수]])</f>
        <v>0.14285714285714285</v>
      </c>
    </row>
    <row r="1601" spans="1:8" hidden="1" x14ac:dyDescent="0.4">
      <c r="A1601">
        <v>800</v>
      </c>
      <c r="B1601" t="s">
        <v>1</v>
      </c>
      <c r="C1601">
        <v>0</v>
      </c>
      <c r="D1601">
        <v>2</v>
      </c>
      <c r="E1601">
        <v>26</v>
      </c>
      <c r="F1601">
        <v>4</v>
      </c>
      <c r="G1601">
        <v>1</v>
      </c>
      <c r="H1601">
        <f>표3[[#This Row],[공격성공횟수]]/(표3[[#This Row],[공격실패횟수]]+표3[[#This Row],[공격성공횟수]])</f>
        <v>7.1428571428571425E-2</v>
      </c>
    </row>
    <row r="1602" spans="1:8" x14ac:dyDescent="0.4">
      <c r="A1602">
        <v>801</v>
      </c>
      <c r="B1602" t="s">
        <v>3</v>
      </c>
      <c r="C1602">
        <v>0</v>
      </c>
      <c r="D1602">
        <v>0</v>
      </c>
      <c r="E1602">
        <v>13</v>
      </c>
      <c r="F1602">
        <v>4</v>
      </c>
      <c r="G1602">
        <v>1</v>
      </c>
      <c r="H1602">
        <f>표3[[#This Row],[공격성공횟수]]/(표3[[#This Row],[공격실패횟수]]+표3[[#This Row],[공격성공횟수]])</f>
        <v>0</v>
      </c>
    </row>
    <row r="1603" spans="1:8" hidden="1" x14ac:dyDescent="0.4">
      <c r="A1603">
        <v>801</v>
      </c>
      <c r="B1603" t="s">
        <v>1</v>
      </c>
      <c r="C1603">
        <v>1</v>
      </c>
      <c r="D1603">
        <v>4</v>
      </c>
      <c r="E1603">
        <v>9</v>
      </c>
      <c r="F1603">
        <v>0</v>
      </c>
      <c r="G1603">
        <v>0</v>
      </c>
      <c r="H1603">
        <f>표3[[#This Row],[공격성공횟수]]/(표3[[#This Row],[공격실패횟수]]+표3[[#This Row],[공격성공횟수]])</f>
        <v>0.30769230769230771</v>
      </c>
    </row>
    <row r="1604" spans="1:8" x14ac:dyDescent="0.4">
      <c r="A1604">
        <v>802</v>
      </c>
      <c r="B1604" t="s">
        <v>3</v>
      </c>
      <c r="C1604">
        <v>1</v>
      </c>
      <c r="D1604">
        <v>4</v>
      </c>
      <c r="E1604">
        <v>12</v>
      </c>
      <c r="F1604">
        <v>1</v>
      </c>
      <c r="G1604">
        <v>0</v>
      </c>
      <c r="H1604">
        <f>표3[[#This Row],[공격성공횟수]]/(표3[[#This Row],[공격실패횟수]]+표3[[#This Row],[공격성공횟수]])</f>
        <v>0.25</v>
      </c>
    </row>
    <row r="1605" spans="1:8" hidden="1" x14ac:dyDescent="0.4">
      <c r="A1605">
        <v>802</v>
      </c>
      <c r="B1605" t="s">
        <v>1</v>
      </c>
      <c r="C1605">
        <v>0</v>
      </c>
      <c r="D1605">
        <v>1</v>
      </c>
      <c r="E1605">
        <v>13</v>
      </c>
      <c r="F1605">
        <v>4</v>
      </c>
      <c r="G1605">
        <v>1</v>
      </c>
      <c r="H1605">
        <f>표3[[#This Row],[공격성공횟수]]/(표3[[#This Row],[공격실패횟수]]+표3[[#This Row],[공격성공횟수]])</f>
        <v>7.1428571428571425E-2</v>
      </c>
    </row>
    <row r="1606" spans="1:8" x14ac:dyDescent="0.4">
      <c r="A1606">
        <v>803</v>
      </c>
      <c r="B1606" t="s">
        <v>3</v>
      </c>
      <c r="C1606">
        <v>1</v>
      </c>
      <c r="D1606">
        <v>4</v>
      </c>
      <c r="E1606">
        <v>19</v>
      </c>
      <c r="F1606">
        <v>2</v>
      </c>
      <c r="G1606">
        <v>0</v>
      </c>
      <c r="H1606">
        <f>표3[[#This Row],[공격성공횟수]]/(표3[[#This Row],[공격실패횟수]]+표3[[#This Row],[공격성공횟수]])</f>
        <v>0.17391304347826086</v>
      </c>
    </row>
    <row r="1607" spans="1:8" hidden="1" x14ac:dyDescent="0.4">
      <c r="A1607">
        <v>803</v>
      </c>
      <c r="B1607" t="s">
        <v>1</v>
      </c>
      <c r="C1607">
        <v>0</v>
      </c>
      <c r="D1607">
        <v>2</v>
      </c>
      <c r="E1607">
        <v>21</v>
      </c>
      <c r="F1607">
        <v>4</v>
      </c>
      <c r="G1607">
        <v>1</v>
      </c>
      <c r="H1607">
        <f>표3[[#This Row],[공격성공횟수]]/(표3[[#This Row],[공격실패횟수]]+표3[[#This Row],[공격성공횟수]])</f>
        <v>8.6956521739130432E-2</v>
      </c>
    </row>
    <row r="1608" spans="1:8" x14ac:dyDescent="0.4">
      <c r="A1608">
        <v>804</v>
      </c>
      <c r="B1608" t="s">
        <v>3</v>
      </c>
      <c r="C1608">
        <v>1</v>
      </c>
      <c r="D1608">
        <v>4</v>
      </c>
      <c r="E1608">
        <v>6</v>
      </c>
      <c r="F1608">
        <v>0</v>
      </c>
      <c r="G1608">
        <v>0</v>
      </c>
      <c r="H1608">
        <f>표3[[#This Row],[공격성공횟수]]/(표3[[#This Row],[공격실패횟수]]+표3[[#This Row],[공격성공횟수]])</f>
        <v>0.4</v>
      </c>
    </row>
    <row r="1609" spans="1:8" hidden="1" x14ac:dyDescent="0.4">
      <c r="A1609">
        <v>804</v>
      </c>
      <c r="B1609" t="s">
        <v>1</v>
      </c>
      <c r="C1609">
        <v>0</v>
      </c>
      <c r="D1609">
        <v>0</v>
      </c>
      <c r="E1609">
        <v>9</v>
      </c>
      <c r="F1609">
        <v>4</v>
      </c>
      <c r="G1609">
        <v>1</v>
      </c>
      <c r="H1609">
        <f>표3[[#This Row],[공격성공횟수]]/(표3[[#This Row],[공격실패횟수]]+표3[[#This Row],[공격성공횟수]])</f>
        <v>0</v>
      </c>
    </row>
    <row r="1610" spans="1:8" x14ac:dyDescent="0.4">
      <c r="A1610">
        <v>805</v>
      </c>
      <c r="B1610" t="s">
        <v>3</v>
      </c>
      <c r="C1610">
        <v>1</v>
      </c>
      <c r="D1610">
        <v>4</v>
      </c>
      <c r="E1610">
        <v>16</v>
      </c>
      <c r="F1610">
        <v>1</v>
      </c>
      <c r="G1610">
        <v>0</v>
      </c>
      <c r="H1610">
        <f>표3[[#This Row],[공격성공횟수]]/(표3[[#This Row],[공격실패횟수]]+표3[[#This Row],[공격성공횟수]])</f>
        <v>0.2</v>
      </c>
    </row>
    <row r="1611" spans="1:8" hidden="1" x14ac:dyDescent="0.4">
      <c r="A1611">
        <v>805</v>
      </c>
      <c r="B1611" t="s">
        <v>1</v>
      </c>
      <c r="C1611">
        <v>0</v>
      </c>
      <c r="D1611">
        <v>1</v>
      </c>
      <c r="E1611">
        <v>19</v>
      </c>
      <c r="F1611">
        <v>4</v>
      </c>
      <c r="G1611">
        <v>1</v>
      </c>
      <c r="H1611">
        <f>표3[[#This Row],[공격성공횟수]]/(표3[[#This Row],[공격실패횟수]]+표3[[#This Row],[공격성공횟수]])</f>
        <v>0.05</v>
      </c>
    </row>
    <row r="1612" spans="1:8" x14ac:dyDescent="0.4">
      <c r="A1612">
        <v>806</v>
      </c>
      <c r="B1612" t="s">
        <v>3</v>
      </c>
      <c r="C1612">
        <v>1</v>
      </c>
      <c r="D1612">
        <v>4</v>
      </c>
      <c r="E1612">
        <v>19</v>
      </c>
      <c r="F1612">
        <v>2</v>
      </c>
      <c r="G1612">
        <v>0</v>
      </c>
      <c r="H1612">
        <f>표3[[#This Row],[공격성공횟수]]/(표3[[#This Row],[공격실패횟수]]+표3[[#This Row],[공격성공횟수]])</f>
        <v>0.17391304347826086</v>
      </c>
    </row>
    <row r="1613" spans="1:8" hidden="1" x14ac:dyDescent="0.4">
      <c r="A1613">
        <v>806</v>
      </c>
      <c r="B1613" t="s">
        <v>1</v>
      </c>
      <c r="C1613">
        <v>0</v>
      </c>
      <c r="D1613">
        <v>2</v>
      </c>
      <c r="E1613">
        <v>22</v>
      </c>
      <c r="F1613">
        <v>4</v>
      </c>
      <c r="G1613">
        <v>1</v>
      </c>
      <c r="H1613">
        <f>표3[[#This Row],[공격성공횟수]]/(표3[[#This Row],[공격실패횟수]]+표3[[#This Row],[공격성공횟수]])</f>
        <v>8.3333333333333329E-2</v>
      </c>
    </row>
    <row r="1614" spans="1:8" x14ac:dyDescent="0.4">
      <c r="A1614">
        <v>807</v>
      </c>
      <c r="B1614" t="s">
        <v>3</v>
      </c>
      <c r="C1614">
        <v>1</v>
      </c>
      <c r="D1614">
        <v>4</v>
      </c>
      <c r="E1614">
        <v>10</v>
      </c>
      <c r="F1614">
        <v>0</v>
      </c>
      <c r="G1614">
        <v>0</v>
      </c>
      <c r="H1614">
        <f>표3[[#This Row],[공격성공횟수]]/(표3[[#This Row],[공격실패횟수]]+표3[[#This Row],[공격성공횟수]])</f>
        <v>0.2857142857142857</v>
      </c>
    </row>
    <row r="1615" spans="1:8" hidden="1" x14ac:dyDescent="0.4">
      <c r="A1615">
        <v>807</v>
      </c>
      <c r="B1615" t="s">
        <v>1</v>
      </c>
      <c r="C1615">
        <v>0</v>
      </c>
      <c r="D1615">
        <v>0</v>
      </c>
      <c r="E1615">
        <v>14</v>
      </c>
      <c r="F1615">
        <v>4</v>
      </c>
      <c r="G1615">
        <v>1</v>
      </c>
      <c r="H1615">
        <f>표3[[#This Row],[공격성공횟수]]/(표3[[#This Row],[공격실패횟수]]+표3[[#This Row],[공격성공횟수]])</f>
        <v>0</v>
      </c>
    </row>
    <row r="1616" spans="1:8" x14ac:dyDescent="0.4">
      <c r="A1616">
        <v>808</v>
      </c>
      <c r="B1616" t="s">
        <v>3</v>
      </c>
      <c r="C1616">
        <v>1</v>
      </c>
      <c r="D1616">
        <v>4</v>
      </c>
      <c r="E1616">
        <v>4</v>
      </c>
      <c r="F1616">
        <v>1</v>
      </c>
      <c r="G1616">
        <v>0</v>
      </c>
      <c r="H1616">
        <f>표3[[#This Row],[공격성공횟수]]/(표3[[#This Row],[공격실패횟수]]+표3[[#This Row],[공격성공횟수]])</f>
        <v>0.5</v>
      </c>
    </row>
    <row r="1617" spans="1:8" hidden="1" x14ac:dyDescent="0.4">
      <c r="A1617">
        <v>808</v>
      </c>
      <c r="B1617" t="s">
        <v>1</v>
      </c>
      <c r="C1617">
        <v>0</v>
      </c>
      <c r="D1617">
        <v>1</v>
      </c>
      <c r="E1617">
        <v>6</v>
      </c>
      <c r="F1617">
        <v>4</v>
      </c>
      <c r="G1617">
        <v>1</v>
      </c>
      <c r="H1617">
        <f>표3[[#This Row],[공격성공횟수]]/(표3[[#This Row],[공격실패횟수]]+표3[[#This Row],[공격성공횟수]])</f>
        <v>0.14285714285714285</v>
      </c>
    </row>
    <row r="1618" spans="1:8" x14ac:dyDescent="0.4">
      <c r="A1618">
        <v>809</v>
      </c>
      <c r="B1618" t="s">
        <v>3</v>
      </c>
      <c r="C1618">
        <v>0</v>
      </c>
      <c r="D1618">
        <v>1</v>
      </c>
      <c r="E1618">
        <v>22</v>
      </c>
      <c r="F1618">
        <v>4</v>
      </c>
      <c r="G1618">
        <v>1</v>
      </c>
      <c r="H1618">
        <f>표3[[#This Row],[공격성공횟수]]/(표3[[#This Row],[공격실패횟수]]+표3[[#This Row],[공격성공횟수]])</f>
        <v>4.3478260869565216E-2</v>
      </c>
    </row>
    <row r="1619" spans="1:8" hidden="1" x14ac:dyDescent="0.4">
      <c r="A1619">
        <v>809</v>
      </c>
      <c r="B1619" t="s">
        <v>1</v>
      </c>
      <c r="C1619">
        <v>1</v>
      </c>
      <c r="D1619">
        <v>4</v>
      </c>
      <c r="E1619">
        <v>34</v>
      </c>
      <c r="F1619">
        <v>1</v>
      </c>
      <c r="G1619">
        <v>0</v>
      </c>
      <c r="H1619">
        <f>표3[[#This Row],[공격성공횟수]]/(표3[[#This Row],[공격실패횟수]]+표3[[#This Row],[공격성공횟수]])</f>
        <v>0.10526315789473684</v>
      </c>
    </row>
    <row r="1620" spans="1:8" x14ac:dyDescent="0.4">
      <c r="A1620">
        <v>810</v>
      </c>
      <c r="B1620" t="s">
        <v>3</v>
      </c>
      <c r="C1620">
        <v>1</v>
      </c>
      <c r="D1620">
        <v>4</v>
      </c>
      <c r="E1620">
        <v>13</v>
      </c>
      <c r="F1620">
        <v>0</v>
      </c>
      <c r="G1620">
        <v>0</v>
      </c>
      <c r="H1620">
        <f>표3[[#This Row],[공격성공횟수]]/(표3[[#This Row],[공격실패횟수]]+표3[[#This Row],[공격성공횟수]])</f>
        <v>0.23529411764705882</v>
      </c>
    </row>
    <row r="1621" spans="1:8" hidden="1" x14ac:dyDescent="0.4">
      <c r="A1621">
        <v>810</v>
      </c>
      <c r="B1621" t="s">
        <v>1</v>
      </c>
      <c r="C1621">
        <v>0</v>
      </c>
      <c r="D1621">
        <v>0</v>
      </c>
      <c r="E1621">
        <v>15</v>
      </c>
      <c r="F1621">
        <v>4</v>
      </c>
      <c r="G1621">
        <v>1</v>
      </c>
      <c r="H1621">
        <f>표3[[#This Row],[공격성공횟수]]/(표3[[#This Row],[공격실패횟수]]+표3[[#This Row],[공격성공횟수]])</f>
        <v>0</v>
      </c>
    </row>
    <row r="1622" spans="1:8" x14ac:dyDescent="0.4">
      <c r="A1622">
        <v>811</v>
      </c>
      <c r="B1622" t="s">
        <v>3</v>
      </c>
      <c r="C1622">
        <v>1</v>
      </c>
      <c r="D1622">
        <v>4</v>
      </c>
      <c r="E1622">
        <v>10</v>
      </c>
      <c r="F1622">
        <v>1</v>
      </c>
      <c r="G1622">
        <v>0</v>
      </c>
      <c r="H1622">
        <f>표3[[#This Row],[공격성공횟수]]/(표3[[#This Row],[공격실패횟수]]+표3[[#This Row],[공격성공횟수]])</f>
        <v>0.2857142857142857</v>
      </c>
    </row>
    <row r="1623" spans="1:8" hidden="1" x14ac:dyDescent="0.4">
      <c r="A1623">
        <v>811</v>
      </c>
      <c r="B1623" t="s">
        <v>1</v>
      </c>
      <c r="C1623">
        <v>0</v>
      </c>
      <c r="D1623">
        <v>1</v>
      </c>
      <c r="E1623">
        <v>12</v>
      </c>
      <c r="F1623">
        <v>4</v>
      </c>
      <c r="G1623">
        <v>1</v>
      </c>
      <c r="H1623">
        <f>표3[[#This Row],[공격성공횟수]]/(표3[[#This Row],[공격실패횟수]]+표3[[#This Row],[공격성공횟수]])</f>
        <v>7.6923076923076927E-2</v>
      </c>
    </row>
    <row r="1624" spans="1:8" x14ac:dyDescent="0.4">
      <c r="A1624">
        <v>812</v>
      </c>
      <c r="B1624" t="s">
        <v>3</v>
      </c>
      <c r="C1624">
        <v>1</v>
      </c>
      <c r="D1624">
        <v>4</v>
      </c>
      <c r="E1624">
        <v>31</v>
      </c>
      <c r="F1624">
        <v>3</v>
      </c>
      <c r="G1624">
        <v>0</v>
      </c>
      <c r="H1624">
        <f>표3[[#This Row],[공격성공횟수]]/(표3[[#This Row],[공격실패횟수]]+표3[[#This Row],[공격성공횟수]])</f>
        <v>0.11428571428571428</v>
      </c>
    </row>
    <row r="1625" spans="1:8" hidden="1" x14ac:dyDescent="0.4">
      <c r="A1625">
        <v>812</v>
      </c>
      <c r="B1625" t="s">
        <v>1</v>
      </c>
      <c r="C1625">
        <v>0</v>
      </c>
      <c r="D1625">
        <v>3</v>
      </c>
      <c r="E1625">
        <v>32</v>
      </c>
      <c r="F1625">
        <v>4</v>
      </c>
      <c r="G1625">
        <v>1</v>
      </c>
      <c r="H1625">
        <f>표3[[#This Row],[공격성공횟수]]/(표3[[#This Row],[공격실패횟수]]+표3[[#This Row],[공격성공횟수]])</f>
        <v>8.5714285714285715E-2</v>
      </c>
    </row>
    <row r="1626" spans="1:8" x14ac:dyDescent="0.4">
      <c r="A1626">
        <v>813</v>
      </c>
      <c r="B1626" t="s">
        <v>3</v>
      </c>
      <c r="C1626">
        <v>1</v>
      </c>
      <c r="D1626">
        <v>4</v>
      </c>
      <c r="E1626">
        <v>14</v>
      </c>
      <c r="F1626">
        <v>2</v>
      </c>
      <c r="G1626">
        <v>0</v>
      </c>
      <c r="H1626">
        <f>표3[[#This Row],[공격성공횟수]]/(표3[[#This Row],[공격실패횟수]]+표3[[#This Row],[공격성공횟수]])</f>
        <v>0.22222222222222221</v>
      </c>
    </row>
    <row r="1627" spans="1:8" hidden="1" x14ac:dyDescent="0.4">
      <c r="A1627">
        <v>813</v>
      </c>
      <c r="B1627" t="s">
        <v>1</v>
      </c>
      <c r="C1627">
        <v>0</v>
      </c>
      <c r="D1627">
        <v>2</v>
      </c>
      <c r="E1627">
        <v>15</v>
      </c>
      <c r="F1627">
        <v>4</v>
      </c>
      <c r="G1627">
        <v>1</v>
      </c>
      <c r="H1627">
        <f>표3[[#This Row],[공격성공횟수]]/(표3[[#This Row],[공격실패횟수]]+표3[[#This Row],[공격성공횟수]])</f>
        <v>0.11764705882352941</v>
      </c>
    </row>
    <row r="1628" spans="1:8" x14ac:dyDescent="0.4">
      <c r="A1628">
        <v>814</v>
      </c>
      <c r="B1628" t="s">
        <v>3</v>
      </c>
      <c r="C1628">
        <v>1</v>
      </c>
      <c r="D1628">
        <v>4</v>
      </c>
      <c r="E1628">
        <v>32</v>
      </c>
      <c r="F1628">
        <v>0</v>
      </c>
      <c r="G1628">
        <v>0</v>
      </c>
      <c r="H1628">
        <f>표3[[#This Row],[공격성공횟수]]/(표3[[#This Row],[공격실패횟수]]+표3[[#This Row],[공격성공횟수]])</f>
        <v>0.1111111111111111</v>
      </c>
    </row>
    <row r="1629" spans="1:8" hidden="1" x14ac:dyDescent="0.4">
      <c r="A1629">
        <v>814</v>
      </c>
      <c r="B1629" t="s">
        <v>1</v>
      </c>
      <c r="C1629">
        <v>0</v>
      </c>
      <c r="D1629">
        <v>0</v>
      </c>
      <c r="E1629">
        <v>36</v>
      </c>
      <c r="F1629">
        <v>4</v>
      </c>
      <c r="G1629">
        <v>1</v>
      </c>
      <c r="H1629">
        <f>표3[[#This Row],[공격성공횟수]]/(표3[[#This Row],[공격실패횟수]]+표3[[#This Row],[공격성공횟수]])</f>
        <v>0</v>
      </c>
    </row>
    <row r="1630" spans="1:8" x14ac:dyDescent="0.4">
      <c r="A1630">
        <v>815</v>
      </c>
      <c r="B1630" t="s">
        <v>3</v>
      </c>
      <c r="C1630">
        <v>1</v>
      </c>
      <c r="D1630">
        <v>4</v>
      </c>
      <c r="E1630">
        <v>10</v>
      </c>
      <c r="F1630">
        <v>1</v>
      </c>
      <c r="G1630">
        <v>0</v>
      </c>
      <c r="H1630">
        <f>표3[[#This Row],[공격성공횟수]]/(표3[[#This Row],[공격실패횟수]]+표3[[#This Row],[공격성공횟수]])</f>
        <v>0.2857142857142857</v>
      </c>
    </row>
    <row r="1631" spans="1:8" hidden="1" x14ac:dyDescent="0.4">
      <c r="A1631">
        <v>815</v>
      </c>
      <c r="B1631" t="s">
        <v>1</v>
      </c>
      <c r="C1631">
        <v>0</v>
      </c>
      <c r="D1631">
        <v>1</v>
      </c>
      <c r="E1631">
        <v>12</v>
      </c>
      <c r="F1631">
        <v>4</v>
      </c>
      <c r="G1631">
        <v>1</v>
      </c>
      <c r="H1631">
        <f>표3[[#This Row],[공격성공횟수]]/(표3[[#This Row],[공격실패횟수]]+표3[[#This Row],[공격성공횟수]])</f>
        <v>7.6923076923076927E-2</v>
      </c>
    </row>
    <row r="1632" spans="1:8" x14ac:dyDescent="0.4">
      <c r="A1632">
        <v>816</v>
      </c>
      <c r="B1632" t="s">
        <v>3</v>
      </c>
      <c r="C1632">
        <v>1</v>
      </c>
      <c r="D1632">
        <v>4</v>
      </c>
      <c r="E1632">
        <v>7</v>
      </c>
      <c r="F1632">
        <v>0</v>
      </c>
      <c r="G1632">
        <v>0</v>
      </c>
      <c r="H1632">
        <f>표3[[#This Row],[공격성공횟수]]/(표3[[#This Row],[공격실패횟수]]+표3[[#This Row],[공격성공횟수]])</f>
        <v>0.36363636363636365</v>
      </c>
    </row>
    <row r="1633" spans="1:8" hidden="1" x14ac:dyDescent="0.4">
      <c r="A1633">
        <v>816</v>
      </c>
      <c r="B1633" t="s">
        <v>1</v>
      </c>
      <c r="C1633">
        <v>0</v>
      </c>
      <c r="D1633">
        <v>0</v>
      </c>
      <c r="E1633">
        <v>10</v>
      </c>
      <c r="F1633">
        <v>4</v>
      </c>
      <c r="G1633">
        <v>1</v>
      </c>
      <c r="H1633">
        <f>표3[[#This Row],[공격성공횟수]]/(표3[[#This Row],[공격실패횟수]]+표3[[#This Row],[공격성공횟수]])</f>
        <v>0</v>
      </c>
    </row>
    <row r="1634" spans="1:8" x14ac:dyDescent="0.4">
      <c r="A1634">
        <v>817</v>
      </c>
      <c r="B1634" t="s">
        <v>3</v>
      </c>
      <c r="C1634">
        <v>1</v>
      </c>
      <c r="D1634">
        <v>4</v>
      </c>
      <c r="E1634">
        <v>10</v>
      </c>
      <c r="F1634">
        <v>0</v>
      </c>
      <c r="G1634">
        <v>0</v>
      </c>
      <c r="H1634">
        <f>표3[[#This Row],[공격성공횟수]]/(표3[[#This Row],[공격실패횟수]]+표3[[#This Row],[공격성공횟수]])</f>
        <v>0.2857142857142857</v>
      </c>
    </row>
    <row r="1635" spans="1:8" hidden="1" x14ac:dyDescent="0.4">
      <c r="A1635">
        <v>817</v>
      </c>
      <c r="B1635" t="s">
        <v>1</v>
      </c>
      <c r="C1635">
        <v>0</v>
      </c>
      <c r="D1635">
        <v>0</v>
      </c>
      <c r="E1635">
        <v>14</v>
      </c>
      <c r="F1635">
        <v>4</v>
      </c>
      <c r="G1635">
        <v>1</v>
      </c>
      <c r="H1635">
        <f>표3[[#This Row],[공격성공횟수]]/(표3[[#This Row],[공격실패횟수]]+표3[[#This Row],[공격성공횟수]])</f>
        <v>0</v>
      </c>
    </row>
    <row r="1636" spans="1:8" x14ac:dyDescent="0.4">
      <c r="A1636">
        <v>818</v>
      </c>
      <c r="B1636" t="s">
        <v>3</v>
      </c>
      <c r="C1636">
        <v>1</v>
      </c>
      <c r="D1636">
        <v>4</v>
      </c>
      <c r="E1636">
        <v>17</v>
      </c>
      <c r="F1636">
        <v>0</v>
      </c>
      <c r="G1636">
        <v>0</v>
      </c>
      <c r="H1636">
        <f>표3[[#This Row],[공격성공횟수]]/(표3[[#This Row],[공격실패횟수]]+표3[[#This Row],[공격성공횟수]])</f>
        <v>0.19047619047619047</v>
      </c>
    </row>
    <row r="1637" spans="1:8" hidden="1" x14ac:dyDescent="0.4">
      <c r="A1637">
        <v>818</v>
      </c>
      <c r="B1637" t="s">
        <v>1</v>
      </c>
      <c r="C1637">
        <v>0</v>
      </c>
      <c r="D1637">
        <v>0</v>
      </c>
      <c r="E1637">
        <v>21</v>
      </c>
      <c r="F1637">
        <v>4</v>
      </c>
      <c r="G1637">
        <v>1</v>
      </c>
      <c r="H1637">
        <f>표3[[#This Row],[공격성공횟수]]/(표3[[#This Row],[공격실패횟수]]+표3[[#This Row],[공격성공횟수]])</f>
        <v>0</v>
      </c>
    </row>
    <row r="1638" spans="1:8" x14ac:dyDescent="0.4">
      <c r="A1638">
        <v>819</v>
      </c>
      <c r="B1638" t="s">
        <v>3</v>
      </c>
      <c r="C1638">
        <v>1</v>
      </c>
      <c r="D1638">
        <v>4</v>
      </c>
      <c r="E1638">
        <v>10</v>
      </c>
      <c r="F1638">
        <v>1</v>
      </c>
      <c r="G1638">
        <v>0</v>
      </c>
      <c r="H1638">
        <f>표3[[#This Row],[공격성공횟수]]/(표3[[#This Row],[공격실패횟수]]+표3[[#This Row],[공격성공횟수]])</f>
        <v>0.2857142857142857</v>
      </c>
    </row>
    <row r="1639" spans="1:8" hidden="1" x14ac:dyDescent="0.4">
      <c r="A1639">
        <v>819</v>
      </c>
      <c r="B1639" t="s">
        <v>1</v>
      </c>
      <c r="C1639">
        <v>0</v>
      </c>
      <c r="D1639">
        <v>1</v>
      </c>
      <c r="E1639">
        <v>12</v>
      </c>
      <c r="F1639">
        <v>4</v>
      </c>
      <c r="G1639">
        <v>1</v>
      </c>
      <c r="H1639">
        <f>표3[[#This Row],[공격성공횟수]]/(표3[[#This Row],[공격실패횟수]]+표3[[#This Row],[공격성공횟수]])</f>
        <v>7.6923076923076927E-2</v>
      </c>
    </row>
    <row r="1640" spans="1:8" x14ac:dyDescent="0.4">
      <c r="A1640">
        <v>820</v>
      </c>
      <c r="B1640" t="s">
        <v>3</v>
      </c>
      <c r="C1640">
        <v>1</v>
      </c>
      <c r="D1640">
        <v>4</v>
      </c>
      <c r="E1640">
        <v>7</v>
      </c>
      <c r="F1640">
        <v>2</v>
      </c>
      <c r="G1640">
        <v>0</v>
      </c>
      <c r="H1640">
        <f>표3[[#This Row],[공격성공횟수]]/(표3[[#This Row],[공격실패횟수]]+표3[[#This Row],[공격성공횟수]])</f>
        <v>0.36363636363636365</v>
      </c>
    </row>
    <row r="1641" spans="1:8" hidden="1" x14ac:dyDescent="0.4">
      <c r="A1641">
        <v>820</v>
      </c>
      <c r="B1641" t="s">
        <v>1</v>
      </c>
      <c r="C1641">
        <v>0</v>
      </c>
      <c r="D1641">
        <v>2</v>
      </c>
      <c r="E1641">
        <v>8</v>
      </c>
      <c r="F1641">
        <v>4</v>
      </c>
      <c r="G1641">
        <v>1</v>
      </c>
      <c r="H1641">
        <f>표3[[#This Row],[공격성공횟수]]/(표3[[#This Row],[공격실패횟수]]+표3[[#This Row],[공격성공횟수]])</f>
        <v>0.2</v>
      </c>
    </row>
    <row r="1642" spans="1:8" x14ac:dyDescent="0.4">
      <c r="A1642">
        <v>821</v>
      </c>
      <c r="B1642" t="s">
        <v>3</v>
      </c>
      <c r="C1642">
        <v>1</v>
      </c>
      <c r="D1642">
        <v>4</v>
      </c>
      <c r="E1642">
        <v>23</v>
      </c>
      <c r="F1642">
        <v>1</v>
      </c>
      <c r="G1642">
        <v>0</v>
      </c>
      <c r="H1642">
        <f>표3[[#This Row],[공격성공횟수]]/(표3[[#This Row],[공격실패횟수]]+표3[[#This Row],[공격성공횟수]])</f>
        <v>0.14814814814814814</v>
      </c>
    </row>
    <row r="1643" spans="1:8" hidden="1" x14ac:dyDescent="0.4">
      <c r="A1643">
        <v>821</v>
      </c>
      <c r="B1643" t="s">
        <v>1</v>
      </c>
      <c r="C1643">
        <v>0</v>
      </c>
      <c r="D1643">
        <v>1</v>
      </c>
      <c r="E1643">
        <v>26</v>
      </c>
      <c r="F1643">
        <v>4</v>
      </c>
      <c r="G1643">
        <v>1</v>
      </c>
      <c r="H1643">
        <f>표3[[#This Row],[공격성공횟수]]/(표3[[#This Row],[공격실패횟수]]+표3[[#This Row],[공격성공횟수]])</f>
        <v>3.7037037037037035E-2</v>
      </c>
    </row>
    <row r="1644" spans="1:8" x14ac:dyDescent="0.4">
      <c r="A1644">
        <v>822</v>
      </c>
      <c r="B1644" t="s">
        <v>3</v>
      </c>
      <c r="C1644">
        <v>0</v>
      </c>
      <c r="D1644">
        <v>0</v>
      </c>
      <c r="E1644">
        <v>14</v>
      </c>
      <c r="F1644">
        <v>4</v>
      </c>
      <c r="G1644">
        <v>1</v>
      </c>
      <c r="H1644">
        <f>표3[[#This Row],[공격성공횟수]]/(표3[[#This Row],[공격실패횟수]]+표3[[#This Row],[공격성공횟수]])</f>
        <v>0</v>
      </c>
    </row>
    <row r="1645" spans="1:8" hidden="1" x14ac:dyDescent="0.4">
      <c r="A1645">
        <v>822</v>
      </c>
      <c r="B1645" t="s">
        <v>1</v>
      </c>
      <c r="C1645">
        <v>1</v>
      </c>
      <c r="D1645">
        <v>4</v>
      </c>
      <c r="E1645">
        <v>10</v>
      </c>
      <c r="F1645">
        <v>0</v>
      </c>
      <c r="G1645">
        <v>0</v>
      </c>
      <c r="H1645">
        <f>표3[[#This Row],[공격성공횟수]]/(표3[[#This Row],[공격실패횟수]]+표3[[#This Row],[공격성공횟수]])</f>
        <v>0.2857142857142857</v>
      </c>
    </row>
    <row r="1646" spans="1:8" x14ac:dyDescent="0.4">
      <c r="A1646">
        <v>823</v>
      </c>
      <c r="B1646" t="s">
        <v>3</v>
      </c>
      <c r="C1646">
        <v>1</v>
      </c>
      <c r="D1646">
        <v>4</v>
      </c>
      <c r="E1646">
        <v>10</v>
      </c>
      <c r="F1646">
        <v>1</v>
      </c>
      <c r="G1646">
        <v>0</v>
      </c>
      <c r="H1646">
        <f>표3[[#This Row],[공격성공횟수]]/(표3[[#This Row],[공격실패횟수]]+표3[[#This Row],[공격성공횟수]])</f>
        <v>0.2857142857142857</v>
      </c>
    </row>
    <row r="1647" spans="1:8" hidden="1" x14ac:dyDescent="0.4">
      <c r="A1647">
        <v>823</v>
      </c>
      <c r="B1647" t="s">
        <v>1</v>
      </c>
      <c r="C1647">
        <v>0</v>
      </c>
      <c r="D1647">
        <v>1</v>
      </c>
      <c r="E1647">
        <v>12</v>
      </c>
      <c r="F1647">
        <v>4</v>
      </c>
      <c r="G1647">
        <v>1</v>
      </c>
      <c r="H1647">
        <f>표3[[#This Row],[공격성공횟수]]/(표3[[#This Row],[공격실패횟수]]+표3[[#This Row],[공격성공횟수]])</f>
        <v>7.6923076923076927E-2</v>
      </c>
    </row>
    <row r="1648" spans="1:8" x14ac:dyDescent="0.4">
      <c r="A1648">
        <v>824</v>
      </c>
      <c r="B1648" t="s">
        <v>3</v>
      </c>
      <c r="C1648">
        <v>0</v>
      </c>
      <c r="D1648">
        <v>0</v>
      </c>
      <c r="E1648">
        <v>5</v>
      </c>
      <c r="F1648">
        <v>4</v>
      </c>
      <c r="G1648">
        <v>1</v>
      </c>
      <c r="H1648">
        <f>표3[[#This Row],[공격성공횟수]]/(표3[[#This Row],[공격실패횟수]]+표3[[#This Row],[공격성공횟수]])</f>
        <v>0</v>
      </c>
    </row>
    <row r="1649" spans="1:8" hidden="1" x14ac:dyDescent="0.4">
      <c r="A1649">
        <v>824</v>
      </c>
      <c r="B1649" t="s">
        <v>1</v>
      </c>
      <c r="C1649">
        <v>1</v>
      </c>
      <c r="D1649">
        <v>4</v>
      </c>
      <c r="E1649">
        <v>15</v>
      </c>
      <c r="F1649">
        <v>0</v>
      </c>
      <c r="G1649">
        <v>0</v>
      </c>
      <c r="H1649">
        <f>표3[[#This Row],[공격성공횟수]]/(표3[[#This Row],[공격실패횟수]]+표3[[#This Row],[공격성공횟수]])</f>
        <v>0.21052631578947367</v>
      </c>
    </row>
    <row r="1650" spans="1:8" x14ac:dyDescent="0.4">
      <c r="A1650">
        <v>825</v>
      </c>
      <c r="B1650" t="s">
        <v>3</v>
      </c>
      <c r="C1650">
        <v>0</v>
      </c>
      <c r="D1650">
        <v>1</v>
      </c>
      <c r="E1650">
        <v>31</v>
      </c>
      <c r="F1650">
        <v>4</v>
      </c>
      <c r="G1650">
        <v>1</v>
      </c>
      <c r="H1650">
        <f>표3[[#This Row],[공격성공횟수]]/(표3[[#This Row],[공격실패횟수]]+표3[[#This Row],[공격성공횟수]])</f>
        <v>3.125E-2</v>
      </c>
    </row>
    <row r="1651" spans="1:8" hidden="1" x14ac:dyDescent="0.4">
      <c r="A1651">
        <v>825</v>
      </c>
      <c r="B1651" t="s">
        <v>1</v>
      </c>
      <c r="C1651">
        <v>1</v>
      </c>
      <c r="D1651">
        <v>4</v>
      </c>
      <c r="E1651">
        <v>27</v>
      </c>
      <c r="F1651">
        <v>1</v>
      </c>
      <c r="G1651">
        <v>0</v>
      </c>
      <c r="H1651">
        <f>표3[[#This Row],[공격성공횟수]]/(표3[[#This Row],[공격실패횟수]]+표3[[#This Row],[공격성공횟수]])</f>
        <v>0.12903225806451613</v>
      </c>
    </row>
    <row r="1652" spans="1:8" x14ac:dyDescent="0.4">
      <c r="A1652">
        <v>826</v>
      </c>
      <c r="B1652" t="s">
        <v>3</v>
      </c>
      <c r="C1652">
        <v>1</v>
      </c>
      <c r="D1652">
        <v>4</v>
      </c>
      <c r="E1652">
        <v>12</v>
      </c>
      <c r="F1652">
        <v>1</v>
      </c>
      <c r="G1652">
        <v>0</v>
      </c>
      <c r="H1652">
        <f>표3[[#This Row],[공격성공횟수]]/(표3[[#This Row],[공격실패횟수]]+표3[[#This Row],[공격성공횟수]])</f>
        <v>0.25</v>
      </c>
    </row>
    <row r="1653" spans="1:8" hidden="1" x14ac:dyDescent="0.4">
      <c r="A1653">
        <v>826</v>
      </c>
      <c r="B1653" t="s">
        <v>1</v>
      </c>
      <c r="C1653">
        <v>0</v>
      </c>
      <c r="D1653">
        <v>1</v>
      </c>
      <c r="E1653">
        <v>14</v>
      </c>
      <c r="F1653">
        <v>4</v>
      </c>
      <c r="G1653">
        <v>1</v>
      </c>
      <c r="H1653">
        <f>표3[[#This Row],[공격성공횟수]]/(표3[[#This Row],[공격실패횟수]]+표3[[#This Row],[공격성공횟수]])</f>
        <v>6.6666666666666666E-2</v>
      </c>
    </row>
    <row r="1654" spans="1:8" x14ac:dyDescent="0.4">
      <c r="A1654">
        <v>827</v>
      </c>
      <c r="B1654" t="s">
        <v>3</v>
      </c>
      <c r="C1654">
        <v>1</v>
      </c>
      <c r="D1654">
        <v>4</v>
      </c>
      <c r="E1654">
        <v>11</v>
      </c>
      <c r="F1654">
        <v>0</v>
      </c>
      <c r="G1654">
        <v>0</v>
      </c>
      <c r="H1654">
        <f>표3[[#This Row],[공격성공횟수]]/(표3[[#This Row],[공격실패횟수]]+표3[[#This Row],[공격성공횟수]])</f>
        <v>0.26666666666666666</v>
      </c>
    </row>
    <row r="1655" spans="1:8" hidden="1" x14ac:dyDescent="0.4">
      <c r="A1655">
        <v>827</v>
      </c>
      <c r="B1655" t="s">
        <v>1</v>
      </c>
      <c r="C1655">
        <v>0</v>
      </c>
      <c r="D1655">
        <v>0</v>
      </c>
      <c r="E1655">
        <v>14</v>
      </c>
      <c r="F1655">
        <v>4</v>
      </c>
      <c r="G1655">
        <v>1</v>
      </c>
      <c r="H1655">
        <f>표3[[#This Row],[공격성공횟수]]/(표3[[#This Row],[공격실패횟수]]+표3[[#This Row],[공격성공횟수]])</f>
        <v>0</v>
      </c>
    </row>
    <row r="1656" spans="1:8" x14ac:dyDescent="0.4">
      <c r="A1656">
        <v>828</v>
      </c>
      <c r="B1656" t="s">
        <v>3</v>
      </c>
      <c r="C1656">
        <v>1</v>
      </c>
      <c r="D1656">
        <v>4</v>
      </c>
      <c r="E1656">
        <v>21</v>
      </c>
      <c r="F1656">
        <v>1</v>
      </c>
      <c r="G1656">
        <v>0</v>
      </c>
      <c r="H1656">
        <f>표3[[#This Row],[공격성공횟수]]/(표3[[#This Row],[공격실패횟수]]+표3[[#This Row],[공격성공횟수]])</f>
        <v>0.16</v>
      </c>
    </row>
    <row r="1657" spans="1:8" hidden="1" x14ac:dyDescent="0.4">
      <c r="A1657">
        <v>828</v>
      </c>
      <c r="B1657" t="s">
        <v>1</v>
      </c>
      <c r="C1657">
        <v>0</v>
      </c>
      <c r="D1657">
        <v>1</v>
      </c>
      <c r="E1657">
        <v>24</v>
      </c>
      <c r="F1657">
        <v>4</v>
      </c>
      <c r="G1657">
        <v>1</v>
      </c>
      <c r="H1657">
        <f>표3[[#This Row],[공격성공횟수]]/(표3[[#This Row],[공격실패횟수]]+표3[[#This Row],[공격성공횟수]])</f>
        <v>0.04</v>
      </c>
    </row>
    <row r="1658" spans="1:8" x14ac:dyDescent="0.4">
      <c r="A1658">
        <v>829</v>
      </c>
      <c r="B1658" t="s">
        <v>3</v>
      </c>
      <c r="C1658">
        <v>1</v>
      </c>
      <c r="D1658">
        <v>4</v>
      </c>
      <c r="E1658">
        <v>22</v>
      </c>
      <c r="F1658">
        <v>3</v>
      </c>
      <c r="G1658">
        <v>0</v>
      </c>
      <c r="H1658">
        <f>표3[[#This Row],[공격성공횟수]]/(표3[[#This Row],[공격실패횟수]]+표3[[#This Row],[공격성공횟수]])</f>
        <v>0.15384615384615385</v>
      </c>
    </row>
    <row r="1659" spans="1:8" hidden="1" x14ac:dyDescent="0.4">
      <c r="A1659">
        <v>829</v>
      </c>
      <c r="B1659" t="s">
        <v>1</v>
      </c>
      <c r="C1659">
        <v>0</v>
      </c>
      <c r="D1659">
        <v>3</v>
      </c>
      <c r="E1659">
        <v>21</v>
      </c>
      <c r="F1659">
        <v>4</v>
      </c>
      <c r="G1659">
        <v>1</v>
      </c>
      <c r="H1659">
        <f>표3[[#This Row],[공격성공횟수]]/(표3[[#This Row],[공격실패횟수]]+표3[[#This Row],[공격성공횟수]])</f>
        <v>0.125</v>
      </c>
    </row>
    <row r="1660" spans="1:8" x14ac:dyDescent="0.4">
      <c r="A1660">
        <v>830</v>
      </c>
      <c r="B1660" t="s">
        <v>3</v>
      </c>
      <c r="C1660">
        <v>1</v>
      </c>
      <c r="D1660">
        <v>4</v>
      </c>
      <c r="E1660">
        <v>13</v>
      </c>
      <c r="F1660">
        <v>0</v>
      </c>
      <c r="G1660">
        <v>0</v>
      </c>
      <c r="H1660">
        <f>표3[[#This Row],[공격성공횟수]]/(표3[[#This Row],[공격실패횟수]]+표3[[#This Row],[공격성공횟수]])</f>
        <v>0.23529411764705882</v>
      </c>
    </row>
    <row r="1661" spans="1:8" hidden="1" x14ac:dyDescent="0.4">
      <c r="A1661">
        <v>830</v>
      </c>
      <c r="B1661" t="s">
        <v>1</v>
      </c>
      <c r="C1661">
        <v>0</v>
      </c>
      <c r="D1661">
        <v>0</v>
      </c>
      <c r="E1661">
        <v>16</v>
      </c>
      <c r="F1661">
        <v>4</v>
      </c>
      <c r="G1661">
        <v>1</v>
      </c>
      <c r="H1661">
        <f>표3[[#This Row],[공격성공횟수]]/(표3[[#This Row],[공격실패횟수]]+표3[[#This Row],[공격성공횟수]])</f>
        <v>0</v>
      </c>
    </row>
    <row r="1662" spans="1:8" x14ac:dyDescent="0.4">
      <c r="A1662">
        <v>831</v>
      </c>
      <c r="B1662" t="s">
        <v>3</v>
      </c>
      <c r="C1662">
        <v>1</v>
      </c>
      <c r="D1662">
        <v>4</v>
      </c>
      <c r="E1662">
        <v>5</v>
      </c>
      <c r="F1662">
        <v>0</v>
      </c>
      <c r="G1662">
        <v>0</v>
      </c>
      <c r="H1662">
        <f>표3[[#This Row],[공격성공횟수]]/(표3[[#This Row],[공격실패횟수]]+표3[[#This Row],[공격성공횟수]])</f>
        <v>0.44444444444444442</v>
      </c>
    </row>
    <row r="1663" spans="1:8" hidden="1" x14ac:dyDescent="0.4">
      <c r="A1663">
        <v>831</v>
      </c>
      <c r="B1663" t="s">
        <v>1</v>
      </c>
      <c r="C1663">
        <v>0</v>
      </c>
      <c r="D1663">
        <v>0</v>
      </c>
      <c r="E1663">
        <v>9</v>
      </c>
      <c r="F1663">
        <v>4</v>
      </c>
      <c r="G1663">
        <v>1</v>
      </c>
      <c r="H1663">
        <f>표3[[#This Row],[공격성공횟수]]/(표3[[#This Row],[공격실패횟수]]+표3[[#This Row],[공격성공횟수]])</f>
        <v>0</v>
      </c>
    </row>
    <row r="1664" spans="1:8" x14ac:dyDescent="0.4">
      <c r="A1664">
        <v>832</v>
      </c>
      <c r="B1664" t="s">
        <v>3</v>
      </c>
      <c r="C1664">
        <v>1</v>
      </c>
      <c r="D1664">
        <v>4</v>
      </c>
      <c r="E1664">
        <v>16</v>
      </c>
      <c r="F1664">
        <v>3</v>
      </c>
      <c r="G1664">
        <v>0</v>
      </c>
      <c r="H1664">
        <f>표3[[#This Row],[공격성공횟수]]/(표3[[#This Row],[공격실패횟수]]+표3[[#This Row],[공격성공횟수]])</f>
        <v>0.2</v>
      </c>
    </row>
    <row r="1665" spans="1:8" hidden="1" x14ac:dyDescent="0.4">
      <c r="A1665">
        <v>832</v>
      </c>
      <c r="B1665" t="s">
        <v>1</v>
      </c>
      <c r="C1665">
        <v>0</v>
      </c>
      <c r="D1665">
        <v>3</v>
      </c>
      <c r="E1665">
        <v>16</v>
      </c>
      <c r="F1665">
        <v>4</v>
      </c>
      <c r="G1665">
        <v>1</v>
      </c>
      <c r="H1665">
        <f>표3[[#This Row],[공격성공횟수]]/(표3[[#This Row],[공격실패횟수]]+표3[[#This Row],[공격성공횟수]])</f>
        <v>0.15789473684210525</v>
      </c>
    </row>
    <row r="1666" spans="1:8" x14ac:dyDescent="0.4">
      <c r="A1666">
        <v>833</v>
      </c>
      <c r="B1666" t="s">
        <v>3</v>
      </c>
      <c r="C1666">
        <v>1</v>
      </c>
      <c r="D1666">
        <v>4</v>
      </c>
      <c r="E1666">
        <v>6</v>
      </c>
      <c r="F1666">
        <v>0</v>
      </c>
      <c r="G1666">
        <v>0</v>
      </c>
      <c r="H1666">
        <f>표3[[#This Row],[공격성공횟수]]/(표3[[#This Row],[공격실패횟수]]+표3[[#This Row],[공격성공횟수]])</f>
        <v>0.4</v>
      </c>
    </row>
    <row r="1667" spans="1:8" hidden="1" x14ac:dyDescent="0.4">
      <c r="A1667">
        <v>833</v>
      </c>
      <c r="B1667" t="s">
        <v>1</v>
      </c>
      <c r="C1667">
        <v>0</v>
      </c>
      <c r="D1667">
        <v>0</v>
      </c>
      <c r="E1667">
        <v>10</v>
      </c>
      <c r="F1667">
        <v>4</v>
      </c>
      <c r="G1667">
        <v>1</v>
      </c>
      <c r="H1667">
        <f>표3[[#This Row],[공격성공횟수]]/(표3[[#This Row],[공격실패횟수]]+표3[[#This Row],[공격성공횟수]])</f>
        <v>0</v>
      </c>
    </row>
    <row r="1668" spans="1:8" x14ac:dyDescent="0.4">
      <c r="A1668">
        <v>834</v>
      </c>
      <c r="B1668" t="s">
        <v>3</v>
      </c>
      <c r="C1668">
        <v>1</v>
      </c>
      <c r="D1668">
        <v>4</v>
      </c>
      <c r="E1668">
        <v>11</v>
      </c>
      <c r="F1668">
        <v>2</v>
      </c>
      <c r="G1668">
        <v>0</v>
      </c>
      <c r="H1668">
        <f>표3[[#This Row],[공격성공횟수]]/(표3[[#This Row],[공격실패횟수]]+표3[[#This Row],[공격성공횟수]])</f>
        <v>0.26666666666666666</v>
      </c>
    </row>
    <row r="1669" spans="1:8" hidden="1" x14ac:dyDescent="0.4">
      <c r="A1669">
        <v>834</v>
      </c>
      <c r="B1669" t="s">
        <v>1</v>
      </c>
      <c r="C1669">
        <v>0</v>
      </c>
      <c r="D1669">
        <v>2</v>
      </c>
      <c r="E1669">
        <v>13</v>
      </c>
      <c r="F1669">
        <v>4</v>
      </c>
      <c r="G1669">
        <v>1</v>
      </c>
      <c r="H1669">
        <f>표3[[#This Row],[공격성공횟수]]/(표3[[#This Row],[공격실패횟수]]+표3[[#This Row],[공격성공횟수]])</f>
        <v>0.13333333333333333</v>
      </c>
    </row>
    <row r="1670" spans="1:8" x14ac:dyDescent="0.4">
      <c r="A1670">
        <v>835</v>
      </c>
      <c r="B1670" t="s">
        <v>3</v>
      </c>
      <c r="C1670">
        <v>0</v>
      </c>
      <c r="D1670">
        <v>0</v>
      </c>
      <c r="E1670">
        <v>10</v>
      </c>
      <c r="F1670">
        <v>4</v>
      </c>
      <c r="G1670">
        <v>1</v>
      </c>
      <c r="H1670">
        <f>표3[[#This Row],[공격성공횟수]]/(표3[[#This Row],[공격실패횟수]]+표3[[#This Row],[공격성공횟수]])</f>
        <v>0</v>
      </c>
    </row>
    <row r="1671" spans="1:8" hidden="1" x14ac:dyDescent="0.4">
      <c r="A1671">
        <v>835</v>
      </c>
      <c r="B1671" t="s">
        <v>1</v>
      </c>
      <c r="C1671">
        <v>1</v>
      </c>
      <c r="D1671">
        <v>4</v>
      </c>
      <c r="E1671">
        <v>7</v>
      </c>
      <c r="F1671">
        <v>0</v>
      </c>
      <c r="G1671">
        <v>0</v>
      </c>
      <c r="H1671">
        <f>표3[[#This Row],[공격성공횟수]]/(표3[[#This Row],[공격실패횟수]]+표3[[#This Row],[공격성공횟수]])</f>
        <v>0.36363636363636365</v>
      </c>
    </row>
    <row r="1672" spans="1:8" x14ac:dyDescent="0.4">
      <c r="A1672">
        <v>836</v>
      </c>
      <c r="B1672" t="s">
        <v>3</v>
      </c>
      <c r="C1672">
        <v>1</v>
      </c>
      <c r="D1672">
        <v>4</v>
      </c>
      <c r="E1672">
        <v>25</v>
      </c>
      <c r="F1672">
        <v>1</v>
      </c>
      <c r="G1672">
        <v>0</v>
      </c>
      <c r="H1672">
        <f>표3[[#This Row],[공격성공횟수]]/(표3[[#This Row],[공격실패횟수]]+표3[[#This Row],[공격성공횟수]])</f>
        <v>0.13793103448275862</v>
      </c>
    </row>
    <row r="1673" spans="1:8" hidden="1" x14ac:dyDescent="0.4">
      <c r="A1673">
        <v>836</v>
      </c>
      <c r="B1673" t="s">
        <v>1</v>
      </c>
      <c r="C1673">
        <v>0</v>
      </c>
      <c r="D1673">
        <v>1</v>
      </c>
      <c r="E1673">
        <v>26</v>
      </c>
      <c r="F1673">
        <v>4</v>
      </c>
      <c r="G1673">
        <v>1</v>
      </c>
      <c r="H1673">
        <f>표3[[#This Row],[공격성공횟수]]/(표3[[#This Row],[공격실패횟수]]+표3[[#This Row],[공격성공횟수]])</f>
        <v>3.7037037037037035E-2</v>
      </c>
    </row>
    <row r="1674" spans="1:8" x14ac:dyDescent="0.4">
      <c r="A1674">
        <v>837</v>
      </c>
      <c r="B1674" t="s">
        <v>3</v>
      </c>
      <c r="C1674">
        <v>1</v>
      </c>
      <c r="D1674">
        <v>4</v>
      </c>
      <c r="E1674">
        <v>11</v>
      </c>
      <c r="F1674">
        <v>1</v>
      </c>
      <c r="G1674">
        <v>0</v>
      </c>
      <c r="H1674">
        <f>표3[[#This Row],[공격성공횟수]]/(표3[[#This Row],[공격실패횟수]]+표3[[#This Row],[공격성공횟수]])</f>
        <v>0.26666666666666666</v>
      </c>
    </row>
    <row r="1675" spans="1:8" hidden="1" x14ac:dyDescent="0.4">
      <c r="A1675">
        <v>837</v>
      </c>
      <c r="B1675" t="s">
        <v>1</v>
      </c>
      <c r="C1675">
        <v>0</v>
      </c>
      <c r="D1675">
        <v>1</v>
      </c>
      <c r="E1675">
        <v>13</v>
      </c>
      <c r="F1675">
        <v>4</v>
      </c>
      <c r="G1675">
        <v>1</v>
      </c>
      <c r="H1675">
        <f>표3[[#This Row],[공격성공횟수]]/(표3[[#This Row],[공격실패횟수]]+표3[[#This Row],[공격성공횟수]])</f>
        <v>7.1428571428571425E-2</v>
      </c>
    </row>
    <row r="1676" spans="1:8" x14ac:dyDescent="0.4">
      <c r="A1676">
        <v>838</v>
      </c>
      <c r="B1676" t="s">
        <v>3</v>
      </c>
      <c r="C1676">
        <v>1</v>
      </c>
      <c r="D1676">
        <v>4</v>
      </c>
      <c r="E1676">
        <v>33</v>
      </c>
      <c r="F1676">
        <v>3</v>
      </c>
      <c r="G1676">
        <v>0</v>
      </c>
      <c r="H1676">
        <f>표3[[#This Row],[공격성공횟수]]/(표3[[#This Row],[공격실패횟수]]+표3[[#This Row],[공격성공횟수]])</f>
        <v>0.10810810810810811</v>
      </c>
    </row>
    <row r="1677" spans="1:8" hidden="1" x14ac:dyDescent="0.4">
      <c r="A1677">
        <v>838</v>
      </c>
      <c r="B1677" t="s">
        <v>1</v>
      </c>
      <c r="C1677">
        <v>0</v>
      </c>
      <c r="D1677">
        <v>3</v>
      </c>
      <c r="E1677">
        <v>33</v>
      </c>
      <c r="F1677">
        <v>4</v>
      </c>
      <c r="G1677">
        <v>1</v>
      </c>
      <c r="H1677">
        <f>표3[[#This Row],[공격성공횟수]]/(표3[[#This Row],[공격실패횟수]]+표3[[#This Row],[공격성공횟수]])</f>
        <v>8.3333333333333329E-2</v>
      </c>
    </row>
    <row r="1678" spans="1:8" x14ac:dyDescent="0.4">
      <c r="A1678">
        <v>839</v>
      </c>
      <c r="B1678" t="s">
        <v>3</v>
      </c>
      <c r="C1678">
        <v>1</v>
      </c>
      <c r="D1678">
        <v>4</v>
      </c>
      <c r="E1678">
        <v>5</v>
      </c>
      <c r="F1678">
        <v>0</v>
      </c>
      <c r="G1678">
        <v>0</v>
      </c>
      <c r="H1678">
        <f>표3[[#This Row],[공격성공횟수]]/(표3[[#This Row],[공격실패횟수]]+표3[[#This Row],[공격성공횟수]])</f>
        <v>0.44444444444444442</v>
      </c>
    </row>
    <row r="1679" spans="1:8" hidden="1" x14ac:dyDescent="0.4">
      <c r="A1679">
        <v>839</v>
      </c>
      <c r="B1679" t="s">
        <v>1</v>
      </c>
      <c r="C1679">
        <v>0</v>
      </c>
      <c r="D1679">
        <v>0</v>
      </c>
      <c r="E1679">
        <v>9</v>
      </c>
      <c r="F1679">
        <v>4</v>
      </c>
      <c r="G1679">
        <v>1</v>
      </c>
      <c r="H1679">
        <f>표3[[#This Row],[공격성공횟수]]/(표3[[#This Row],[공격실패횟수]]+표3[[#This Row],[공격성공횟수]])</f>
        <v>0</v>
      </c>
    </row>
    <row r="1680" spans="1:8" x14ac:dyDescent="0.4">
      <c r="A1680">
        <v>840</v>
      </c>
      <c r="B1680" t="s">
        <v>3</v>
      </c>
      <c r="C1680">
        <v>1</v>
      </c>
      <c r="D1680">
        <v>4</v>
      </c>
      <c r="E1680">
        <v>10</v>
      </c>
      <c r="F1680">
        <v>1</v>
      </c>
      <c r="G1680">
        <v>0</v>
      </c>
      <c r="H1680">
        <f>표3[[#This Row],[공격성공횟수]]/(표3[[#This Row],[공격실패횟수]]+표3[[#This Row],[공격성공횟수]])</f>
        <v>0.2857142857142857</v>
      </c>
    </row>
    <row r="1681" spans="1:8" hidden="1" x14ac:dyDescent="0.4">
      <c r="A1681">
        <v>840</v>
      </c>
      <c r="B1681" t="s">
        <v>1</v>
      </c>
      <c r="C1681">
        <v>0</v>
      </c>
      <c r="D1681">
        <v>1</v>
      </c>
      <c r="E1681">
        <v>12</v>
      </c>
      <c r="F1681">
        <v>4</v>
      </c>
      <c r="G1681">
        <v>1</v>
      </c>
      <c r="H1681">
        <f>표3[[#This Row],[공격성공횟수]]/(표3[[#This Row],[공격실패횟수]]+표3[[#This Row],[공격성공횟수]])</f>
        <v>7.6923076923076927E-2</v>
      </c>
    </row>
    <row r="1682" spans="1:8" x14ac:dyDescent="0.4">
      <c r="A1682">
        <v>841</v>
      </c>
      <c r="B1682" t="s">
        <v>3</v>
      </c>
      <c r="C1682">
        <v>1</v>
      </c>
      <c r="D1682">
        <v>4</v>
      </c>
      <c r="E1682">
        <v>5</v>
      </c>
      <c r="F1682">
        <v>0</v>
      </c>
      <c r="G1682">
        <v>0</v>
      </c>
      <c r="H1682">
        <f>표3[[#This Row],[공격성공횟수]]/(표3[[#This Row],[공격실패횟수]]+표3[[#This Row],[공격성공횟수]])</f>
        <v>0.44444444444444442</v>
      </c>
    </row>
    <row r="1683" spans="1:8" hidden="1" x14ac:dyDescent="0.4">
      <c r="A1683">
        <v>841</v>
      </c>
      <c r="B1683" t="s">
        <v>1</v>
      </c>
      <c r="C1683">
        <v>0</v>
      </c>
      <c r="D1683">
        <v>0</v>
      </c>
      <c r="E1683">
        <v>8</v>
      </c>
      <c r="F1683">
        <v>4</v>
      </c>
      <c r="G1683">
        <v>1</v>
      </c>
      <c r="H1683">
        <f>표3[[#This Row],[공격성공횟수]]/(표3[[#This Row],[공격실패횟수]]+표3[[#This Row],[공격성공횟수]])</f>
        <v>0</v>
      </c>
    </row>
    <row r="1684" spans="1:8" x14ac:dyDescent="0.4">
      <c r="A1684">
        <v>842</v>
      </c>
      <c r="B1684" t="s">
        <v>3</v>
      </c>
      <c r="C1684">
        <v>1</v>
      </c>
      <c r="D1684">
        <v>4</v>
      </c>
      <c r="E1684">
        <v>16</v>
      </c>
      <c r="F1684">
        <v>1</v>
      </c>
      <c r="G1684">
        <v>0</v>
      </c>
      <c r="H1684">
        <f>표3[[#This Row],[공격성공횟수]]/(표3[[#This Row],[공격실패횟수]]+표3[[#This Row],[공격성공횟수]])</f>
        <v>0.2</v>
      </c>
    </row>
    <row r="1685" spans="1:8" hidden="1" x14ac:dyDescent="0.4">
      <c r="A1685">
        <v>842</v>
      </c>
      <c r="B1685" t="s">
        <v>1</v>
      </c>
      <c r="C1685">
        <v>0</v>
      </c>
      <c r="D1685">
        <v>1</v>
      </c>
      <c r="E1685">
        <v>18</v>
      </c>
      <c r="F1685">
        <v>4</v>
      </c>
      <c r="G1685">
        <v>1</v>
      </c>
      <c r="H1685">
        <f>표3[[#This Row],[공격성공횟수]]/(표3[[#This Row],[공격실패횟수]]+표3[[#This Row],[공격성공횟수]])</f>
        <v>5.2631578947368418E-2</v>
      </c>
    </row>
    <row r="1686" spans="1:8" x14ac:dyDescent="0.4">
      <c r="A1686">
        <v>843</v>
      </c>
      <c r="B1686" t="s">
        <v>3</v>
      </c>
      <c r="C1686">
        <v>1</v>
      </c>
      <c r="D1686">
        <v>4</v>
      </c>
      <c r="E1686">
        <v>10</v>
      </c>
      <c r="F1686">
        <v>0</v>
      </c>
      <c r="G1686">
        <v>0</v>
      </c>
      <c r="H1686">
        <f>표3[[#This Row],[공격성공횟수]]/(표3[[#This Row],[공격실패횟수]]+표3[[#This Row],[공격성공횟수]])</f>
        <v>0.2857142857142857</v>
      </c>
    </row>
    <row r="1687" spans="1:8" hidden="1" x14ac:dyDescent="0.4">
      <c r="A1687">
        <v>843</v>
      </c>
      <c r="B1687" t="s">
        <v>1</v>
      </c>
      <c r="C1687">
        <v>0</v>
      </c>
      <c r="D1687">
        <v>0</v>
      </c>
      <c r="E1687">
        <v>14</v>
      </c>
      <c r="F1687">
        <v>4</v>
      </c>
      <c r="G1687">
        <v>1</v>
      </c>
      <c r="H1687">
        <f>표3[[#This Row],[공격성공횟수]]/(표3[[#This Row],[공격실패횟수]]+표3[[#This Row],[공격성공횟수]])</f>
        <v>0</v>
      </c>
    </row>
    <row r="1688" spans="1:8" x14ac:dyDescent="0.4">
      <c r="A1688">
        <v>844</v>
      </c>
      <c r="B1688" t="s">
        <v>3</v>
      </c>
      <c r="C1688">
        <v>1</v>
      </c>
      <c r="D1688">
        <v>4</v>
      </c>
      <c r="E1688">
        <v>7</v>
      </c>
      <c r="F1688">
        <v>0</v>
      </c>
      <c r="G1688">
        <v>0</v>
      </c>
      <c r="H1688">
        <f>표3[[#This Row],[공격성공횟수]]/(표3[[#This Row],[공격실패횟수]]+표3[[#This Row],[공격성공횟수]])</f>
        <v>0.36363636363636365</v>
      </c>
    </row>
    <row r="1689" spans="1:8" hidden="1" x14ac:dyDescent="0.4">
      <c r="A1689">
        <v>844</v>
      </c>
      <c r="B1689" t="s">
        <v>1</v>
      </c>
      <c r="C1689">
        <v>0</v>
      </c>
      <c r="D1689">
        <v>0</v>
      </c>
      <c r="E1689">
        <v>10</v>
      </c>
      <c r="F1689">
        <v>4</v>
      </c>
      <c r="G1689">
        <v>1</v>
      </c>
      <c r="H1689">
        <f>표3[[#This Row],[공격성공횟수]]/(표3[[#This Row],[공격실패횟수]]+표3[[#This Row],[공격성공횟수]])</f>
        <v>0</v>
      </c>
    </row>
    <row r="1690" spans="1:8" x14ac:dyDescent="0.4">
      <c r="A1690">
        <v>845</v>
      </c>
      <c r="B1690" t="s">
        <v>3</v>
      </c>
      <c r="C1690">
        <v>1</v>
      </c>
      <c r="D1690">
        <v>4</v>
      </c>
      <c r="E1690">
        <v>21</v>
      </c>
      <c r="F1690">
        <v>1</v>
      </c>
      <c r="G1690">
        <v>0</v>
      </c>
      <c r="H1690">
        <f>표3[[#This Row],[공격성공횟수]]/(표3[[#This Row],[공격실패횟수]]+표3[[#This Row],[공격성공횟수]])</f>
        <v>0.16</v>
      </c>
    </row>
    <row r="1691" spans="1:8" hidden="1" x14ac:dyDescent="0.4">
      <c r="A1691">
        <v>845</v>
      </c>
      <c r="B1691" t="s">
        <v>1</v>
      </c>
      <c r="C1691">
        <v>0</v>
      </c>
      <c r="D1691">
        <v>1</v>
      </c>
      <c r="E1691">
        <v>24</v>
      </c>
      <c r="F1691">
        <v>4</v>
      </c>
      <c r="G1691">
        <v>1</v>
      </c>
      <c r="H1691">
        <f>표3[[#This Row],[공격성공횟수]]/(표3[[#This Row],[공격실패횟수]]+표3[[#This Row],[공격성공횟수]])</f>
        <v>0.04</v>
      </c>
    </row>
    <row r="1692" spans="1:8" x14ac:dyDescent="0.4">
      <c r="A1692">
        <v>846</v>
      </c>
      <c r="B1692" t="s">
        <v>3</v>
      </c>
      <c r="C1692">
        <v>1</v>
      </c>
      <c r="D1692">
        <v>4</v>
      </c>
      <c r="E1692">
        <v>14</v>
      </c>
      <c r="F1692">
        <v>1</v>
      </c>
      <c r="G1692">
        <v>0</v>
      </c>
      <c r="H1692">
        <f>표3[[#This Row],[공격성공횟수]]/(표3[[#This Row],[공격실패횟수]]+표3[[#This Row],[공격성공횟수]])</f>
        <v>0.22222222222222221</v>
      </c>
    </row>
    <row r="1693" spans="1:8" hidden="1" x14ac:dyDescent="0.4">
      <c r="A1693">
        <v>846</v>
      </c>
      <c r="B1693" t="s">
        <v>1</v>
      </c>
      <c r="C1693">
        <v>0</v>
      </c>
      <c r="D1693">
        <v>1</v>
      </c>
      <c r="E1693">
        <v>16</v>
      </c>
      <c r="F1693">
        <v>4</v>
      </c>
      <c r="G1693">
        <v>1</v>
      </c>
      <c r="H1693">
        <f>표3[[#This Row],[공격성공횟수]]/(표3[[#This Row],[공격실패횟수]]+표3[[#This Row],[공격성공횟수]])</f>
        <v>5.8823529411764705E-2</v>
      </c>
    </row>
    <row r="1694" spans="1:8" x14ac:dyDescent="0.4">
      <c r="A1694">
        <v>847</v>
      </c>
      <c r="B1694" t="s">
        <v>3</v>
      </c>
      <c r="C1694">
        <v>1</v>
      </c>
      <c r="D1694">
        <v>4</v>
      </c>
      <c r="E1694">
        <v>8</v>
      </c>
      <c r="F1694">
        <v>1</v>
      </c>
      <c r="G1694">
        <v>0</v>
      </c>
      <c r="H1694">
        <f>표3[[#This Row],[공격성공횟수]]/(표3[[#This Row],[공격실패횟수]]+표3[[#This Row],[공격성공횟수]])</f>
        <v>0.33333333333333331</v>
      </c>
    </row>
    <row r="1695" spans="1:8" hidden="1" x14ac:dyDescent="0.4">
      <c r="A1695">
        <v>847</v>
      </c>
      <c r="B1695" t="s">
        <v>1</v>
      </c>
      <c r="C1695">
        <v>0</v>
      </c>
      <c r="D1695">
        <v>1</v>
      </c>
      <c r="E1695">
        <v>11</v>
      </c>
      <c r="F1695">
        <v>4</v>
      </c>
      <c r="G1695">
        <v>1</v>
      </c>
      <c r="H1695">
        <f>표3[[#This Row],[공격성공횟수]]/(표3[[#This Row],[공격실패횟수]]+표3[[#This Row],[공격성공횟수]])</f>
        <v>8.3333333333333329E-2</v>
      </c>
    </row>
    <row r="1696" spans="1:8" x14ac:dyDescent="0.4">
      <c r="A1696">
        <v>848</v>
      </c>
      <c r="B1696" t="s">
        <v>3</v>
      </c>
      <c r="C1696">
        <v>0</v>
      </c>
      <c r="D1696">
        <v>0</v>
      </c>
      <c r="E1696">
        <v>27</v>
      </c>
      <c r="F1696">
        <v>4</v>
      </c>
      <c r="G1696">
        <v>1</v>
      </c>
      <c r="H1696">
        <f>표3[[#This Row],[공격성공횟수]]/(표3[[#This Row],[공격실패횟수]]+표3[[#This Row],[공격성공횟수]])</f>
        <v>0</v>
      </c>
    </row>
    <row r="1697" spans="1:8" hidden="1" x14ac:dyDescent="0.4">
      <c r="A1697">
        <v>848</v>
      </c>
      <c r="B1697" t="s">
        <v>1</v>
      </c>
      <c r="C1697">
        <v>1</v>
      </c>
      <c r="D1697">
        <v>4</v>
      </c>
      <c r="E1697">
        <v>23</v>
      </c>
      <c r="F1697">
        <v>0</v>
      </c>
      <c r="G1697">
        <v>0</v>
      </c>
      <c r="H1697">
        <f>표3[[#This Row],[공격성공횟수]]/(표3[[#This Row],[공격실패횟수]]+표3[[#This Row],[공격성공횟수]])</f>
        <v>0.14814814814814814</v>
      </c>
    </row>
    <row r="1698" spans="1:8" x14ac:dyDescent="0.4">
      <c r="A1698">
        <v>849</v>
      </c>
      <c r="B1698" t="s">
        <v>3</v>
      </c>
      <c r="C1698">
        <v>1</v>
      </c>
      <c r="D1698">
        <v>4</v>
      </c>
      <c r="E1698">
        <v>6</v>
      </c>
      <c r="F1698">
        <v>1</v>
      </c>
      <c r="G1698">
        <v>0</v>
      </c>
      <c r="H1698">
        <f>표3[[#This Row],[공격성공횟수]]/(표3[[#This Row],[공격실패횟수]]+표3[[#This Row],[공격성공횟수]])</f>
        <v>0.4</v>
      </c>
    </row>
    <row r="1699" spans="1:8" hidden="1" x14ac:dyDescent="0.4">
      <c r="A1699">
        <v>849</v>
      </c>
      <c r="B1699" t="s">
        <v>1</v>
      </c>
      <c r="C1699">
        <v>0</v>
      </c>
      <c r="D1699">
        <v>1</v>
      </c>
      <c r="E1699">
        <v>8</v>
      </c>
      <c r="F1699">
        <v>4</v>
      </c>
      <c r="G1699">
        <v>1</v>
      </c>
      <c r="H1699">
        <f>표3[[#This Row],[공격성공횟수]]/(표3[[#This Row],[공격실패횟수]]+표3[[#This Row],[공격성공횟수]])</f>
        <v>0.1111111111111111</v>
      </c>
    </row>
    <row r="1700" spans="1:8" x14ac:dyDescent="0.4">
      <c r="A1700">
        <v>850</v>
      </c>
      <c r="B1700" t="s">
        <v>3</v>
      </c>
      <c r="C1700">
        <v>1</v>
      </c>
      <c r="D1700">
        <v>4</v>
      </c>
      <c r="E1700">
        <v>11</v>
      </c>
      <c r="F1700">
        <v>1</v>
      </c>
      <c r="G1700">
        <v>0</v>
      </c>
      <c r="H1700">
        <f>표3[[#This Row],[공격성공횟수]]/(표3[[#This Row],[공격실패횟수]]+표3[[#This Row],[공격성공횟수]])</f>
        <v>0.26666666666666666</v>
      </c>
    </row>
    <row r="1701" spans="1:8" hidden="1" x14ac:dyDescent="0.4">
      <c r="A1701">
        <v>850</v>
      </c>
      <c r="B1701" t="s">
        <v>1</v>
      </c>
      <c r="C1701">
        <v>0</v>
      </c>
      <c r="D1701">
        <v>1</v>
      </c>
      <c r="E1701">
        <v>13</v>
      </c>
      <c r="F1701">
        <v>4</v>
      </c>
      <c r="G1701">
        <v>1</v>
      </c>
      <c r="H1701">
        <f>표3[[#This Row],[공격성공횟수]]/(표3[[#This Row],[공격실패횟수]]+표3[[#This Row],[공격성공횟수]])</f>
        <v>7.1428571428571425E-2</v>
      </c>
    </row>
    <row r="1702" spans="1:8" x14ac:dyDescent="0.4">
      <c r="A1702">
        <v>851</v>
      </c>
      <c r="B1702" t="s">
        <v>3</v>
      </c>
      <c r="C1702">
        <v>1</v>
      </c>
      <c r="D1702">
        <v>4</v>
      </c>
      <c r="E1702">
        <v>12</v>
      </c>
      <c r="F1702">
        <v>1</v>
      </c>
      <c r="G1702">
        <v>0</v>
      </c>
      <c r="H1702">
        <f>표3[[#This Row],[공격성공횟수]]/(표3[[#This Row],[공격실패횟수]]+표3[[#This Row],[공격성공횟수]])</f>
        <v>0.25</v>
      </c>
    </row>
    <row r="1703" spans="1:8" hidden="1" x14ac:dyDescent="0.4">
      <c r="A1703">
        <v>851</v>
      </c>
      <c r="B1703" t="s">
        <v>1</v>
      </c>
      <c r="C1703">
        <v>0</v>
      </c>
      <c r="D1703">
        <v>1</v>
      </c>
      <c r="E1703">
        <v>14</v>
      </c>
      <c r="F1703">
        <v>4</v>
      </c>
      <c r="G1703">
        <v>1</v>
      </c>
      <c r="H1703">
        <f>표3[[#This Row],[공격성공횟수]]/(표3[[#This Row],[공격실패횟수]]+표3[[#This Row],[공격성공횟수]])</f>
        <v>6.6666666666666666E-2</v>
      </c>
    </row>
    <row r="1704" spans="1:8" x14ac:dyDescent="0.4">
      <c r="A1704">
        <v>852</v>
      </c>
      <c r="B1704" t="s">
        <v>3</v>
      </c>
      <c r="C1704">
        <v>1</v>
      </c>
      <c r="D1704">
        <v>4</v>
      </c>
      <c r="E1704">
        <v>23</v>
      </c>
      <c r="F1704">
        <v>2</v>
      </c>
      <c r="G1704">
        <v>0</v>
      </c>
      <c r="H1704">
        <f>표3[[#This Row],[공격성공횟수]]/(표3[[#This Row],[공격실패횟수]]+표3[[#This Row],[공격성공횟수]])</f>
        <v>0.14814814814814814</v>
      </c>
    </row>
    <row r="1705" spans="1:8" hidden="1" x14ac:dyDescent="0.4">
      <c r="A1705">
        <v>852</v>
      </c>
      <c r="B1705" t="s">
        <v>1</v>
      </c>
      <c r="C1705">
        <v>0</v>
      </c>
      <c r="D1705">
        <v>2</v>
      </c>
      <c r="E1705">
        <v>25</v>
      </c>
      <c r="F1705">
        <v>4</v>
      </c>
      <c r="G1705">
        <v>1</v>
      </c>
      <c r="H1705">
        <f>표3[[#This Row],[공격성공횟수]]/(표3[[#This Row],[공격실패횟수]]+표3[[#This Row],[공격성공횟수]])</f>
        <v>7.407407407407407E-2</v>
      </c>
    </row>
    <row r="1706" spans="1:8" x14ac:dyDescent="0.4">
      <c r="A1706">
        <v>853</v>
      </c>
      <c r="B1706" t="s">
        <v>3</v>
      </c>
      <c r="C1706">
        <v>1</v>
      </c>
      <c r="D1706">
        <v>4</v>
      </c>
      <c r="E1706">
        <v>11</v>
      </c>
      <c r="F1706">
        <v>1</v>
      </c>
      <c r="G1706">
        <v>0</v>
      </c>
      <c r="H1706">
        <f>표3[[#This Row],[공격성공횟수]]/(표3[[#This Row],[공격실패횟수]]+표3[[#This Row],[공격성공횟수]])</f>
        <v>0.26666666666666666</v>
      </c>
    </row>
    <row r="1707" spans="1:8" hidden="1" x14ac:dyDescent="0.4">
      <c r="A1707">
        <v>853</v>
      </c>
      <c r="B1707" t="s">
        <v>1</v>
      </c>
      <c r="C1707">
        <v>0</v>
      </c>
      <c r="D1707">
        <v>1</v>
      </c>
      <c r="E1707">
        <v>13</v>
      </c>
      <c r="F1707">
        <v>4</v>
      </c>
      <c r="G1707">
        <v>1</v>
      </c>
      <c r="H1707">
        <f>표3[[#This Row],[공격성공횟수]]/(표3[[#This Row],[공격실패횟수]]+표3[[#This Row],[공격성공횟수]])</f>
        <v>7.1428571428571425E-2</v>
      </c>
    </row>
    <row r="1708" spans="1:8" x14ac:dyDescent="0.4">
      <c r="A1708">
        <v>854</v>
      </c>
      <c r="B1708" t="s">
        <v>3</v>
      </c>
      <c r="C1708">
        <v>1</v>
      </c>
      <c r="D1708">
        <v>4</v>
      </c>
      <c r="E1708">
        <v>9</v>
      </c>
      <c r="F1708">
        <v>0</v>
      </c>
      <c r="G1708">
        <v>0</v>
      </c>
      <c r="H1708">
        <f>표3[[#This Row],[공격성공횟수]]/(표3[[#This Row],[공격실패횟수]]+표3[[#This Row],[공격성공횟수]])</f>
        <v>0.30769230769230771</v>
      </c>
    </row>
    <row r="1709" spans="1:8" hidden="1" x14ac:dyDescent="0.4">
      <c r="A1709">
        <v>854</v>
      </c>
      <c r="B1709" t="s">
        <v>1</v>
      </c>
      <c r="C1709">
        <v>0</v>
      </c>
      <c r="D1709">
        <v>0</v>
      </c>
      <c r="E1709">
        <v>12</v>
      </c>
      <c r="F1709">
        <v>4</v>
      </c>
      <c r="G1709">
        <v>1</v>
      </c>
      <c r="H1709">
        <f>표3[[#This Row],[공격성공횟수]]/(표3[[#This Row],[공격실패횟수]]+표3[[#This Row],[공격성공횟수]])</f>
        <v>0</v>
      </c>
    </row>
    <row r="1710" spans="1:8" x14ac:dyDescent="0.4">
      <c r="A1710">
        <v>855</v>
      </c>
      <c r="B1710" t="s">
        <v>3</v>
      </c>
      <c r="C1710">
        <v>0</v>
      </c>
      <c r="D1710">
        <v>1</v>
      </c>
      <c r="E1710">
        <v>18</v>
      </c>
      <c r="F1710">
        <v>4</v>
      </c>
      <c r="G1710">
        <v>1</v>
      </c>
      <c r="H1710">
        <f>표3[[#This Row],[공격성공횟수]]/(표3[[#This Row],[공격실패횟수]]+표3[[#This Row],[공격성공횟수]])</f>
        <v>5.2631578947368418E-2</v>
      </c>
    </row>
    <row r="1711" spans="1:8" hidden="1" x14ac:dyDescent="0.4">
      <c r="A1711">
        <v>855</v>
      </c>
      <c r="B1711" t="s">
        <v>1</v>
      </c>
      <c r="C1711">
        <v>1</v>
      </c>
      <c r="D1711">
        <v>4</v>
      </c>
      <c r="E1711">
        <v>17</v>
      </c>
      <c r="F1711">
        <v>1</v>
      </c>
      <c r="G1711">
        <v>0</v>
      </c>
      <c r="H1711">
        <f>표3[[#This Row],[공격성공횟수]]/(표3[[#This Row],[공격실패횟수]]+표3[[#This Row],[공격성공횟수]])</f>
        <v>0.19047619047619047</v>
      </c>
    </row>
    <row r="1712" spans="1:8" x14ac:dyDescent="0.4">
      <c r="A1712">
        <v>856</v>
      </c>
      <c r="B1712" t="s">
        <v>3</v>
      </c>
      <c r="C1712">
        <v>1</v>
      </c>
      <c r="D1712">
        <v>4</v>
      </c>
      <c r="E1712">
        <v>9</v>
      </c>
      <c r="F1712">
        <v>2</v>
      </c>
      <c r="G1712">
        <v>0</v>
      </c>
      <c r="H1712">
        <f>표3[[#This Row],[공격성공횟수]]/(표3[[#This Row],[공격실패횟수]]+표3[[#This Row],[공격성공횟수]])</f>
        <v>0.30769230769230771</v>
      </c>
    </row>
    <row r="1713" spans="1:8" hidden="1" x14ac:dyDescent="0.4">
      <c r="A1713">
        <v>856</v>
      </c>
      <c r="B1713" t="s">
        <v>1</v>
      </c>
      <c r="C1713">
        <v>0</v>
      </c>
      <c r="D1713">
        <v>2</v>
      </c>
      <c r="E1713">
        <v>10</v>
      </c>
      <c r="F1713">
        <v>4</v>
      </c>
      <c r="G1713">
        <v>1</v>
      </c>
      <c r="H1713">
        <f>표3[[#This Row],[공격성공횟수]]/(표3[[#This Row],[공격실패횟수]]+표3[[#This Row],[공격성공횟수]])</f>
        <v>0.16666666666666666</v>
      </c>
    </row>
    <row r="1714" spans="1:8" x14ac:dyDescent="0.4">
      <c r="A1714">
        <v>857</v>
      </c>
      <c r="B1714" t="s">
        <v>3</v>
      </c>
      <c r="C1714">
        <v>1</v>
      </c>
      <c r="D1714">
        <v>4</v>
      </c>
      <c r="E1714">
        <v>29</v>
      </c>
      <c r="F1714">
        <v>1</v>
      </c>
      <c r="G1714">
        <v>0</v>
      </c>
      <c r="H1714">
        <f>표3[[#This Row],[공격성공횟수]]/(표3[[#This Row],[공격실패횟수]]+표3[[#This Row],[공격성공횟수]])</f>
        <v>0.12121212121212122</v>
      </c>
    </row>
    <row r="1715" spans="1:8" hidden="1" x14ac:dyDescent="0.4">
      <c r="A1715">
        <v>857</v>
      </c>
      <c r="B1715" t="s">
        <v>1</v>
      </c>
      <c r="C1715">
        <v>0</v>
      </c>
      <c r="D1715">
        <v>1</v>
      </c>
      <c r="E1715">
        <v>32</v>
      </c>
      <c r="F1715">
        <v>4</v>
      </c>
      <c r="G1715">
        <v>1</v>
      </c>
      <c r="H1715">
        <f>표3[[#This Row],[공격성공횟수]]/(표3[[#This Row],[공격실패횟수]]+표3[[#This Row],[공격성공횟수]])</f>
        <v>3.0303030303030304E-2</v>
      </c>
    </row>
    <row r="1716" spans="1:8" x14ac:dyDescent="0.4">
      <c r="A1716">
        <v>858</v>
      </c>
      <c r="B1716" t="s">
        <v>3</v>
      </c>
      <c r="C1716">
        <v>0</v>
      </c>
      <c r="D1716">
        <v>0</v>
      </c>
      <c r="E1716">
        <v>11</v>
      </c>
      <c r="F1716">
        <v>4</v>
      </c>
      <c r="G1716">
        <v>1</v>
      </c>
      <c r="H1716">
        <f>표3[[#This Row],[공격성공횟수]]/(표3[[#This Row],[공격실패횟수]]+표3[[#This Row],[공격성공횟수]])</f>
        <v>0</v>
      </c>
    </row>
    <row r="1717" spans="1:8" hidden="1" x14ac:dyDescent="0.4">
      <c r="A1717">
        <v>858</v>
      </c>
      <c r="B1717" t="s">
        <v>1</v>
      </c>
      <c r="C1717">
        <v>1</v>
      </c>
      <c r="D1717">
        <v>4</v>
      </c>
      <c r="E1717">
        <v>8</v>
      </c>
      <c r="F1717">
        <v>0</v>
      </c>
      <c r="G1717">
        <v>0</v>
      </c>
      <c r="H1717">
        <f>표3[[#This Row],[공격성공횟수]]/(표3[[#This Row],[공격실패횟수]]+표3[[#This Row],[공격성공횟수]])</f>
        <v>0.33333333333333331</v>
      </c>
    </row>
    <row r="1718" spans="1:8" x14ac:dyDescent="0.4">
      <c r="A1718">
        <v>859</v>
      </c>
      <c r="B1718" t="s">
        <v>3</v>
      </c>
      <c r="C1718">
        <v>1</v>
      </c>
      <c r="D1718">
        <v>4</v>
      </c>
      <c r="E1718">
        <v>3</v>
      </c>
      <c r="F1718">
        <v>2</v>
      </c>
      <c r="G1718">
        <v>0</v>
      </c>
      <c r="H1718">
        <f>표3[[#This Row],[공격성공횟수]]/(표3[[#This Row],[공격실패횟수]]+표3[[#This Row],[공격성공횟수]])</f>
        <v>0.5714285714285714</v>
      </c>
    </row>
    <row r="1719" spans="1:8" hidden="1" x14ac:dyDescent="0.4">
      <c r="A1719">
        <v>859</v>
      </c>
      <c r="B1719" t="s">
        <v>1</v>
      </c>
      <c r="C1719">
        <v>0</v>
      </c>
      <c r="D1719">
        <v>2</v>
      </c>
      <c r="E1719">
        <v>4</v>
      </c>
      <c r="F1719">
        <v>4</v>
      </c>
      <c r="G1719">
        <v>1</v>
      </c>
      <c r="H1719">
        <f>표3[[#This Row],[공격성공횟수]]/(표3[[#This Row],[공격실패횟수]]+표3[[#This Row],[공격성공횟수]])</f>
        <v>0.33333333333333331</v>
      </c>
    </row>
    <row r="1720" spans="1:8" x14ac:dyDescent="0.4">
      <c r="A1720">
        <v>860</v>
      </c>
      <c r="B1720" t="s">
        <v>3</v>
      </c>
      <c r="C1720">
        <v>1</v>
      </c>
      <c r="D1720">
        <v>4</v>
      </c>
      <c r="E1720">
        <v>11</v>
      </c>
      <c r="F1720">
        <v>0</v>
      </c>
      <c r="G1720">
        <v>0</v>
      </c>
      <c r="H1720">
        <f>표3[[#This Row],[공격성공횟수]]/(표3[[#This Row],[공격실패횟수]]+표3[[#This Row],[공격성공횟수]])</f>
        <v>0.26666666666666666</v>
      </c>
    </row>
    <row r="1721" spans="1:8" hidden="1" x14ac:dyDescent="0.4">
      <c r="A1721">
        <v>860</v>
      </c>
      <c r="B1721" t="s">
        <v>1</v>
      </c>
      <c r="C1721">
        <v>0</v>
      </c>
      <c r="D1721">
        <v>0</v>
      </c>
      <c r="E1721">
        <v>14</v>
      </c>
      <c r="F1721">
        <v>4</v>
      </c>
      <c r="G1721">
        <v>1</v>
      </c>
      <c r="H1721">
        <f>표3[[#This Row],[공격성공횟수]]/(표3[[#This Row],[공격실패횟수]]+표3[[#This Row],[공격성공횟수]])</f>
        <v>0</v>
      </c>
    </row>
    <row r="1722" spans="1:8" x14ac:dyDescent="0.4">
      <c r="A1722">
        <v>861</v>
      </c>
      <c r="B1722" t="s">
        <v>3</v>
      </c>
      <c r="C1722">
        <v>1</v>
      </c>
      <c r="D1722">
        <v>4</v>
      </c>
      <c r="E1722">
        <v>23</v>
      </c>
      <c r="F1722">
        <v>0</v>
      </c>
      <c r="G1722">
        <v>0</v>
      </c>
      <c r="H1722">
        <f>표3[[#This Row],[공격성공횟수]]/(표3[[#This Row],[공격실패횟수]]+표3[[#This Row],[공격성공횟수]])</f>
        <v>0.14814814814814814</v>
      </c>
    </row>
    <row r="1723" spans="1:8" hidden="1" x14ac:dyDescent="0.4">
      <c r="A1723">
        <v>861</v>
      </c>
      <c r="B1723" t="s">
        <v>1</v>
      </c>
      <c r="C1723">
        <v>0</v>
      </c>
      <c r="D1723">
        <v>0</v>
      </c>
      <c r="E1723">
        <v>26</v>
      </c>
      <c r="F1723">
        <v>4</v>
      </c>
      <c r="G1723">
        <v>1</v>
      </c>
      <c r="H1723">
        <f>표3[[#This Row],[공격성공횟수]]/(표3[[#This Row],[공격실패횟수]]+표3[[#This Row],[공격성공횟수]])</f>
        <v>0</v>
      </c>
    </row>
    <row r="1724" spans="1:8" x14ac:dyDescent="0.4">
      <c r="A1724">
        <v>862</v>
      </c>
      <c r="B1724" t="s">
        <v>3</v>
      </c>
      <c r="C1724">
        <v>1</v>
      </c>
      <c r="D1724">
        <v>4</v>
      </c>
      <c r="E1724">
        <v>17</v>
      </c>
      <c r="F1724">
        <v>3</v>
      </c>
      <c r="G1724">
        <v>0</v>
      </c>
      <c r="H1724">
        <f>표3[[#This Row],[공격성공횟수]]/(표3[[#This Row],[공격실패횟수]]+표3[[#This Row],[공격성공횟수]])</f>
        <v>0.19047619047619047</v>
      </c>
    </row>
    <row r="1725" spans="1:8" hidden="1" x14ac:dyDescent="0.4">
      <c r="A1725">
        <v>862</v>
      </c>
      <c r="B1725" t="s">
        <v>1</v>
      </c>
      <c r="C1725">
        <v>0</v>
      </c>
      <c r="D1725">
        <v>3</v>
      </c>
      <c r="E1725">
        <v>17</v>
      </c>
      <c r="F1725">
        <v>4</v>
      </c>
      <c r="G1725">
        <v>1</v>
      </c>
      <c r="H1725">
        <f>표3[[#This Row],[공격성공횟수]]/(표3[[#This Row],[공격실패횟수]]+표3[[#This Row],[공격성공횟수]])</f>
        <v>0.15</v>
      </c>
    </row>
    <row r="1726" spans="1:8" x14ac:dyDescent="0.4">
      <c r="A1726">
        <v>863</v>
      </c>
      <c r="B1726" t="s">
        <v>3</v>
      </c>
      <c r="C1726">
        <v>1</v>
      </c>
      <c r="D1726">
        <v>4</v>
      </c>
      <c r="E1726">
        <v>15</v>
      </c>
      <c r="F1726">
        <v>0</v>
      </c>
      <c r="G1726">
        <v>0</v>
      </c>
      <c r="H1726">
        <f>표3[[#This Row],[공격성공횟수]]/(표3[[#This Row],[공격실패횟수]]+표3[[#This Row],[공격성공횟수]])</f>
        <v>0.21052631578947367</v>
      </c>
    </row>
    <row r="1727" spans="1:8" hidden="1" x14ac:dyDescent="0.4">
      <c r="A1727">
        <v>863</v>
      </c>
      <c r="B1727" t="s">
        <v>1</v>
      </c>
      <c r="C1727">
        <v>0</v>
      </c>
      <c r="D1727">
        <v>0</v>
      </c>
      <c r="E1727">
        <v>19</v>
      </c>
      <c r="F1727">
        <v>4</v>
      </c>
      <c r="G1727">
        <v>1</v>
      </c>
      <c r="H1727">
        <f>표3[[#This Row],[공격성공횟수]]/(표3[[#This Row],[공격실패횟수]]+표3[[#This Row],[공격성공횟수]])</f>
        <v>0</v>
      </c>
    </row>
    <row r="1728" spans="1:8" x14ac:dyDescent="0.4">
      <c r="A1728">
        <v>864</v>
      </c>
      <c r="B1728" t="s">
        <v>3</v>
      </c>
      <c r="C1728">
        <v>1</v>
      </c>
      <c r="D1728">
        <v>4</v>
      </c>
      <c r="E1728">
        <v>9</v>
      </c>
      <c r="F1728">
        <v>2</v>
      </c>
      <c r="G1728">
        <v>0</v>
      </c>
      <c r="H1728">
        <f>표3[[#This Row],[공격성공횟수]]/(표3[[#This Row],[공격실패횟수]]+표3[[#This Row],[공격성공횟수]])</f>
        <v>0.30769230769230771</v>
      </c>
    </row>
    <row r="1729" spans="1:8" hidden="1" x14ac:dyDescent="0.4">
      <c r="A1729">
        <v>864</v>
      </c>
      <c r="B1729" t="s">
        <v>1</v>
      </c>
      <c r="C1729">
        <v>0</v>
      </c>
      <c r="D1729">
        <v>2</v>
      </c>
      <c r="E1729">
        <v>10</v>
      </c>
      <c r="F1729">
        <v>4</v>
      </c>
      <c r="G1729">
        <v>1</v>
      </c>
      <c r="H1729">
        <f>표3[[#This Row],[공격성공횟수]]/(표3[[#This Row],[공격실패횟수]]+표3[[#This Row],[공격성공횟수]])</f>
        <v>0.16666666666666666</v>
      </c>
    </row>
    <row r="1730" spans="1:8" x14ac:dyDescent="0.4">
      <c r="A1730">
        <v>865</v>
      </c>
      <c r="B1730" t="s">
        <v>3</v>
      </c>
      <c r="C1730">
        <v>1</v>
      </c>
      <c r="D1730">
        <v>4</v>
      </c>
      <c r="E1730">
        <v>8</v>
      </c>
      <c r="F1730">
        <v>0</v>
      </c>
      <c r="G1730">
        <v>0</v>
      </c>
      <c r="H1730">
        <f>표3[[#This Row],[공격성공횟수]]/(표3[[#This Row],[공격실패횟수]]+표3[[#This Row],[공격성공횟수]])</f>
        <v>0.33333333333333331</v>
      </c>
    </row>
    <row r="1731" spans="1:8" hidden="1" x14ac:dyDescent="0.4">
      <c r="A1731">
        <v>865</v>
      </c>
      <c r="B1731" t="s">
        <v>1</v>
      </c>
      <c r="C1731">
        <v>0</v>
      </c>
      <c r="D1731">
        <v>0</v>
      </c>
      <c r="E1731">
        <v>12</v>
      </c>
      <c r="F1731">
        <v>4</v>
      </c>
      <c r="G1731">
        <v>1</v>
      </c>
      <c r="H1731">
        <f>표3[[#This Row],[공격성공횟수]]/(표3[[#This Row],[공격실패횟수]]+표3[[#This Row],[공격성공횟수]])</f>
        <v>0</v>
      </c>
    </row>
    <row r="1732" spans="1:8" x14ac:dyDescent="0.4">
      <c r="A1732">
        <v>866</v>
      </c>
      <c r="B1732" t="s">
        <v>3</v>
      </c>
      <c r="C1732">
        <v>1</v>
      </c>
      <c r="D1732">
        <v>4</v>
      </c>
      <c r="E1732">
        <v>5</v>
      </c>
      <c r="F1732">
        <v>1</v>
      </c>
      <c r="G1732">
        <v>0</v>
      </c>
      <c r="H1732">
        <f>표3[[#This Row],[공격성공횟수]]/(표3[[#This Row],[공격실패횟수]]+표3[[#This Row],[공격성공횟수]])</f>
        <v>0.44444444444444442</v>
      </c>
    </row>
    <row r="1733" spans="1:8" hidden="1" x14ac:dyDescent="0.4">
      <c r="A1733">
        <v>866</v>
      </c>
      <c r="B1733" t="s">
        <v>1</v>
      </c>
      <c r="C1733">
        <v>0</v>
      </c>
      <c r="D1733">
        <v>1</v>
      </c>
      <c r="E1733">
        <v>8</v>
      </c>
      <c r="F1733">
        <v>4</v>
      </c>
      <c r="G1733">
        <v>1</v>
      </c>
      <c r="H1733">
        <f>표3[[#This Row],[공격성공횟수]]/(표3[[#This Row],[공격실패횟수]]+표3[[#This Row],[공격성공횟수]])</f>
        <v>0.1111111111111111</v>
      </c>
    </row>
    <row r="1734" spans="1:8" x14ac:dyDescent="0.4">
      <c r="A1734">
        <v>867</v>
      </c>
      <c r="B1734" t="s">
        <v>3</v>
      </c>
      <c r="C1734">
        <v>1</v>
      </c>
      <c r="D1734">
        <v>4</v>
      </c>
      <c r="E1734">
        <v>5</v>
      </c>
      <c r="F1734">
        <v>0</v>
      </c>
      <c r="G1734">
        <v>0</v>
      </c>
      <c r="H1734">
        <f>표3[[#This Row],[공격성공횟수]]/(표3[[#This Row],[공격실패횟수]]+표3[[#This Row],[공격성공횟수]])</f>
        <v>0.44444444444444442</v>
      </c>
    </row>
    <row r="1735" spans="1:8" hidden="1" x14ac:dyDescent="0.4">
      <c r="A1735">
        <v>867</v>
      </c>
      <c r="B1735" t="s">
        <v>1</v>
      </c>
      <c r="C1735">
        <v>0</v>
      </c>
      <c r="D1735">
        <v>0</v>
      </c>
      <c r="E1735">
        <v>8</v>
      </c>
      <c r="F1735">
        <v>4</v>
      </c>
      <c r="G1735">
        <v>1</v>
      </c>
      <c r="H1735">
        <f>표3[[#This Row],[공격성공횟수]]/(표3[[#This Row],[공격실패횟수]]+표3[[#This Row],[공격성공횟수]])</f>
        <v>0</v>
      </c>
    </row>
    <row r="1736" spans="1:8" x14ac:dyDescent="0.4">
      <c r="A1736">
        <v>868</v>
      </c>
      <c r="B1736" t="s">
        <v>3</v>
      </c>
      <c r="C1736">
        <v>0</v>
      </c>
      <c r="D1736">
        <v>3</v>
      </c>
      <c r="E1736">
        <v>21</v>
      </c>
      <c r="F1736">
        <v>4</v>
      </c>
      <c r="G1736">
        <v>1</v>
      </c>
      <c r="H1736">
        <f>표3[[#This Row],[공격성공횟수]]/(표3[[#This Row],[공격실패횟수]]+표3[[#This Row],[공격성공횟수]])</f>
        <v>0.125</v>
      </c>
    </row>
    <row r="1737" spans="1:8" hidden="1" x14ac:dyDescent="0.4">
      <c r="A1737">
        <v>868</v>
      </c>
      <c r="B1737" t="s">
        <v>1</v>
      </c>
      <c r="C1737">
        <v>1</v>
      </c>
      <c r="D1737">
        <v>4</v>
      </c>
      <c r="E1737">
        <v>20</v>
      </c>
      <c r="F1737">
        <v>3</v>
      </c>
      <c r="G1737">
        <v>0</v>
      </c>
      <c r="H1737">
        <f>표3[[#This Row],[공격성공횟수]]/(표3[[#This Row],[공격실패횟수]]+표3[[#This Row],[공격성공횟수]])</f>
        <v>0.16666666666666666</v>
      </c>
    </row>
    <row r="1738" spans="1:8" x14ac:dyDescent="0.4">
      <c r="A1738">
        <v>869</v>
      </c>
      <c r="B1738" t="s">
        <v>3</v>
      </c>
      <c r="C1738">
        <v>1</v>
      </c>
      <c r="D1738">
        <v>4</v>
      </c>
      <c r="E1738">
        <v>6</v>
      </c>
      <c r="F1738">
        <v>0</v>
      </c>
      <c r="G1738">
        <v>0</v>
      </c>
      <c r="H1738">
        <f>표3[[#This Row],[공격성공횟수]]/(표3[[#This Row],[공격실패횟수]]+표3[[#This Row],[공격성공횟수]])</f>
        <v>0.4</v>
      </c>
    </row>
    <row r="1739" spans="1:8" hidden="1" x14ac:dyDescent="0.4">
      <c r="A1739">
        <v>869</v>
      </c>
      <c r="B1739" t="s">
        <v>1</v>
      </c>
      <c r="C1739">
        <v>0</v>
      </c>
      <c r="D1739">
        <v>0</v>
      </c>
      <c r="E1739">
        <v>9</v>
      </c>
      <c r="F1739">
        <v>4</v>
      </c>
      <c r="G1739">
        <v>1</v>
      </c>
      <c r="H1739">
        <f>표3[[#This Row],[공격성공횟수]]/(표3[[#This Row],[공격실패횟수]]+표3[[#This Row],[공격성공횟수]])</f>
        <v>0</v>
      </c>
    </row>
    <row r="1740" spans="1:8" x14ac:dyDescent="0.4">
      <c r="A1740">
        <v>870</v>
      </c>
      <c r="B1740" t="s">
        <v>3</v>
      </c>
      <c r="C1740">
        <v>1</v>
      </c>
      <c r="D1740">
        <v>4</v>
      </c>
      <c r="E1740">
        <v>8</v>
      </c>
      <c r="F1740">
        <v>0</v>
      </c>
      <c r="G1740">
        <v>0</v>
      </c>
      <c r="H1740">
        <f>표3[[#This Row],[공격성공횟수]]/(표3[[#This Row],[공격실패횟수]]+표3[[#This Row],[공격성공횟수]])</f>
        <v>0.33333333333333331</v>
      </c>
    </row>
    <row r="1741" spans="1:8" hidden="1" x14ac:dyDescent="0.4">
      <c r="A1741">
        <v>870</v>
      </c>
      <c r="B1741" t="s">
        <v>1</v>
      </c>
      <c r="C1741">
        <v>0</v>
      </c>
      <c r="D1741">
        <v>0</v>
      </c>
      <c r="E1741">
        <v>11</v>
      </c>
      <c r="F1741">
        <v>4</v>
      </c>
      <c r="G1741">
        <v>1</v>
      </c>
      <c r="H1741">
        <f>표3[[#This Row],[공격성공횟수]]/(표3[[#This Row],[공격실패횟수]]+표3[[#This Row],[공격성공횟수]])</f>
        <v>0</v>
      </c>
    </row>
    <row r="1742" spans="1:8" x14ac:dyDescent="0.4">
      <c r="A1742">
        <v>871</v>
      </c>
      <c r="B1742" t="s">
        <v>3</v>
      </c>
      <c r="C1742">
        <v>1</v>
      </c>
      <c r="D1742">
        <v>4</v>
      </c>
      <c r="E1742">
        <v>4</v>
      </c>
      <c r="F1742">
        <v>0</v>
      </c>
      <c r="G1742">
        <v>0</v>
      </c>
      <c r="H1742">
        <f>표3[[#This Row],[공격성공횟수]]/(표3[[#This Row],[공격실패횟수]]+표3[[#This Row],[공격성공횟수]])</f>
        <v>0.5</v>
      </c>
    </row>
    <row r="1743" spans="1:8" hidden="1" x14ac:dyDescent="0.4">
      <c r="A1743">
        <v>871</v>
      </c>
      <c r="B1743" t="s">
        <v>1</v>
      </c>
      <c r="C1743">
        <v>0</v>
      </c>
      <c r="D1743">
        <v>0</v>
      </c>
      <c r="E1743">
        <v>8</v>
      </c>
      <c r="F1743">
        <v>4</v>
      </c>
      <c r="G1743">
        <v>1</v>
      </c>
      <c r="H1743">
        <f>표3[[#This Row],[공격성공횟수]]/(표3[[#This Row],[공격실패횟수]]+표3[[#This Row],[공격성공횟수]])</f>
        <v>0</v>
      </c>
    </row>
    <row r="1744" spans="1:8" x14ac:dyDescent="0.4">
      <c r="A1744">
        <v>872</v>
      </c>
      <c r="B1744" t="s">
        <v>3</v>
      </c>
      <c r="C1744">
        <v>1</v>
      </c>
      <c r="D1744">
        <v>4</v>
      </c>
      <c r="E1744">
        <v>7</v>
      </c>
      <c r="F1744">
        <v>3</v>
      </c>
      <c r="G1744">
        <v>0</v>
      </c>
      <c r="H1744">
        <f>표3[[#This Row],[공격성공횟수]]/(표3[[#This Row],[공격실패횟수]]+표3[[#This Row],[공격성공횟수]])</f>
        <v>0.36363636363636365</v>
      </c>
    </row>
    <row r="1745" spans="1:8" hidden="1" x14ac:dyDescent="0.4">
      <c r="A1745">
        <v>872</v>
      </c>
      <c r="B1745" t="s">
        <v>1</v>
      </c>
      <c r="C1745">
        <v>0</v>
      </c>
      <c r="D1745">
        <v>3</v>
      </c>
      <c r="E1745">
        <v>7</v>
      </c>
      <c r="F1745">
        <v>4</v>
      </c>
      <c r="G1745">
        <v>1</v>
      </c>
      <c r="H1745">
        <f>표3[[#This Row],[공격성공횟수]]/(표3[[#This Row],[공격실패횟수]]+표3[[#This Row],[공격성공횟수]])</f>
        <v>0.3</v>
      </c>
    </row>
    <row r="1746" spans="1:8" x14ac:dyDescent="0.4">
      <c r="A1746">
        <v>873</v>
      </c>
      <c r="B1746" t="s">
        <v>3</v>
      </c>
      <c r="C1746">
        <v>0</v>
      </c>
      <c r="D1746">
        <v>1</v>
      </c>
      <c r="E1746">
        <v>18</v>
      </c>
      <c r="F1746">
        <v>4</v>
      </c>
      <c r="G1746">
        <v>1</v>
      </c>
      <c r="H1746">
        <f>표3[[#This Row],[공격성공횟수]]/(표3[[#This Row],[공격실패횟수]]+표3[[#This Row],[공격성공횟수]])</f>
        <v>5.2631578947368418E-2</v>
      </c>
    </row>
    <row r="1747" spans="1:8" hidden="1" x14ac:dyDescent="0.4">
      <c r="A1747">
        <v>873</v>
      </c>
      <c r="B1747" t="s">
        <v>1</v>
      </c>
      <c r="C1747">
        <v>1</v>
      </c>
      <c r="D1747">
        <v>4</v>
      </c>
      <c r="E1747">
        <v>26</v>
      </c>
      <c r="F1747">
        <v>1</v>
      </c>
      <c r="G1747">
        <v>0</v>
      </c>
      <c r="H1747">
        <f>표3[[#This Row],[공격성공횟수]]/(표3[[#This Row],[공격실패횟수]]+표3[[#This Row],[공격성공횟수]])</f>
        <v>0.13333333333333333</v>
      </c>
    </row>
    <row r="1748" spans="1:8" x14ac:dyDescent="0.4">
      <c r="A1748">
        <v>874</v>
      </c>
      <c r="B1748" t="s">
        <v>3</v>
      </c>
      <c r="C1748">
        <v>1</v>
      </c>
      <c r="D1748">
        <v>4</v>
      </c>
      <c r="E1748">
        <v>8</v>
      </c>
      <c r="F1748">
        <v>2</v>
      </c>
      <c r="G1748">
        <v>0</v>
      </c>
      <c r="H1748">
        <f>표3[[#This Row],[공격성공횟수]]/(표3[[#This Row],[공격실패횟수]]+표3[[#This Row],[공격성공횟수]])</f>
        <v>0.33333333333333331</v>
      </c>
    </row>
    <row r="1749" spans="1:8" hidden="1" x14ac:dyDescent="0.4">
      <c r="A1749">
        <v>874</v>
      </c>
      <c r="B1749" t="s">
        <v>1</v>
      </c>
      <c r="C1749">
        <v>0</v>
      </c>
      <c r="D1749">
        <v>2</v>
      </c>
      <c r="E1749">
        <v>9</v>
      </c>
      <c r="F1749">
        <v>4</v>
      </c>
      <c r="G1749">
        <v>1</v>
      </c>
      <c r="H1749">
        <f>표3[[#This Row],[공격성공횟수]]/(표3[[#This Row],[공격실패횟수]]+표3[[#This Row],[공격성공횟수]])</f>
        <v>0.18181818181818182</v>
      </c>
    </row>
    <row r="1750" spans="1:8" x14ac:dyDescent="0.4">
      <c r="A1750">
        <v>875</v>
      </c>
      <c r="B1750" t="s">
        <v>3</v>
      </c>
      <c r="C1750">
        <v>1</v>
      </c>
      <c r="D1750">
        <v>4</v>
      </c>
      <c r="E1750">
        <v>26</v>
      </c>
      <c r="F1750">
        <v>0</v>
      </c>
      <c r="G1750">
        <v>0</v>
      </c>
      <c r="H1750">
        <f>표3[[#This Row],[공격성공횟수]]/(표3[[#This Row],[공격실패횟수]]+표3[[#This Row],[공격성공횟수]])</f>
        <v>0.13333333333333333</v>
      </c>
    </row>
    <row r="1751" spans="1:8" hidden="1" x14ac:dyDescent="0.4">
      <c r="A1751">
        <v>875</v>
      </c>
      <c r="B1751" t="s">
        <v>1</v>
      </c>
      <c r="C1751">
        <v>0</v>
      </c>
      <c r="D1751">
        <v>0</v>
      </c>
      <c r="E1751">
        <v>38</v>
      </c>
      <c r="F1751">
        <v>4</v>
      </c>
      <c r="G1751">
        <v>1</v>
      </c>
      <c r="H1751">
        <f>표3[[#This Row],[공격성공횟수]]/(표3[[#This Row],[공격실패횟수]]+표3[[#This Row],[공격성공횟수]])</f>
        <v>0</v>
      </c>
    </row>
    <row r="1752" spans="1:8" x14ac:dyDescent="0.4">
      <c r="A1752">
        <v>876</v>
      </c>
      <c r="B1752" t="s">
        <v>3</v>
      </c>
      <c r="C1752">
        <v>1</v>
      </c>
      <c r="D1752">
        <v>4</v>
      </c>
      <c r="E1752">
        <v>13</v>
      </c>
      <c r="F1752">
        <v>0</v>
      </c>
      <c r="G1752">
        <v>0</v>
      </c>
      <c r="H1752">
        <f>표3[[#This Row],[공격성공횟수]]/(표3[[#This Row],[공격실패횟수]]+표3[[#This Row],[공격성공횟수]])</f>
        <v>0.23529411764705882</v>
      </c>
    </row>
    <row r="1753" spans="1:8" hidden="1" x14ac:dyDescent="0.4">
      <c r="A1753">
        <v>876</v>
      </c>
      <c r="B1753" t="s">
        <v>1</v>
      </c>
      <c r="C1753">
        <v>0</v>
      </c>
      <c r="D1753">
        <v>0</v>
      </c>
      <c r="E1753">
        <v>16</v>
      </c>
      <c r="F1753">
        <v>4</v>
      </c>
      <c r="G1753">
        <v>1</v>
      </c>
      <c r="H1753">
        <f>표3[[#This Row],[공격성공횟수]]/(표3[[#This Row],[공격실패횟수]]+표3[[#This Row],[공격성공횟수]])</f>
        <v>0</v>
      </c>
    </row>
    <row r="1754" spans="1:8" x14ac:dyDescent="0.4">
      <c r="A1754">
        <v>877</v>
      </c>
      <c r="B1754" t="s">
        <v>3</v>
      </c>
      <c r="C1754">
        <v>1</v>
      </c>
      <c r="D1754">
        <v>4</v>
      </c>
      <c r="E1754">
        <v>17</v>
      </c>
      <c r="F1754">
        <v>2</v>
      </c>
      <c r="G1754">
        <v>0</v>
      </c>
      <c r="H1754">
        <f>표3[[#This Row],[공격성공횟수]]/(표3[[#This Row],[공격실패횟수]]+표3[[#This Row],[공격성공횟수]])</f>
        <v>0.19047619047619047</v>
      </c>
    </row>
    <row r="1755" spans="1:8" hidden="1" x14ac:dyDescent="0.4">
      <c r="A1755">
        <v>877</v>
      </c>
      <c r="B1755" t="s">
        <v>1</v>
      </c>
      <c r="C1755">
        <v>0</v>
      </c>
      <c r="D1755">
        <v>2</v>
      </c>
      <c r="E1755">
        <v>19</v>
      </c>
      <c r="F1755">
        <v>4</v>
      </c>
      <c r="G1755">
        <v>1</v>
      </c>
      <c r="H1755">
        <f>표3[[#This Row],[공격성공횟수]]/(표3[[#This Row],[공격실패횟수]]+표3[[#This Row],[공격성공횟수]])</f>
        <v>9.5238095238095233E-2</v>
      </c>
    </row>
    <row r="1756" spans="1:8" x14ac:dyDescent="0.4">
      <c r="A1756">
        <v>878</v>
      </c>
      <c r="B1756" t="s">
        <v>3</v>
      </c>
      <c r="C1756">
        <v>1</v>
      </c>
      <c r="D1756">
        <v>4</v>
      </c>
      <c r="E1756">
        <v>4</v>
      </c>
      <c r="F1756">
        <v>0</v>
      </c>
      <c r="G1756">
        <v>0</v>
      </c>
      <c r="H1756">
        <f>표3[[#This Row],[공격성공횟수]]/(표3[[#This Row],[공격실패횟수]]+표3[[#This Row],[공격성공횟수]])</f>
        <v>0.5</v>
      </c>
    </row>
    <row r="1757" spans="1:8" hidden="1" x14ac:dyDescent="0.4">
      <c r="A1757">
        <v>878</v>
      </c>
      <c r="B1757" t="s">
        <v>1</v>
      </c>
      <c r="C1757">
        <v>0</v>
      </c>
      <c r="D1757">
        <v>0</v>
      </c>
      <c r="E1757">
        <v>8</v>
      </c>
      <c r="F1757">
        <v>4</v>
      </c>
      <c r="G1757">
        <v>1</v>
      </c>
      <c r="H1757">
        <f>표3[[#This Row],[공격성공횟수]]/(표3[[#This Row],[공격실패횟수]]+표3[[#This Row],[공격성공횟수]])</f>
        <v>0</v>
      </c>
    </row>
    <row r="1758" spans="1:8" x14ac:dyDescent="0.4">
      <c r="A1758">
        <v>879</v>
      </c>
      <c r="B1758" t="s">
        <v>3</v>
      </c>
      <c r="C1758">
        <v>1</v>
      </c>
      <c r="D1758">
        <v>4</v>
      </c>
      <c r="E1758">
        <v>13</v>
      </c>
      <c r="F1758">
        <v>1</v>
      </c>
      <c r="G1758">
        <v>0</v>
      </c>
      <c r="H1758">
        <f>표3[[#This Row],[공격성공횟수]]/(표3[[#This Row],[공격실패횟수]]+표3[[#This Row],[공격성공횟수]])</f>
        <v>0.23529411764705882</v>
      </c>
    </row>
    <row r="1759" spans="1:8" hidden="1" x14ac:dyDescent="0.4">
      <c r="A1759">
        <v>879</v>
      </c>
      <c r="B1759" t="s">
        <v>1</v>
      </c>
      <c r="C1759">
        <v>0</v>
      </c>
      <c r="D1759">
        <v>1</v>
      </c>
      <c r="E1759">
        <v>15</v>
      </c>
      <c r="F1759">
        <v>4</v>
      </c>
      <c r="G1759">
        <v>1</v>
      </c>
      <c r="H1759">
        <f>표3[[#This Row],[공격성공횟수]]/(표3[[#This Row],[공격실패횟수]]+표3[[#This Row],[공격성공횟수]])</f>
        <v>6.25E-2</v>
      </c>
    </row>
    <row r="1760" spans="1:8" x14ac:dyDescent="0.4">
      <c r="A1760">
        <v>880</v>
      </c>
      <c r="B1760" t="s">
        <v>3</v>
      </c>
      <c r="C1760">
        <v>0</v>
      </c>
      <c r="D1760">
        <v>0</v>
      </c>
      <c r="E1760">
        <v>19</v>
      </c>
      <c r="F1760">
        <v>4</v>
      </c>
      <c r="G1760">
        <v>1</v>
      </c>
      <c r="H1760">
        <f>표3[[#This Row],[공격성공횟수]]/(표3[[#This Row],[공격실패횟수]]+표3[[#This Row],[공격성공횟수]])</f>
        <v>0</v>
      </c>
    </row>
    <row r="1761" spans="1:8" hidden="1" x14ac:dyDescent="0.4">
      <c r="A1761">
        <v>880</v>
      </c>
      <c r="B1761" t="s">
        <v>1</v>
      </c>
      <c r="C1761">
        <v>1</v>
      </c>
      <c r="D1761">
        <v>4</v>
      </c>
      <c r="E1761">
        <v>16</v>
      </c>
      <c r="F1761">
        <v>0</v>
      </c>
      <c r="G1761">
        <v>0</v>
      </c>
      <c r="H1761">
        <f>표3[[#This Row],[공격성공횟수]]/(표3[[#This Row],[공격실패횟수]]+표3[[#This Row],[공격성공횟수]])</f>
        <v>0.2</v>
      </c>
    </row>
    <row r="1762" spans="1:8" x14ac:dyDescent="0.4">
      <c r="A1762">
        <v>881</v>
      </c>
      <c r="B1762" t="s">
        <v>3</v>
      </c>
      <c r="C1762">
        <v>1</v>
      </c>
      <c r="D1762">
        <v>4</v>
      </c>
      <c r="E1762">
        <v>7</v>
      </c>
      <c r="F1762">
        <v>0</v>
      </c>
      <c r="G1762">
        <v>0</v>
      </c>
      <c r="H1762">
        <f>표3[[#This Row],[공격성공횟수]]/(표3[[#This Row],[공격실패횟수]]+표3[[#This Row],[공격성공횟수]])</f>
        <v>0.36363636363636365</v>
      </c>
    </row>
    <row r="1763" spans="1:8" hidden="1" x14ac:dyDescent="0.4">
      <c r="A1763">
        <v>881</v>
      </c>
      <c r="B1763" t="s">
        <v>1</v>
      </c>
      <c r="C1763">
        <v>0</v>
      </c>
      <c r="D1763">
        <v>0</v>
      </c>
      <c r="E1763">
        <v>9</v>
      </c>
      <c r="F1763">
        <v>4</v>
      </c>
      <c r="G1763">
        <v>1</v>
      </c>
      <c r="H1763">
        <f>표3[[#This Row],[공격성공횟수]]/(표3[[#This Row],[공격실패횟수]]+표3[[#This Row],[공격성공횟수]])</f>
        <v>0</v>
      </c>
    </row>
    <row r="1764" spans="1:8" x14ac:dyDescent="0.4">
      <c r="A1764">
        <v>882</v>
      </c>
      <c r="B1764" t="s">
        <v>3</v>
      </c>
      <c r="C1764">
        <v>1</v>
      </c>
      <c r="D1764">
        <v>4</v>
      </c>
      <c r="E1764">
        <v>35</v>
      </c>
      <c r="F1764">
        <v>0</v>
      </c>
      <c r="G1764">
        <v>0</v>
      </c>
      <c r="H1764">
        <f>표3[[#This Row],[공격성공횟수]]/(표3[[#This Row],[공격실패횟수]]+표3[[#This Row],[공격성공횟수]])</f>
        <v>0.10256410256410256</v>
      </c>
    </row>
    <row r="1765" spans="1:8" hidden="1" x14ac:dyDescent="0.4">
      <c r="A1765">
        <v>882</v>
      </c>
      <c r="B1765" t="s">
        <v>1</v>
      </c>
      <c r="C1765">
        <v>0</v>
      </c>
      <c r="D1765">
        <v>0</v>
      </c>
      <c r="E1765">
        <v>37</v>
      </c>
      <c r="F1765">
        <v>4</v>
      </c>
      <c r="G1765">
        <v>1</v>
      </c>
      <c r="H1765">
        <f>표3[[#This Row],[공격성공횟수]]/(표3[[#This Row],[공격실패횟수]]+표3[[#This Row],[공격성공횟수]])</f>
        <v>0</v>
      </c>
    </row>
    <row r="1766" spans="1:8" x14ac:dyDescent="0.4">
      <c r="A1766">
        <v>883</v>
      </c>
      <c r="B1766" t="s">
        <v>3</v>
      </c>
      <c r="C1766">
        <v>1</v>
      </c>
      <c r="D1766">
        <v>4</v>
      </c>
      <c r="E1766">
        <v>8</v>
      </c>
      <c r="F1766">
        <v>1</v>
      </c>
      <c r="G1766">
        <v>0</v>
      </c>
      <c r="H1766">
        <f>표3[[#This Row],[공격성공횟수]]/(표3[[#This Row],[공격실패횟수]]+표3[[#This Row],[공격성공횟수]])</f>
        <v>0.33333333333333331</v>
      </c>
    </row>
    <row r="1767" spans="1:8" hidden="1" x14ac:dyDescent="0.4">
      <c r="A1767">
        <v>883</v>
      </c>
      <c r="B1767" t="s">
        <v>1</v>
      </c>
      <c r="C1767">
        <v>0</v>
      </c>
      <c r="D1767">
        <v>1</v>
      </c>
      <c r="E1767">
        <v>11</v>
      </c>
      <c r="F1767">
        <v>4</v>
      </c>
      <c r="G1767">
        <v>1</v>
      </c>
      <c r="H1767">
        <f>표3[[#This Row],[공격성공횟수]]/(표3[[#This Row],[공격실패횟수]]+표3[[#This Row],[공격성공횟수]])</f>
        <v>8.3333333333333329E-2</v>
      </c>
    </row>
    <row r="1768" spans="1:8" x14ac:dyDescent="0.4">
      <c r="A1768">
        <v>884</v>
      </c>
      <c r="B1768" t="s">
        <v>3</v>
      </c>
      <c r="C1768">
        <v>0</v>
      </c>
      <c r="D1768">
        <v>0</v>
      </c>
      <c r="E1768">
        <v>17</v>
      </c>
      <c r="F1768">
        <v>4</v>
      </c>
      <c r="G1768">
        <v>1</v>
      </c>
      <c r="H1768">
        <f>표3[[#This Row],[공격성공횟수]]/(표3[[#This Row],[공격실패횟수]]+표3[[#This Row],[공격성공횟수]])</f>
        <v>0</v>
      </c>
    </row>
    <row r="1769" spans="1:8" hidden="1" x14ac:dyDescent="0.4">
      <c r="A1769">
        <v>884</v>
      </c>
      <c r="B1769" t="s">
        <v>1</v>
      </c>
      <c r="C1769">
        <v>1</v>
      </c>
      <c r="D1769">
        <v>4</v>
      </c>
      <c r="E1769">
        <v>13</v>
      </c>
      <c r="F1769">
        <v>0</v>
      </c>
      <c r="G1769">
        <v>0</v>
      </c>
      <c r="H1769">
        <f>표3[[#This Row],[공격성공횟수]]/(표3[[#This Row],[공격실패횟수]]+표3[[#This Row],[공격성공횟수]])</f>
        <v>0.23529411764705882</v>
      </c>
    </row>
    <row r="1770" spans="1:8" x14ac:dyDescent="0.4">
      <c r="A1770">
        <v>885</v>
      </c>
      <c r="B1770" t="s">
        <v>3</v>
      </c>
      <c r="C1770">
        <v>0</v>
      </c>
      <c r="D1770">
        <v>0</v>
      </c>
      <c r="E1770">
        <v>17</v>
      </c>
      <c r="F1770">
        <v>4</v>
      </c>
      <c r="G1770">
        <v>1</v>
      </c>
      <c r="H1770">
        <f>표3[[#This Row],[공격성공횟수]]/(표3[[#This Row],[공격실패횟수]]+표3[[#This Row],[공격성공횟수]])</f>
        <v>0</v>
      </c>
    </row>
    <row r="1771" spans="1:8" hidden="1" x14ac:dyDescent="0.4">
      <c r="A1771">
        <v>885</v>
      </c>
      <c r="B1771" t="s">
        <v>1</v>
      </c>
      <c r="C1771">
        <v>1</v>
      </c>
      <c r="D1771">
        <v>4</v>
      </c>
      <c r="E1771">
        <v>13</v>
      </c>
      <c r="F1771">
        <v>0</v>
      </c>
      <c r="G1771">
        <v>0</v>
      </c>
      <c r="H1771">
        <f>표3[[#This Row],[공격성공횟수]]/(표3[[#This Row],[공격실패횟수]]+표3[[#This Row],[공격성공횟수]])</f>
        <v>0.23529411764705882</v>
      </c>
    </row>
    <row r="1772" spans="1:8" x14ac:dyDescent="0.4">
      <c r="A1772">
        <v>886</v>
      </c>
      <c r="B1772" t="s">
        <v>3</v>
      </c>
      <c r="C1772">
        <v>0</v>
      </c>
      <c r="D1772">
        <v>0</v>
      </c>
      <c r="E1772">
        <v>13</v>
      </c>
      <c r="F1772">
        <v>4</v>
      </c>
      <c r="G1772">
        <v>1</v>
      </c>
      <c r="H1772">
        <f>표3[[#This Row],[공격성공횟수]]/(표3[[#This Row],[공격실패횟수]]+표3[[#This Row],[공격성공횟수]])</f>
        <v>0</v>
      </c>
    </row>
    <row r="1773" spans="1:8" hidden="1" x14ac:dyDescent="0.4">
      <c r="A1773">
        <v>886</v>
      </c>
      <c r="B1773" t="s">
        <v>1</v>
      </c>
      <c r="C1773">
        <v>1</v>
      </c>
      <c r="D1773">
        <v>4</v>
      </c>
      <c r="E1773">
        <v>8</v>
      </c>
      <c r="F1773">
        <v>0</v>
      </c>
      <c r="G1773">
        <v>0</v>
      </c>
      <c r="H1773">
        <f>표3[[#This Row],[공격성공횟수]]/(표3[[#This Row],[공격실패횟수]]+표3[[#This Row],[공격성공횟수]])</f>
        <v>0.33333333333333331</v>
      </c>
    </row>
    <row r="1774" spans="1:8" x14ac:dyDescent="0.4">
      <c r="A1774">
        <v>887</v>
      </c>
      <c r="B1774" t="s">
        <v>3</v>
      </c>
      <c r="C1774">
        <v>0</v>
      </c>
      <c r="D1774">
        <v>0</v>
      </c>
      <c r="E1774">
        <v>13</v>
      </c>
      <c r="F1774">
        <v>4</v>
      </c>
      <c r="G1774">
        <v>1</v>
      </c>
      <c r="H1774">
        <f>표3[[#This Row],[공격성공횟수]]/(표3[[#This Row],[공격실패횟수]]+표3[[#This Row],[공격성공횟수]])</f>
        <v>0</v>
      </c>
    </row>
    <row r="1775" spans="1:8" hidden="1" x14ac:dyDescent="0.4">
      <c r="A1775">
        <v>887</v>
      </c>
      <c r="B1775" t="s">
        <v>1</v>
      </c>
      <c r="C1775">
        <v>1</v>
      </c>
      <c r="D1775">
        <v>4</v>
      </c>
      <c r="E1775">
        <v>14</v>
      </c>
      <c r="F1775">
        <v>0</v>
      </c>
      <c r="G1775">
        <v>0</v>
      </c>
      <c r="H1775">
        <f>표3[[#This Row],[공격성공횟수]]/(표3[[#This Row],[공격실패횟수]]+표3[[#This Row],[공격성공횟수]])</f>
        <v>0.22222222222222221</v>
      </c>
    </row>
    <row r="1776" spans="1:8" x14ac:dyDescent="0.4">
      <c r="A1776">
        <v>888</v>
      </c>
      <c r="B1776" t="s">
        <v>3</v>
      </c>
      <c r="C1776">
        <v>1</v>
      </c>
      <c r="D1776">
        <v>4</v>
      </c>
      <c r="E1776">
        <v>17</v>
      </c>
      <c r="F1776">
        <v>2</v>
      </c>
      <c r="G1776">
        <v>0</v>
      </c>
      <c r="H1776">
        <f>표3[[#This Row],[공격성공횟수]]/(표3[[#This Row],[공격실패횟수]]+표3[[#This Row],[공격성공횟수]])</f>
        <v>0.19047619047619047</v>
      </c>
    </row>
    <row r="1777" spans="1:8" hidden="1" x14ac:dyDescent="0.4">
      <c r="A1777">
        <v>888</v>
      </c>
      <c r="B1777" t="s">
        <v>1</v>
      </c>
      <c r="C1777">
        <v>0</v>
      </c>
      <c r="D1777">
        <v>2</v>
      </c>
      <c r="E1777">
        <v>17</v>
      </c>
      <c r="F1777">
        <v>4</v>
      </c>
      <c r="G1777">
        <v>1</v>
      </c>
      <c r="H1777">
        <f>표3[[#This Row],[공격성공횟수]]/(표3[[#This Row],[공격실패횟수]]+표3[[#This Row],[공격성공횟수]])</f>
        <v>0.10526315789473684</v>
      </c>
    </row>
    <row r="1778" spans="1:8" x14ac:dyDescent="0.4">
      <c r="A1778">
        <v>889</v>
      </c>
      <c r="B1778" t="s">
        <v>3</v>
      </c>
      <c r="C1778">
        <v>0</v>
      </c>
      <c r="D1778">
        <v>2</v>
      </c>
      <c r="E1778">
        <v>10</v>
      </c>
      <c r="F1778">
        <v>4</v>
      </c>
      <c r="G1778">
        <v>1</v>
      </c>
      <c r="H1778">
        <f>표3[[#This Row],[공격성공횟수]]/(표3[[#This Row],[공격실패횟수]]+표3[[#This Row],[공격성공횟수]])</f>
        <v>0.16666666666666666</v>
      </c>
    </row>
    <row r="1779" spans="1:8" hidden="1" x14ac:dyDescent="0.4">
      <c r="A1779">
        <v>889</v>
      </c>
      <c r="B1779" t="s">
        <v>1</v>
      </c>
      <c r="C1779">
        <v>1</v>
      </c>
      <c r="D1779">
        <v>4</v>
      </c>
      <c r="E1779">
        <v>9</v>
      </c>
      <c r="F1779">
        <v>2</v>
      </c>
      <c r="G1779">
        <v>0</v>
      </c>
      <c r="H1779">
        <f>표3[[#This Row],[공격성공횟수]]/(표3[[#This Row],[공격실패횟수]]+표3[[#This Row],[공격성공횟수]])</f>
        <v>0.30769230769230771</v>
      </c>
    </row>
    <row r="1780" spans="1:8" x14ac:dyDescent="0.4">
      <c r="A1780">
        <v>890</v>
      </c>
      <c r="B1780" t="s">
        <v>3</v>
      </c>
      <c r="C1780">
        <v>1</v>
      </c>
      <c r="D1780">
        <v>4</v>
      </c>
      <c r="E1780">
        <v>8</v>
      </c>
      <c r="F1780">
        <v>1</v>
      </c>
      <c r="G1780">
        <v>0</v>
      </c>
      <c r="H1780">
        <f>표3[[#This Row],[공격성공횟수]]/(표3[[#This Row],[공격실패횟수]]+표3[[#This Row],[공격성공횟수]])</f>
        <v>0.33333333333333331</v>
      </c>
    </row>
    <row r="1781" spans="1:8" hidden="1" x14ac:dyDescent="0.4">
      <c r="A1781">
        <v>890</v>
      </c>
      <c r="B1781" t="s">
        <v>1</v>
      </c>
      <c r="C1781">
        <v>0</v>
      </c>
      <c r="D1781">
        <v>1</v>
      </c>
      <c r="E1781">
        <v>10</v>
      </c>
      <c r="F1781">
        <v>4</v>
      </c>
      <c r="G1781">
        <v>1</v>
      </c>
      <c r="H1781">
        <f>표3[[#This Row],[공격성공횟수]]/(표3[[#This Row],[공격실패횟수]]+표3[[#This Row],[공격성공횟수]])</f>
        <v>9.0909090909090912E-2</v>
      </c>
    </row>
    <row r="1782" spans="1:8" x14ac:dyDescent="0.4">
      <c r="A1782">
        <v>891</v>
      </c>
      <c r="B1782" t="s">
        <v>3</v>
      </c>
      <c r="C1782">
        <v>1</v>
      </c>
      <c r="D1782">
        <v>4</v>
      </c>
      <c r="E1782">
        <v>8</v>
      </c>
      <c r="F1782">
        <v>2</v>
      </c>
      <c r="G1782">
        <v>0</v>
      </c>
      <c r="H1782">
        <f>표3[[#This Row],[공격성공횟수]]/(표3[[#This Row],[공격실패횟수]]+표3[[#This Row],[공격성공횟수]])</f>
        <v>0.33333333333333331</v>
      </c>
    </row>
    <row r="1783" spans="1:8" hidden="1" x14ac:dyDescent="0.4">
      <c r="A1783">
        <v>891</v>
      </c>
      <c r="B1783" t="s">
        <v>1</v>
      </c>
      <c r="C1783">
        <v>0</v>
      </c>
      <c r="D1783">
        <v>2</v>
      </c>
      <c r="E1783">
        <v>10</v>
      </c>
      <c r="F1783">
        <v>4</v>
      </c>
      <c r="G1783">
        <v>1</v>
      </c>
      <c r="H1783">
        <f>표3[[#This Row],[공격성공횟수]]/(표3[[#This Row],[공격실패횟수]]+표3[[#This Row],[공격성공횟수]])</f>
        <v>0.16666666666666666</v>
      </c>
    </row>
    <row r="1784" spans="1:8" x14ac:dyDescent="0.4">
      <c r="A1784">
        <v>892</v>
      </c>
      <c r="B1784" t="s">
        <v>3</v>
      </c>
      <c r="C1784">
        <v>1</v>
      </c>
      <c r="D1784">
        <v>4</v>
      </c>
      <c r="E1784">
        <v>4</v>
      </c>
      <c r="F1784">
        <v>0</v>
      </c>
      <c r="G1784">
        <v>0</v>
      </c>
      <c r="H1784">
        <f>표3[[#This Row],[공격성공횟수]]/(표3[[#This Row],[공격실패횟수]]+표3[[#This Row],[공격성공횟수]])</f>
        <v>0.5</v>
      </c>
    </row>
    <row r="1785" spans="1:8" hidden="1" x14ac:dyDescent="0.4">
      <c r="A1785">
        <v>892</v>
      </c>
      <c r="B1785" t="s">
        <v>1</v>
      </c>
      <c r="C1785">
        <v>0</v>
      </c>
      <c r="D1785">
        <v>0</v>
      </c>
      <c r="E1785">
        <v>8</v>
      </c>
      <c r="F1785">
        <v>4</v>
      </c>
      <c r="G1785">
        <v>1</v>
      </c>
      <c r="H1785">
        <f>표3[[#This Row],[공격성공횟수]]/(표3[[#This Row],[공격실패횟수]]+표3[[#This Row],[공격성공횟수]])</f>
        <v>0</v>
      </c>
    </row>
    <row r="1786" spans="1:8" x14ac:dyDescent="0.4">
      <c r="A1786">
        <v>893</v>
      </c>
      <c r="B1786" t="s">
        <v>3</v>
      </c>
      <c r="C1786">
        <v>1</v>
      </c>
      <c r="D1786">
        <v>4</v>
      </c>
      <c r="E1786">
        <v>12</v>
      </c>
      <c r="F1786">
        <v>0</v>
      </c>
      <c r="G1786">
        <v>0</v>
      </c>
      <c r="H1786">
        <f>표3[[#This Row],[공격성공횟수]]/(표3[[#This Row],[공격실패횟수]]+표3[[#This Row],[공격성공횟수]])</f>
        <v>0.25</v>
      </c>
    </row>
    <row r="1787" spans="1:8" hidden="1" x14ac:dyDescent="0.4">
      <c r="A1787">
        <v>893</v>
      </c>
      <c r="B1787" t="s">
        <v>1</v>
      </c>
      <c r="C1787">
        <v>0</v>
      </c>
      <c r="D1787">
        <v>0</v>
      </c>
      <c r="E1787">
        <v>16</v>
      </c>
      <c r="F1787">
        <v>4</v>
      </c>
      <c r="G1787">
        <v>1</v>
      </c>
      <c r="H1787">
        <f>표3[[#This Row],[공격성공횟수]]/(표3[[#This Row],[공격실패횟수]]+표3[[#This Row],[공격성공횟수]])</f>
        <v>0</v>
      </c>
    </row>
    <row r="1788" spans="1:8" x14ac:dyDescent="0.4">
      <c r="A1788">
        <v>894</v>
      </c>
      <c r="B1788" t="s">
        <v>3</v>
      </c>
      <c r="C1788">
        <v>1</v>
      </c>
      <c r="D1788">
        <v>4</v>
      </c>
      <c r="E1788">
        <v>16</v>
      </c>
      <c r="F1788">
        <v>0</v>
      </c>
      <c r="G1788">
        <v>0</v>
      </c>
      <c r="H1788">
        <f>표3[[#This Row],[공격성공횟수]]/(표3[[#This Row],[공격실패횟수]]+표3[[#This Row],[공격성공횟수]])</f>
        <v>0.2</v>
      </c>
    </row>
    <row r="1789" spans="1:8" hidden="1" x14ac:dyDescent="0.4">
      <c r="A1789">
        <v>894</v>
      </c>
      <c r="B1789" t="s">
        <v>1</v>
      </c>
      <c r="C1789">
        <v>0</v>
      </c>
      <c r="D1789">
        <v>0</v>
      </c>
      <c r="E1789">
        <v>20</v>
      </c>
      <c r="F1789">
        <v>4</v>
      </c>
      <c r="G1789">
        <v>1</v>
      </c>
      <c r="H1789">
        <f>표3[[#This Row],[공격성공횟수]]/(표3[[#This Row],[공격실패횟수]]+표3[[#This Row],[공격성공횟수]])</f>
        <v>0</v>
      </c>
    </row>
    <row r="1790" spans="1:8" x14ac:dyDescent="0.4">
      <c r="A1790">
        <v>895</v>
      </c>
      <c r="B1790" t="s">
        <v>3</v>
      </c>
      <c r="C1790">
        <v>1</v>
      </c>
      <c r="D1790">
        <v>4</v>
      </c>
      <c r="E1790">
        <v>6</v>
      </c>
      <c r="F1790">
        <v>0</v>
      </c>
      <c r="G1790">
        <v>0</v>
      </c>
      <c r="H1790">
        <f>표3[[#This Row],[공격성공횟수]]/(표3[[#This Row],[공격실패횟수]]+표3[[#This Row],[공격성공횟수]])</f>
        <v>0.4</v>
      </c>
    </row>
    <row r="1791" spans="1:8" hidden="1" x14ac:dyDescent="0.4">
      <c r="A1791">
        <v>895</v>
      </c>
      <c r="B1791" t="s">
        <v>1</v>
      </c>
      <c r="C1791">
        <v>0</v>
      </c>
      <c r="D1791">
        <v>0</v>
      </c>
      <c r="E1791">
        <v>9</v>
      </c>
      <c r="F1791">
        <v>4</v>
      </c>
      <c r="G1791">
        <v>1</v>
      </c>
      <c r="H1791">
        <f>표3[[#This Row],[공격성공횟수]]/(표3[[#This Row],[공격실패횟수]]+표3[[#This Row],[공격성공횟수]])</f>
        <v>0</v>
      </c>
    </row>
    <row r="1792" spans="1:8" x14ac:dyDescent="0.4">
      <c r="A1792">
        <v>896</v>
      </c>
      <c r="B1792" t="s">
        <v>3</v>
      </c>
      <c r="C1792">
        <v>1</v>
      </c>
      <c r="D1792">
        <v>4</v>
      </c>
      <c r="E1792">
        <v>7</v>
      </c>
      <c r="F1792">
        <v>2</v>
      </c>
      <c r="G1792">
        <v>0</v>
      </c>
      <c r="H1792">
        <f>표3[[#This Row],[공격성공횟수]]/(표3[[#This Row],[공격실패횟수]]+표3[[#This Row],[공격성공횟수]])</f>
        <v>0.36363636363636365</v>
      </c>
    </row>
    <row r="1793" spans="1:8" hidden="1" x14ac:dyDescent="0.4">
      <c r="A1793">
        <v>896</v>
      </c>
      <c r="B1793" t="s">
        <v>1</v>
      </c>
      <c r="C1793">
        <v>0</v>
      </c>
      <c r="D1793">
        <v>2</v>
      </c>
      <c r="E1793">
        <v>9</v>
      </c>
      <c r="F1793">
        <v>4</v>
      </c>
      <c r="G1793">
        <v>1</v>
      </c>
      <c r="H1793">
        <f>표3[[#This Row],[공격성공횟수]]/(표3[[#This Row],[공격실패횟수]]+표3[[#This Row],[공격성공횟수]])</f>
        <v>0.18181818181818182</v>
      </c>
    </row>
    <row r="1794" spans="1:8" x14ac:dyDescent="0.4">
      <c r="A1794">
        <v>897</v>
      </c>
      <c r="B1794" t="s">
        <v>3</v>
      </c>
      <c r="C1794">
        <v>1</v>
      </c>
      <c r="D1794">
        <v>4</v>
      </c>
      <c r="E1794">
        <v>7</v>
      </c>
      <c r="F1794">
        <v>0</v>
      </c>
      <c r="G1794">
        <v>0</v>
      </c>
      <c r="H1794">
        <f>표3[[#This Row],[공격성공횟수]]/(표3[[#This Row],[공격실패횟수]]+표3[[#This Row],[공격성공횟수]])</f>
        <v>0.36363636363636365</v>
      </c>
    </row>
    <row r="1795" spans="1:8" hidden="1" x14ac:dyDescent="0.4">
      <c r="A1795">
        <v>897</v>
      </c>
      <c r="B1795" t="s">
        <v>1</v>
      </c>
      <c r="C1795">
        <v>0</v>
      </c>
      <c r="D1795">
        <v>0</v>
      </c>
      <c r="E1795">
        <v>10</v>
      </c>
      <c r="F1795">
        <v>4</v>
      </c>
      <c r="G1795">
        <v>1</v>
      </c>
      <c r="H1795">
        <f>표3[[#This Row],[공격성공횟수]]/(표3[[#This Row],[공격실패횟수]]+표3[[#This Row],[공격성공횟수]])</f>
        <v>0</v>
      </c>
    </row>
    <row r="1796" spans="1:8" x14ac:dyDescent="0.4">
      <c r="A1796">
        <v>898</v>
      </c>
      <c r="B1796" t="s">
        <v>3</v>
      </c>
      <c r="C1796">
        <v>1</v>
      </c>
      <c r="D1796">
        <v>4</v>
      </c>
      <c r="E1796">
        <v>12</v>
      </c>
      <c r="F1796">
        <v>3</v>
      </c>
      <c r="G1796">
        <v>0</v>
      </c>
      <c r="H1796">
        <f>표3[[#This Row],[공격성공횟수]]/(표3[[#This Row],[공격실패횟수]]+표3[[#This Row],[공격성공횟수]])</f>
        <v>0.25</v>
      </c>
    </row>
    <row r="1797" spans="1:8" hidden="1" x14ac:dyDescent="0.4">
      <c r="A1797">
        <v>898</v>
      </c>
      <c r="B1797" t="s">
        <v>1</v>
      </c>
      <c r="C1797">
        <v>0</v>
      </c>
      <c r="D1797">
        <v>3</v>
      </c>
      <c r="E1797">
        <v>12</v>
      </c>
      <c r="F1797">
        <v>4</v>
      </c>
      <c r="G1797">
        <v>1</v>
      </c>
      <c r="H1797">
        <f>표3[[#This Row],[공격성공횟수]]/(표3[[#This Row],[공격실패횟수]]+표3[[#This Row],[공격성공횟수]])</f>
        <v>0.2</v>
      </c>
    </row>
    <row r="1798" spans="1:8" x14ac:dyDescent="0.4">
      <c r="A1798">
        <v>899</v>
      </c>
      <c r="B1798" t="s">
        <v>3</v>
      </c>
      <c r="C1798">
        <v>1</v>
      </c>
      <c r="D1798">
        <v>4</v>
      </c>
      <c r="E1798">
        <v>13</v>
      </c>
      <c r="F1798">
        <v>2</v>
      </c>
      <c r="G1798">
        <v>0</v>
      </c>
      <c r="H1798">
        <f>표3[[#This Row],[공격성공횟수]]/(표3[[#This Row],[공격실패횟수]]+표3[[#This Row],[공격성공횟수]])</f>
        <v>0.23529411764705882</v>
      </c>
    </row>
    <row r="1799" spans="1:8" hidden="1" x14ac:dyDescent="0.4">
      <c r="A1799">
        <v>899</v>
      </c>
      <c r="B1799" t="s">
        <v>1</v>
      </c>
      <c r="C1799">
        <v>0</v>
      </c>
      <c r="D1799">
        <v>2</v>
      </c>
      <c r="E1799">
        <v>15</v>
      </c>
      <c r="F1799">
        <v>4</v>
      </c>
      <c r="G1799">
        <v>1</v>
      </c>
      <c r="H1799">
        <f>표3[[#This Row],[공격성공횟수]]/(표3[[#This Row],[공격실패횟수]]+표3[[#This Row],[공격성공횟수]])</f>
        <v>0.11764705882352941</v>
      </c>
    </row>
    <row r="1800" spans="1:8" x14ac:dyDescent="0.4">
      <c r="A1800">
        <v>900</v>
      </c>
      <c r="B1800" t="s">
        <v>3</v>
      </c>
      <c r="C1800">
        <v>1</v>
      </c>
      <c r="D1800">
        <v>4</v>
      </c>
      <c r="E1800">
        <v>14</v>
      </c>
      <c r="F1800">
        <v>0</v>
      </c>
      <c r="G1800">
        <v>0</v>
      </c>
      <c r="H1800">
        <f>표3[[#This Row],[공격성공횟수]]/(표3[[#This Row],[공격실패횟수]]+표3[[#This Row],[공격성공횟수]])</f>
        <v>0.22222222222222221</v>
      </c>
    </row>
    <row r="1801" spans="1:8" hidden="1" x14ac:dyDescent="0.4">
      <c r="A1801">
        <v>900</v>
      </c>
      <c r="B1801" t="s">
        <v>1</v>
      </c>
      <c r="C1801">
        <v>0</v>
      </c>
      <c r="D1801">
        <v>0</v>
      </c>
      <c r="E1801">
        <v>17</v>
      </c>
      <c r="F1801">
        <v>4</v>
      </c>
      <c r="G1801">
        <v>1</v>
      </c>
      <c r="H1801">
        <f>표3[[#This Row],[공격성공횟수]]/(표3[[#This Row],[공격실패횟수]]+표3[[#This Row],[공격성공횟수]])</f>
        <v>0</v>
      </c>
    </row>
    <row r="1802" spans="1:8" x14ac:dyDescent="0.4">
      <c r="A1802">
        <v>901</v>
      </c>
      <c r="B1802" t="s">
        <v>3</v>
      </c>
      <c r="C1802">
        <v>1</v>
      </c>
      <c r="D1802">
        <v>4</v>
      </c>
      <c r="E1802">
        <v>20</v>
      </c>
      <c r="F1802">
        <v>1</v>
      </c>
      <c r="G1802">
        <v>0</v>
      </c>
      <c r="H1802">
        <f>표3[[#This Row],[공격성공횟수]]/(표3[[#This Row],[공격실패횟수]]+표3[[#This Row],[공격성공횟수]])</f>
        <v>0.16666666666666666</v>
      </c>
    </row>
    <row r="1803" spans="1:8" hidden="1" x14ac:dyDescent="0.4">
      <c r="A1803">
        <v>901</v>
      </c>
      <c r="B1803" t="s">
        <v>1</v>
      </c>
      <c r="C1803">
        <v>0</v>
      </c>
      <c r="D1803">
        <v>1</v>
      </c>
      <c r="E1803">
        <v>22</v>
      </c>
      <c r="F1803">
        <v>4</v>
      </c>
      <c r="G1803">
        <v>1</v>
      </c>
      <c r="H1803">
        <f>표3[[#This Row],[공격성공횟수]]/(표3[[#This Row],[공격실패횟수]]+표3[[#This Row],[공격성공횟수]])</f>
        <v>4.3478260869565216E-2</v>
      </c>
    </row>
    <row r="1804" spans="1:8" x14ac:dyDescent="0.4">
      <c r="A1804">
        <v>902</v>
      </c>
      <c r="B1804" t="s">
        <v>3</v>
      </c>
      <c r="C1804">
        <v>1</v>
      </c>
      <c r="D1804">
        <v>4</v>
      </c>
      <c r="E1804">
        <v>8</v>
      </c>
      <c r="F1804">
        <v>1</v>
      </c>
      <c r="G1804">
        <v>0</v>
      </c>
      <c r="H1804">
        <f>표3[[#This Row],[공격성공횟수]]/(표3[[#This Row],[공격실패횟수]]+표3[[#This Row],[공격성공횟수]])</f>
        <v>0.33333333333333331</v>
      </c>
    </row>
    <row r="1805" spans="1:8" hidden="1" x14ac:dyDescent="0.4">
      <c r="A1805">
        <v>902</v>
      </c>
      <c r="B1805" t="s">
        <v>1</v>
      </c>
      <c r="C1805">
        <v>0</v>
      </c>
      <c r="D1805">
        <v>1</v>
      </c>
      <c r="E1805">
        <v>11</v>
      </c>
      <c r="F1805">
        <v>4</v>
      </c>
      <c r="G1805">
        <v>1</v>
      </c>
      <c r="H1805">
        <f>표3[[#This Row],[공격성공횟수]]/(표3[[#This Row],[공격실패횟수]]+표3[[#This Row],[공격성공횟수]])</f>
        <v>8.3333333333333329E-2</v>
      </c>
    </row>
    <row r="1806" spans="1:8" x14ac:dyDescent="0.4">
      <c r="A1806">
        <v>903</v>
      </c>
      <c r="B1806" t="s">
        <v>3</v>
      </c>
      <c r="C1806">
        <v>0</v>
      </c>
      <c r="D1806">
        <v>1</v>
      </c>
      <c r="E1806">
        <v>24</v>
      </c>
      <c r="F1806">
        <v>4</v>
      </c>
      <c r="G1806">
        <v>1</v>
      </c>
      <c r="H1806">
        <f>표3[[#This Row],[공격성공횟수]]/(표3[[#This Row],[공격실패횟수]]+표3[[#This Row],[공격성공횟수]])</f>
        <v>0.04</v>
      </c>
    </row>
    <row r="1807" spans="1:8" hidden="1" x14ac:dyDescent="0.4">
      <c r="A1807">
        <v>903</v>
      </c>
      <c r="B1807" t="s">
        <v>1</v>
      </c>
      <c r="C1807">
        <v>1</v>
      </c>
      <c r="D1807">
        <v>4</v>
      </c>
      <c r="E1807">
        <v>21</v>
      </c>
      <c r="F1807">
        <v>1</v>
      </c>
      <c r="G1807">
        <v>0</v>
      </c>
      <c r="H1807">
        <f>표3[[#This Row],[공격성공횟수]]/(표3[[#This Row],[공격실패횟수]]+표3[[#This Row],[공격성공횟수]])</f>
        <v>0.16</v>
      </c>
    </row>
    <row r="1808" spans="1:8" x14ac:dyDescent="0.4">
      <c r="A1808">
        <v>904</v>
      </c>
      <c r="B1808" t="s">
        <v>3</v>
      </c>
      <c r="C1808">
        <v>1</v>
      </c>
      <c r="D1808">
        <v>4</v>
      </c>
      <c r="E1808">
        <v>9</v>
      </c>
      <c r="F1808">
        <v>0</v>
      </c>
      <c r="G1808">
        <v>0</v>
      </c>
      <c r="H1808">
        <f>표3[[#This Row],[공격성공횟수]]/(표3[[#This Row],[공격실패횟수]]+표3[[#This Row],[공격성공횟수]])</f>
        <v>0.30769230769230771</v>
      </c>
    </row>
    <row r="1809" spans="1:8" hidden="1" x14ac:dyDescent="0.4">
      <c r="A1809">
        <v>904</v>
      </c>
      <c r="B1809" t="s">
        <v>1</v>
      </c>
      <c r="C1809">
        <v>0</v>
      </c>
      <c r="D1809">
        <v>0</v>
      </c>
      <c r="E1809">
        <v>11</v>
      </c>
      <c r="F1809">
        <v>4</v>
      </c>
      <c r="G1809">
        <v>1</v>
      </c>
      <c r="H1809">
        <f>표3[[#This Row],[공격성공횟수]]/(표3[[#This Row],[공격실패횟수]]+표3[[#This Row],[공격성공횟수]])</f>
        <v>0</v>
      </c>
    </row>
    <row r="1810" spans="1:8" x14ac:dyDescent="0.4">
      <c r="A1810">
        <v>905</v>
      </c>
      <c r="B1810" t="s">
        <v>3</v>
      </c>
      <c r="C1810">
        <v>0</v>
      </c>
      <c r="D1810">
        <v>1</v>
      </c>
      <c r="E1810">
        <v>10</v>
      </c>
      <c r="F1810">
        <v>4</v>
      </c>
      <c r="G1810">
        <v>1</v>
      </c>
      <c r="H1810">
        <f>표3[[#This Row],[공격성공횟수]]/(표3[[#This Row],[공격실패횟수]]+표3[[#This Row],[공격성공횟수]])</f>
        <v>9.0909090909090912E-2</v>
      </c>
    </row>
    <row r="1811" spans="1:8" hidden="1" x14ac:dyDescent="0.4">
      <c r="A1811">
        <v>905</v>
      </c>
      <c r="B1811" t="s">
        <v>1</v>
      </c>
      <c r="C1811">
        <v>1</v>
      </c>
      <c r="D1811">
        <v>4</v>
      </c>
      <c r="E1811">
        <v>8</v>
      </c>
      <c r="F1811">
        <v>1</v>
      </c>
      <c r="G1811">
        <v>0</v>
      </c>
      <c r="H1811">
        <f>표3[[#This Row],[공격성공횟수]]/(표3[[#This Row],[공격실패횟수]]+표3[[#This Row],[공격성공횟수]])</f>
        <v>0.33333333333333331</v>
      </c>
    </row>
    <row r="1812" spans="1:8" x14ac:dyDescent="0.4">
      <c r="A1812">
        <v>906</v>
      </c>
      <c r="B1812" t="s">
        <v>3</v>
      </c>
      <c r="C1812">
        <v>0</v>
      </c>
      <c r="D1812">
        <v>0</v>
      </c>
      <c r="E1812">
        <v>15</v>
      </c>
      <c r="F1812">
        <v>4</v>
      </c>
      <c r="G1812">
        <v>1</v>
      </c>
      <c r="H1812">
        <f>표3[[#This Row],[공격성공횟수]]/(표3[[#This Row],[공격실패횟수]]+표3[[#This Row],[공격성공횟수]])</f>
        <v>0</v>
      </c>
    </row>
    <row r="1813" spans="1:8" hidden="1" x14ac:dyDescent="0.4">
      <c r="A1813">
        <v>906</v>
      </c>
      <c r="B1813" t="s">
        <v>1</v>
      </c>
      <c r="C1813">
        <v>1</v>
      </c>
      <c r="D1813">
        <v>4</v>
      </c>
      <c r="E1813">
        <v>12</v>
      </c>
      <c r="F1813">
        <v>0</v>
      </c>
      <c r="G1813">
        <v>0</v>
      </c>
      <c r="H1813">
        <f>표3[[#This Row],[공격성공횟수]]/(표3[[#This Row],[공격실패횟수]]+표3[[#This Row],[공격성공횟수]])</f>
        <v>0.25</v>
      </c>
    </row>
    <row r="1814" spans="1:8" x14ac:dyDescent="0.4">
      <c r="A1814">
        <v>907</v>
      </c>
      <c r="B1814" t="s">
        <v>3</v>
      </c>
      <c r="C1814">
        <v>1</v>
      </c>
      <c r="D1814">
        <v>4</v>
      </c>
      <c r="E1814">
        <v>8</v>
      </c>
      <c r="F1814">
        <v>1</v>
      </c>
      <c r="G1814">
        <v>0</v>
      </c>
      <c r="H1814">
        <f>표3[[#This Row],[공격성공횟수]]/(표3[[#This Row],[공격실패횟수]]+표3[[#This Row],[공격성공횟수]])</f>
        <v>0.33333333333333331</v>
      </c>
    </row>
    <row r="1815" spans="1:8" hidden="1" x14ac:dyDescent="0.4">
      <c r="A1815">
        <v>907</v>
      </c>
      <c r="B1815" t="s">
        <v>1</v>
      </c>
      <c r="C1815">
        <v>0</v>
      </c>
      <c r="D1815">
        <v>1</v>
      </c>
      <c r="E1815">
        <v>9</v>
      </c>
      <c r="F1815">
        <v>4</v>
      </c>
      <c r="G1815">
        <v>1</v>
      </c>
      <c r="H1815">
        <f>표3[[#This Row],[공격성공횟수]]/(표3[[#This Row],[공격실패횟수]]+표3[[#This Row],[공격성공횟수]])</f>
        <v>0.1</v>
      </c>
    </row>
    <row r="1816" spans="1:8" x14ac:dyDescent="0.4">
      <c r="A1816">
        <v>908</v>
      </c>
      <c r="B1816" t="s">
        <v>3</v>
      </c>
      <c r="C1816">
        <v>0</v>
      </c>
      <c r="D1816">
        <v>3</v>
      </c>
      <c r="E1816">
        <v>12</v>
      </c>
      <c r="F1816">
        <v>4</v>
      </c>
      <c r="G1816">
        <v>1</v>
      </c>
      <c r="H1816">
        <f>표3[[#This Row],[공격성공횟수]]/(표3[[#This Row],[공격실패횟수]]+표3[[#This Row],[공격성공횟수]])</f>
        <v>0.2</v>
      </c>
    </row>
    <row r="1817" spans="1:8" hidden="1" x14ac:dyDescent="0.4">
      <c r="A1817">
        <v>908</v>
      </c>
      <c r="B1817" t="s">
        <v>1</v>
      </c>
      <c r="C1817">
        <v>1</v>
      </c>
      <c r="D1817">
        <v>4</v>
      </c>
      <c r="E1817">
        <v>12</v>
      </c>
      <c r="F1817">
        <v>3</v>
      </c>
      <c r="G1817">
        <v>0</v>
      </c>
      <c r="H1817">
        <f>표3[[#This Row],[공격성공횟수]]/(표3[[#This Row],[공격실패횟수]]+표3[[#This Row],[공격성공횟수]])</f>
        <v>0.25</v>
      </c>
    </row>
    <row r="1818" spans="1:8" x14ac:dyDescent="0.4">
      <c r="A1818">
        <v>909</v>
      </c>
      <c r="B1818" t="s">
        <v>3</v>
      </c>
      <c r="C1818">
        <v>1</v>
      </c>
      <c r="D1818">
        <v>4</v>
      </c>
      <c r="E1818">
        <v>7</v>
      </c>
      <c r="F1818">
        <v>0</v>
      </c>
      <c r="G1818">
        <v>0</v>
      </c>
      <c r="H1818">
        <f>표3[[#This Row],[공격성공횟수]]/(표3[[#This Row],[공격실패횟수]]+표3[[#This Row],[공격성공횟수]])</f>
        <v>0.36363636363636365</v>
      </c>
    </row>
    <row r="1819" spans="1:8" hidden="1" x14ac:dyDescent="0.4">
      <c r="A1819">
        <v>909</v>
      </c>
      <c r="B1819" t="s">
        <v>1</v>
      </c>
      <c r="C1819">
        <v>0</v>
      </c>
      <c r="D1819">
        <v>0</v>
      </c>
      <c r="E1819">
        <v>10</v>
      </c>
      <c r="F1819">
        <v>4</v>
      </c>
      <c r="G1819">
        <v>1</v>
      </c>
      <c r="H1819">
        <f>표3[[#This Row],[공격성공횟수]]/(표3[[#This Row],[공격실패횟수]]+표3[[#This Row],[공격성공횟수]])</f>
        <v>0</v>
      </c>
    </row>
    <row r="1820" spans="1:8" x14ac:dyDescent="0.4">
      <c r="A1820">
        <v>910</v>
      </c>
      <c r="B1820" t="s">
        <v>3</v>
      </c>
      <c r="C1820">
        <v>1</v>
      </c>
      <c r="D1820">
        <v>4</v>
      </c>
      <c r="E1820">
        <v>8</v>
      </c>
      <c r="F1820">
        <v>1</v>
      </c>
      <c r="G1820">
        <v>0</v>
      </c>
      <c r="H1820">
        <f>표3[[#This Row],[공격성공횟수]]/(표3[[#This Row],[공격실패횟수]]+표3[[#This Row],[공격성공횟수]])</f>
        <v>0.33333333333333331</v>
      </c>
    </row>
    <row r="1821" spans="1:8" hidden="1" x14ac:dyDescent="0.4">
      <c r="A1821">
        <v>910</v>
      </c>
      <c r="B1821" t="s">
        <v>1</v>
      </c>
      <c r="C1821">
        <v>0</v>
      </c>
      <c r="D1821">
        <v>1</v>
      </c>
      <c r="E1821">
        <v>10</v>
      </c>
      <c r="F1821">
        <v>4</v>
      </c>
      <c r="G1821">
        <v>1</v>
      </c>
      <c r="H1821">
        <f>표3[[#This Row],[공격성공횟수]]/(표3[[#This Row],[공격실패횟수]]+표3[[#This Row],[공격성공횟수]])</f>
        <v>9.0909090909090912E-2</v>
      </c>
    </row>
    <row r="1822" spans="1:8" x14ac:dyDescent="0.4">
      <c r="A1822">
        <v>911</v>
      </c>
      <c r="B1822" t="s">
        <v>3</v>
      </c>
      <c r="C1822">
        <v>1</v>
      </c>
      <c r="D1822">
        <v>4</v>
      </c>
      <c r="E1822">
        <v>5</v>
      </c>
      <c r="F1822">
        <v>2</v>
      </c>
      <c r="G1822">
        <v>0</v>
      </c>
      <c r="H1822">
        <f>표3[[#This Row],[공격성공횟수]]/(표3[[#This Row],[공격실패횟수]]+표3[[#This Row],[공격성공횟수]])</f>
        <v>0.44444444444444442</v>
      </c>
    </row>
    <row r="1823" spans="1:8" hidden="1" x14ac:dyDescent="0.4">
      <c r="A1823">
        <v>911</v>
      </c>
      <c r="B1823" t="s">
        <v>1</v>
      </c>
      <c r="C1823">
        <v>0</v>
      </c>
      <c r="D1823">
        <v>2</v>
      </c>
      <c r="E1823">
        <v>7</v>
      </c>
      <c r="F1823">
        <v>4</v>
      </c>
      <c r="G1823">
        <v>1</v>
      </c>
      <c r="H1823">
        <f>표3[[#This Row],[공격성공횟수]]/(표3[[#This Row],[공격실패횟수]]+표3[[#This Row],[공격성공횟수]])</f>
        <v>0.22222222222222221</v>
      </c>
    </row>
    <row r="1824" spans="1:8" x14ac:dyDescent="0.4">
      <c r="A1824">
        <v>912</v>
      </c>
      <c r="B1824" t="s">
        <v>3</v>
      </c>
      <c r="C1824">
        <v>1</v>
      </c>
      <c r="D1824">
        <v>4</v>
      </c>
      <c r="E1824">
        <v>8</v>
      </c>
      <c r="F1824">
        <v>2</v>
      </c>
      <c r="G1824">
        <v>0</v>
      </c>
      <c r="H1824">
        <f>표3[[#This Row],[공격성공횟수]]/(표3[[#This Row],[공격실패횟수]]+표3[[#This Row],[공격성공횟수]])</f>
        <v>0.33333333333333331</v>
      </c>
    </row>
    <row r="1825" spans="1:8" hidden="1" x14ac:dyDescent="0.4">
      <c r="A1825">
        <v>912</v>
      </c>
      <c r="B1825" t="s">
        <v>1</v>
      </c>
      <c r="C1825">
        <v>0</v>
      </c>
      <c r="D1825">
        <v>2</v>
      </c>
      <c r="E1825">
        <v>10</v>
      </c>
      <c r="F1825">
        <v>4</v>
      </c>
      <c r="G1825">
        <v>1</v>
      </c>
      <c r="H1825">
        <f>표3[[#This Row],[공격성공횟수]]/(표3[[#This Row],[공격실패횟수]]+표3[[#This Row],[공격성공횟수]])</f>
        <v>0.16666666666666666</v>
      </c>
    </row>
    <row r="1826" spans="1:8" x14ac:dyDescent="0.4">
      <c r="A1826">
        <v>913</v>
      </c>
      <c r="B1826" t="s">
        <v>3</v>
      </c>
      <c r="C1826">
        <v>1</v>
      </c>
      <c r="D1826">
        <v>4</v>
      </c>
      <c r="E1826">
        <v>7</v>
      </c>
      <c r="F1826">
        <v>3</v>
      </c>
      <c r="G1826">
        <v>0</v>
      </c>
      <c r="H1826">
        <f>표3[[#This Row],[공격성공횟수]]/(표3[[#This Row],[공격실패횟수]]+표3[[#This Row],[공격성공횟수]])</f>
        <v>0.36363636363636365</v>
      </c>
    </row>
    <row r="1827" spans="1:8" hidden="1" x14ac:dyDescent="0.4">
      <c r="A1827">
        <v>913</v>
      </c>
      <c r="B1827" t="s">
        <v>1</v>
      </c>
      <c r="C1827">
        <v>0</v>
      </c>
      <c r="D1827">
        <v>3</v>
      </c>
      <c r="E1827">
        <v>7</v>
      </c>
      <c r="F1827">
        <v>4</v>
      </c>
      <c r="G1827">
        <v>1</v>
      </c>
      <c r="H1827">
        <f>표3[[#This Row],[공격성공횟수]]/(표3[[#This Row],[공격실패횟수]]+표3[[#This Row],[공격성공횟수]])</f>
        <v>0.3</v>
      </c>
    </row>
    <row r="1828" spans="1:8" x14ac:dyDescent="0.4">
      <c r="A1828">
        <v>914</v>
      </c>
      <c r="B1828" t="s">
        <v>3</v>
      </c>
      <c r="C1828">
        <v>1</v>
      </c>
      <c r="D1828">
        <v>4</v>
      </c>
      <c r="E1828">
        <v>13</v>
      </c>
      <c r="F1828">
        <v>0</v>
      </c>
      <c r="G1828">
        <v>0</v>
      </c>
      <c r="H1828">
        <f>표3[[#This Row],[공격성공횟수]]/(표3[[#This Row],[공격실패횟수]]+표3[[#This Row],[공격성공횟수]])</f>
        <v>0.23529411764705882</v>
      </c>
    </row>
    <row r="1829" spans="1:8" hidden="1" x14ac:dyDescent="0.4">
      <c r="A1829">
        <v>914</v>
      </c>
      <c r="B1829" t="s">
        <v>1</v>
      </c>
      <c r="C1829">
        <v>0</v>
      </c>
      <c r="D1829">
        <v>0</v>
      </c>
      <c r="E1829">
        <v>17</v>
      </c>
      <c r="F1829">
        <v>4</v>
      </c>
      <c r="G1829">
        <v>1</v>
      </c>
      <c r="H1829">
        <f>표3[[#This Row],[공격성공횟수]]/(표3[[#This Row],[공격실패횟수]]+표3[[#This Row],[공격성공횟수]])</f>
        <v>0</v>
      </c>
    </row>
    <row r="1830" spans="1:8" x14ac:dyDescent="0.4">
      <c r="A1830">
        <v>915</v>
      </c>
      <c r="B1830" t="s">
        <v>3</v>
      </c>
      <c r="C1830">
        <v>0</v>
      </c>
      <c r="D1830">
        <v>2</v>
      </c>
      <c r="E1830">
        <v>8</v>
      </c>
      <c r="F1830">
        <v>4</v>
      </c>
      <c r="G1830">
        <v>1</v>
      </c>
      <c r="H1830">
        <f>표3[[#This Row],[공격성공횟수]]/(표3[[#This Row],[공격실패횟수]]+표3[[#This Row],[공격성공횟수]])</f>
        <v>0.2</v>
      </c>
    </row>
    <row r="1831" spans="1:8" hidden="1" x14ac:dyDescent="0.4">
      <c r="A1831">
        <v>915</v>
      </c>
      <c r="B1831" t="s">
        <v>1</v>
      </c>
      <c r="C1831">
        <v>1</v>
      </c>
      <c r="D1831">
        <v>4</v>
      </c>
      <c r="E1831">
        <v>7</v>
      </c>
      <c r="F1831">
        <v>2</v>
      </c>
      <c r="G1831">
        <v>0</v>
      </c>
      <c r="H1831">
        <f>표3[[#This Row],[공격성공횟수]]/(표3[[#This Row],[공격실패횟수]]+표3[[#This Row],[공격성공횟수]])</f>
        <v>0.36363636363636365</v>
      </c>
    </row>
    <row r="1832" spans="1:8" x14ac:dyDescent="0.4">
      <c r="A1832">
        <v>916</v>
      </c>
      <c r="B1832" t="s">
        <v>3</v>
      </c>
      <c r="C1832">
        <v>1</v>
      </c>
      <c r="D1832">
        <v>4</v>
      </c>
      <c r="E1832">
        <v>18</v>
      </c>
      <c r="F1832">
        <v>1</v>
      </c>
      <c r="G1832">
        <v>0</v>
      </c>
      <c r="H1832">
        <f>표3[[#This Row],[공격성공횟수]]/(표3[[#This Row],[공격실패횟수]]+표3[[#This Row],[공격성공횟수]])</f>
        <v>0.18181818181818182</v>
      </c>
    </row>
    <row r="1833" spans="1:8" hidden="1" x14ac:dyDescent="0.4">
      <c r="A1833">
        <v>916</v>
      </c>
      <c r="B1833" t="s">
        <v>1</v>
      </c>
      <c r="C1833">
        <v>0</v>
      </c>
      <c r="D1833">
        <v>1</v>
      </c>
      <c r="E1833">
        <v>19</v>
      </c>
      <c r="F1833">
        <v>4</v>
      </c>
      <c r="G1833">
        <v>1</v>
      </c>
      <c r="H1833">
        <f>표3[[#This Row],[공격성공횟수]]/(표3[[#This Row],[공격실패횟수]]+표3[[#This Row],[공격성공횟수]])</f>
        <v>0.05</v>
      </c>
    </row>
    <row r="1834" spans="1:8" x14ac:dyDescent="0.4">
      <c r="A1834">
        <v>917</v>
      </c>
      <c r="B1834" t="s">
        <v>3</v>
      </c>
      <c r="C1834">
        <v>1</v>
      </c>
      <c r="D1834">
        <v>4</v>
      </c>
      <c r="E1834">
        <v>6</v>
      </c>
      <c r="F1834">
        <v>2</v>
      </c>
      <c r="G1834">
        <v>0</v>
      </c>
      <c r="H1834">
        <f>표3[[#This Row],[공격성공횟수]]/(표3[[#This Row],[공격실패횟수]]+표3[[#This Row],[공격성공횟수]])</f>
        <v>0.4</v>
      </c>
    </row>
    <row r="1835" spans="1:8" hidden="1" x14ac:dyDescent="0.4">
      <c r="A1835">
        <v>917</v>
      </c>
      <c r="B1835" t="s">
        <v>1</v>
      </c>
      <c r="C1835">
        <v>0</v>
      </c>
      <c r="D1835">
        <v>2</v>
      </c>
      <c r="E1835">
        <v>8</v>
      </c>
      <c r="F1835">
        <v>4</v>
      </c>
      <c r="G1835">
        <v>1</v>
      </c>
      <c r="H1835">
        <f>표3[[#This Row],[공격성공횟수]]/(표3[[#This Row],[공격실패횟수]]+표3[[#This Row],[공격성공횟수]])</f>
        <v>0.2</v>
      </c>
    </row>
    <row r="1836" spans="1:8" x14ac:dyDescent="0.4">
      <c r="A1836">
        <v>918</v>
      </c>
      <c r="B1836" t="s">
        <v>3</v>
      </c>
      <c r="C1836">
        <v>1</v>
      </c>
      <c r="D1836">
        <v>4</v>
      </c>
      <c r="E1836">
        <v>12</v>
      </c>
      <c r="F1836">
        <v>1</v>
      </c>
      <c r="G1836">
        <v>0</v>
      </c>
      <c r="H1836">
        <f>표3[[#This Row],[공격성공횟수]]/(표3[[#This Row],[공격실패횟수]]+표3[[#This Row],[공격성공횟수]])</f>
        <v>0.25</v>
      </c>
    </row>
    <row r="1837" spans="1:8" hidden="1" x14ac:dyDescent="0.4">
      <c r="A1837">
        <v>918</v>
      </c>
      <c r="B1837" t="s">
        <v>1</v>
      </c>
      <c r="C1837">
        <v>0</v>
      </c>
      <c r="D1837">
        <v>1</v>
      </c>
      <c r="E1837">
        <v>15</v>
      </c>
      <c r="F1837">
        <v>4</v>
      </c>
      <c r="G1837">
        <v>1</v>
      </c>
      <c r="H1837">
        <f>표3[[#This Row],[공격성공횟수]]/(표3[[#This Row],[공격실패횟수]]+표3[[#This Row],[공격성공횟수]])</f>
        <v>6.25E-2</v>
      </c>
    </row>
    <row r="1838" spans="1:8" x14ac:dyDescent="0.4">
      <c r="A1838">
        <v>919</v>
      </c>
      <c r="B1838" t="s">
        <v>3</v>
      </c>
      <c r="C1838">
        <v>1</v>
      </c>
      <c r="D1838">
        <v>4</v>
      </c>
      <c r="E1838">
        <v>4</v>
      </c>
      <c r="F1838">
        <v>0</v>
      </c>
      <c r="G1838">
        <v>0</v>
      </c>
      <c r="H1838">
        <f>표3[[#This Row],[공격성공횟수]]/(표3[[#This Row],[공격실패횟수]]+표3[[#This Row],[공격성공횟수]])</f>
        <v>0.5</v>
      </c>
    </row>
    <row r="1839" spans="1:8" hidden="1" x14ac:dyDescent="0.4">
      <c r="A1839">
        <v>919</v>
      </c>
      <c r="B1839" t="s">
        <v>1</v>
      </c>
      <c r="C1839">
        <v>0</v>
      </c>
      <c r="D1839">
        <v>0</v>
      </c>
      <c r="E1839">
        <v>8</v>
      </c>
      <c r="F1839">
        <v>4</v>
      </c>
      <c r="G1839">
        <v>1</v>
      </c>
      <c r="H1839">
        <f>표3[[#This Row],[공격성공횟수]]/(표3[[#This Row],[공격실패횟수]]+표3[[#This Row],[공격성공횟수]])</f>
        <v>0</v>
      </c>
    </row>
    <row r="1840" spans="1:8" x14ac:dyDescent="0.4">
      <c r="A1840">
        <v>920</v>
      </c>
      <c r="B1840" t="s">
        <v>3</v>
      </c>
      <c r="C1840">
        <v>1</v>
      </c>
      <c r="D1840">
        <v>4</v>
      </c>
      <c r="E1840">
        <v>10</v>
      </c>
      <c r="F1840">
        <v>1</v>
      </c>
      <c r="G1840">
        <v>0</v>
      </c>
      <c r="H1840">
        <f>표3[[#This Row],[공격성공횟수]]/(표3[[#This Row],[공격실패횟수]]+표3[[#This Row],[공격성공횟수]])</f>
        <v>0.2857142857142857</v>
      </c>
    </row>
    <row r="1841" spans="1:8" hidden="1" x14ac:dyDescent="0.4">
      <c r="A1841">
        <v>920</v>
      </c>
      <c r="B1841" t="s">
        <v>1</v>
      </c>
      <c r="C1841">
        <v>0</v>
      </c>
      <c r="D1841">
        <v>1</v>
      </c>
      <c r="E1841">
        <v>12</v>
      </c>
      <c r="F1841">
        <v>4</v>
      </c>
      <c r="G1841">
        <v>1</v>
      </c>
      <c r="H1841">
        <f>표3[[#This Row],[공격성공횟수]]/(표3[[#This Row],[공격실패횟수]]+표3[[#This Row],[공격성공횟수]])</f>
        <v>7.6923076923076927E-2</v>
      </c>
    </row>
    <row r="1842" spans="1:8" x14ac:dyDescent="0.4">
      <c r="A1842">
        <v>921</v>
      </c>
      <c r="B1842" t="s">
        <v>3</v>
      </c>
      <c r="C1842">
        <v>1</v>
      </c>
      <c r="D1842">
        <v>4</v>
      </c>
      <c r="E1842">
        <v>18</v>
      </c>
      <c r="F1842">
        <v>1</v>
      </c>
      <c r="G1842">
        <v>0</v>
      </c>
      <c r="H1842">
        <f>표3[[#This Row],[공격성공횟수]]/(표3[[#This Row],[공격실패횟수]]+표3[[#This Row],[공격성공횟수]])</f>
        <v>0.18181818181818182</v>
      </c>
    </row>
    <row r="1843" spans="1:8" hidden="1" x14ac:dyDescent="0.4">
      <c r="A1843">
        <v>921</v>
      </c>
      <c r="B1843" t="s">
        <v>1</v>
      </c>
      <c r="C1843">
        <v>0</v>
      </c>
      <c r="D1843">
        <v>1</v>
      </c>
      <c r="E1843">
        <v>21</v>
      </c>
      <c r="F1843">
        <v>4</v>
      </c>
      <c r="G1843">
        <v>1</v>
      </c>
      <c r="H1843">
        <f>표3[[#This Row],[공격성공횟수]]/(표3[[#This Row],[공격실패횟수]]+표3[[#This Row],[공격성공횟수]])</f>
        <v>4.5454545454545456E-2</v>
      </c>
    </row>
    <row r="1844" spans="1:8" x14ac:dyDescent="0.4">
      <c r="A1844">
        <v>922</v>
      </c>
      <c r="B1844" t="s">
        <v>3</v>
      </c>
      <c r="C1844">
        <v>1</v>
      </c>
      <c r="D1844">
        <v>4</v>
      </c>
      <c r="E1844">
        <v>6</v>
      </c>
      <c r="F1844">
        <v>1</v>
      </c>
      <c r="G1844">
        <v>0</v>
      </c>
      <c r="H1844">
        <f>표3[[#This Row],[공격성공횟수]]/(표3[[#This Row],[공격실패횟수]]+표3[[#This Row],[공격성공횟수]])</f>
        <v>0.4</v>
      </c>
    </row>
    <row r="1845" spans="1:8" hidden="1" x14ac:dyDescent="0.4">
      <c r="A1845">
        <v>922</v>
      </c>
      <c r="B1845" t="s">
        <v>1</v>
      </c>
      <c r="C1845">
        <v>0</v>
      </c>
      <c r="D1845">
        <v>1</v>
      </c>
      <c r="E1845">
        <v>8</v>
      </c>
      <c r="F1845">
        <v>4</v>
      </c>
      <c r="G1845">
        <v>1</v>
      </c>
      <c r="H1845">
        <f>표3[[#This Row],[공격성공횟수]]/(표3[[#This Row],[공격실패횟수]]+표3[[#This Row],[공격성공횟수]])</f>
        <v>0.1111111111111111</v>
      </c>
    </row>
    <row r="1846" spans="1:8" x14ac:dyDescent="0.4">
      <c r="A1846">
        <v>923</v>
      </c>
      <c r="B1846" t="s">
        <v>3</v>
      </c>
      <c r="C1846">
        <v>1</v>
      </c>
      <c r="D1846">
        <v>4</v>
      </c>
      <c r="E1846">
        <v>6</v>
      </c>
      <c r="F1846">
        <v>0</v>
      </c>
      <c r="G1846">
        <v>0</v>
      </c>
      <c r="H1846">
        <f>표3[[#This Row],[공격성공횟수]]/(표3[[#This Row],[공격실패횟수]]+표3[[#This Row],[공격성공횟수]])</f>
        <v>0.4</v>
      </c>
    </row>
    <row r="1847" spans="1:8" hidden="1" x14ac:dyDescent="0.4">
      <c r="A1847">
        <v>923</v>
      </c>
      <c r="B1847" t="s">
        <v>1</v>
      </c>
      <c r="C1847">
        <v>0</v>
      </c>
      <c r="D1847">
        <v>0</v>
      </c>
      <c r="E1847">
        <v>10</v>
      </c>
      <c r="F1847">
        <v>4</v>
      </c>
      <c r="G1847">
        <v>1</v>
      </c>
      <c r="H1847">
        <f>표3[[#This Row],[공격성공횟수]]/(표3[[#This Row],[공격실패횟수]]+표3[[#This Row],[공격성공횟수]])</f>
        <v>0</v>
      </c>
    </row>
    <row r="1848" spans="1:8" x14ac:dyDescent="0.4">
      <c r="A1848">
        <v>924</v>
      </c>
      <c r="B1848" t="s">
        <v>3</v>
      </c>
      <c r="C1848">
        <v>1</v>
      </c>
      <c r="D1848">
        <v>4</v>
      </c>
      <c r="E1848">
        <v>25</v>
      </c>
      <c r="F1848">
        <v>1</v>
      </c>
      <c r="G1848">
        <v>0</v>
      </c>
      <c r="H1848">
        <f>표3[[#This Row],[공격성공횟수]]/(표3[[#This Row],[공격실패횟수]]+표3[[#This Row],[공격성공횟수]])</f>
        <v>0.13793103448275862</v>
      </c>
    </row>
    <row r="1849" spans="1:8" hidden="1" x14ac:dyDescent="0.4">
      <c r="A1849">
        <v>924</v>
      </c>
      <c r="B1849" t="s">
        <v>1</v>
      </c>
      <c r="C1849">
        <v>0</v>
      </c>
      <c r="D1849">
        <v>1</v>
      </c>
      <c r="E1849">
        <v>27</v>
      </c>
      <c r="F1849">
        <v>4</v>
      </c>
      <c r="G1849">
        <v>1</v>
      </c>
      <c r="H1849">
        <f>표3[[#This Row],[공격성공횟수]]/(표3[[#This Row],[공격실패횟수]]+표3[[#This Row],[공격성공횟수]])</f>
        <v>3.5714285714285712E-2</v>
      </c>
    </row>
    <row r="1850" spans="1:8" x14ac:dyDescent="0.4">
      <c r="A1850">
        <v>925</v>
      </c>
      <c r="B1850" t="s">
        <v>3</v>
      </c>
      <c r="C1850">
        <v>1</v>
      </c>
      <c r="D1850">
        <v>4</v>
      </c>
      <c r="E1850">
        <v>13</v>
      </c>
      <c r="F1850">
        <v>0</v>
      </c>
      <c r="G1850">
        <v>0</v>
      </c>
      <c r="H1850">
        <f>표3[[#This Row],[공격성공횟수]]/(표3[[#This Row],[공격실패횟수]]+표3[[#This Row],[공격성공횟수]])</f>
        <v>0.23529411764705882</v>
      </c>
    </row>
    <row r="1851" spans="1:8" hidden="1" x14ac:dyDescent="0.4">
      <c r="A1851">
        <v>925</v>
      </c>
      <c r="B1851" t="s">
        <v>1</v>
      </c>
      <c r="C1851">
        <v>0</v>
      </c>
      <c r="D1851">
        <v>0</v>
      </c>
      <c r="E1851">
        <v>16</v>
      </c>
      <c r="F1851">
        <v>4</v>
      </c>
      <c r="G1851">
        <v>1</v>
      </c>
      <c r="H1851">
        <f>표3[[#This Row],[공격성공횟수]]/(표3[[#This Row],[공격실패횟수]]+표3[[#This Row],[공격성공횟수]])</f>
        <v>0</v>
      </c>
    </row>
    <row r="1852" spans="1:8" x14ac:dyDescent="0.4">
      <c r="A1852">
        <v>926</v>
      </c>
      <c r="B1852" t="s">
        <v>3</v>
      </c>
      <c r="C1852">
        <v>1</v>
      </c>
      <c r="D1852">
        <v>4</v>
      </c>
      <c r="E1852">
        <v>7</v>
      </c>
      <c r="F1852">
        <v>1</v>
      </c>
      <c r="G1852">
        <v>0</v>
      </c>
      <c r="H1852">
        <f>표3[[#This Row],[공격성공횟수]]/(표3[[#This Row],[공격실패횟수]]+표3[[#This Row],[공격성공횟수]])</f>
        <v>0.36363636363636365</v>
      </c>
    </row>
    <row r="1853" spans="1:8" hidden="1" x14ac:dyDescent="0.4">
      <c r="A1853">
        <v>926</v>
      </c>
      <c r="B1853" t="s">
        <v>1</v>
      </c>
      <c r="C1853">
        <v>0</v>
      </c>
      <c r="D1853">
        <v>1</v>
      </c>
      <c r="E1853">
        <v>10</v>
      </c>
      <c r="F1853">
        <v>4</v>
      </c>
      <c r="G1853">
        <v>1</v>
      </c>
      <c r="H1853">
        <f>표3[[#This Row],[공격성공횟수]]/(표3[[#This Row],[공격실패횟수]]+표3[[#This Row],[공격성공횟수]])</f>
        <v>9.0909090909090912E-2</v>
      </c>
    </row>
    <row r="1854" spans="1:8" x14ac:dyDescent="0.4">
      <c r="A1854">
        <v>927</v>
      </c>
      <c r="B1854" t="s">
        <v>3</v>
      </c>
      <c r="C1854">
        <v>1</v>
      </c>
      <c r="D1854">
        <v>4</v>
      </c>
      <c r="E1854">
        <v>14</v>
      </c>
      <c r="F1854">
        <v>2</v>
      </c>
      <c r="G1854">
        <v>0</v>
      </c>
      <c r="H1854">
        <f>표3[[#This Row],[공격성공횟수]]/(표3[[#This Row],[공격실패횟수]]+표3[[#This Row],[공격성공횟수]])</f>
        <v>0.22222222222222221</v>
      </c>
    </row>
    <row r="1855" spans="1:8" hidden="1" x14ac:dyDescent="0.4">
      <c r="A1855">
        <v>927</v>
      </c>
      <c r="B1855" t="s">
        <v>1</v>
      </c>
      <c r="C1855">
        <v>0</v>
      </c>
      <c r="D1855">
        <v>2</v>
      </c>
      <c r="E1855">
        <v>15</v>
      </c>
      <c r="F1855">
        <v>4</v>
      </c>
      <c r="G1855">
        <v>1</v>
      </c>
      <c r="H1855">
        <f>표3[[#This Row],[공격성공횟수]]/(표3[[#This Row],[공격실패횟수]]+표3[[#This Row],[공격성공횟수]])</f>
        <v>0.11764705882352941</v>
      </c>
    </row>
    <row r="1856" spans="1:8" x14ac:dyDescent="0.4">
      <c r="A1856">
        <v>928</v>
      </c>
      <c r="B1856" t="s">
        <v>3</v>
      </c>
      <c r="C1856">
        <v>1</v>
      </c>
      <c r="D1856">
        <v>4</v>
      </c>
      <c r="E1856">
        <v>9</v>
      </c>
      <c r="F1856">
        <v>1</v>
      </c>
      <c r="G1856">
        <v>0</v>
      </c>
      <c r="H1856">
        <f>표3[[#This Row],[공격성공횟수]]/(표3[[#This Row],[공격실패횟수]]+표3[[#This Row],[공격성공횟수]])</f>
        <v>0.30769230769230771</v>
      </c>
    </row>
    <row r="1857" spans="1:8" hidden="1" x14ac:dyDescent="0.4">
      <c r="A1857">
        <v>928</v>
      </c>
      <c r="B1857" t="s">
        <v>1</v>
      </c>
      <c r="C1857">
        <v>0</v>
      </c>
      <c r="D1857">
        <v>1</v>
      </c>
      <c r="E1857">
        <v>12</v>
      </c>
      <c r="F1857">
        <v>4</v>
      </c>
      <c r="G1857">
        <v>1</v>
      </c>
      <c r="H1857">
        <f>표3[[#This Row],[공격성공횟수]]/(표3[[#This Row],[공격실패횟수]]+표3[[#This Row],[공격성공횟수]])</f>
        <v>7.6923076923076927E-2</v>
      </c>
    </row>
    <row r="1858" spans="1:8" x14ac:dyDescent="0.4">
      <c r="A1858">
        <v>929</v>
      </c>
      <c r="B1858" t="s">
        <v>3</v>
      </c>
      <c r="C1858">
        <v>1</v>
      </c>
      <c r="D1858">
        <v>4</v>
      </c>
      <c r="E1858">
        <v>8</v>
      </c>
      <c r="F1858">
        <v>0</v>
      </c>
      <c r="G1858">
        <v>0</v>
      </c>
      <c r="H1858">
        <f>표3[[#This Row],[공격성공횟수]]/(표3[[#This Row],[공격실패횟수]]+표3[[#This Row],[공격성공횟수]])</f>
        <v>0.33333333333333331</v>
      </c>
    </row>
    <row r="1859" spans="1:8" hidden="1" x14ac:dyDescent="0.4">
      <c r="A1859">
        <v>929</v>
      </c>
      <c r="B1859" t="s">
        <v>1</v>
      </c>
      <c r="C1859">
        <v>0</v>
      </c>
      <c r="D1859">
        <v>0</v>
      </c>
      <c r="E1859">
        <v>11</v>
      </c>
      <c r="F1859">
        <v>4</v>
      </c>
      <c r="G1859">
        <v>1</v>
      </c>
      <c r="H1859">
        <f>표3[[#This Row],[공격성공횟수]]/(표3[[#This Row],[공격실패횟수]]+표3[[#This Row],[공격성공횟수]])</f>
        <v>0</v>
      </c>
    </row>
    <row r="1860" spans="1:8" x14ac:dyDescent="0.4">
      <c r="A1860">
        <v>930</v>
      </c>
      <c r="B1860" t="s">
        <v>3</v>
      </c>
      <c r="C1860">
        <v>1</v>
      </c>
      <c r="D1860">
        <v>4</v>
      </c>
      <c r="E1860">
        <v>10</v>
      </c>
      <c r="F1860">
        <v>3</v>
      </c>
      <c r="G1860">
        <v>0</v>
      </c>
      <c r="H1860">
        <f>표3[[#This Row],[공격성공횟수]]/(표3[[#This Row],[공격실패횟수]]+표3[[#This Row],[공격성공횟수]])</f>
        <v>0.2857142857142857</v>
      </c>
    </row>
    <row r="1861" spans="1:8" hidden="1" x14ac:dyDescent="0.4">
      <c r="A1861">
        <v>930</v>
      </c>
      <c r="B1861" t="s">
        <v>1</v>
      </c>
      <c r="C1861">
        <v>0</v>
      </c>
      <c r="D1861">
        <v>3</v>
      </c>
      <c r="E1861">
        <v>11</v>
      </c>
      <c r="F1861">
        <v>4</v>
      </c>
      <c r="G1861">
        <v>1</v>
      </c>
      <c r="H1861">
        <f>표3[[#This Row],[공격성공횟수]]/(표3[[#This Row],[공격실패횟수]]+표3[[#This Row],[공격성공횟수]])</f>
        <v>0.21428571428571427</v>
      </c>
    </row>
    <row r="1862" spans="1:8" x14ac:dyDescent="0.4">
      <c r="A1862">
        <v>931</v>
      </c>
      <c r="B1862" t="s">
        <v>3</v>
      </c>
      <c r="C1862">
        <v>1</v>
      </c>
      <c r="D1862">
        <v>4</v>
      </c>
      <c r="E1862">
        <v>20</v>
      </c>
      <c r="F1862">
        <v>3</v>
      </c>
      <c r="G1862">
        <v>0</v>
      </c>
      <c r="H1862">
        <f>표3[[#This Row],[공격성공횟수]]/(표3[[#This Row],[공격실패횟수]]+표3[[#This Row],[공격성공횟수]])</f>
        <v>0.16666666666666666</v>
      </c>
    </row>
    <row r="1863" spans="1:8" hidden="1" x14ac:dyDescent="0.4">
      <c r="A1863">
        <v>931</v>
      </c>
      <c r="B1863" t="s">
        <v>1</v>
      </c>
      <c r="C1863">
        <v>0</v>
      </c>
      <c r="D1863">
        <v>3</v>
      </c>
      <c r="E1863">
        <v>20</v>
      </c>
      <c r="F1863">
        <v>4</v>
      </c>
      <c r="G1863">
        <v>1</v>
      </c>
      <c r="H1863">
        <f>표3[[#This Row],[공격성공횟수]]/(표3[[#This Row],[공격실패횟수]]+표3[[#This Row],[공격성공횟수]])</f>
        <v>0.13043478260869565</v>
      </c>
    </row>
    <row r="1864" spans="1:8" x14ac:dyDescent="0.4">
      <c r="A1864">
        <v>932</v>
      </c>
      <c r="B1864" t="s">
        <v>3</v>
      </c>
      <c r="C1864">
        <v>1</v>
      </c>
      <c r="D1864">
        <v>4</v>
      </c>
      <c r="E1864">
        <v>4</v>
      </c>
      <c r="F1864">
        <v>0</v>
      </c>
      <c r="G1864">
        <v>0</v>
      </c>
      <c r="H1864">
        <f>표3[[#This Row],[공격성공횟수]]/(표3[[#This Row],[공격실패횟수]]+표3[[#This Row],[공격성공횟수]])</f>
        <v>0.5</v>
      </c>
    </row>
    <row r="1865" spans="1:8" hidden="1" x14ac:dyDescent="0.4">
      <c r="A1865">
        <v>932</v>
      </c>
      <c r="B1865" t="s">
        <v>1</v>
      </c>
      <c r="C1865">
        <v>0</v>
      </c>
      <c r="D1865">
        <v>0</v>
      </c>
      <c r="E1865">
        <v>8</v>
      </c>
      <c r="F1865">
        <v>4</v>
      </c>
      <c r="G1865">
        <v>1</v>
      </c>
      <c r="H1865">
        <f>표3[[#This Row],[공격성공횟수]]/(표3[[#This Row],[공격실패횟수]]+표3[[#This Row],[공격성공횟수]])</f>
        <v>0</v>
      </c>
    </row>
    <row r="1866" spans="1:8" x14ac:dyDescent="0.4">
      <c r="A1866">
        <v>933</v>
      </c>
      <c r="B1866" t="s">
        <v>3</v>
      </c>
      <c r="C1866">
        <v>0</v>
      </c>
      <c r="D1866">
        <v>2</v>
      </c>
      <c r="E1866">
        <v>23</v>
      </c>
      <c r="F1866">
        <v>4</v>
      </c>
      <c r="G1866">
        <v>1</v>
      </c>
      <c r="H1866">
        <f>표3[[#This Row],[공격성공횟수]]/(표3[[#This Row],[공격실패횟수]]+표3[[#This Row],[공격성공횟수]])</f>
        <v>0.08</v>
      </c>
    </row>
    <row r="1867" spans="1:8" hidden="1" x14ac:dyDescent="0.4">
      <c r="A1867">
        <v>933</v>
      </c>
      <c r="B1867" t="s">
        <v>1</v>
      </c>
      <c r="C1867">
        <v>1</v>
      </c>
      <c r="D1867">
        <v>4</v>
      </c>
      <c r="E1867">
        <v>22</v>
      </c>
      <c r="F1867">
        <v>2</v>
      </c>
      <c r="G1867">
        <v>0</v>
      </c>
      <c r="H1867">
        <f>표3[[#This Row],[공격성공횟수]]/(표3[[#This Row],[공격실패횟수]]+표3[[#This Row],[공격성공횟수]])</f>
        <v>0.15384615384615385</v>
      </c>
    </row>
    <row r="1868" spans="1:8" x14ac:dyDescent="0.4">
      <c r="A1868">
        <v>934</v>
      </c>
      <c r="B1868" t="s">
        <v>3</v>
      </c>
      <c r="C1868">
        <v>1</v>
      </c>
      <c r="D1868">
        <v>4</v>
      </c>
      <c r="E1868">
        <v>8</v>
      </c>
      <c r="F1868">
        <v>0</v>
      </c>
      <c r="G1868">
        <v>0</v>
      </c>
      <c r="H1868">
        <f>표3[[#This Row],[공격성공횟수]]/(표3[[#This Row],[공격실패횟수]]+표3[[#This Row],[공격성공횟수]])</f>
        <v>0.33333333333333331</v>
      </c>
    </row>
    <row r="1869" spans="1:8" hidden="1" x14ac:dyDescent="0.4">
      <c r="A1869">
        <v>934</v>
      </c>
      <c r="B1869" t="s">
        <v>1</v>
      </c>
      <c r="C1869">
        <v>0</v>
      </c>
      <c r="D1869">
        <v>0</v>
      </c>
      <c r="E1869">
        <v>11</v>
      </c>
      <c r="F1869">
        <v>4</v>
      </c>
      <c r="G1869">
        <v>1</v>
      </c>
      <c r="H1869">
        <f>표3[[#This Row],[공격성공횟수]]/(표3[[#This Row],[공격실패횟수]]+표3[[#This Row],[공격성공횟수]])</f>
        <v>0</v>
      </c>
    </row>
    <row r="1870" spans="1:8" x14ac:dyDescent="0.4">
      <c r="A1870">
        <v>935</v>
      </c>
      <c r="B1870" t="s">
        <v>3</v>
      </c>
      <c r="C1870">
        <v>1</v>
      </c>
      <c r="D1870">
        <v>4</v>
      </c>
      <c r="E1870">
        <v>12</v>
      </c>
      <c r="F1870">
        <v>0</v>
      </c>
      <c r="G1870">
        <v>0</v>
      </c>
      <c r="H1870">
        <f>표3[[#This Row],[공격성공횟수]]/(표3[[#This Row],[공격실패횟수]]+표3[[#This Row],[공격성공횟수]])</f>
        <v>0.25</v>
      </c>
    </row>
    <row r="1871" spans="1:8" hidden="1" x14ac:dyDescent="0.4">
      <c r="A1871">
        <v>935</v>
      </c>
      <c r="B1871" t="s">
        <v>1</v>
      </c>
      <c r="C1871">
        <v>0</v>
      </c>
      <c r="D1871">
        <v>0</v>
      </c>
      <c r="E1871">
        <v>15</v>
      </c>
      <c r="F1871">
        <v>4</v>
      </c>
      <c r="G1871">
        <v>1</v>
      </c>
      <c r="H1871">
        <f>표3[[#This Row],[공격성공횟수]]/(표3[[#This Row],[공격실패횟수]]+표3[[#This Row],[공격성공횟수]])</f>
        <v>0</v>
      </c>
    </row>
    <row r="1872" spans="1:8" x14ac:dyDescent="0.4">
      <c r="A1872">
        <v>936</v>
      </c>
      <c r="B1872" t="s">
        <v>3</v>
      </c>
      <c r="C1872">
        <v>1</v>
      </c>
      <c r="D1872">
        <v>4</v>
      </c>
      <c r="E1872">
        <v>36</v>
      </c>
      <c r="F1872">
        <v>2</v>
      </c>
      <c r="G1872">
        <v>0</v>
      </c>
      <c r="H1872">
        <f>표3[[#This Row],[공격성공횟수]]/(표3[[#This Row],[공격실패횟수]]+표3[[#This Row],[공격성공횟수]])</f>
        <v>0.1</v>
      </c>
    </row>
    <row r="1873" spans="1:8" hidden="1" x14ac:dyDescent="0.4">
      <c r="A1873">
        <v>936</v>
      </c>
      <c r="B1873" t="s">
        <v>1</v>
      </c>
      <c r="C1873">
        <v>0</v>
      </c>
      <c r="D1873">
        <v>2</v>
      </c>
      <c r="E1873">
        <v>37</v>
      </c>
      <c r="F1873">
        <v>4</v>
      </c>
      <c r="G1873">
        <v>1</v>
      </c>
      <c r="H1873">
        <f>표3[[#This Row],[공격성공횟수]]/(표3[[#This Row],[공격실패횟수]]+표3[[#This Row],[공격성공횟수]])</f>
        <v>5.128205128205128E-2</v>
      </c>
    </row>
    <row r="1874" spans="1:8" x14ac:dyDescent="0.4">
      <c r="A1874">
        <v>937</v>
      </c>
      <c r="B1874" t="s">
        <v>3</v>
      </c>
      <c r="C1874">
        <v>1</v>
      </c>
      <c r="D1874">
        <v>4</v>
      </c>
      <c r="E1874">
        <v>9</v>
      </c>
      <c r="F1874">
        <v>2</v>
      </c>
      <c r="G1874">
        <v>0</v>
      </c>
      <c r="H1874">
        <f>표3[[#This Row],[공격성공횟수]]/(표3[[#This Row],[공격실패횟수]]+표3[[#This Row],[공격성공횟수]])</f>
        <v>0.30769230769230771</v>
      </c>
    </row>
    <row r="1875" spans="1:8" hidden="1" x14ac:dyDescent="0.4">
      <c r="A1875">
        <v>937</v>
      </c>
      <c r="B1875" t="s">
        <v>1</v>
      </c>
      <c r="C1875">
        <v>0</v>
      </c>
      <c r="D1875">
        <v>2</v>
      </c>
      <c r="E1875">
        <v>11</v>
      </c>
      <c r="F1875">
        <v>4</v>
      </c>
      <c r="G1875">
        <v>1</v>
      </c>
      <c r="H1875">
        <f>표3[[#This Row],[공격성공횟수]]/(표3[[#This Row],[공격실패횟수]]+표3[[#This Row],[공격성공횟수]])</f>
        <v>0.15384615384615385</v>
      </c>
    </row>
    <row r="1876" spans="1:8" x14ac:dyDescent="0.4">
      <c r="A1876">
        <v>938</v>
      </c>
      <c r="B1876" t="s">
        <v>3</v>
      </c>
      <c r="C1876">
        <v>1</v>
      </c>
      <c r="D1876">
        <v>4</v>
      </c>
      <c r="E1876">
        <v>5</v>
      </c>
      <c r="F1876">
        <v>1</v>
      </c>
      <c r="G1876">
        <v>0</v>
      </c>
      <c r="H1876">
        <f>표3[[#This Row],[공격성공횟수]]/(표3[[#This Row],[공격실패횟수]]+표3[[#This Row],[공격성공횟수]])</f>
        <v>0.44444444444444442</v>
      </c>
    </row>
    <row r="1877" spans="1:8" hidden="1" x14ac:dyDescent="0.4">
      <c r="A1877">
        <v>938</v>
      </c>
      <c r="B1877" t="s">
        <v>1</v>
      </c>
      <c r="C1877">
        <v>0</v>
      </c>
      <c r="D1877">
        <v>1</v>
      </c>
      <c r="E1877">
        <v>8</v>
      </c>
      <c r="F1877">
        <v>4</v>
      </c>
      <c r="G1877">
        <v>1</v>
      </c>
      <c r="H1877">
        <f>표3[[#This Row],[공격성공횟수]]/(표3[[#This Row],[공격실패횟수]]+표3[[#This Row],[공격성공횟수]])</f>
        <v>0.1111111111111111</v>
      </c>
    </row>
    <row r="1878" spans="1:8" x14ac:dyDescent="0.4">
      <c r="A1878">
        <v>939</v>
      </c>
      <c r="B1878" t="s">
        <v>3</v>
      </c>
      <c r="C1878">
        <v>1</v>
      </c>
      <c r="D1878">
        <v>4</v>
      </c>
      <c r="E1878">
        <v>8</v>
      </c>
      <c r="F1878">
        <v>1</v>
      </c>
      <c r="G1878">
        <v>0</v>
      </c>
      <c r="H1878">
        <f>표3[[#This Row],[공격성공횟수]]/(표3[[#This Row],[공격실패횟수]]+표3[[#This Row],[공격성공횟수]])</f>
        <v>0.33333333333333331</v>
      </c>
    </row>
    <row r="1879" spans="1:8" hidden="1" x14ac:dyDescent="0.4">
      <c r="A1879">
        <v>939</v>
      </c>
      <c r="B1879" t="s">
        <v>1</v>
      </c>
      <c r="C1879">
        <v>0</v>
      </c>
      <c r="D1879">
        <v>1</v>
      </c>
      <c r="E1879">
        <v>10</v>
      </c>
      <c r="F1879">
        <v>4</v>
      </c>
      <c r="G1879">
        <v>1</v>
      </c>
      <c r="H1879">
        <f>표3[[#This Row],[공격성공횟수]]/(표3[[#This Row],[공격실패횟수]]+표3[[#This Row],[공격성공횟수]])</f>
        <v>9.0909090909090912E-2</v>
      </c>
    </row>
    <row r="1880" spans="1:8" x14ac:dyDescent="0.4">
      <c r="A1880">
        <v>940</v>
      </c>
      <c r="B1880" t="s">
        <v>3</v>
      </c>
      <c r="C1880">
        <v>0</v>
      </c>
      <c r="D1880">
        <v>0</v>
      </c>
      <c r="E1880">
        <v>11</v>
      </c>
      <c r="F1880">
        <v>4</v>
      </c>
      <c r="G1880">
        <v>1</v>
      </c>
      <c r="H1880">
        <f>표3[[#This Row],[공격성공횟수]]/(표3[[#This Row],[공격실패횟수]]+표3[[#This Row],[공격성공횟수]])</f>
        <v>0</v>
      </c>
    </row>
    <row r="1881" spans="1:8" hidden="1" x14ac:dyDescent="0.4">
      <c r="A1881">
        <v>940</v>
      </c>
      <c r="B1881" t="s">
        <v>1</v>
      </c>
      <c r="C1881">
        <v>1</v>
      </c>
      <c r="D1881">
        <v>4</v>
      </c>
      <c r="E1881">
        <v>10</v>
      </c>
      <c r="F1881">
        <v>0</v>
      </c>
      <c r="G1881">
        <v>0</v>
      </c>
      <c r="H1881">
        <f>표3[[#This Row],[공격성공횟수]]/(표3[[#This Row],[공격실패횟수]]+표3[[#This Row],[공격성공횟수]])</f>
        <v>0.2857142857142857</v>
      </c>
    </row>
    <row r="1882" spans="1:8" x14ac:dyDescent="0.4">
      <c r="A1882">
        <v>941</v>
      </c>
      <c r="B1882" t="s">
        <v>3</v>
      </c>
      <c r="C1882">
        <v>1</v>
      </c>
      <c r="D1882">
        <v>4</v>
      </c>
      <c r="E1882">
        <v>9</v>
      </c>
      <c r="F1882">
        <v>0</v>
      </c>
      <c r="G1882">
        <v>0</v>
      </c>
      <c r="H1882">
        <f>표3[[#This Row],[공격성공횟수]]/(표3[[#This Row],[공격실패횟수]]+표3[[#This Row],[공격성공횟수]])</f>
        <v>0.30769230769230771</v>
      </c>
    </row>
    <row r="1883" spans="1:8" hidden="1" x14ac:dyDescent="0.4">
      <c r="A1883">
        <v>941</v>
      </c>
      <c r="B1883" t="s">
        <v>1</v>
      </c>
      <c r="C1883">
        <v>0</v>
      </c>
      <c r="D1883">
        <v>0</v>
      </c>
      <c r="E1883">
        <v>11</v>
      </c>
      <c r="F1883">
        <v>4</v>
      </c>
      <c r="G1883">
        <v>1</v>
      </c>
      <c r="H1883">
        <f>표3[[#This Row],[공격성공횟수]]/(표3[[#This Row],[공격실패횟수]]+표3[[#This Row],[공격성공횟수]])</f>
        <v>0</v>
      </c>
    </row>
    <row r="1884" spans="1:8" x14ac:dyDescent="0.4">
      <c r="A1884">
        <v>942</v>
      </c>
      <c r="B1884" t="s">
        <v>3</v>
      </c>
      <c r="C1884">
        <v>1</v>
      </c>
      <c r="D1884">
        <v>4</v>
      </c>
      <c r="E1884">
        <v>11</v>
      </c>
      <c r="F1884">
        <v>2</v>
      </c>
      <c r="G1884">
        <v>0</v>
      </c>
      <c r="H1884">
        <f>표3[[#This Row],[공격성공횟수]]/(표3[[#This Row],[공격실패횟수]]+표3[[#This Row],[공격성공횟수]])</f>
        <v>0.26666666666666666</v>
      </c>
    </row>
    <row r="1885" spans="1:8" hidden="1" x14ac:dyDescent="0.4">
      <c r="A1885">
        <v>942</v>
      </c>
      <c r="B1885" t="s">
        <v>1</v>
      </c>
      <c r="C1885">
        <v>0</v>
      </c>
      <c r="D1885">
        <v>2</v>
      </c>
      <c r="E1885">
        <v>13</v>
      </c>
      <c r="F1885">
        <v>4</v>
      </c>
      <c r="G1885">
        <v>1</v>
      </c>
      <c r="H1885">
        <f>표3[[#This Row],[공격성공횟수]]/(표3[[#This Row],[공격실패횟수]]+표3[[#This Row],[공격성공횟수]])</f>
        <v>0.13333333333333333</v>
      </c>
    </row>
    <row r="1886" spans="1:8" x14ac:dyDescent="0.4">
      <c r="A1886">
        <v>943</v>
      </c>
      <c r="B1886" t="s">
        <v>3</v>
      </c>
      <c r="C1886">
        <v>1</v>
      </c>
      <c r="D1886">
        <v>4</v>
      </c>
      <c r="E1886">
        <v>4</v>
      </c>
      <c r="F1886">
        <v>0</v>
      </c>
      <c r="G1886">
        <v>0</v>
      </c>
      <c r="H1886">
        <f>표3[[#This Row],[공격성공횟수]]/(표3[[#This Row],[공격실패횟수]]+표3[[#This Row],[공격성공횟수]])</f>
        <v>0.5</v>
      </c>
    </row>
    <row r="1887" spans="1:8" hidden="1" x14ac:dyDescent="0.4">
      <c r="A1887">
        <v>943</v>
      </c>
      <c r="B1887" t="s">
        <v>1</v>
      </c>
      <c r="C1887">
        <v>0</v>
      </c>
      <c r="D1887">
        <v>0</v>
      </c>
      <c r="E1887">
        <v>8</v>
      </c>
      <c r="F1887">
        <v>4</v>
      </c>
      <c r="G1887">
        <v>1</v>
      </c>
      <c r="H1887">
        <f>표3[[#This Row],[공격성공횟수]]/(표3[[#This Row],[공격실패횟수]]+표3[[#This Row],[공격성공횟수]])</f>
        <v>0</v>
      </c>
    </row>
    <row r="1888" spans="1:8" x14ac:dyDescent="0.4">
      <c r="A1888">
        <v>944</v>
      </c>
      <c r="B1888" t="s">
        <v>3</v>
      </c>
      <c r="C1888">
        <v>1</v>
      </c>
      <c r="D1888">
        <v>4</v>
      </c>
      <c r="E1888">
        <v>6</v>
      </c>
      <c r="F1888">
        <v>1</v>
      </c>
      <c r="G1888">
        <v>0</v>
      </c>
      <c r="H1888">
        <f>표3[[#This Row],[공격성공횟수]]/(표3[[#This Row],[공격실패횟수]]+표3[[#This Row],[공격성공횟수]])</f>
        <v>0.4</v>
      </c>
    </row>
    <row r="1889" spans="1:8" hidden="1" x14ac:dyDescent="0.4">
      <c r="A1889">
        <v>944</v>
      </c>
      <c r="B1889" t="s">
        <v>1</v>
      </c>
      <c r="C1889">
        <v>0</v>
      </c>
      <c r="D1889">
        <v>1</v>
      </c>
      <c r="E1889">
        <v>8</v>
      </c>
      <c r="F1889">
        <v>4</v>
      </c>
      <c r="G1889">
        <v>1</v>
      </c>
      <c r="H1889">
        <f>표3[[#This Row],[공격성공횟수]]/(표3[[#This Row],[공격실패횟수]]+표3[[#This Row],[공격성공횟수]])</f>
        <v>0.1111111111111111</v>
      </c>
    </row>
    <row r="1890" spans="1:8" x14ac:dyDescent="0.4">
      <c r="A1890">
        <v>945</v>
      </c>
      <c r="B1890" t="s">
        <v>3</v>
      </c>
      <c r="C1890">
        <v>1</v>
      </c>
      <c r="D1890">
        <v>4</v>
      </c>
      <c r="E1890">
        <v>29</v>
      </c>
      <c r="F1890">
        <v>1</v>
      </c>
      <c r="G1890">
        <v>0</v>
      </c>
      <c r="H1890">
        <f>표3[[#This Row],[공격성공횟수]]/(표3[[#This Row],[공격실패횟수]]+표3[[#This Row],[공격성공횟수]])</f>
        <v>0.12121212121212122</v>
      </c>
    </row>
    <row r="1891" spans="1:8" hidden="1" x14ac:dyDescent="0.4">
      <c r="A1891">
        <v>945</v>
      </c>
      <c r="B1891" t="s">
        <v>1</v>
      </c>
      <c r="C1891">
        <v>0</v>
      </c>
      <c r="D1891">
        <v>1</v>
      </c>
      <c r="E1891">
        <v>32</v>
      </c>
      <c r="F1891">
        <v>4</v>
      </c>
      <c r="G1891">
        <v>1</v>
      </c>
      <c r="H1891">
        <f>표3[[#This Row],[공격성공횟수]]/(표3[[#This Row],[공격실패횟수]]+표3[[#This Row],[공격성공횟수]])</f>
        <v>3.0303030303030304E-2</v>
      </c>
    </row>
    <row r="1892" spans="1:8" x14ac:dyDescent="0.4">
      <c r="A1892">
        <v>946</v>
      </c>
      <c r="B1892" t="s">
        <v>3</v>
      </c>
      <c r="C1892">
        <v>1</v>
      </c>
      <c r="D1892">
        <v>4</v>
      </c>
      <c r="E1892">
        <v>6</v>
      </c>
      <c r="F1892">
        <v>2</v>
      </c>
      <c r="G1892">
        <v>0</v>
      </c>
      <c r="H1892">
        <f>표3[[#This Row],[공격성공횟수]]/(표3[[#This Row],[공격실패횟수]]+표3[[#This Row],[공격성공횟수]])</f>
        <v>0.4</v>
      </c>
    </row>
    <row r="1893" spans="1:8" hidden="1" x14ac:dyDescent="0.4">
      <c r="A1893">
        <v>946</v>
      </c>
      <c r="B1893" t="s">
        <v>1</v>
      </c>
      <c r="C1893">
        <v>0</v>
      </c>
      <c r="D1893">
        <v>2</v>
      </c>
      <c r="E1893">
        <v>7</v>
      </c>
      <c r="F1893">
        <v>4</v>
      </c>
      <c r="G1893">
        <v>1</v>
      </c>
      <c r="H1893">
        <f>표3[[#This Row],[공격성공횟수]]/(표3[[#This Row],[공격실패횟수]]+표3[[#This Row],[공격성공횟수]])</f>
        <v>0.22222222222222221</v>
      </c>
    </row>
    <row r="1894" spans="1:8" x14ac:dyDescent="0.4">
      <c r="A1894">
        <v>947</v>
      </c>
      <c r="B1894" t="s">
        <v>3</v>
      </c>
      <c r="C1894">
        <v>1</v>
      </c>
      <c r="D1894">
        <v>4</v>
      </c>
      <c r="E1894">
        <v>5</v>
      </c>
      <c r="F1894">
        <v>0</v>
      </c>
      <c r="G1894">
        <v>0</v>
      </c>
      <c r="H1894">
        <f>표3[[#This Row],[공격성공횟수]]/(표3[[#This Row],[공격실패횟수]]+표3[[#This Row],[공격성공횟수]])</f>
        <v>0.44444444444444442</v>
      </c>
    </row>
    <row r="1895" spans="1:8" hidden="1" x14ac:dyDescent="0.4">
      <c r="A1895">
        <v>947</v>
      </c>
      <c r="B1895" t="s">
        <v>1</v>
      </c>
      <c r="C1895">
        <v>0</v>
      </c>
      <c r="D1895">
        <v>0</v>
      </c>
      <c r="E1895">
        <v>9</v>
      </c>
      <c r="F1895">
        <v>4</v>
      </c>
      <c r="G1895">
        <v>1</v>
      </c>
      <c r="H1895">
        <f>표3[[#This Row],[공격성공횟수]]/(표3[[#This Row],[공격실패횟수]]+표3[[#This Row],[공격성공횟수]])</f>
        <v>0</v>
      </c>
    </row>
    <row r="1896" spans="1:8" x14ac:dyDescent="0.4">
      <c r="A1896">
        <v>948</v>
      </c>
      <c r="B1896" t="s">
        <v>3</v>
      </c>
      <c r="C1896">
        <v>1</v>
      </c>
      <c r="D1896">
        <v>4</v>
      </c>
      <c r="E1896">
        <v>35</v>
      </c>
      <c r="F1896">
        <v>3</v>
      </c>
      <c r="G1896">
        <v>0</v>
      </c>
      <c r="H1896">
        <f>표3[[#This Row],[공격성공횟수]]/(표3[[#This Row],[공격실패횟수]]+표3[[#This Row],[공격성공횟수]])</f>
        <v>0.10256410256410256</v>
      </c>
    </row>
    <row r="1897" spans="1:8" hidden="1" x14ac:dyDescent="0.4">
      <c r="A1897">
        <v>948</v>
      </c>
      <c r="B1897" t="s">
        <v>1</v>
      </c>
      <c r="C1897">
        <v>0</v>
      </c>
      <c r="D1897">
        <v>3</v>
      </c>
      <c r="E1897">
        <v>35</v>
      </c>
      <c r="F1897">
        <v>4</v>
      </c>
      <c r="G1897">
        <v>1</v>
      </c>
      <c r="H1897">
        <f>표3[[#This Row],[공격성공횟수]]/(표3[[#This Row],[공격실패횟수]]+표3[[#This Row],[공격성공횟수]])</f>
        <v>7.8947368421052627E-2</v>
      </c>
    </row>
    <row r="1898" spans="1:8" x14ac:dyDescent="0.4">
      <c r="A1898">
        <v>949</v>
      </c>
      <c r="B1898" t="s">
        <v>3</v>
      </c>
      <c r="C1898">
        <v>1</v>
      </c>
      <c r="D1898">
        <v>4</v>
      </c>
      <c r="E1898">
        <v>22</v>
      </c>
      <c r="F1898">
        <v>3</v>
      </c>
      <c r="G1898">
        <v>0</v>
      </c>
      <c r="H1898">
        <f>표3[[#This Row],[공격성공횟수]]/(표3[[#This Row],[공격실패횟수]]+표3[[#This Row],[공격성공횟수]])</f>
        <v>0.15384615384615385</v>
      </c>
    </row>
    <row r="1899" spans="1:8" hidden="1" x14ac:dyDescent="0.4">
      <c r="A1899">
        <v>949</v>
      </c>
      <c r="B1899" t="s">
        <v>1</v>
      </c>
      <c r="C1899">
        <v>0</v>
      </c>
      <c r="D1899">
        <v>3</v>
      </c>
      <c r="E1899">
        <v>22</v>
      </c>
      <c r="F1899">
        <v>4</v>
      </c>
      <c r="G1899">
        <v>1</v>
      </c>
      <c r="H1899">
        <f>표3[[#This Row],[공격성공횟수]]/(표3[[#This Row],[공격실패횟수]]+표3[[#This Row],[공격성공횟수]])</f>
        <v>0.12</v>
      </c>
    </row>
    <row r="1900" spans="1:8" x14ac:dyDescent="0.4">
      <c r="A1900">
        <v>950</v>
      </c>
      <c r="B1900" t="s">
        <v>3</v>
      </c>
      <c r="C1900">
        <v>0</v>
      </c>
      <c r="D1900">
        <v>1</v>
      </c>
      <c r="E1900">
        <v>9</v>
      </c>
      <c r="F1900">
        <v>4</v>
      </c>
      <c r="G1900">
        <v>1</v>
      </c>
      <c r="H1900">
        <f>표3[[#This Row],[공격성공횟수]]/(표3[[#This Row],[공격실패횟수]]+표3[[#This Row],[공격성공횟수]])</f>
        <v>0.1</v>
      </c>
    </row>
    <row r="1901" spans="1:8" hidden="1" x14ac:dyDescent="0.4">
      <c r="A1901">
        <v>950</v>
      </c>
      <c r="B1901" t="s">
        <v>1</v>
      </c>
      <c r="C1901">
        <v>1</v>
      </c>
      <c r="D1901">
        <v>4</v>
      </c>
      <c r="E1901">
        <v>17</v>
      </c>
      <c r="F1901">
        <v>1</v>
      </c>
      <c r="G1901">
        <v>0</v>
      </c>
      <c r="H1901">
        <f>표3[[#This Row],[공격성공횟수]]/(표3[[#This Row],[공격실패횟수]]+표3[[#This Row],[공격성공횟수]])</f>
        <v>0.19047619047619047</v>
      </c>
    </row>
    <row r="1902" spans="1:8" x14ac:dyDescent="0.4">
      <c r="A1902">
        <v>951</v>
      </c>
      <c r="B1902" t="s">
        <v>3</v>
      </c>
      <c r="C1902">
        <v>0</v>
      </c>
      <c r="D1902">
        <v>3</v>
      </c>
      <c r="E1902">
        <v>20</v>
      </c>
      <c r="F1902">
        <v>4</v>
      </c>
      <c r="G1902">
        <v>1</v>
      </c>
      <c r="H1902">
        <f>표3[[#This Row],[공격성공횟수]]/(표3[[#This Row],[공격실패횟수]]+표3[[#This Row],[공격성공횟수]])</f>
        <v>0.13043478260869565</v>
      </c>
    </row>
    <row r="1903" spans="1:8" hidden="1" x14ac:dyDescent="0.4">
      <c r="A1903">
        <v>951</v>
      </c>
      <c r="B1903" t="s">
        <v>1</v>
      </c>
      <c r="C1903">
        <v>1</v>
      </c>
      <c r="D1903">
        <v>4</v>
      </c>
      <c r="E1903">
        <v>18</v>
      </c>
      <c r="F1903">
        <v>3</v>
      </c>
      <c r="G1903">
        <v>0</v>
      </c>
      <c r="H1903">
        <f>표3[[#This Row],[공격성공횟수]]/(표3[[#This Row],[공격실패횟수]]+표3[[#This Row],[공격성공횟수]])</f>
        <v>0.18181818181818182</v>
      </c>
    </row>
    <row r="1904" spans="1:8" x14ac:dyDescent="0.4">
      <c r="A1904">
        <v>952</v>
      </c>
      <c r="B1904" t="s">
        <v>3</v>
      </c>
      <c r="C1904">
        <v>0</v>
      </c>
      <c r="D1904">
        <v>3</v>
      </c>
      <c r="E1904">
        <v>19</v>
      </c>
      <c r="F1904">
        <v>4</v>
      </c>
      <c r="G1904">
        <v>1</v>
      </c>
      <c r="H1904">
        <f>표3[[#This Row],[공격성공횟수]]/(표3[[#This Row],[공격실패횟수]]+표3[[#This Row],[공격성공횟수]])</f>
        <v>0.13636363636363635</v>
      </c>
    </row>
    <row r="1905" spans="1:8" hidden="1" x14ac:dyDescent="0.4">
      <c r="A1905">
        <v>952</v>
      </c>
      <c r="B1905" t="s">
        <v>1</v>
      </c>
      <c r="C1905">
        <v>1</v>
      </c>
      <c r="D1905">
        <v>4</v>
      </c>
      <c r="E1905">
        <v>18</v>
      </c>
      <c r="F1905">
        <v>3</v>
      </c>
      <c r="G1905">
        <v>0</v>
      </c>
      <c r="H1905">
        <f>표3[[#This Row],[공격성공횟수]]/(표3[[#This Row],[공격실패횟수]]+표3[[#This Row],[공격성공횟수]])</f>
        <v>0.18181818181818182</v>
      </c>
    </row>
    <row r="1906" spans="1:8" x14ac:dyDescent="0.4">
      <c r="A1906">
        <v>953</v>
      </c>
      <c r="B1906" t="s">
        <v>3</v>
      </c>
      <c r="C1906">
        <v>1</v>
      </c>
      <c r="D1906">
        <v>4</v>
      </c>
      <c r="E1906">
        <v>22</v>
      </c>
      <c r="F1906">
        <v>1</v>
      </c>
      <c r="G1906">
        <v>0</v>
      </c>
      <c r="H1906">
        <f>표3[[#This Row],[공격성공횟수]]/(표3[[#This Row],[공격실패횟수]]+표3[[#This Row],[공격성공횟수]])</f>
        <v>0.15384615384615385</v>
      </c>
    </row>
    <row r="1907" spans="1:8" hidden="1" x14ac:dyDescent="0.4">
      <c r="A1907">
        <v>953</v>
      </c>
      <c r="B1907" t="s">
        <v>1</v>
      </c>
      <c r="C1907">
        <v>0</v>
      </c>
      <c r="D1907">
        <v>1</v>
      </c>
      <c r="E1907">
        <v>23</v>
      </c>
      <c r="F1907">
        <v>4</v>
      </c>
      <c r="G1907">
        <v>1</v>
      </c>
      <c r="H1907">
        <f>표3[[#This Row],[공격성공횟수]]/(표3[[#This Row],[공격실패횟수]]+표3[[#This Row],[공격성공횟수]])</f>
        <v>4.1666666666666664E-2</v>
      </c>
    </row>
    <row r="1908" spans="1:8" x14ac:dyDescent="0.4">
      <c r="A1908">
        <v>954</v>
      </c>
      <c r="B1908" t="s">
        <v>3</v>
      </c>
      <c r="C1908">
        <v>0</v>
      </c>
      <c r="D1908">
        <v>0</v>
      </c>
      <c r="E1908">
        <v>7</v>
      </c>
      <c r="F1908">
        <v>4</v>
      </c>
      <c r="G1908">
        <v>1</v>
      </c>
      <c r="H1908">
        <f>표3[[#This Row],[공격성공횟수]]/(표3[[#This Row],[공격실패횟수]]+표3[[#This Row],[공격성공횟수]])</f>
        <v>0</v>
      </c>
    </row>
    <row r="1909" spans="1:8" hidden="1" x14ac:dyDescent="0.4">
      <c r="A1909">
        <v>954</v>
      </c>
      <c r="B1909" t="s">
        <v>1</v>
      </c>
      <c r="C1909">
        <v>1</v>
      </c>
      <c r="D1909">
        <v>4</v>
      </c>
      <c r="E1909">
        <v>7</v>
      </c>
      <c r="F1909">
        <v>0</v>
      </c>
      <c r="G1909">
        <v>0</v>
      </c>
      <c r="H1909">
        <f>표3[[#This Row],[공격성공횟수]]/(표3[[#This Row],[공격실패횟수]]+표3[[#This Row],[공격성공횟수]])</f>
        <v>0.36363636363636365</v>
      </c>
    </row>
    <row r="1910" spans="1:8" x14ac:dyDescent="0.4">
      <c r="A1910">
        <v>955</v>
      </c>
      <c r="B1910" t="s">
        <v>3</v>
      </c>
      <c r="C1910">
        <v>0</v>
      </c>
      <c r="D1910">
        <v>1</v>
      </c>
      <c r="E1910">
        <v>28</v>
      </c>
      <c r="F1910">
        <v>4</v>
      </c>
      <c r="G1910">
        <v>1</v>
      </c>
      <c r="H1910">
        <f>표3[[#This Row],[공격성공횟수]]/(표3[[#This Row],[공격실패횟수]]+표3[[#This Row],[공격성공횟수]])</f>
        <v>3.4482758620689655E-2</v>
      </c>
    </row>
    <row r="1911" spans="1:8" hidden="1" x14ac:dyDescent="0.4">
      <c r="A1911">
        <v>955</v>
      </c>
      <c r="B1911" t="s">
        <v>1</v>
      </c>
      <c r="C1911">
        <v>1</v>
      </c>
      <c r="D1911">
        <v>4</v>
      </c>
      <c r="E1911">
        <v>32</v>
      </c>
      <c r="F1911">
        <v>1</v>
      </c>
      <c r="G1911">
        <v>0</v>
      </c>
      <c r="H1911">
        <f>표3[[#This Row],[공격성공횟수]]/(표3[[#This Row],[공격실패횟수]]+표3[[#This Row],[공격성공횟수]])</f>
        <v>0.1111111111111111</v>
      </c>
    </row>
    <row r="1912" spans="1:8" x14ac:dyDescent="0.4">
      <c r="A1912">
        <v>956</v>
      </c>
      <c r="B1912" t="s">
        <v>3</v>
      </c>
      <c r="C1912">
        <v>0</v>
      </c>
      <c r="D1912">
        <v>2</v>
      </c>
      <c r="E1912">
        <v>20</v>
      </c>
      <c r="F1912">
        <v>4</v>
      </c>
      <c r="G1912">
        <v>1</v>
      </c>
      <c r="H1912">
        <f>표3[[#This Row],[공격성공횟수]]/(표3[[#This Row],[공격실패횟수]]+표3[[#This Row],[공격성공횟수]])</f>
        <v>9.0909090909090912E-2</v>
      </c>
    </row>
    <row r="1913" spans="1:8" hidden="1" x14ac:dyDescent="0.4">
      <c r="A1913">
        <v>956</v>
      </c>
      <c r="B1913" t="s">
        <v>1</v>
      </c>
      <c r="C1913">
        <v>1</v>
      </c>
      <c r="D1913">
        <v>4</v>
      </c>
      <c r="E1913">
        <v>25</v>
      </c>
      <c r="F1913">
        <v>2</v>
      </c>
      <c r="G1913">
        <v>0</v>
      </c>
      <c r="H1913">
        <f>표3[[#This Row],[공격성공횟수]]/(표3[[#This Row],[공격실패횟수]]+표3[[#This Row],[공격성공횟수]])</f>
        <v>0.13793103448275862</v>
      </c>
    </row>
    <row r="1914" spans="1:8" x14ac:dyDescent="0.4">
      <c r="A1914">
        <v>957</v>
      </c>
      <c r="B1914" t="s">
        <v>3</v>
      </c>
      <c r="C1914">
        <v>1</v>
      </c>
      <c r="D1914">
        <v>4</v>
      </c>
      <c r="E1914">
        <v>7</v>
      </c>
      <c r="F1914">
        <v>0</v>
      </c>
      <c r="G1914">
        <v>0</v>
      </c>
      <c r="H1914">
        <f>표3[[#This Row],[공격성공횟수]]/(표3[[#This Row],[공격실패횟수]]+표3[[#This Row],[공격성공횟수]])</f>
        <v>0.36363636363636365</v>
      </c>
    </row>
    <row r="1915" spans="1:8" hidden="1" x14ac:dyDescent="0.4">
      <c r="A1915">
        <v>957</v>
      </c>
      <c r="B1915" t="s">
        <v>1</v>
      </c>
      <c r="C1915">
        <v>0</v>
      </c>
      <c r="D1915">
        <v>0</v>
      </c>
      <c r="E1915">
        <v>10</v>
      </c>
      <c r="F1915">
        <v>4</v>
      </c>
      <c r="G1915">
        <v>1</v>
      </c>
      <c r="H1915">
        <f>표3[[#This Row],[공격성공횟수]]/(표3[[#This Row],[공격실패횟수]]+표3[[#This Row],[공격성공횟수]])</f>
        <v>0</v>
      </c>
    </row>
    <row r="1916" spans="1:8" x14ac:dyDescent="0.4">
      <c r="A1916">
        <v>958</v>
      </c>
      <c r="B1916" t="s">
        <v>3</v>
      </c>
      <c r="C1916">
        <v>0</v>
      </c>
      <c r="D1916">
        <v>0</v>
      </c>
      <c r="E1916">
        <v>32</v>
      </c>
      <c r="F1916">
        <v>4</v>
      </c>
      <c r="G1916">
        <v>1</v>
      </c>
      <c r="H1916">
        <f>표3[[#This Row],[공격성공횟수]]/(표3[[#This Row],[공격실패횟수]]+표3[[#This Row],[공격성공횟수]])</f>
        <v>0</v>
      </c>
    </row>
    <row r="1917" spans="1:8" hidden="1" x14ac:dyDescent="0.4">
      <c r="A1917">
        <v>958</v>
      </c>
      <c r="B1917" t="s">
        <v>1</v>
      </c>
      <c r="C1917">
        <v>1</v>
      </c>
      <c r="D1917">
        <v>4</v>
      </c>
      <c r="E1917">
        <v>29</v>
      </c>
      <c r="F1917">
        <v>0</v>
      </c>
      <c r="G1917">
        <v>0</v>
      </c>
      <c r="H1917">
        <f>표3[[#This Row],[공격성공횟수]]/(표3[[#This Row],[공격실패횟수]]+표3[[#This Row],[공격성공횟수]])</f>
        <v>0.12121212121212122</v>
      </c>
    </row>
    <row r="1918" spans="1:8" x14ac:dyDescent="0.4">
      <c r="A1918">
        <v>959</v>
      </c>
      <c r="B1918" t="s">
        <v>3</v>
      </c>
      <c r="C1918">
        <v>1</v>
      </c>
      <c r="D1918">
        <v>4</v>
      </c>
      <c r="E1918">
        <v>7</v>
      </c>
      <c r="F1918">
        <v>0</v>
      </c>
      <c r="G1918">
        <v>0</v>
      </c>
      <c r="H1918">
        <f>표3[[#This Row],[공격성공횟수]]/(표3[[#This Row],[공격실패횟수]]+표3[[#This Row],[공격성공횟수]])</f>
        <v>0.36363636363636365</v>
      </c>
    </row>
    <row r="1919" spans="1:8" hidden="1" x14ac:dyDescent="0.4">
      <c r="A1919">
        <v>959</v>
      </c>
      <c r="B1919" t="s">
        <v>1</v>
      </c>
      <c r="C1919">
        <v>0</v>
      </c>
      <c r="D1919">
        <v>0</v>
      </c>
      <c r="E1919">
        <v>10</v>
      </c>
      <c r="F1919">
        <v>4</v>
      </c>
      <c r="G1919">
        <v>1</v>
      </c>
      <c r="H1919">
        <f>표3[[#This Row],[공격성공횟수]]/(표3[[#This Row],[공격실패횟수]]+표3[[#This Row],[공격성공횟수]])</f>
        <v>0</v>
      </c>
    </row>
    <row r="1920" spans="1:8" x14ac:dyDescent="0.4">
      <c r="A1920">
        <v>960</v>
      </c>
      <c r="B1920" t="s">
        <v>3</v>
      </c>
      <c r="C1920">
        <v>1</v>
      </c>
      <c r="D1920">
        <v>4</v>
      </c>
      <c r="E1920">
        <v>11</v>
      </c>
      <c r="F1920">
        <v>0</v>
      </c>
      <c r="G1920">
        <v>0</v>
      </c>
      <c r="H1920">
        <f>표3[[#This Row],[공격성공횟수]]/(표3[[#This Row],[공격실패횟수]]+표3[[#This Row],[공격성공횟수]])</f>
        <v>0.26666666666666666</v>
      </c>
    </row>
    <row r="1921" spans="1:8" hidden="1" x14ac:dyDescent="0.4">
      <c r="A1921">
        <v>960</v>
      </c>
      <c r="B1921" t="s">
        <v>1</v>
      </c>
      <c r="C1921">
        <v>0</v>
      </c>
      <c r="D1921">
        <v>0</v>
      </c>
      <c r="E1921">
        <v>14</v>
      </c>
      <c r="F1921">
        <v>4</v>
      </c>
      <c r="G1921">
        <v>1</v>
      </c>
      <c r="H1921">
        <f>표3[[#This Row],[공격성공횟수]]/(표3[[#This Row],[공격실패횟수]]+표3[[#This Row],[공격성공횟수]])</f>
        <v>0</v>
      </c>
    </row>
    <row r="1922" spans="1:8" x14ac:dyDescent="0.4">
      <c r="A1922">
        <v>961</v>
      </c>
      <c r="B1922" t="s">
        <v>3</v>
      </c>
      <c r="C1922">
        <v>1</v>
      </c>
      <c r="D1922">
        <v>4</v>
      </c>
      <c r="E1922">
        <v>8</v>
      </c>
      <c r="F1922">
        <v>0</v>
      </c>
      <c r="G1922">
        <v>0</v>
      </c>
      <c r="H1922">
        <f>표3[[#This Row],[공격성공횟수]]/(표3[[#This Row],[공격실패횟수]]+표3[[#This Row],[공격성공횟수]])</f>
        <v>0.33333333333333331</v>
      </c>
    </row>
    <row r="1923" spans="1:8" hidden="1" x14ac:dyDescent="0.4">
      <c r="A1923">
        <v>961</v>
      </c>
      <c r="B1923" t="s">
        <v>1</v>
      </c>
      <c r="C1923">
        <v>0</v>
      </c>
      <c r="D1923">
        <v>0</v>
      </c>
      <c r="E1923">
        <v>12</v>
      </c>
      <c r="F1923">
        <v>4</v>
      </c>
      <c r="G1923">
        <v>1</v>
      </c>
      <c r="H1923">
        <f>표3[[#This Row],[공격성공횟수]]/(표3[[#This Row],[공격실패횟수]]+표3[[#This Row],[공격성공횟수]])</f>
        <v>0</v>
      </c>
    </row>
    <row r="1924" spans="1:8" x14ac:dyDescent="0.4">
      <c r="A1924">
        <v>962</v>
      </c>
      <c r="B1924" t="s">
        <v>3</v>
      </c>
      <c r="C1924">
        <v>1</v>
      </c>
      <c r="D1924">
        <v>4</v>
      </c>
      <c r="E1924">
        <v>16</v>
      </c>
      <c r="F1924">
        <v>1</v>
      </c>
      <c r="G1924">
        <v>0</v>
      </c>
      <c r="H1924">
        <f>표3[[#This Row],[공격성공횟수]]/(표3[[#This Row],[공격실패횟수]]+표3[[#This Row],[공격성공횟수]])</f>
        <v>0.2</v>
      </c>
    </row>
    <row r="1925" spans="1:8" hidden="1" x14ac:dyDescent="0.4">
      <c r="A1925">
        <v>962</v>
      </c>
      <c r="B1925" t="s">
        <v>1</v>
      </c>
      <c r="C1925">
        <v>0</v>
      </c>
      <c r="D1925">
        <v>1</v>
      </c>
      <c r="E1925">
        <v>18</v>
      </c>
      <c r="F1925">
        <v>4</v>
      </c>
      <c r="G1925">
        <v>1</v>
      </c>
      <c r="H1925">
        <f>표3[[#This Row],[공격성공횟수]]/(표3[[#This Row],[공격실패횟수]]+표3[[#This Row],[공격성공횟수]])</f>
        <v>5.2631578947368418E-2</v>
      </c>
    </row>
    <row r="1926" spans="1:8" x14ac:dyDescent="0.4">
      <c r="A1926">
        <v>963</v>
      </c>
      <c r="B1926" t="s">
        <v>3</v>
      </c>
      <c r="C1926">
        <v>1</v>
      </c>
      <c r="D1926">
        <v>4</v>
      </c>
      <c r="E1926">
        <v>8</v>
      </c>
      <c r="F1926">
        <v>1</v>
      </c>
      <c r="G1926">
        <v>0</v>
      </c>
      <c r="H1926">
        <f>표3[[#This Row],[공격성공횟수]]/(표3[[#This Row],[공격실패횟수]]+표3[[#This Row],[공격성공횟수]])</f>
        <v>0.33333333333333331</v>
      </c>
    </row>
    <row r="1927" spans="1:8" hidden="1" x14ac:dyDescent="0.4">
      <c r="A1927">
        <v>963</v>
      </c>
      <c r="B1927" t="s">
        <v>1</v>
      </c>
      <c r="C1927">
        <v>0</v>
      </c>
      <c r="D1927">
        <v>1</v>
      </c>
      <c r="E1927">
        <v>11</v>
      </c>
      <c r="F1927">
        <v>4</v>
      </c>
      <c r="G1927">
        <v>1</v>
      </c>
      <c r="H1927">
        <f>표3[[#This Row],[공격성공횟수]]/(표3[[#This Row],[공격실패횟수]]+표3[[#This Row],[공격성공횟수]])</f>
        <v>8.3333333333333329E-2</v>
      </c>
    </row>
    <row r="1928" spans="1:8" x14ac:dyDescent="0.4">
      <c r="A1928">
        <v>964</v>
      </c>
      <c r="B1928" t="s">
        <v>3</v>
      </c>
      <c r="C1928">
        <v>1</v>
      </c>
      <c r="D1928">
        <v>4</v>
      </c>
      <c r="E1928">
        <v>31</v>
      </c>
      <c r="F1928">
        <v>0</v>
      </c>
      <c r="G1928">
        <v>0</v>
      </c>
      <c r="H1928">
        <f>표3[[#This Row],[공격성공횟수]]/(표3[[#This Row],[공격실패횟수]]+표3[[#This Row],[공격성공횟수]])</f>
        <v>0.11428571428571428</v>
      </c>
    </row>
    <row r="1929" spans="1:8" hidden="1" x14ac:dyDescent="0.4">
      <c r="A1929">
        <v>964</v>
      </c>
      <c r="B1929" t="s">
        <v>1</v>
      </c>
      <c r="C1929">
        <v>0</v>
      </c>
      <c r="D1929">
        <v>0</v>
      </c>
      <c r="E1929">
        <v>34</v>
      </c>
      <c r="F1929">
        <v>4</v>
      </c>
      <c r="G1929">
        <v>1</v>
      </c>
      <c r="H1929">
        <f>표3[[#This Row],[공격성공횟수]]/(표3[[#This Row],[공격실패횟수]]+표3[[#This Row],[공격성공횟수]])</f>
        <v>0</v>
      </c>
    </row>
    <row r="1930" spans="1:8" x14ac:dyDescent="0.4">
      <c r="A1930">
        <v>965</v>
      </c>
      <c r="B1930" t="s">
        <v>3</v>
      </c>
      <c r="C1930">
        <v>1</v>
      </c>
      <c r="D1930">
        <v>4</v>
      </c>
      <c r="E1930">
        <v>11</v>
      </c>
      <c r="F1930">
        <v>1</v>
      </c>
      <c r="G1930">
        <v>0</v>
      </c>
      <c r="H1930">
        <f>표3[[#This Row],[공격성공횟수]]/(표3[[#This Row],[공격실패횟수]]+표3[[#This Row],[공격성공횟수]])</f>
        <v>0.26666666666666666</v>
      </c>
    </row>
    <row r="1931" spans="1:8" hidden="1" x14ac:dyDescent="0.4">
      <c r="A1931">
        <v>965</v>
      </c>
      <c r="B1931" t="s">
        <v>1</v>
      </c>
      <c r="C1931">
        <v>0</v>
      </c>
      <c r="D1931">
        <v>1</v>
      </c>
      <c r="E1931">
        <v>13</v>
      </c>
      <c r="F1931">
        <v>4</v>
      </c>
      <c r="G1931">
        <v>1</v>
      </c>
      <c r="H1931">
        <f>표3[[#This Row],[공격성공횟수]]/(표3[[#This Row],[공격실패횟수]]+표3[[#This Row],[공격성공횟수]])</f>
        <v>7.1428571428571425E-2</v>
      </c>
    </row>
    <row r="1932" spans="1:8" x14ac:dyDescent="0.4">
      <c r="A1932">
        <v>966</v>
      </c>
      <c r="B1932" t="s">
        <v>3</v>
      </c>
      <c r="C1932">
        <v>1</v>
      </c>
      <c r="D1932">
        <v>4</v>
      </c>
      <c r="E1932">
        <v>21</v>
      </c>
      <c r="F1932">
        <v>2</v>
      </c>
      <c r="G1932">
        <v>0</v>
      </c>
      <c r="H1932">
        <f>표3[[#This Row],[공격성공횟수]]/(표3[[#This Row],[공격실패횟수]]+표3[[#This Row],[공격성공횟수]])</f>
        <v>0.16</v>
      </c>
    </row>
    <row r="1933" spans="1:8" hidden="1" x14ac:dyDescent="0.4">
      <c r="A1933">
        <v>966</v>
      </c>
      <c r="B1933" t="s">
        <v>1</v>
      </c>
      <c r="C1933">
        <v>0</v>
      </c>
      <c r="D1933">
        <v>2</v>
      </c>
      <c r="E1933">
        <v>23</v>
      </c>
      <c r="F1933">
        <v>4</v>
      </c>
      <c r="G1933">
        <v>1</v>
      </c>
      <c r="H1933">
        <f>표3[[#This Row],[공격성공횟수]]/(표3[[#This Row],[공격실패횟수]]+표3[[#This Row],[공격성공횟수]])</f>
        <v>0.08</v>
      </c>
    </row>
    <row r="1934" spans="1:8" x14ac:dyDescent="0.4">
      <c r="A1934">
        <v>967</v>
      </c>
      <c r="B1934" t="s">
        <v>3</v>
      </c>
      <c r="C1934">
        <v>0</v>
      </c>
      <c r="D1934">
        <v>1</v>
      </c>
      <c r="E1934">
        <v>17</v>
      </c>
      <c r="F1934">
        <v>4</v>
      </c>
      <c r="G1934">
        <v>1</v>
      </c>
      <c r="H1934">
        <f>표3[[#This Row],[공격성공횟수]]/(표3[[#This Row],[공격실패횟수]]+표3[[#This Row],[공격성공횟수]])</f>
        <v>5.5555555555555552E-2</v>
      </c>
    </row>
    <row r="1935" spans="1:8" hidden="1" x14ac:dyDescent="0.4">
      <c r="A1935">
        <v>967</v>
      </c>
      <c r="B1935" t="s">
        <v>1</v>
      </c>
      <c r="C1935">
        <v>1</v>
      </c>
      <c r="D1935">
        <v>4</v>
      </c>
      <c r="E1935">
        <v>14</v>
      </c>
      <c r="F1935">
        <v>1</v>
      </c>
      <c r="G1935">
        <v>0</v>
      </c>
      <c r="H1935">
        <f>표3[[#This Row],[공격성공횟수]]/(표3[[#This Row],[공격실패횟수]]+표3[[#This Row],[공격성공횟수]])</f>
        <v>0.22222222222222221</v>
      </c>
    </row>
    <row r="1936" spans="1:8" x14ac:dyDescent="0.4">
      <c r="A1936">
        <v>968</v>
      </c>
      <c r="B1936" t="s">
        <v>3</v>
      </c>
      <c r="C1936">
        <v>1</v>
      </c>
      <c r="D1936">
        <v>4</v>
      </c>
      <c r="E1936">
        <v>18</v>
      </c>
      <c r="F1936">
        <v>0</v>
      </c>
      <c r="G1936">
        <v>0</v>
      </c>
      <c r="H1936">
        <f>표3[[#This Row],[공격성공횟수]]/(표3[[#This Row],[공격실패횟수]]+표3[[#This Row],[공격성공횟수]])</f>
        <v>0.18181818181818182</v>
      </c>
    </row>
    <row r="1937" spans="1:8" hidden="1" x14ac:dyDescent="0.4">
      <c r="A1937">
        <v>968</v>
      </c>
      <c r="B1937" t="s">
        <v>1</v>
      </c>
      <c r="C1937">
        <v>0</v>
      </c>
      <c r="D1937">
        <v>0</v>
      </c>
      <c r="E1937">
        <v>20</v>
      </c>
      <c r="F1937">
        <v>4</v>
      </c>
      <c r="G1937">
        <v>1</v>
      </c>
      <c r="H1937">
        <f>표3[[#This Row],[공격성공횟수]]/(표3[[#This Row],[공격실패횟수]]+표3[[#This Row],[공격성공횟수]])</f>
        <v>0</v>
      </c>
    </row>
    <row r="1938" spans="1:8" x14ac:dyDescent="0.4">
      <c r="A1938">
        <v>969</v>
      </c>
      <c r="B1938" t="s">
        <v>3</v>
      </c>
      <c r="C1938">
        <v>1</v>
      </c>
      <c r="D1938">
        <v>4</v>
      </c>
      <c r="E1938">
        <v>14</v>
      </c>
      <c r="F1938">
        <v>0</v>
      </c>
      <c r="G1938">
        <v>0</v>
      </c>
      <c r="H1938">
        <f>표3[[#This Row],[공격성공횟수]]/(표3[[#This Row],[공격실패횟수]]+표3[[#This Row],[공격성공횟수]])</f>
        <v>0.22222222222222221</v>
      </c>
    </row>
    <row r="1939" spans="1:8" hidden="1" x14ac:dyDescent="0.4">
      <c r="A1939">
        <v>969</v>
      </c>
      <c r="B1939" t="s">
        <v>1</v>
      </c>
      <c r="C1939">
        <v>0</v>
      </c>
      <c r="D1939">
        <v>0</v>
      </c>
      <c r="E1939">
        <v>17</v>
      </c>
      <c r="F1939">
        <v>4</v>
      </c>
      <c r="G1939">
        <v>1</v>
      </c>
      <c r="H1939">
        <f>표3[[#This Row],[공격성공횟수]]/(표3[[#This Row],[공격실패횟수]]+표3[[#This Row],[공격성공횟수]])</f>
        <v>0</v>
      </c>
    </row>
    <row r="1940" spans="1:8" x14ac:dyDescent="0.4">
      <c r="A1940">
        <v>970</v>
      </c>
      <c r="B1940" t="s">
        <v>3</v>
      </c>
      <c r="C1940">
        <v>1</v>
      </c>
      <c r="D1940">
        <v>4</v>
      </c>
      <c r="E1940">
        <v>30</v>
      </c>
      <c r="F1940">
        <v>3</v>
      </c>
      <c r="G1940">
        <v>0</v>
      </c>
      <c r="H1940">
        <f>표3[[#This Row],[공격성공횟수]]/(표3[[#This Row],[공격실패횟수]]+표3[[#This Row],[공격성공횟수]])</f>
        <v>0.11764705882352941</v>
      </c>
    </row>
    <row r="1941" spans="1:8" hidden="1" x14ac:dyDescent="0.4">
      <c r="A1941">
        <v>970</v>
      </c>
      <c r="B1941" t="s">
        <v>1</v>
      </c>
      <c r="C1941">
        <v>0</v>
      </c>
      <c r="D1941">
        <v>3</v>
      </c>
      <c r="E1941">
        <v>37</v>
      </c>
      <c r="F1941">
        <v>4</v>
      </c>
      <c r="G1941">
        <v>1</v>
      </c>
      <c r="H1941">
        <f>표3[[#This Row],[공격성공횟수]]/(표3[[#This Row],[공격실패횟수]]+표3[[#This Row],[공격성공횟수]])</f>
        <v>7.4999999999999997E-2</v>
      </c>
    </row>
    <row r="1942" spans="1:8" x14ac:dyDescent="0.4">
      <c r="A1942">
        <v>971</v>
      </c>
      <c r="B1942" t="s">
        <v>3</v>
      </c>
      <c r="C1942">
        <v>1</v>
      </c>
      <c r="D1942">
        <v>4</v>
      </c>
      <c r="E1942">
        <v>7</v>
      </c>
      <c r="F1942">
        <v>1</v>
      </c>
      <c r="G1942">
        <v>0</v>
      </c>
      <c r="H1942">
        <f>표3[[#This Row],[공격성공횟수]]/(표3[[#This Row],[공격실패횟수]]+표3[[#This Row],[공격성공횟수]])</f>
        <v>0.36363636363636365</v>
      </c>
    </row>
    <row r="1943" spans="1:8" hidden="1" x14ac:dyDescent="0.4">
      <c r="A1943">
        <v>971</v>
      </c>
      <c r="B1943" t="s">
        <v>1</v>
      </c>
      <c r="C1943">
        <v>0</v>
      </c>
      <c r="D1943">
        <v>1</v>
      </c>
      <c r="E1943">
        <v>10</v>
      </c>
      <c r="F1943">
        <v>4</v>
      </c>
      <c r="G1943">
        <v>1</v>
      </c>
      <c r="H1943">
        <f>표3[[#This Row],[공격성공횟수]]/(표3[[#This Row],[공격실패횟수]]+표3[[#This Row],[공격성공횟수]])</f>
        <v>9.0909090909090912E-2</v>
      </c>
    </row>
    <row r="1944" spans="1:8" x14ac:dyDescent="0.4">
      <c r="A1944">
        <v>972</v>
      </c>
      <c r="B1944" t="s">
        <v>3</v>
      </c>
      <c r="C1944">
        <v>1</v>
      </c>
      <c r="D1944">
        <v>4</v>
      </c>
      <c r="E1944">
        <v>25</v>
      </c>
      <c r="F1944">
        <v>2</v>
      </c>
      <c r="G1944">
        <v>0</v>
      </c>
      <c r="H1944">
        <f>표3[[#This Row],[공격성공횟수]]/(표3[[#This Row],[공격실패횟수]]+표3[[#This Row],[공격성공횟수]])</f>
        <v>0.13793103448275862</v>
      </c>
    </row>
    <row r="1945" spans="1:8" hidden="1" x14ac:dyDescent="0.4">
      <c r="A1945">
        <v>972</v>
      </c>
      <c r="B1945" t="s">
        <v>1</v>
      </c>
      <c r="C1945">
        <v>0</v>
      </c>
      <c r="D1945">
        <v>2</v>
      </c>
      <c r="E1945">
        <v>36</v>
      </c>
      <c r="F1945">
        <v>4</v>
      </c>
      <c r="G1945">
        <v>1</v>
      </c>
      <c r="H1945">
        <f>표3[[#This Row],[공격성공횟수]]/(표3[[#This Row],[공격실패횟수]]+표3[[#This Row],[공격성공횟수]])</f>
        <v>5.2631578947368418E-2</v>
      </c>
    </row>
    <row r="1946" spans="1:8" x14ac:dyDescent="0.4">
      <c r="A1946">
        <v>973</v>
      </c>
      <c r="B1946" t="s">
        <v>3</v>
      </c>
      <c r="C1946">
        <v>1</v>
      </c>
      <c r="D1946">
        <v>4</v>
      </c>
      <c r="E1946">
        <v>3</v>
      </c>
      <c r="F1946">
        <v>0</v>
      </c>
      <c r="G1946">
        <v>0</v>
      </c>
      <c r="H1946">
        <f>표3[[#This Row],[공격성공횟수]]/(표3[[#This Row],[공격실패횟수]]+표3[[#This Row],[공격성공횟수]])</f>
        <v>0.5714285714285714</v>
      </c>
    </row>
    <row r="1947" spans="1:8" hidden="1" x14ac:dyDescent="0.4">
      <c r="A1947">
        <v>973</v>
      </c>
      <c r="B1947" t="s">
        <v>1</v>
      </c>
      <c r="C1947">
        <v>0</v>
      </c>
      <c r="D1947">
        <v>0</v>
      </c>
      <c r="E1947">
        <v>7</v>
      </c>
      <c r="F1947">
        <v>4</v>
      </c>
      <c r="G1947">
        <v>1</v>
      </c>
      <c r="H1947">
        <f>표3[[#This Row],[공격성공횟수]]/(표3[[#This Row],[공격실패횟수]]+표3[[#This Row],[공격성공횟수]])</f>
        <v>0</v>
      </c>
    </row>
    <row r="1948" spans="1:8" x14ac:dyDescent="0.4">
      <c r="A1948">
        <v>974</v>
      </c>
      <c r="B1948" t="s">
        <v>3</v>
      </c>
      <c r="C1948">
        <v>1</v>
      </c>
      <c r="D1948">
        <v>4</v>
      </c>
      <c r="E1948">
        <v>20</v>
      </c>
      <c r="F1948">
        <v>3</v>
      </c>
      <c r="G1948">
        <v>0</v>
      </c>
      <c r="H1948">
        <f>표3[[#This Row],[공격성공횟수]]/(표3[[#This Row],[공격실패횟수]]+표3[[#This Row],[공격성공횟수]])</f>
        <v>0.16666666666666666</v>
      </c>
    </row>
    <row r="1949" spans="1:8" hidden="1" x14ac:dyDescent="0.4">
      <c r="A1949">
        <v>974</v>
      </c>
      <c r="B1949" t="s">
        <v>1</v>
      </c>
      <c r="C1949">
        <v>0</v>
      </c>
      <c r="D1949">
        <v>3</v>
      </c>
      <c r="E1949">
        <v>24</v>
      </c>
      <c r="F1949">
        <v>4</v>
      </c>
      <c r="G1949">
        <v>1</v>
      </c>
      <c r="H1949">
        <f>표3[[#This Row],[공격성공횟수]]/(표3[[#This Row],[공격실패횟수]]+표3[[#This Row],[공격성공횟수]])</f>
        <v>0.1111111111111111</v>
      </c>
    </row>
    <row r="1950" spans="1:8" x14ac:dyDescent="0.4">
      <c r="A1950">
        <v>975</v>
      </c>
      <c r="B1950" t="s">
        <v>3</v>
      </c>
      <c r="C1950">
        <v>1</v>
      </c>
      <c r="D1950">
        <v>4</v>
      </c>
      <c r="E1950">
        <v>5</v>
      </c>
      <c r="F1950">
        <v>0</v>
      </c>
      <c r="G1950">
        <v>0</v>
      </c>
      <c r="H1950">
        <f>표3[[#This Row],[공격성공횟수]]/(표3[[#This Row],[공격실패횟수]]+표3[[#This Row],[공격성공횟수]])</f>
        <v>0.44444444444444442</v>
      </c>
    </row>
    <row r="1951" spans="1:8" hidden="1" x14ac:dyDescent="0.4">
      <c r="A1951">
        <v>975</v>
      </c>
      <c r="B1951" t="s">
        <v>1</v>
      </c>
      <c r="C1951">
        <v>0</v>
      </c>
      <c r="D1951">
        <v>0</v>
      </c>
      <c r="E1951">
        <v>9</v>
      </c>
      <c r="F1951">
        <v>4</v>
      </c>
      <c r="G1951">
        <v>1</v>
      </c>
      <c r="H1951">
        <f>표3[[#This Row],[공격성공횟수]]/(표3[[#This Row],[공격실패횟수]]+표3[[#This Row],[공격성공횟수]])</f>
        <v>0</v>
      </c>
    </row>
    <row r="1952" spans="1:8" x14ac:dyDescent="0.4">
      <c r="A1952">
        <v>976</v>
      </c>
      <c r="B1952" t="s">
        <v>3</v>
      </c>
      <c r="C1952">
        <v>1</v>
      </c>
      <c r="D1952">
        <v>4</v>
      </c>
      <c r="E1952">
        <v>6</v>
      </c>
      <c r="F1952">
        <v>0</v>
      </c>
      <c r="G1952">
        <v>0</v>
      </c>
      <c r="H1952">
        <f>표3[[#This Row],[공격성공횟수]]/(표3[[#This Row],[공격실패횟수]]+표3[[#This Row],[공격성공횟수]])</f>
        <v>0.4</v>
      </c>
    </row>
    <row r="1953" spans="1:8" hidden="1" x14ac:dyDescent="0.4">
      <c r="A1953">
        <v>976</v>
      </c>
      <c r="B1953" t="s">
        <v>1</v>
      </c>
      <c r="C1953">
        <v>0</v>
      </c>
      <c r="D1953">
        <v>0</v>
      </c>
      <c r="E1953">
        <v>9</v>
      </c>
      <c r="F1953">
        <v>4</v>
      </c>
      <c r="G1953">
        <v>1</v>
      </c>
      <c r="H1953">
        <f>표3[[#This Row],[공격성공횟수]]/(표3[[#This Row],[공격실패횟수]]+표3[[#This Row],[공격성공횟수]])</f>
        <v>0</v>
      </c>
    </row>
    <row r="1954" spans="1:8" x14ac:dyDescent="0.4">
      <c r="A1954">
        <v>977</v>
      </c>
      <c r="B1954" t="s">
        <v>3</v>
      </c>
      <c r="C1954">
        <v>0</v>
      </c>
      <c r="D1954">
        <v>0</v>
      </c>
      <c r="E1954">
        <v>19</v>
      </c>
      <c r="F1954">
        <v>4</v>
      </c>
      <c r="G1954">
        <v>1</v>
      </c>
      <c r="H1954">
        <f>표3[[#This Row],[공격성공횟수]]/(표3[[#This Row],[공격실패횟수]]+표3[[#This Row],[공격성공횟수]])</f>
        <v>0</v>
      </c>
    </row>
    <row r="1955" spans="1:8" hidden="1" x14ac:dyDescent="0.4">
      <c r="A1955">
        <v>977</v>
      </c>
      <c r="B1955" t="s">
        <v>1</v>
      </c>
      <c r="C1955">
        <v>1</v>
      </c>
      <c r="D1955">
        <v>4</v>
      </c>
      <c r="E1955">
        <v>16</v>
      </c>
      <c r="F1955">
        <v>0</v>
      </c>
      <c r="G1955">
        <v>0</v>
      </c>
      <c r="H1955">
        <f>표3[[#This Row],[공격성공횟수]]/(표3[[#This Row],[공격실패횟수]]+표3[[#This Row],[공격성공횟수]])</f>
        <v>0.2</v>
      </c>
    </row>
    <row r="1956" spans="1:8" x14ac:dyDescent="0.4">
      <c r="A1956">
        <v>978</v>
      </c>
      <c r="B1956" t="s">
        <v>3</v>
      </c>
      <c r="C1956">
        <v>1</v>
      </c>
      <c r="D1956">
        <v>4</v>
      </c>
      <c r="E1956">
        <v>14</v>
      </c>
      <c r="F1956">
        <v>0</v>
      </c>
      <c r="G1956">
        <v>0</v>
      </c>
      <c r="H1956">
        <f>표3[[#This Row],[공격성공횟수]]/(표3[[#This Row],[공격실패횟수]]+표3[[#This Row],[공격성공횟수]])</f>
        <v>0.22222222222222221</v>
      </c>
    </row>
    <row r="1957" spans="1:8" hidden="1" x14ac:dyDescent="0.4">
      <c r="A1957">
        <v>978</v>
      </c>
      <c r="B1957" t="s">
        <v>1</v>
      </c>
      <c r="C1957">
        <v>0</v>
      </c>
      <c r="D1957">
        <v>0</v>
      </c>
      <c r="E1957">
        <v>16</v>
      </c>
      <c r="F1957">
        <v>4</v>
      </c>
      <c r="G1957">
        <v>1</v>
      </c>
      <c r="H1957">
        <f>표3[[#This Row],[공격성공횟수]]/(표3[[#This Row],[공격실패횟수]]+표3[[#This Row],[공격성공횟수]])</f>
        <v>0</v>
      </c>
    </row>
    <row r="1958" spans="1:8" x14ac:dyDescent="0.4">
      <c r="A1958">
        <v>979</v>
      </c>
      <c r="B1958" t="s">
        <v>3</v>
      </c>
      <c r="C1958">
        <v>1</v>
      </c>
      <c r="D1958">
        <v>4</v>
      </c>
      <c r="E1958">
        <v>6</v>
      </c>
      <c r="F1958">
        <v>0</v>
      </c>
      <c r="G1958">
        <v>0</v>
      </c>
      <c r="H1958">
        <f>표3[[#This Row],[공격성공횟수]]/(표3[[#This Row],[공격실패횟수]]+표3[[#This Row],[공격성공횟수]])</f>
        <v>0.4</v>
      </c>
    </row>
    <row r="1959" spans="1:8" hidden="1" x14ac:dyDescent="0.4">
      <c r="A1959">
        <v>979</v>
      </c>
      <c r="B1959" t="s">
        <v>1</v>
      </c>
      <c r="C1959">
        <v>0</v>
      </c>
      <c r="D1959">
        <v>0</v>
      </c>
      <c r="E1959">
        <v>10</v>
      </c>
      <c r="F1959">
        <v>4</v>
      </c>
      <c r="G1959">
        <v>1</v>
      </c>
      <c r="H1959">
        <f>표3[[#This Row],[공격성공횟수]]/(표3[[#This Row],[공격실패횟수]]+표3[[#This Row],[공격성공횟수]])</f>
        <v>0</v>
      </c>
    </row>
    <row r="1960" spans="1:8" x14ac:dyDescent="0.4">
      <c r="A1960">
        <v>980</v>
      </c>
      <c r="B1960" t="s">
        <v>3</v>
      </c>
      <c r="C1960">
        <v>1</v>
      </c>
      <c r="D1960">
        <v>4</v>
      </c>
      <c r="E1960">
        <v>10</v>
      </c>
      <c r="F1960">
        <v>1</v>
      </c>
      <c r="G1960">
        <v>0</v>
      </c>
      <c r="H1960">
        <f>표3[[#This Row],[공격성공횟수]]/(표3[[#This Row],[공격실패횟수]]+표3[[#This Row],[공격성공횟수]])</f>
        <v>0.2857142857142857</v>
      </c>
    </row>
    <row r="1961" spans="1:8" hidden="1" x14ac:dyDescent="0.4">
      <c r="A1961">
        <v>980</v>
      </c>
      <c r="B1961" t="s">
        <v>1</v>
      </c>
      <c r="C1961">
        <v>0</v>
      </c>
      <c r="D1961">
        <v>1</v>
      </c>
      <c r="E1961">
        <v>13</v>
      </c>
      <c r="F1961">
        <v>4</v>
      </c>
      <c r="G1961">
        <v>1</v>
      </c>
      <c r="H1961">
        <f>표3[[#This Row],[공격성공횟수]]/(표3[[#This Row],[공격실패횟수]]+표3[[#This Row],[공격성공횟수]])</f>
        <v>7.1428571428571425E-2</v>
      </c>
    </row>
    <row r="1962" spans="1:8" x14ac:dyDescent="0.4">
      <c r="A1962">
        <v>981</v>
      </c>
      <c r="B1962" t="s">
        <v>3</v>
      </c>
      <c r="C1962">
        <v>1</v>
      </c>
      <c r="D1962">
        <v>4</v>
      </c>
      <c r="E1962">
        <v>14</v>
      </c>
      <c r="F1962">
        <v>0</v>
      </c>
      <c r="G1962">
        <v>0</v>
      </c>
      <c r="H1962">
        <f>표3[[#This Row],[공격성공횟수]]/(표3[[#This Row],[공격실패횟수]]+표3[[#This Row],[공격성공횟수]])</f>
        <v>0.22222222222222221</v>
      </c>
    </row>
    <row r="1963" spans="1:8" hidden="1" x14ac:dyDescent="0.4">
      <c r="A1963">
        <v>981</v>
      </c>
      <c r="B1963" t="s">
        <v>1</v>
      </c>
      <c r="C1963">
        <v>0</v>
      </c>
      <c r="D1963">
        <v>0</v>
      </c>
      <c r="E1963">
        <v>17</v>
      </c>
      <c r="F1963">
        <v>4</v>
      </c>
      <c r="G1963">
        <v>1</v>
      </c>
      <c r="H1963">
        <f>표3[[#This Row],[공격성공횟수]]/(표3[[#This Row],[공격실패횟수]]+표3[[#This Row],[공격성공횟수]])</f>
        <v>0</v>
      </c>
    </row>
    <row r="1964" spans="1:8" x14ac:dyDescent="0.4">
      <c r="A1964">
        <v>982</v>
      </c>
      <c r="B1964" t="s">
        <v>3</v>
      </c>
      <c r="C1964">
        <v>1</v>
      </c>
      <c r="D1964">
        <v>4</v>
      </c>
      <c r="E1964">
        <v>10</v>
      </c>
      <c r="F1964">
        <v>0</v>
      </c>
      <c r="G1964">
        <v>0</v>
      </c>
      <c r="H1964">
        <f>표3[[#This Row],[공격성공횟수]]/(표3[[#This Row],[공격실패횟수]]+표3[[#This Row],[공격성공횟수]])</f>
        <v>0.2857142857142857</v>
      </c>
    </row>
    <row r="1965" spans="1:8" hidden="1" x14ac:dyDescent="0.4">
      <c r="A1965">
        <v>982</v>
      </c>
      <c r="B1965" t="s">
        <v>1</v>
      </c>
      <c r="C1965">
        <v>0</v>
      </c>
      <c r="D1965">
        <v>0</v>
      </c>
      <c r="E1965">
        <v>14</v>
      </c>
      <c r="F1965">
        <v>4</v>
      </c>
      <c r="G1965">
        <v>1</v>
      </c>
      <c r="H1965">
        <f>표3[[#This Row],[공격성공횟수]]/(표3[[#This Row],[공격실패횟수]]+표3[[#This Row],[공격성공횟수]])</f>
        <v>0</v>
      </c>
    </row>
    <row r="1966" spans="1:8" x14ac:dyDescent="0.4">
      <c r="A1966">
        <v>983</v>
      </c>
      <c r="B1966" t="s">
        <v>3</v>
      </c>
      <c r="C1966">
        <v>0</v>
      </c>
      <c r="D1966">
        <v>1</v>
      </c>
      <c r="E1966">
        <v>23</v>
      </c>
      <c r="F1966">
        <v>4</v>
      </c>
      <c r="G1966">
        <v>1</v>
      </c>
      <c r="H1966">
        <f>표3[[#This Row],[공격성공횟수]]/(표3[[#This Row],[공격실패횟수]]+표3[[#This Row],[공격성공횟수]])</f>
        <v>4.1666666666666664E-2</v>
      </c>
    </row>
    <row r="1967" spans="1:8" hidden="1" x14ac:dyDescent="0.4">
      <c r="A1967">
        <v>983</v>
      </c>
      <c r="B1967" t="s">
        <v>1</v>
      </c>
      <c r="C1967">
        <v>1</v>
      </c>
      <c r="D1967">
        <v>4</v>
      </c>
      <c r="E1967">
        <v>27</v>
      </c>
      <c r="F1967">
        <v>1</v>
      </c>
      <c r="G1967">
        <v>0</v>
      </c>
      <c r="H1967">
        <f>표3[[#This Row],[공격성공횟수]]/(표3[[#This Row],[공격실패횟수]]+표3[[#This Row],[공격성공횟수]])</f>
        <v>0.12903225806451613</v>
      </c>
    </row>
    <row r="1968" spans="1:8" x14ac:dyDescent="0.4">
      <c r="A1968">
        <v>984</v>
      </c>
      <c r="B1968" t="s">
        <v>3</v>
      </c>
      <c r="C1968">
        <v>1</v>
      </c>
      <c r="D1968">
        <v>4</v>
      </c>
      <c r="E1968">
        <v>8</v>
      </c>
      <c r="F1968">
        <v>0</v>
      </c>
      <c r="G1968">
        <v>0</v>
      </c>
      <c r="H1968">
        <f>표3[[#This Row],[공격성공횟수]]/(표3[[#This Row],[공격실패횟수]]+표3[[#This Row],[공격성공횟수]])</f>
        <v>0.33333333333333331</v>
      </c>
    </row>
    <row r="1969" spans="1:8" hidden="1" x14ac:dyDescent="0.4">
      <c r="A1969">
        <v>984</v>
      </c>
      <c r="B1969" t="s">
        <v>1</v>
      </c>
      <c r="C1969">
        <v>0</v>
      </c>
      <c r="D1969">
        <v>0</v>
      </c>
      <c r="E1969">
        <v>11</v>
      </c>
      <c r="F1969">
        <v>4</v>
      </c>
      <c r="G1969">
        <v>1</v>
      </c>
      <c r="H1969">
        <f>표3[[#This Row],[공격성공횟수]]/(표3[[#This Row],[공격실패횟수]]+표3[[#This Row],[공격성공횟수]])</f>
        <v>0</v>
      </c>
    </row>
    <row r="1970" spans="1:8" x14ac:dyDescent="0.4">
      <c r="A1970">
        <v>985</v>
      </c>
      <c r="B1970" t="s">
        <v>3</v>
      </c>
      <c r="C1970">
        <v>1</v>
      </c>
      <c r="D1970">
        <v>4</v>
      </c>
      <c r="E1970">
        <v>16</v>
      </c>
      <c r="F1970">
        <v>1</v>
      </c>
      <c r="G1970">
        <v>0</v>
      </c>
      <c r="H1970">
        <f>표3[[#This Row],[공격성공횟수]]/(표3[[#This Row],[공격실패횟수]]+표3[[#This Row],[공격성공횟수]])</f>
        <v>0.2</v>
      </c>
    </row>
    <row r="1971" spans="1:8" hidden="1" x14ac:dyDescent="0.4">
      <c r="A1971">
        <v>985</v>
      </c>
      <c r="B1971" t="s">
        <v>1</v>
      </c>
      <c r="C1971">
        <v>0</v>
      </c>
      <c r="D1971">
        <v>1</v>
      </c>
      <c r="E1971">
        <v>18</v>
      </c>
      <c r="F1971">
        <v>4</v>
      </c>
      <c r="G1971">
        <v>1</v>
      </c>
      <c r="H1971">
        <f>표3[[#This Row],[공격성공횟수]]/(표3[[#This Row],[공격실패횟수]]+표3[[#This Row],[공격성공횟수]])</f>
        <v>5.2631578947368418E-2</v>
      </c>
    </row>
    <row r="1972" spans="1:8" x14ac:dyDescent="0.4">
      <c r="A1972">
        <v>986</v>
      </c>
      <c r="B1972" t="s">
        <v>3</v>
      </c>
      <c r="C1972">
        <v>1</v>
      </c>
      <c r="D1972">
        <v>4</v>
      </c>
      <c r="E1972">
        <v>13</v>
      </c>
      <c r="F1972">
        <v>0</v>
      </c>
      <c r="G1972">
        <v>0</v>
      </c>
      <c r="H1972">
        <f>표3[[#This Row],[공격성공횟수]]/(표3[[#This Row],[공격실패횟수]]+표3[[#This Row],[공격성공횟수]])</f>
        <v>0.23529411764705882</v>
      </c>
    </row>
    <row r="1973" spans="1:8" hidden="1" x14ac:dyDescent="0.4">
      <c r="A1973">
        <v>986</v>
      </c>
      <c r="B1973" t="s">
        <v>1</v>
      </c>
      <c r="C1973">
        <v>0</v>
      </c>
      <c r="D1973">
        <v>0</v>
      </c>
      <c r="E1973">
        <v>17</v>
      </c>
      <c r="F1973">
        <v>4</v>
      </c>
      <c r="G1973">
        <v>1</v>
      </c>
      <c r="H1973">
        <f>표3[[#This Row],[공격성공횟수]]/(표3[[#This Row],[공격실패횟수]]+표3[[#This Row],[공격성공횟수]])</f>
        <v>0</v>
      </c>
    </row>
    <row r="1974" spans="1:8" x14ac:dyDescent="0.4">
      <c r="A1974">
        <v>987</v>
      </c>
      <c r="B1974" t="s">
        <v>3</v>
      </c>
      <c r="C1974">
        <v>1</v>
      </c>
      <c r="D1974">
        <v>4</v>
      </c>
      <c r="E1974">
        <v>6</v>
      </c>
      <c r="F1974">
        <v>2</v>
      </c>
      <c r="G1974">
        <v>0</v>
      </c>
      <c r="H1974">
        <f>표3[[#This Row],[공격성공횟수]]/(표3[[#This Row],[공격실패횟수]]+표3[[#This Row],[공격성공횟수]])</f>
        <v>0.4</v>
      </c>
    </row>
    <row r="1975" spans="1:8" hidden="1" x14ac:dyDescent="0.4">
      <c r="A1975">
        <v>987</v>
      </c>
      <c r="B1975" t="s">
        <v>1</v>
      </c>
      <c r="C1975">
        <v>0</v>
      </c>
      <c r="D1975">
        <v>2</v>
      </c>
      <c r="E1975">
        <v>7</v>
      </c>
      <c r="F1975">
        <v>4</v>
      </c>
      <c r="G1975">
        <v>1</v>
      </c>
      <c r="H1975">
        <f>표3[[#This Row],[공격성공횟수]]/(표3[[#This Row],[공격실패횟수]]+표3[[#This Row],[공격성공횟수]])</f>
        <v>0.22222222222222221</v>
      </c>
    </row>
    <row r="1976" spans="1:8" x14ac:dyDescent="0.4">
      <c r="A1976">
        <v>988</v>
      </c>
      <c r="B1976" t="s">
        <v>3</v>
      </c>
      <c r="C1976">
        <v>1</v>
      </c>
      <c r="D1976">
        <v>4</v>
      </c>
      <c r="E1976">
        <v>13</v>
      </c>
      <c r="F1976">
        <v>1</v>
      </c>
      <c r="G1976">
        <v>0</v>
      </c>
      <c r="H1976">
        <f>표3[[#This Row],[공격성공횟수]]/(표3[[#This Row],[공격실패횟수]]+표3[[#This Row],[공격성공횟수]])</f>
        <v>0.23529411764705882</v>
      </c>
    </row>
    <row r="1977" spans="1:8" hidden="1" x14ac:dyDescent="0.4">
      <c r="A1977">
        <v>988</v>
      </c>
      <c r="B1977" t="s">
        <v>1</v>
      </c>
      <c r="C1977">
        <v>0</v>
      </c>
      <c r="D1977">
        <v>1</v>
      </c>
      <c r="E1977">
        <v>16</v>
      </c>
      <c r="F1977">
        <v>4</v>
      </c>
      <c r="G1977">
        <v>1</v>
      </c>
      <c r="H1977">
        <f>표3[[#This Row],[공격성공횟수]]/(표3[[#This Row],[공격실패횟수]]+표3[[#This Row],[공격성공횟수]])</f>
        <v>5.8823529411764705E-2</v>
      </c>
    </row>
    <row r="1978" spans="1:8" x14ac:dyDescent="0.4">
      <c r="A1978">
        <v>989</v>
      </c>
      <c r="B1978" t="s">
        <v>3</v>
      </c>
      <c r="C1978">
        <v>1</v>
      </c>
      <c r="D1978">
        <v>4</v>
      </c>
      <c r="E1978">
        <v>17</v>
      </c>
      <c r="F1978">
        <v>1</v>
      </c>
      <c r="G1978">
        <v>0</v>
      </c>
      <c r="H1978">
        <f>표3[[#This Row],[공격성공횟수]]/(표3[[#This Row],[공격실패횟수]]+표3[[#This Row],[공격성공횟수]])</f>
        <v>0.19047619047619047</v>
      </c>
    </row>
    <row r="1979" spans="1:8" hidden="1" x14ac:dyDescent="0.4">
      <c r="A1979">
        <v>989</v>
      </c>
      <c r="B1979" t="s">
        <v>1</v>
      </c>
      <c r="C1979">
        <v>0</v>
      </c>
      <c r="D1979">
        <v>1</v>
      </c>
      <c r="E1979">
        <v>19</v>
      </c>
      <c r="F1979">
        <v>4</v>
      </c>
      <c r="G1979">
        <v>1</v>
      </c>
      <c r="H1979">
        <f>표3[[#This Row],[공격성공횟수]]/(표3[[#This Row],[공격실패횟수]]+표3[[#This Row],[공격성공횟수]])</f>
        <v>0.05</v>
      </c>
    </row>
    <row r="1980" spans="1:8" x14ac:dyDescent="0.4">
      <c r="A1980">
        <v>990</v>
      </c>
      <c r="B1980" t="s">
        <v>3</v>
      </c>
      <c r="C1980">
        <v>0</v>
      </c>
      <c r="D1980">
        <v>0</v>
      </c>
      <c r="E1980">
        <v>15</v>
      </c>
      <c r="F1980">
        <v>4</v>
      </c>
      <c r="G1980">
        <v>1</v>
      </c>
      <c r="H1980">
        <f>표3[[#This Row],[공격성공횟수]]/(표3[[#This Row],[공격실패횟수]]+표3[[#This Row],[공격성공횟수]])</f>
        <v>0</v>
      </c>
    </row>
    <row r="1981" spans="1:8" hidden="1" x14ac:dyDescent="0.4">
      <c r="A1981">
        <v>990</v>
      </c>
      <c r="B1981" t="s">
        <v>1</v>
      </c>
      <c r="C1981">
        <v>1</v>
      </c>
      <c r="D1981">
        <v>4</v>
      </c>
      <c r="E1981">
        <v>13</v>
      </c>
      <c r="F1981">
        <v>0</v>
      </c>
      <c r="G1981">
        <v>0</v>
      </c>
      <c r="H1981">
        <f>표3[[#This Row],[공격성공횟수]]/(표3[[#This Row],[공격실패횟수]]+표3[[#This Row],[공격성공횟수]])</f>
        <v>0.23529411764705882</v>
      </c>
    </row>
    <row r="1982" spans="1:8" x14ac:dyDescent="0.4">
      <c r="A1982">
        <v>991</v>
      </c>
      <c r="B1982" t="s">
        <v>3</v>
      </c>
      <c r="C1982">
        <v>1</v>
      </c>
      <c r="D1982">
        <v>4</v>
      </c>
      <c r="E1982">
        <v>5</v>
      </c>
      <c r="F1982">
        <v>0</v>
      </c>
      <c r="G1982">
        <v>0</v>
      </c>
      <c r="H1982">
        <f>표3[[#This Row],[공격성공횟수]]/(표3[[#This Row],[공격실패횟수]]+표3[[#This Row],[공격성공횟수]])</f>
        <v>0.44444444444444442</v>
      </c>
    </row>
    <row r="1983" spans="1:8" hidden="1" x14ac:dyDescent="0.4">
      <c r="A1983">
        <v>991</v>
      </c>
      <c r="B1983" t="s">
        <v>1</v>
      </c>
      <c r="C1983">
        <v>0</v>
      </c>
      <c r="D1983">
        <v>0</v>
      </c>
      <c r="E1983">
        <v>8</v>
      </c>
      <c r="F1983">
        <v>4</v>
      </c>
      <c r="G1983">
        <v>1</v>
      </c>
      <c r="H1983">
        <f>표3[[#This Row],[공격성공횟수]]/(표3[[#This Row],[공격실패횟수]]+표3[[#This Row],[공격성공횟수]])</f>
        <v>0</v>
      </c>
    </row>
    <row r="1984" spans="1:8" x14ac:dyDescent="0.4">
      <c r="A1984">
        <v>992</v>
      </c>
      <c r="B1984" t="s">
        <v>3</v>
      </c>
      <c r="C1984">
        <v>1</v>
      </c>
      <c r="D1984">
        <v>4</v>
      </c>
      <c r="E1984">
        <v>16</v>
      </c>
      <c r="F1984">
        <v>0</v>
      </c>
      <c r="G1984">
        <v>0</v>
      </c>
      <c r="H1984">
        <f>표3[[#This Row],[공격성공횟수]]/(표3[[#This Row],[공격실패횟수]]+표3[[#This Row],[공격성공횟수]])</f>
        <v>0.2</v>
      </c>
    </row>
    <row r="1985" spans="1:9" hidden="1" x14ac:dyDescent="0.4">
      <c r="A1985">
        <v>992</v>
      </c>
      <c r="B1985" t="s">
        <v>1</v>
      </c>
      <c r="C1985">
        <v>0</v>
      </c>
      <c r="D1985">
        <v>0</v>
      </c>
      <c r="E1985">
        <v>19</v>
      </c>
      <c r="F1985">
        <v>4</v>
      </c>
      <c r="G1985">
        <v>1</v>
      </c>
      <c r="H1985">
        <f>표3[[#This Row],[공격성공횟수]]/(표3[[#This Row],[공격실패횟수]]+표3[[#This Row],[공격성공횟수]])</f>
        <v>0</v>
      </c>
    </row>
    <row r="1986" spans="1:9" x14ac:dyDescent="0.4">
      <c r="A1986">
        <v>993</v>
      </c>
      <c r="B1986" t="s">
        <v>3</v>
      </c>
      <c r="C1986">
        <v>1</v>
      </c>
      <c r="D1986">
        <v>4</v>
      </c>
      <c r="E1986">
        <v>13</v>
      </c>
      <c r="F1986">
        <v>1</v>
      </c>
      <c r="G1986">
        <v>0</v>
      </c>
      <c r="H1986">
        <f>표3[[#This Row],[공격성공횟수]]/(표3[[#This Row],[공격실패횟수]]+표3[[#This Row],[공격성공횟수]])</f>
        <v>0.23529411764705882</v>
      </c>
    </row>
    <row r="1987" spans="1:9" hidden="1" x14ac:dyDescent="0.4">
      <c r="A1987">
        <v>993</v>
      </c>
      <c r="B1987" t="s">
        <v>1</v>
      </c>
      <c r="C1987">
        <v>0</v>
      </c>
      <c r="D1987">
        <v>1</v>
      </c>
      <c r="E1987">
        <v>26</v>
      </c>
      <c r="F1987">
        <v>4</v>
      </c>
      <c r="G1987">
        <v>1</v>
      </c>
      <c r="H1987">
        <f>표3[[#This Row],[공격성공횟수]]/(표3[[#This Row],[공격실패횟수]]+표3[[#This Row],[공격성공횟수]])</f>
        <v>3.7037037037037035E-2</v>
      </c>
    </row>
    <row r="1988" spans="1:9" x14ac:dyDescent="0.4">
      <c r="A1988">
        <v>994</v>
      </c>
      <c r="B1988" t="s">
        <v>3</v>
      </c>
      <c r="C1988">
        <v>0</v>
      </c>
      <c r="D1988">
        <v>1</v>
      </c>
      <c r="E1988">
        <v>21</v>
      </c>
      <c r="F1988">
        <v>4</v>
      </c>
      <c r="G1988">
        <v>1</v>
      </c>
      <c r="H1988">
        <f>표3[[#This Row],[공격성공횟수]]/(표3[[#This Row],[공격실패횟수]]+표3[[#This Row],[공격성공횟수]])</f>
        <v>4.5454545454545456E-2</v>
      </c>
    </row>
    <row r="1989" spans="1:9" hidden="1" x14ac:dyDescent="0.4">
      <c r="A1989">
        <v>994</v>
      </c>
      <c r="B1989" t="s">
        <v>1</v>
      </c>
      <c r="C1989">
        <v>1</v>
      </c>
      <c r="D1989">
        <v>4</v>
      </c>
      <c r="E1989">
        <v>22</v>
      </c>
      <c r="F1989">
        <v>1</v>
      </c>
      <c r="G1989">
        <v>0</v>
      </c>
      <c r="H1989">
        <f>표3[[#This Row],[공격성공횟수]]/(표3[[#This Row],[공격실패횟수]]+표3[[#This Row],[공격성공횟수]])</f>
        <v>0.15384615384615385</v>
      </c>
    </row>
    <row r="1990" spans="1:9" x14ac:dyDescent="0.4">
      <c r="A1990">
        <v>995</v>
      </c>
      <c r="B1990" t="s">
        <v>3</v>
      </c>
      <c r="C1990">
        <v>1</v>
      </c>
      <c r="D1990">
        <v>4</v>
      </c>
      <c r="E1990">
        <v>12</v>
      </c>
      <c r="F1990">
        <v>1</v>
      </c>
      <c r="G1990">
        <v>0</v>
      </c>
      <c r="H1990">
        <f>표3[[#This Row],[공격성공횟수]]/(표3[[#This Row],[공격실패횟수]]+표3[[#This Row],[공격성공횟수]])</f>
        <v>0.25</v>
      </c>
    </row>
    <row r="1991" spans="1:9" hidden="1" x14ac:dyDescent="0.4">
      <c r="A1991">
        <v>995</v>
      </c>
      <c r="B1991" t="s">
        <v>1</v>
      </c>
      <c r="C1991">
        <v>0</v>
      </c>
      <c r="D1991">
        <v>1</v>
      </c>
      <c r="E1991">
        <v>13</v>
      </c>
      <c r="F1991">
        <v>4</v>
      </c>
      <c r="G1991">
        <v>1</v>
      </c>
      <c r="H1991">
        <f>표3[[#This Row],[공격성공횟수]]/(표3[[#This Row],[공격실패횟수]]+표3[[#This Row],[공격성공횟수]])</f>
        <v>7.1428571428571425E-2</v>
      </c>
    </row>
    <row r="1992" spans="1:9" x14ac:dyDescent="0.4">
      <c r="A1992">
        <v>996</v>
      </c>
      <c r="B1992" t="s">
        <v>3</v>
      </c>
      <c r="C1992">
        <v>1</v>
      </c>
      <c r="D1992">
        <v>4</v>
      </c>
      <c r="E1992">
        <v>7</v>
      </c>
      <c r="F1992">
        <v>1</v>
      </c>
      <c r="G1992">
        <v>0</v>
      </c>
      <c r="H1992">
        <f>표3[[#This Row],[공격성공횟수]]/(표3[[#This Row],[공격실패횟수]]+표3[[#This Row],[공격성공횟수]])</f>
        <v>0.36363636363636365</v>
      </c>
    </row>
    <row r="1993" spans="1:9" hidden="1" x14ac:dyDescent="0.4">
      <c r="A1993">
        <v>996</v>
      </c>
      <c r="B1993" t="s">
        <v>1</v>
      </c>
      <c r="C1993">
        <v>0</v>
      </c>
      <c r="D1993">
        <v>1</v>
      </c>
      <c r="E1993">
        <v>10</v>
      </c>
      <c r="F1993">
        <v>4</v>
      </c>
      <c r="G1993">
        <v>1</v>
      </c>
      <c r="H1993">
        <f>표3[[#This Row],[공격성공횟수]]/(표3[[#This Row],[공격실패횟수]]+표3[[#This Row],[공격성공횟수]])</f>
        <v>9.0909090909090912E-2</v>
      </c>
    </row>
    <row r="1994" spans="1:9" x14ac:dyDescent="0.4">
      <c r="A1994">
        <v>997</v>
      </c>
      <c r="B1994" t="s">
        <v>3</v>
      </c>
      <c r="C1994">
        <v>1</v>
      </c>
      <c r="D1994">
        <v>4</v>
      </c>
      <c r="E1994">
        <v>19</v>
      </c>
      <c r="F1994">
        <v>1</v>
      </c>
      <c r="G1994">
        <v>0</v>
      </c>
      <c r="H1994">
        <f>표3[[#This Row],[공격성공횟수]]/(표3[[#This Row],[공격실패횟수]]+표3[[#This Row],[공격성공횟수]])</f>
        <v>0.17391304347826086</v>
      </c>
    </row>
    <row r="1995" spans="1:9" hidden="1" x14ac:dyDescent="0.4">
      <c r="A1995">
        <v>997</v>
      </c>
      <c r="B1995" t="s">
        <v>1</v>
      </c>
      <c r="C1995">
        <v>0</v>
      </c>
      <c r="D1995">
        <v>1</v>
      </c>
      <c r="E1995">
        <v>21</v>
      </c>
      <c r="F1995">
        <v>4</v>
      </c>
      <c r="G1995">
        <v>1</v>
      </c>
      <c r="H1995">
        <f>표3[[#This Row],[공격성공횟수]]/(표3[[#This Row],[공격실패횟수]]+표3[[#This Row],[공격성공횟수]])</f>
        <v>4.5454545454545456E-2</v>
      </c>
    </row>
    <row r="1996" spans="1:9" x14ac:dyDescent="0.4">
      <c r="A1996">
        <v>998</v>
      </c>
      <c r="B1996" t="s">
        <v>3</v>
      </c>
      <c r="C1996">
        <v>1</v>
      </c>
      <c r="D1996">
        <v>4</v>
      </c>
      <c r="E1996">
        <v>10</v>
      </c>
      <c r="F1996">
        <v>1</v>
      </c>
      <c r="G1996">
        <v>0</v>
      </c>
      <c r="H1996">
        <f>표3[[#This Row],[공격성공횟수]]/(표3[[#This Row],[공격실패횟수]]+표3[[#This Row],[공격성공횟수]])</f>
        <v>0.2857142857142857</v>
      </c>
    </row>
    <row r="1997" spans="1:9" hidden="1" x14ac:dyDescent="0.4">
      <c r="A1997">
        <v>998</v>
      </c>
      <c r="B1997" t="s">
        <v>1</v>
      </c>
      <c r="C1997">
        <v>0</v>
      </c>
      <c r="D1997">
        <v>1</v>
      </c>
      <c r="E1997">
        <v>12</v>
      </c>
      <c r="F1997">
        <v>4</v>
      </c>
      <c r="G1997">
        <v>1</v>
      </c>
      <c r="H1997">
        <f>표3[[#This Row],[공격성공횟수]]/(표3[[#This Row],[공격실패횟수]]+표3[[#This Row],[공격성공횟수]])</f>
        <v>7.6923076923076927E-2</v>
      </c>
    </row>
    <row r="1998" spans="1:9" x14ac:dyDescent="0.4">
      <c r="A1998">
        <v>999</v>
      </c>
      <c r="B1998" t="s">
        <v>3</v>
      </c>
      <c r="C1998">
        <v>1</v>
      </c>
      <c r="D1998">
        <v>4</v>
      </c>
      <c r="E1998">
        <v>7</v>
      </c>
      <c r="F1998">
        <v>1</v>
      </c>
      <c r="G1998">
        <v>0</v>
      </c>
      <c r="H1998">
        <f>표3[[#This Row],[공격성공횟수]]/(표3[[#This Row],[공격실패횟수]]+표3[[#This Row],[공격성공횟수]])</f>
        <v>0.36363636363636365</v>
      </c>
    </row>
    <row r="1999" spans="1:9" hidden="1" x14ac:dyDescent="0.4">
      <c r="A1999">
        <v>999</v>
      </c>
      <c r="B1999" t="s">
        <v>1</v>
      </c>
      <c r="C1999">
        <v>0</v>
      </c>
      <c r="D1999">
        <v>1</v>
      </c>
      <c r="E1999">
        <v>10</v>
      </c>
      <c r="F1999">
        <v>4</v>
      </c>
      <c r="G1999">
        <v>1</v>
      </c>
      <c r="H1999">
        <f>표3[[#This Row],[공격성공횟수]]/(표3[[#This Row],[공격실패횟수]]+표3[[#This Row],[공격성공횟수]])</f>
        <v>9.0909090909090912E-2</v>
      </c>
    </row>
    <row r="2000" spans="1:9" x14ac:dyDescent="0.4">
      <c r="A2000">
        <v>1000</v>
      </c>
      <c r="B2000" t="s">
        <v>3</v>
      </c>
      <c r="C2000">
        <v>1</v>
      </c>
      <c r="D2000">
        <v>4</v>
      </c>
      <c r="E2000">
        <v>4</v>
      </c>
      <c r="F2000">
        <v>1</v>
      </c>
      <c r="G2000">
        <v>0</v>
      </c>
      <c r="H2000">
        <f>표3[[#This Row],[공격성공횟수]]/(표3[[#This Row],[공격실패횟수]]+표3[[#This Row],[공격성공횟수]])</f>
        <v>0.5</v>
      </c>
      <c r="I2000">
        <f>표5[[#This Row],[피격횟수]]/표5[[#This Row],[공격실패횟수]]</f>
        <v>0</v>
      </c>
    </row>
    <row r="2001" spans="1:10" hidden="1" x14ac:dyDescent="0.4">
      <c r="A2001">
        <v>1000</v>
      </c>
      <c r="B2001" t="s">
        <v>1</v>
      </c>
      <c r="C2001">
        <v>0</v>
      </c>
      <c r="D2001">
        <v>1</v>
      </c>
      <c r="E2001">
        <v>7</v>
      </c>
      <c r="F2001">
        <v>4</v>
      </c>
      <c r="G2001">
        <v>1</v>
      </c>
      <c r="H2001">
        <f>표3[[#This Row],[공격성공횟수]]/(표3[[#This Row],[공격실패횟수]]+표3[[#This Row],[공격성공횟수]])</f>
        <v>0.125</v>
      </c>
    </row>
    <row r="2002" spans="1:10" x14ac:dyDescent="0.4">
      <c r="C2002">
        <f xml:space="preserve"> SUBTOTAL(9,C1:C2001)</f>
        <v>827</v>
      </c>
      <c r="D2002">
        <f xml:space="preserve"> SUBTOTAL(9,D1:D2001)</f>
        <v>3440</v>
      </c>
      <c r="E2002">
        <f xml:space="preserve"> SUBTOTAL(9,E1:E2001)</f>
        <v>13537</v>
      </c>
      <c r="F2002">
        <f xml:space="preserve"> SUBTOTAL(9,F1:F2001)</f>
        <v>1543</v>
      </c>
      <c r="G2002">
        <f xml:space="preserve"> SUBTOTAL(9,G1:G2001)</f>
        <v>173</v>
      </c>
      <c r="I2002" t="s">
        <v>5</v>
      </c>
      <c r="J2002">
        <f xml:space="preserve"> 표3[[#Totals],[공격성공횟수]]+표3[[#Totals],[공격실패횟수]]</f>
        <v>16977</v>
      </c>
    </row>
    <row r="2003" spans="1:10" x14ac:dyDescent="0.4">
      <c r="H2003" t="s">
        <v>6</v>
      </c>
      <c r="I2003">
        <f>표3[[#Totals],[공격성공횟수]]/J2002</f>
        <v>0.20262708370147847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2A1B1-8934-484F-91D8-0B16B3079070}">
  <dimension ref="A1:J2003"/>
  <sheetViews>
    <sheetView workbookViewId="0">
      <selection activeCell="H2000" sqref="H2:H2000"/>
    </sheetView>
  </sheetViews>
  <sheetFormatPr defaultRowHeight="17.399999999999999" x14ac:dyDescent="0.4"/>
  <sheetData>
    <row r="1" spans="1:8" x14ac:dyDescent="0.4">
      <c r="A1" s="9" t="s">
        <v>4</v>
      </c>
      <c r="B1" s="10" t="s">
        <v>30</v>
      </c>
      <c r="C1" s="10" t="s">
        <v>26</v>
      </c>
      <c r="D1" s="10" t="s">
        <v>22</v>
      </c>
      <c r="E1" s="10" t="s">
        <v>47</v>
      </c>
      <c r="F1" s="10" t="s">
        <v>24</v>
      </c>
      <c r="G1" s="10" t="s">
        <v>28</v>
      </c>
      <c r="H1" s="11" t="s">
        <v>20</v>
      </c>
    </row>
    <row r="2" spans="1:8" x14ac:dyDescent="0.4">
      <c r="A2">
        <v>1</v>
      </c>
      <c r="B2" t="s">
        <v>3</v>
      </c>
      <c r="C2">
        <v>0</v>
      </c>
      <c r="D2">
        <v>0</v>
      </c>
      <c r="E2">
        <v>19</v>
      </c>
      <c r="F2">
        <v>4</v>
      </c>
      <c r="G2">
        <v>1</v>
      </c>
      <c r="H2">
        <f>표4[[#This Row],[공격성공횟수]]/(표4[[#This Row],[공격실패횟수]]+표4[[#This Row],[공격성공횟수]])</f>
        <v>0</v>
      </c>
    </row>
    <row r="3" spans="1:8" hidden="1" x14ac:dyDescent="0.4">
      <c r="A3">
        <v>1</v>
      </c>
      <c r="B3" t="s">
        <v>2</v>
      </c>
      <c r="C3">
        <v>1</v>
      </c>
      <c r="D3">
        <v>4</v>
      </c>
      <c r="E3">
        <v>31</v>
      </c>
      <c r="F3">
        <v>0</v>
      </c>
      <c r="G3">
        <v>0</v>
      </c>
      <c r="H3">
        <f>표4[[#This Row],[공격성공횟수]]/(표4[[#This Row],[공격실패횟수]]+표4[[#This Row],[공격성공횟수]])</f>
        <v>0.11428571428571428</v>
      </c>
    </row>
    <row r="4" spans="1:8" x14ac:dyDescent="0.4">
      <c r="A4">
        <v>2</v>
      </c>
      <c r="B4" t="s">
        <v>3</v>
      </c>
      <c r="C4">
        <v>1</v>
      </c>
      <c r="D4">
        <v>4</v>
      </c>
      <c r="E4">
        <v>47</v>
      </c>
      <c r="F4">
        <v>1</v>
      </c>
      <c r="G4">
        <v>0</v>
      </c>
      <c r="H4">
        <f>표4[[#This Row],[공격성공횟수]]/(표4[[#This Row],[공격실패횟수]]+표4[[#This Row],[공격성공횟수]])</f>
        <v>7.8431372549019607E-2</v>
      </c>
    </row>
    <row r="5" spans="1:8" hidden="1" x14ac:dyDescent="0.4">
      <c r="A5">
        <v>2</v>
      </c>
      <c r="B5" t="s">
        <v>2</v>
      </c>
      <c r="C5">
        <v>0</v>
      </c>
      <c r="D5">
        <v>1</v>
      </c>
      <c r="E5">
        <v>58</v>
      </c>
      <c r="F5">
        <v>4</v>
      </c>
      <c r="G5">
        <v>1</v>
      </c>
      <c r="H5">
        <f>표4[[#This Row],[공격성공횟수]]/(표4[[#This Row],[공격실패횟수]]+표4[[#This Row],[공격성공횟수]])</f>
        <v>1.6949152542372881E-2</v>
      </c>
    </row>
    <row r="6" spans="1:8" x14ac:dyDescent="0.4">
      <c r="A6">
        <v>3</v>
      </c>
      <c r="B6" t="s">
        <v>3</v>
      </c>
      <c r="C6">
        <v>0</v>
      </c>
      <c r="D6">
        <v>0</v>
      </c>
      <c r="E6">
        <v>2</v>
      </c>
      <c r="F6">
        <v>4</v>
      </c>
      <c r="G6">
        <v>1</v>
      </c>
      <c r="H6">
        <f>표4[[#This Row],[공격성공횟수]]/(표4[[#This Row],[공격실패횟수]]+표4[[#This Row],[공격성공횟수]])</f>
        <v>0</v>
      </c>
    </row>
    <row r="7" spans="1:8" hidden="1" x14ac:dyDescent="0.4">
      <c r="A7">
        <v>3</v>
      </c>
      <c r="B7" t="s">
        <v>2</v>
      </c>
      <c r="C7">
        <v>1</v>
      </c>
      <c r="D7">
        <v>4</v>
      </c>
      <c r="E7">
        <v>4</v>
      </c>
      <c r="F7">
        <v>0</v>
      </c>
      <c r="G7">
        <v>0</v>
      </c>
      <c r="H7">
        <f>표4[[#This Row],[공격성공횟수]]/(표4[[#This Row],[공격실패횟수]]+표4[[#This Row],[공격성공횟수]])</f>
        <v>0.5</v>
      </c>
    </row>
    <row r="8" spans="1:8" x14ac:dyDescent="0.4">
      <c r="A8">
        <v>4</v>
      </c>
      <c r="B8" t="s">
        <v>3</v>
      </c>
      <c r="C8">
        <v>1</v>
      </c>
      <c r="D8">
        <v>4</v>
      </c>
      <c r="E8">
        <v>11</v>
      </c>
      <c r="F8">
        <v>1</v>
      </c>
      <c r="G8">
        <v>0</v>
      </c>
      <c r="H8">
        <f>표4[[#This Row],[공격성공횟수]]/(표4[[#This Row],[공격실패횟수]]+표4[[#This Row],[공격성공횟수]])</f>
        <v>0.26666666666666666</v>
      </c>
    </row>
    <row r="9" spans="1:8" hidden="1" x14ac:dyDescent="0.4">
      <c r="A9">
        <v>4</v>
      </c>
      <c r="B9" t="s">
        <v>2</v>
      </c>
      <c r="C9">
        <v>0</v>
      </c>
      <c r="D9">
        <v>1</v>
      </c>
      <c r="E9">
        <v>14</v>
      </c>
      <c r="F9">
        <v>4</v>
      </c>
      <c r="G9">
        <v>1</v>
      </c>
      <c r="H9">
        <f>표4[[#This Row],[공격성공횟수]]/(표4[[#This Row],[공격실패횟수]]+표4[[#This Row],[공격성공횟수]])</f>
        <v>6.6666666666666666E-2</v>
      </c>
    </row>
    <row r="10" spans="1:8" x14ac:dyDescent="0.4">
      <c r="A10">
        <v>5</v>
      </c>
      <c r="B10" t="s">
        <v>3</v>
      </c>
      <c r="C10">
        <v>0</v>
      </c>
      <c r="D10">
        <v>1</v>
      </c>
      <c r="E10">
        <v>13</v>
      </c>
      <c r="F10">
        <v>4</v>
      </c>
      <c r="G10">
        <v>1</v>
      </c>
      <c r="H10">
        <f>표4[[#This Row],[공격성공횟수]]/(표4[[#This Row],[공격실패횟수]]+표4[[#This Row],[공격성공횟수]])</f>
        <v>7.1428571428571425E-2</v>
      </c>
    </row>
    <row r="11" spans="1:8" hidden="1" x14ac:dyDescent="0.4">
      <c r="A11">
        <v>5</v>
      </c>
      <c r="B11" t="s">
        <v>2</v>
      </c>
      <c r="C11">
        <v>1</v>
      </c>
      <c r="D11">
        <v>4</v>
      </c>
      <c r="E11">
        <v>29</v>
      </c>
      <c r="F11">
        <v>1</v>
      </c>
      <c r="G11">
        <v>0</v>
      </c>
      <c r="H11">
        <f>표4[[#This Row],[공격성공횟수]]/(표4[[#This Row],[공격실패횟수]]+표4[[#This Row],[공격성공횟수]])</f>
        <v>0.12121212121212122</v>
      </c>
    </row>
    <row r="12" spans="1:8" x14ac:dyDescent="0.4">
      <c r="A12">
        <v>6</v>
      </c>
      <c r="B12" t="s">
        <v>3</v>
      </c>
      <c r="C12">
        <v>0</v>
      </c>
      <c r="D12">
        <v>1</v>
      </c>
      <c r="E12">
        <v>7</v>
      </c>
      <c r="F12">
        <v>4</v>
      </c>
      <c r="G12">
        <v>1</v>
      </c>
      <c r="H12">
        <f>표4[[#This Row],[공격성공횟수]]/(표4[[#This Row],[공격실패횟수]]+표4[[#This Row],[공격성공횟수]])</f>
        <v>0.125</v>
      </c>
    </row>
    <row r="13" spans="1:8" hidden="1" x14ac:dyDescent="0.4">
      <c r="A13">
        <v>6</v>
      </c>
      <c r="B13" t="s">
        <v>2</v>
      </c>
      <c r="C13">
        <v>1</v>
      </c>
      <c r="D13">
        <v>4</v>
      </c>
      <c r="E13">
        <v>12</v>
      </c>
      <c r="F13">
        <v>1</v>
      </c>
      <c r="G13">
        <v>0</v>
      </c>
      <c r="H13">
        <f>표4[[#This Row],[공격성공횟수]]/(표4[[#This Row],[공격실패횟수]]+표4[[#This Row],[공격성공횟수]])</f>
        <v>0.25</v>
      </c>
    </row>
    <row r="14" spans="1:8" x14ac:dyDescent="0.4">
      <c r="A14">
        <v>7</v>
      </c>
      <c r="B14" t="s">
        <v>3</v>
      </c>
      <c r="C14">
        <v>0</v>
      </c>
      <c r="D14">
        <v>1</v>
      </c>
      <c r="E14">
        <v>66</v>
      </c>
      <c r="F14">
        <v>4</v>
      </c>
      <c r="G14">
        <v>1</v>
      </c>
      <c r="H14">
        <f>표4[[#This Row],[공격성공횟수]]/(표4[[#This Row],[공격실패횟수]]+표4[[#This Row],[공격성공횟수]])</f>
        <v>1.4925373134328358E-2</v>
      </c>
    </row>
    <row r="15" spans="1:8" hidden="1" x14ac:dyDescent="0.4">
      <c r="A15">
        <v>7</v>
      </c>
      <c r="B15" t="s">
        <v>2</v>
      </c>
      <c r="C15">
        <v>1</v>
      </c>
      <c r="D15">
        <v>4</v>
      </c>
      <c r="E15">
        <v>75</v>
      </c>
      <c r="F15">
        <v>1</v>
      </c>
      <c r="G15">
        <v>0</v>
      </c>
      <c r="H15">
        <f>표4[[#This Row],[공격성공횟수]]/(표4[[#This Row],[공격실패횟수]]+표4[[#This Row],[공격성공횟수]])</f>
        <v>5.0632911392405063E-2</v>
      </c>
    </row>
    <row r="16" spans="1:8" x14ac:dyDescent="0.4">
      <c r="A16">
        <v>8</v>
      </c>
      <c r="B16" t="s">
        <v>3</v>
      </c>
      <c r="C16">
        <v>0</v>
      </c>
      <c r="D16">
        <v>1</v>
      </c>
      <c r="E16">
        <v>8</v>
      </c>
      <c r="F16">
        <v>4</v>
      </c>
      <c r="G16">
        <v>1</v>
      </c>
      <c r="H16">
        <f>표4[[#This Row],[공격성공횟수]]/(표4[[#This Row],[공격실패횟수]]+표4[[#This Row],[공격성공횟수]])</f>
        <v>0.1111111111111111</v>
      </c>
    </row>
    <row r="17" spans="1:8" hidden="1" x14ac:dyDescent="0.4">
      <c r="A17">
        <v>8</v>
      </c>
      <c r="B17" t="s">
        <v>2</v>
      </c>
      <c r="C17">
        <v>1</v>
      </c>
      <c r="D17">
        <v>4</v>
      </c>
      <c r="E17">
        <v>5</v>
      </c>
      <c r="F17">
        <v>1</v>
      </c>
      <c r="G17">
        <v>0</v>
      </c>
      <c r="H17">
        <f>표4[[#This Row],[공격성공횟수]]/(표4[[#This Row],[공격실패횟수]]+표4[[#This Row],[공격성공횟수]])</f>
        <v>0.44444444444444442</v>
      </c>
    </row>
    <row r="18" spans="1:8" x14ac:dyDescent="0.4">
      <c r="A18">
        <v>9</v>
      </c>
      <c r="B18" t="s">
        <v>3</v>
      </c>
      <c r="C18">
        <v>1</v>
      </c>
      <c r="D18">
        <v>4</v>
      </c>
      <c r="E18">
        <v>9</v>
      </c>
      <c r="F18">
        <v>2</v>
      </c>
      <c r="G18">
        <v>0</v>
      </c>
      <c r="H18">
        <f>표4[[#This Row],[공격성공횟수]]/(표4[[#This Row],[공격실패횟수]]+표4[[#This Row],[공격성공횟수]])</f>
        <v>0.30769230769230771</v>
      </c>
    </row>
    <row r="19" spans="1:8" hidden="1" x14ac:dyDescent="0.4">
      <c r="A19">
        <v>9</v>
      </c>
      <c r="B19" t="s">
        <v>2</v>
      </c>
      <c r="C19">
        <v>0</v>
      </c>
      <c r="D19">
        <v>2</v>
      </c>
      <c r="E19">
        <v>10</v>
      </c>
      <c r="F19">
        <v>4</v>
      </c>
      <c r="G19">
        <v>1</v>
      </c>
      <c r="H19">
        <f>표4[[#This Row],[공격성공횟수]]/(표4[[#This Row],[공격실패횟수]]+표4[[#This Row],[공격성공횟수]])</f>
        <v>0.16666666666666666</v>
      </c>
    </row>
    <row r="20" spans="1:8" x14ac:dyDescent="0.4">
      <c r="A20">
        <v>10</v>
      </c>
      <c r="B20" t="s">
        <v>3</v>
      </c>
      <c r="C20">
        <v>1</v>
      </c>
      <c r="D20">
        <v>4</v>
      </c>
      <c r="E20">
        <v>13</v>
      </c>
      <c r="F20">
        <v>2</v>
      </c>
      <c r="G20">
        <v>0</v>
      </c>
      <c r="H20">
        <f>표4[[#This Row],[공격성공횟수]]/(표4[[#This Row],[공격실패횟수]]+표4[[#This Row],[공격성공횟수]])</f>
        <v>0.23529411764705882</v>
      </c>
    </row>
    <row r="21" spans="1:8" hidden="1" x14ac:dyDescent="0.4">
      <c r="A21">
        <v>10</v>
      </c>
      <c r="B21" t="s">
        <v>2</v>
      </c>
      <c r="C21">
        <v>0</v>
      </c>
      <c r="D21">
        <v>2</v>
      </c>
      <c r="E21">
        <v>15</v>
      </c>
      <c r="F21">
        <v>4</v>
      </c>
      <c r="G21">
        <v>1</v>
      </c>
      <c r="H21">
        <f>표4[[#This Row],[공격성공횟수]]/(표4[[#This Row],[공격실패횟수]]+표4[[#This Row],[공격성공횟수]])</f>
        <v>0.11764705882352941</v>
      </c>
    </row>
    <row r="22" spans="1:8" x14ac:dyDescent="0.4">
      <c r="A22">
        <v>11</v>
      </c>
      <c r="B22" t="s">
        <v>3</v>
      </c>
      <c r="C22">
        <v>1</v>
      </c>
      <c r="D22">
        <v>4</v>
      </c>
      <c r="E22">
        <v>5</v>
      </c>
      <c r="F22">
        <v>2</v>
      </c>
      <c r="G22">
        <v>0</v>
      </c>
      <c r="H22">
        <f>표4[[#This Row],[공격성공횟수]]/(표4[[#This Row],[공격실패횟수]]+표4[[#This Row],[공격성공횟수]])</f>
        <v>0.44444444444444442</v>
      </c>
    </row>
    <row r="23" spans="1:8" hidden="1" x14ac:dyDescent="0.4">
      <c r="A23">
        <v>11</v>
      </c>
      <c r="B23" t="s">
        <v>2</v>
      </c>
      <c r="C23">
        <v>0</v>
      </c>
      <c r="D23">
        <v>2</v>
      </c>
      <c r="E23">
        <v>6</v>
      </c>
      <c r="F23">
        <v>4</v>
      </c>
      <c r="G23">
        <v>1</v>
      </c>
      <c r="H23">
        <f>표4[[#This Row],[공격성공횟수]]/(표4[[#This Row],[공격실패횟수]]+표4[[#This Row],[공격성공횟수]])</f>
        <v>0.25</v>
      </c>
    </row>
    <row r="24" spans="1:8" x14ac:dyDescent="0.4">
      <c r="A24">
        <v>12</v>
      </c>
      <c r="B24" t="s">
        <v>3</v>
      </c>
      <c r="C24">
        <v>1</v>
      </c>
      <c r="D24">
        <v>4</v>
      </c>
      <c r="E24">
        <v>34</v>
      </c>
      <c r="F24">
        <v>1</v>
      </c>
      <c r="G24">
        <v>0</v>
      </c>
      <c r="H24">
        <f>표4[[#This Row],[공격성공횟수]]/(표4[[#This Row],[공격실패횟수]]+표4[[#This Row],[공격성공횟수]])</f>
        <v>0.10526315789473684</v>
      </c>
    </row>
    <row r="25" spans="1:8" hidden="1" x14ac:dyDescent="0.4">
      <c r="A25">
        <v>12</v>
      </c>
      <c r="B25" t="s">
        <v>2</v>
      </c>
      <c r="C25">
        <v>0</v>
      </c>
      <c r="D25">
        <v>1</v>
      </c>
      <c r="E25">
        <v>44</v>
      </c>
      <c r="F25">
        <v>4</v>
      </c>
      <c r="G25">
        <v>1</v>
      </c>
      <c r="H25">
        <f>표4[[#This Row],[공격성공횟수]]/(표4[[#This Row],[공격실패횟수]]+표4[[#This Row],[공격성공횟수]])</f>
        <v>2.2222222222222223E-2</v>
      </c>
    </row>
    <row r="26" spans="1:8" x14ac:dyDescent="0.4">
      <c r="A26">
        <v>13</v>
      </c>
      <c r="B26" t="s">
        <v>3</v>
      </c>
      <c r="C26">
        <v>1</v>
      </c>
      <c r="D26">
        <v>4</v>
      </c>
      <c r="E26">
        <v>6</v>
      </c>
      <c r="F26">
        <v>2</v>
      </c>
      <c r="G26">
        <v>0</v>
      </c>
      <c r="H26">
        <f>표4[[#This Row],[공격성공횟수]]/(표4[[#This Row],[공격실패횟수]]+표4[[#This Row],[공격성공횟수]])</f>
        <v>0.4</v>
      </c>
    </row>
    <row r="27" spans="1:8" hidden="1" x14ac:dyDescent="0.4">
      <c r="A27">
        <v>13</v>
      </c>
      <c r="B27" t="s">
        <v>2</v>
      </c>
      <c r="C27">
        <v>0</v>
      </c>
      <c r="D27">
        <v>2</v>
      </c>
      <c r="E27">
        <v>8</v>
      </c>
      <c r="F27">
        <v>4</v>
      </c>
      <c r="G27">
        <v>1</v>
      </c>
      <c r="H27">
        <f>표4[[#This Row],[공격성공횟수]]/(표4[[#This Row],[공격실패횟수]]+표4[[#This Row],[공격성공횟수]])</f>
        <v>0.2</v>
      </c>
    </row>
    <row r="28" spans="1:8" x14ac:dyDescent="0.4">
      <c r="A28">
        <v>14</v>
      </c>
      <c r="B28" t="s">
        <v>3</v>
      </c>
      <c r="C28">
        <v>0</v>
      </c>
      <c r="D28">
        <v>0</v>
      </c>
      <c r="E28">
        <v>5</v>
      </c>
      <c r="F28">
        <v>4</v>
      </c>
      <c r="G28">
        <v>1</v>
      </c>
      <c r="H28">
        <f>표4[[#This Row],[공격성공횟수]]/(표4[[#This Row],[공격실패횟수]]+표4[[#This Row],[공격성공횟수]])</f>
        <v>0</v>
      </c>
    </row>
    <row r="29" spans="1:8" hidden="1" x14ac:dyDescent="0.4">
      <c r="A29">
        <v>14</v>
      </c>
      <c r="B29" t="s">
        <v>2</v>
      </c>
      <c r="C29">
        <v>1</v>
      </c>
      <c r="D29">
        <v>4</v>
      </c>
      <c r="E29">
        <v>11</v>
      </c>
      <c r="F29">
        <v>0</v>
      </c>
      <c r="G29">
        <v>0</v>
      </c>
      <c r="H29">
        <f>표4[[#This Row],[공격성공횟수]]/(표4[[#This Row],[공격실패횟수]]+표4[[#This Row],[공격성공횟수]])</f>
        <v>0.26666666666666666</v>
      </c>
    </row>
    <row r="30" spans="1:8" x14ac:dyDescent="0.4">
      <c r="A30">
        <v>15</v>
      </c>
      <c r="B30" t="s">
        <v>3</v>
      </c>
      <c r="C30">
        <v>0</v>
      </c>
      <c r="D30">
        <v>1</v>
      </c>
      <c r="E30">
        <v>8</v>
      </c>
      <c r="F30">
        <v>4</v>
      </c>
      <c r="G30">
        <v>1</v>
      </c>
      <c r="H30">
        <f>표4[[#This Row],[공격성공횟수]]/(표4[[#This Row],[공격실패횟수]]+표4[[#This Row],[공격성공횟수]])</f>
        <v>0.1111111111111111</v>
      </c>
    </row>
    <row r="31" spans="1:8" hidden="1" x14ac:dyDescent="0.4">
      <c r="A31">
        <v>15</v>
      </c>
      <c r="B31" t="s">
        <v>2</v>
      </c>
      <c r="C31">
        <v>1</v>
      </c>
      <c r="D31">
        <v>4</v>
      </c>
      <c r="E31">
        <v>5</v>
      </c>
      <c r="F31">
        <v>1</v>
      </c>
      <c r="G31">
        <v>0</v>
      </c>
      <c r="H31">
        <f>표4[[#This Row],[공격성공횟수]]/(표4[[#This Row],[공격실패횟수]]+표4[[#This Row],[공격성공횟수]])</f>
        <v>0.44444444444444442</v>
      </c>
    </row>
    <row r="32" spans="1:8" x14ac:dyDescent="0.4">
      <c r="A32">
        <v>16</v>
      </c>
      <c r="B32" t="s">
        <v>3</v>
      </c>
      <c r="C32">
        <v>0</v>
      </c>
      <c r="D32">
        <v>2</v>
      </c>
      <c r="E32">
        <v>48</v>
      </c>
      <c r="F32">
        <v>4</v>
      </c>
      <c r="G32">
        <v>1</v>
      </c>
      <c r="H32">
        <f>표4[[#This Row],[공격성공횟수]]/(표4[[#This Row],[공격실패횟수]]+표4[[#This Row],[공격성공횟수]])</f>
        <v>0.04</v>
      </c>
    </row>
    <row r="33" spans="1:8" hidden="1" x14ac:dyDescent="0.4">
      <c r="A33">
        <v>16</v>
      </c>
      <c r="B33" t="s">
        <v>2</v>
      </c>
      <c r="C33">
        <v>1</v>
      </c>
      <c r="D33">
        <v>4</v>
      </c>
      <c r="E33">
        <v>46</v>
      </c>
      <c r="F33">
        <v>2</v>
      </c>
      <c r="G33">
        <v>0</v>
      </c>
      <c r="H33">
        <f>표4[[#This Row],[공격성공횟수]]/(표4[[#This Row],[공격실패횟수]]+표4[[#This Row],[공격성공횟수]])</f>
        <v>0.08</v>
      </c>
    </row>
    <row r="34" spans="1:8" x14ac:dyDescent="0.4">
      <c r="A34">
        <v>17</v>
      </c>
      <c r="B34" t="s">
        <v>3</v>
      </c>
      <c r="C34">
        <v>1</v>
      </c>
      <c r="D34">
        <v>4</v>
      </c>
      <c r="E34">
        <v>13</v>
      </c>
      <c r="F34">
        <v>3</v>
      </c>
      <c r="G34">
        <v>0</v>
      </c>
      <c r="H34">
        <f>표4[[#This Row],[공격성공횟수]]/(표4[[#This Row],[공격실패횟수]]+표4[[#This Row],[공격성공횟수]])</f>
        <v>0.23529411764705882</v>
      </c>
    </row>
    <row r="35" spans="1:8" hidden="1" x14ac:dyDescent="0.4">
      <c r="A35">
        <v>17</v>
      </c>
      <c r="B35" t="s">
        <v>2</v>
      </c>
      <c r="C35">
        <v>0</v>
      </c>
      <c r="D35">
        <v>3</v>
      </c>
      <c r="E35">
        <v>27</v>
      </c>
      <c r="F35">
        <v>4</v>
      </c>
      <c r="G35">
        <v>1</v>
      </c>
      <c r="H35">
        <f>표4[[#This Row],[공격성공횟수]]/(표4[[#This Row],[공격실패횟수]]+표4[[#This Row],[공격성공횟수]])</f>
        <v>0.1</v>
      </c>
    </row>
    <row r="36" spans="1:8" x14ac:dyDescent="0.4">
      <c r="A36">
        <v>18</v>
      </c>
      <c r="B36" t="s">
        <v>3</v>
      </c>
      <c r="C36">
        <v>1</v>
      </c>
      <c r="D36">
        <v>4</v>
      </c>
      <c r="E36">
        <v>14</v>
      </c>
      <c r="F36">
        <v>2</v>
      </c>
      <c r="G36">
        <v>0</v>
      </c>
      <c r="H36">
        <f>표4[[#This Row],[공격성공횟수]]/(표4[[#This Row],[공격실패횟수]]+표4[[#This Row],[공격성공횟수]])</f>
        <v>0.22222222222222221</v>
      </c>
    </row>
    <row r="37" spans="1:8" hidden="1" x14ac:dyDescent="0.4">
      <c r="A37">
        <v>18</v>
      </c>
      <c r="B37" t="s">
        <v>2</v>
      </c>
      <c r="C37">
        <v>0</v>
      </c>
      <c r="D37">
        <v>2</v>
      </c>
      <c r="E37">
        <v>15</v>
      </c>
      <c r="F37">
        <v>4</v>
      </c>
      <c r="G37">
        <v>1</v>
      </c>
      <c r="H37">
        <f>표4[[#This Row],[공격성공횟수]]/(표4[[#This Row],[공격실패횟수]]+표4[[#This Row],[공격성공횟수]])</f>
        <v>0.11764705882352941</v>
      </c>
    </row>
    <row r="38" spans="1:8" x14ac:dyDescent="0.4">
      <c r="A38">
        <v>19</v>
      </c>
      <c r="B38" t="s">
        <v>3</v>
      </c>
      <c r="C38">
        <v>1</v>
      </c>
      <c r="D38">
        <v>4</v>
      </c>
      <c r="E38">
        <v>37</v>
      </c>
      <c r="F38">
        <v>0</v>
      </c>
      <c r="G38">
        <v>0</v>
      </c>
      <c r="H38">
        <f>표4[[#This Row],[공격성공횟수]]/(표4[[#This Row],[공격실패횟수]]+표4[[#This Row],[공격성공횟수]])</f>
        <v>9.7560975609756101E-2</v>
      </c>
    </row>
    <row r="39" spans="1:8" hidden="1" x14ac:dyDescent="0.4">
      <c r="A39">
        <v>19</v>
      </c>
      <c r="B39" t="s">
        <v>2</v>
      </c>
      <c r="C39">
        <v>0</v>
      </c>
      <c r="D39">
        <v>0</v>
      </c>
      <c r="E39">
        <v>40</v>
      </c>
      <c r="F39">
        <v>4</v>
      </c>
      <c r="G39">
        <v>1</v>
      </c>
      <c r="H39">
        <f>표4[[#This Row],[공격성공횟수]]/(표4[[#This Row],[공격실패횟수]]+표4[[#This Row],[공격성공횟수]])</f>
        <v>0</v>
      </c>
    </row>
    <row r="40" spans="1:8" x14ac:dyDescent="0.4">
      <c r="A40">
        <v>20</v>
      </c>
      <c r="B40" t="s">
        <v>3</v>
      </c>
      <c r="C40">
        <v>1</v>
      </c>
      <c r="D40">
        <v>4</v>
      </c>
      <c r="E40">
        <v>17</v>
      </c>
      <c r="F40">
        <v>2</v>
      </c>
      <c r="G40">
        <v>0</v>
      </c>
      <c r="H40">
        <f>표4[[#This Row],[공격성공횟수]]/(표4[[#This Row],[공격실패횟수]]+표4[[#This Row],[공격성공횟수]])</f>
        <v>0.19047619047619047</v>
      </c>
    </row>
    <row r="41" spans="1:8" hidden="1" x14ac:dyDescent="0.4">
      <c r="A41">
        <v>20</v>
      </c>
      <c r="B41" t="s">
        <v>2</v>
      </c>
      <c r="C41">
        <v>0</v>
      </c>
      <c r="D41">
        <v>2</v>
      </c>
      <c r="E41">
        <v>19</v>
      </c>
      <c r="F41">
        <v>4</v>
      </c>
      <c r="G41">
        <v>1</v>
      </c>
      <c r="H41">
        <f>표4[[#This Row],[공격성공횟수]]/(표4[[#This Row],[공격실패횟수]]+표4[[#This Row],[공격성공횟수]])</f>
        <v>9.5238095238095233E-2</v>
      </c>
    </row>
    <row r="42" spans="1:8" x14ac:dyDescent="0.4">
      <c r="A42">
        <v>21</v>
      </c>
      <c r="B42" t="s">
        <v>3</v>
      </c>
      <c r="C42">
        <v>1</v>
      </c>
      <c r="D42">
        <v>4</v>
      </c>
      <c r="E42">
        <v>5</v>
      </c>
      <c r="F42">
        <v>2</v>
      </c>
      <c r="G42">
        <v>0</v>
      </c>
      <c r="H42">
        <f>표4[[#This Row],[공격성공횟수]]/(표4[[#This Row],[공격실패횟수]]+표4[[#This Row],[공격성공횟수]])</f>
        <v>0.44444444444444442</v>
      </c>
    </row>
    <row r="43" spans="1:8" hidden="1" x14ac:dyDescent="0.4">
      <c r="A43">
        <v>21</v>
      </c>
      <c r="B43" t="s">
        <v>2</v>
      </c>
      <c r="C43">
        <v>0</v>
      </c>
      <c r="D43">
        <v>2</v>
      </c>
      <c r="E43">
        <v>6</v>
      </c>
      <c r="F43">
        <v>4</v>
      </c>
      <c r="G43">
        <v>1</v>
      </c>
      <c r="H43">
        <f>표4[[#This Row],[공격성공횟수]]/(표4[[#This Row],[공격실패횟수]]+표4[[#This Row],[공격성공횟수]])</f>
        <v>0.25</v>
      </c>
    </row>
    <row r="44" spans="1:8" x14ac:dyDescent="0.4">
      <c r="A44">
        <v>22</v>
      </c>
      <c r="B44" t="s">
        <v>3</v>
      </c>
      <c r="C44">
        <v>0</v>
      </c>
      <c r="D44">
        <v>1</v>
      </c>
      <c r="E44">
        <v>0</v>
      </c>
      <c r="F44">
        <v>4</v>
      </c>
      <c r="G44">
        <v>1</v>
      </c>
      <c r="H44">
        <f>표4[[#This Row],[공격성공횟수]]/(표4[[#This Row],[공격실패횟수]]+표4[[#This Row],[공격성공횟수]])</f>
        <v>1</v>
      </c>
    </row>
    <row r="45" spans="1:8" hidden="1" x14ac:dyDescent="0.4">
      <c r="A45">
        <v>22</v>
      </c>
      <c r="B45" t="s">
        <v>2</v>
      </c>
      <c r="C45">
        <v>1</v>
      </c>
      <c r="D45">
        <v>4</v>
      </c>
      <c r="E45">
        <v>8</v>
      </c>
      <c r="F45">
        <v>1</v>
      </c>
      <c r="G45">
        <v>0</v>
      </c>
      <c r="H45">
        <f>표4[[#This Row],[공격성공횟수]]/(표4[[#This Row],[공격실패횟수]]+표4[[#This Row],[공격성공횟수]])</f>
        <v>0.33333333333333331</v>
      </c>
    </row>
    <row r="46" spans="1:8" x14ac:dyDescent="0.4">
      <c r="A46">
        <v>23</v>
      </c>
      <c r="B46" t="s">
        <v>3</v>
      </c>
      <c r="C46">
        <v>1</v>
      </c>
      <c r="D46">
        <v>4</v>
      </c>
      <c r="E46">
        <v>57</v>
      </c>
      <c r="F46">
        <v>1</v>
      </c>
      <c r="G46">
        <v>0</v>
      </c>
      <c r="H46">
        <f>표4[[#This Row],[공격성공횟수]]/(표4[[#This Row],[공격실패횟수]]+표4[[#This Row],[공격성공횟수]])</f>
        <v>6.5573770491803282E-2</v>
      </c>
    </row>
    <row r="47" spans="1:8" hidden="1" x14ac:dyDescent="0.4">
      <c r="A47">
        <v>23</v>
      </c>
      <c r="B47" t="s">
        <v>2</v>
      </c>
      <c r="C47">
        <v>0</v>
      </c>
      <c r="D47">
        <v>1</v>
      </c>
      <c r="E47">
        <v>75</v>
      </c>
      <c r="F47">
        <v>4</v>
      </c>
      <c r="G47">
        <v>1</v>
      </c>
      <c r="H47">
        <f>표4[[#This Row],[공격성공횟수]]/(표4[[#This Row],[공격실패횟수]]+표4[[#This Row],[공격성공횟수]])</f>
        <v>1.3157894736842105E-2</v>
      </c>
    </row>
    <row r="48" spans="1:8" x14ac:dyDescent="0.4">
      <c r="A48">
        <v>24</v>
      </c>
      <c r="B48" t="s">
        <v>3</v>
      </c>
      <c r="C48">
        <v>0</v>
      </c>
      <c r="D48">
        <v>2</v>
      </c>
      <c r="E48">
        <v>9</v>
      </c>
      <c r="F48">
        <v>4</v>
      </c>
      <c r="G48">
        <v>1</v>
      </c>
      <c r="H48">
        <f>표4[[#This Row],[공격성공횟수]]/(표4[[#This Row],[공격실패횟수]]+표4[[#This Row],[공격성공횟수]])</f>
        <v>0.18181818181818182</v>
      </c>
    </row>
    <row r="49" spans="1:8" hidden="1" x14ac:dyDescent="0.4">
      <c r="A49">
        <v>24</v>
      </c>
      <c r="B49" t="s">
        <v>2</v>
      </c>
      <c r="C49">
        <v>1</v>
      </c>
      <c r="D49">
        <v>4</v>
      </c>
      <c r="E49">
        <v>20</v>
      </c>
      <c r="F49">
        <v>2</v>
      </c>
      <c r="G49">
        <v>0</v>
      </c>
      <c r="H49">
        <f>표4[[#This Row],[공격성공횟수]]/(표4[[#This Row],[공격실패횟수]]+표4[[#This Row],[공격성공횟수]])</f>
        <v>0.16666666666666666</v>
      </c>
    </row>
    <row r="50" spans="1:8" x14ac:dyDescent="0.4">
      <c r="A50">
        <v>25</v>
      </c>
      <c r="B50" t="s">
        <v>3</v>
      </c>
      <c r="C50">
        <v>1</v>
      </c>
      <c r="D50">
        <v>4</v>
      </c>
      <c r="E50">
        <v>13</v>
      </c>
      <c r="F50">
        <v>1</v>
      </c>
      <c r="G50">
        <v>0</v>
      </c>
      <c r="H50">
        <f>표4[[#This Row],[공격성공횟수]]/(표4[[#This Row],[공격실패횟수]]+표4[[#This Row],[공격성공횟수]])</f>
        <v>0.23529411764705882</v>
      </c>
    </row>
    <row r="51" spans="1:8" hidden="1" x14ac:dyDescent="0.4">
      <c r="A51">
        <v>25</v>
      </c>
      <c r="B51" t="s">
        <v>2</v>
      </c>
      <c r="C51">
        <v>0</v>
      </c>
      <c r="D51">
        <v>1</v>
      </c>
      <c r="E51">
        <v>14</v>
      </c>
      <c r="F51">
        <v>4</v>
      </c>
      <c r="G51">
        <v>1</v>
      </c>
      <c r="H51">
        <f>표4[[#This Row],[공격성공횟수]]/(표4[[#This Row],[공격실패횟수]]+표4[[#This Row],[공격성공횟수]])</f>
        <v>6.6666666666666666E-2</v>
      </c>
    </row>
    <row r="52" spans="1:8" x14ac:dyDescent="0.4">
      <c r="A52">
        <v>26</v>
      </c>
      <c r="B52" t="s">
        <v>3</v>
      </c>
      <c r="C52">
        <v>1</v>
      </c>
      <c r="D52">
        <v>4</v>
      </c>
      <c r="E52">
        <v>42</v>
      </c>
      <c r="F52">
        <v>2</v>
      </c>
      <c r="G52">
        <v>0</v>
      </c>
      <c r="H52">
        <f>표4[[#This Row],[공격성공횟수]]/(표4[[#This Row],[공격실패횟수]]+표4[[#This Row],[공격성공횟수]])</f>
        <v>8.6956521739130432E-2</v>
      </c>
    </row>
    <row r="53" spans="1:8" hidden="1" x14ac:dyDescent="0.4">
      <c r="A53">
        <v>26</v>
      </c>
      <c r="B53" t="s">
        <v>2</v>
      </c>
      <c r="C53">
        <v>0</v>
      </c>
      <c r="D53">
        <v>2</v>
      </c>
      <c r="E53">
        <v>48</v>
      </c>
      <c r="F53">
        <v>4</v>
      </c>
      <c r="G53">
        <v>1</v>
      </c>
      <c r="H53">
        <f>표4[[#This Row],[공격성공횟수]]/(표4[[#This Row],[공격실패횟수]]+표4[[#This Row],[공격성공횟수]])</f>
        <v>0.04</v>
      </c>
    </row>
    <row r="54" spans="1:8" x14ac:dyDescent="0.4">
      <c r="A54">
        <v>27</v>
      </c>
      <c r="B54" t="s">
        <v>3</v>
      </c>
      <c r="C54">
        <v>1</v>
      </c>
      <c r="D54">
        <v>4</v>
      </c>
      <c r="E54">
        <v>11</v>
      </c>
      <c r="F54">
        <v>2</v>
      </c>
      <c r="G54">
        <v>0</v>
      </c>
      <c r="H54">
        <f>표4[[#This Row],[공격성공횟수]]/(표4[[#This Row],[공격실패횟수]]+표4[[#This Row],[공격성공횟수]])</f>
        <v>0.26666666666666666</v>
      </c>
    </row>
    <row r="55" spans="1:8" hidden="1" x14ac:dyDescent="0.4">
      <c r="A55">
        <v>27</v>
      </c>
      <c r="B55" t="s">
        <v>2</v>
      </c>
      <c r="C55">
        <v>0</v>
      </c>
      <c r="D55">
        <v>2</v>
      </c>
      <c r="E55">
        <v>12</v>
      </c>
      <c r="F55">
        <v>4</v>
      </c>
      <c r="G55">
        <v>1</v>
      </c>
      <c r="H55">
        <f>표4[[#This Row],[공격성공횟수]]/(표4[[#This Row],[공격실패횟수]]+표4[[#This Row],[공격성공횟수]])</f>
        <v>0.14285714285714285</v>
      </c>
    </row>
    <row r="56" spans="1:8" x14ac:dyDescent="0.4">
      <c r="A56">
        <v>28</v>
      </c>
      <c r="B56" t="s">
        <v>3</v>
      </c>
      <c r="C56">
        <v>0</v>
      </c>
      <c r="D56">
        <v>3</v>
      </c>
      <c r="E56">
        <v>10</v>
      </c>
      <c r="F56">
        <v>4</v>
      </c>
      <c r="G56">
        <v>1</v>
      </c>
      <c r="H56">
        <f>표4[[#This Row],[공격성공횟수]]/(표4[[#This Row],[공격실패횟수]]+표4[[#This Row],[공격성공횟수]])</f>
        <v>0.23076923076923078</v>
      </c>
    </row>
    <row r="57" spans="1:8" hidden="1" x14ac:dyDescent="0.4">
      <c r="A57">
        <v>28</v>
      </c>
      <c r="B57" t="s">
        <v>2</v>
      </c>
      <c r="C57">
        <v>1</v>
      </c>
      <c r="D57">
        <v>4</v>
      </c>
      <c r="E57">
        <v>10</v>
      </c>
      <c r="F57">
        <v>3</v>
      </c>
      <c r="G57">
        <v>0</v>
      </c>
      <c r="H57">
        <f>표4[[#This Row],[공격성공횟수]]/(표4[[#This Row],[공격실패횟수]]+표4[[#This Row],[공격성공횟수]])</f>
        <v>0.2857142857142857</v>
      </c>
    </row>
    <row r="58" spans="1:8" x14ac:dyDescent="0.4">
      <c r="A58">
        <v>29</v>
      </c>
      <c r="B58" t="s">
        <v>3</v>
      </c>
      <c r="C58">
        <v>0</v>
      </c>
      <c r="D58">
        <v>0</v>
      </c>
      <c r="E58">
        <v>9</v>
      </c>
      <c r="F58">
        <v>4</v>
      </c>
      <c r="G58">
        <v>1</v>
      </c>
      <c r="H58">
        <f>표4[[#This Row],[공격성공횟수]]/(표4[[#This Row],[공격실패횟수]]+표4[[#This Row],[공격성공횟수]])</f>
        <v>0</v>
      </c>
    </row>
    <row r="59" spans="1:8" hidden="1" x14ac:dyDescent="0.4">
      <c r="A59">
        <v>29</v>
      </c>
      <c r="B59" t="s">
        <v>2</v>
      </c>
      <c r="C59">
        <v>1</v>
      </c>
      <c r="D59">
        <v>4</v>
      </c>
      <c r="E59">
        <v>5</v>
      </c>
      <c r="F59">
        <v>0</v>
      </c>
      <c r="G59">
        <v>0</v>
      </c>
      <c r="H59">
        <f>표4[[#This Row],[공격성공횟수]]/(표4[[#This Row],[공격실패횟수]]+표4[[#This Row],[공격성공횟수]])</f>
        <v>0.44444444444444442</v>
      </c>
    </row>
    <row r="60" spans="1:8" x14ac:dyDescent="0.4">
      <c r="A60">
        <v>30</v>
      </c>
      <c r="B60" t="s">
        <v>3</v>
      </c>
      <c r="C60">
        <v>1</v>
      </c>
      <c r="D60">
        <v>4</v>
      </c>
      <c r="E60">
        <v>11</v>
      </c>
      <c r="F60">
        <v>3</v>
      </c>
      <c r="G60">
        <v>0</v>
      </c>
      <c r="H60">
        <f>표4[[#This Row],[공격성공횟수]]/(표4[[#This Row],[공격실패횟수]]+표4[[#This Row],[공격성공횟수]])</f>
        <v>0.26666666666666666</v>
      </c>
    </row>
    <row r="61" spans="1:8" hidden="1" x14ac:dyDescent="0.4">
      <c r="A61">
        <v>30</v>
      </c>
      <c r="B61" t="s">
        <v>2</v>
      </c>
      <c r="C61">
        <v>0</v>
      </c>
      <c r="D61">
        <v>3</v>
      </c>
      <c r="E61">
        <v>18</v>
      </c>
      <c r="F61">
        <v>4</v>
      </c>
      <c r="G61">
        <v>1</v>
      </c>
      <c r="H61">
        <f>표4[[#This Row],[공격성공횟수]]/(표4[[#This Row],[공격실패횟수]]+표4[[#This Row],[공격성공횟수]])</f>
        <v>0.14285714285714285</v>
      </c>
    </row>
    <row r="62" spans="1:8" x14ac:dyDescent="0.4">
      <c r="A62">
        <v>31</v>
      </c>
      <c r="B62" t="s">
        <v>3</v>
      </c>
      <c r="C62">
        <v>1</v>
      </c>
      <c r="D62">
        <v>4</v>
      </c>
      <c r="E62">
        <v>60</v>
      </c>
      <c r="F62">
        <v>2</v>
      </c>
      <c r="G62">
        <v>0</v>
      </c>
      <c r="H62">
        <f>표4[[#This Row],[공격성공횟수]]/(표4[[#This Row],[공격실패횟수]]+표4[[#This Row],[공격성공횟수]])</f>
        <v>6.25E-2</v>
      </c>
    </row>
    <row r="63" spans="1:8" hidden="1" x14ac:dyDescent="0.4">
      <c r="A63">
        <v>31</v>
      </c>
      <c r="B63" t="s">
        <v>2</v>
      </c>
      <c r="C63">
        <v>0</v>
      </c>
      <c r="D63">
        <v>2</v>
      </c>
      <c r="E63">
        <v>65</v>
      </c>
      <c r="F63">
        <v>4</v>
      </c>
      <c r="G63">
        <v>1</v>
      </c>
      <c r="H63">
        <f>표4[[#This Row],[공격성공횟수]]/(표4[[#This Row],[공격실패횟수]]+표4[[#This Row],[공격성공횟수]])</f>
        <v>2.9850746268656716E-2</v>
      </c>
    </row>
    <row r="64" spans="1:8" x14ac:dyDescent="0.4">
      <c r="A64">
        <v>32</v>
      </c>
      <c r="B64" t="s">
        <v>3</v>
      </c>
      <c r="C64">
        <v>0</v>
      </c>
      <c r="D64">
        <v>2</v>
      </c>
      <c r="E64">
        <v>4</v>
      </c>
      <c r="F64">
        <v>4</v>
      </c>
      <c r="G64">
        <v>1</v>
      </c>
      <c r="H64">
        <f>표4[[#This Row],[공격성공횟수]]/(표4[[#This Row],[공격실패횟수]]+표4[[#This Row],[공격성공횟수]])</f>
        <v>0.33333333333333331</v>
      </c>
    </row>
    <row r="65" spans="1:8" hidden="1" x14ac:dyDescent="0.4">
      <c r="A65">
        <v>32</v>
      </c>
      <c r="B65" t="s">
        <v>2</v>
      </c>
      <c r="C65">
        <v>1</v>
      </c>
      <c r="D65">
        <v>4</v>
      </c>
      <c r="E65">
        <v>3</v>
      </c>
      <c r="F65">
        <v>2</v>
      </c>
      <c r="G65">
        <v>0</v>
      </c>
      <c r="H65">
        <f>표4[[#This Row],[공격성공횟수]]/(표4[[#This Row],[공격실패횟수]]+표4[[#This Row],[공격성공횟수]])</f>
        <v>0.5714285714285714</v>
      </c>
    </row>
    <row r="66" spans="1:8" x14ac:dyDescent="0.4">
      <c r="A66">
        <v>33</v>
      </c>
      <c r="B66" t="s">
        <v>3</v>
      </c>
      <c r="C66">
        <v>1</v>
      </c>
      <c r="D66">
        <v>4</v>
      </c>
      <c r="E66">
        <v>12</v>
      </c>
      <c r="F66">
        <v>2</v>
      </c>
      <c r="G66">
        <v>0</v>
      </c>
      <c r="H66">
        <f>표4[[#This Row],[공격성공횟수]]/(표4[[#This Row],[공격실패횟수]]+표4[[#This Row],[공격성공횟수]])</f>
        <v>0.25</v>
      </c>
    </row>
    <row r="67" spans="1:8" hidden="1" x14ac:dyDescent="0.4">
      <c r="A67">
        <v>33</v>
      </c>
      <c r="B67" t="s">
        <v>2</v>
      </c>
      <c r="C67">
        <v>0</v>
      </c>
      <c r="D67">
        <v>2</v>
      </c>
      <c r="E67">
        <v>13</v>
      </c>
      <c r="F67">
        <v>4</v>
      </c>
      <c r="G67">
        <v>1</v>
      </c>
      <c r="H67">
        <f>표4[[#This Row],[공격성공횟수]]/(표4[[#This Row],[공격실패횟수]]+표4[[#This Row],[공격성공횟수]])</f>
        <v>0.13333333333333333</v>
      </c>
    </row>
    <row r="68" spans="1:8" x14ac:dyDescent="0.4">
      <c r="A68">
        <v>34</v>
      </c>
      <c r="B68" t="s">
        <v>3</v>
      </c>
      <c r="C68">
        <v>0</v>
      </c>
      <c r="D68">
        <v>1</v>
      </c>
      <c r="E68">
        <v>14</v>
      </c>
      <c r="F68">
        <v>4</v>
      </c>
      <c r="G68">
        <v>1</v>
      </c>
      <c r="H68">
        <f>표4[[#This Row],[공격성공횟수]]/(표4[[#This Row],[공격실패횟수]]+표4[[#This Row],[공격성공횟수]])</f>
        <v>6.6666666666666666E-2</v>
      </c>
    </row>
    <row r="69" spans="1:8" hidden="1" x14ac:dyDescent="0.4">
      <c r="A69">
        <v>34</v>
      </c>
      <c r="B69" t="s">
        <v>2</v>
      </c>
      <c r="C69">
        <v>1</v>
      </c>
      <c r="D69">
        <v>4</v>
      </c>
      <c r="E69">
        <v>20</v>
      </c>
      <c r="F69">
        <v>1</v>
      </c>
      <c r="G69">
        <v>0</v>
      </c>
      <c r="H69">
        <f>표4[[#This Row],[공격성공횟수]]/(표4[[#This Row],[공격실패횟수]]+표4[[#This Row],[공격성공횟수]])</f>
        <v>0.16666666666666666</v>
      </c>
    </row>
    <row r="70" spans="1:8" x14ac:dyDescent="0.4">
      <c r="A70">
        <v>35</v>
      </c>
      <c r="B70" t="s">
        <v>3</v>
      </c>
      <c r="C70">
        <v>0</v>
      </c>
      <c r="D70">
        <v>2</v>
      </c>
      <c r="E70">
        <v>13</v>
      </c>
      <c r="F70">
        <v>4</v>
      </c>
      <c r="G70">
        <v>1</v>
      </c>
      <c r="H70">
        <f>표4[[#This Row],[공격성공횟수]]/(표4[[#This Row],[공격실패횟수]]+표4[[#This Row],[공격성공횟수]])</f>
        <v>0.13333333333333333</v>
      </c>
    </row>
    <row r="71" spans="1:8" hidden="1" x14ac:dyDescent="0.4">
      <c r="A71">
        <v>35</v>
      </c>
      <c r="B71" t="s">
        <v>2</v>
      </c>
      <c r="C71">
        <v>1</v>
      </c>
      <c r="D71">
        <v>4</v>
      </c>
      <c r="E71">
        <v>35</v>
      </c>
      <c r="F71">
        <v>2</v>
      </c>
      <c r="G71">
        <v>0</v>
      </c>
      <c r="H71">
        <f>표4[[#This Row],[공격성공횟수]]/(표4[[#This Row],[공격실패횟수]]+표4[[#This Row],[공격성공횟수]])</f>
        <v>0.10256410256410256</v>
      </c>
    </row>
    <row r="72" spans="1:8" x14ac:dyDescent="0.4">
      <c r="A72">
        <v>36</v>
      </c>
      <c r="B72" t="s">
        <v>3</v>
      </c>
      <c r="C72">
        <v>1</v>
      </c>
      <c r="D72">
        <v>4</v>
      </c>
      <c r="E72">
        <v>6</v>
      </c>
      <c r="F72">
        <v>2</v>
      </c>
      <c r="G72">
        <v>0</v>
      </c>
      <c r="H72">
        <f>표4[[#This Row],[공격성공횟수]]/(표4[[#This Row],[공격실패횟수]]+표4[[#This Row],[공격성공횟수]])</f>
        <v>0.4</v>
      </c>
    </row>
    <row r="73" spans="1:8" hidden="1" x14ac:dyDescent="0.4">
      <c r="A73">
        <v>36</v>
      </c>
      <c r="B73" t="s">
        <v>2</v>
      </c>
      <c r="C73">
        <v>0</v>
      </c>
      <c r="D73">
        <v>2</v>
      </c>
      <c r="E73">
        <v>7</v>
      </c>
      <c r="F73">
        <v>4</v>
      </c>
      <c r="G73">
        <v>1</v>
      </c>
      <c r="H73">
        <f>표4[[#This Row],[공격성공횟수]]/(표4[[#This Row],[공격실패횟수]]+표4[[#This Row],[공격성공횟수]])</f>
        <v>0.22222222222222221</v>
      </c>
    </row>
    <row r="74" spans="1:8" x14ac:dyDescent="0.4">
      <c r="A74">
        <v>37</v>
      </c>
      <c r="B74" t="s">
        <v>3</v>
      </c>
      <c r="C74">
        <v>1</v>
      </c>
      <c r="D74">
        <v>4</v>
      </c>
      <c r="E74">
        <v>5</v>
      </c>
      <c r="F74">
        <v>0</v>
      </c>
      <c r="G74">
        <v>0</v>
      </c>
      <c r="H74">
        <f>표4[[#This Row],[공격성공횟수]]/(표4[[#This Row],[공격실패횟수]]+표4[[#This Row],[공격성공횟수]])</f>
        <v>0.44444444444444442</v>
      </c>
    </row>
    <row r="75" spans="1:8" hidden="1" x14ac:dyDescent="0.4">
      <c r="A75">
        <v>37</v>
      </c>
      <c r="B75" t="s">
        <v>2</v>
      </c>
      <c r="C75">
        <v>0</v>
      </c>
      <c r="D75">
        <v>0</v>
      </c>
      <c r="E75">
        <v>9</v>
      </c>
      <c r="F75">
        <v>4</v>
      </c>
      <c r="G75">
        <v>1</v>
      </c>
      <c r="H75">
        <f>표4[[#This Row],[공격성공횟수]]/(표4[[#This Row],[공격실패횟수]]+표4[[#This Row],[공격성공횟수]])</f>
        <v>0</v>
      </c>
    </row>
    <row r="76" spans="1:8" x14ac:dyDescent="0.4">
      <c r="A76">
        <v>38</v>
      </c>
      <c r="B76" t="s">
        <v>3</v>
      </c>
      <c r="C76">
        <v>1</v>
      </c>
      <c r="D76">
        <v>4</v>
      </c>
      <c r="E76">
        <v>13</v>
      </c>
      <c r="F76">
        <v>1</v>
      </c>
      <c r="G76">
        <v>0</v>
      </c>
      <c r="H76">
        <f>표4[[#This Row],[공격성공횟수]]/(표4[[#This Row],[공격실패횟수]]+표4[[#This Row],[공격성공횟수]])</f>
        <v>0.23529411764705882</v>
      </c>
    </row>
    <row r="77" spans="1:8" hidden="1" x14ac:dyDescent="0.4">
      <c r="A77">
        <v>38</v>
      </c>
      <c r="B77" t="s">
        <v>2</v>
      </c>
      <c r="C77">
        <v>0</v>
      </c>
      <c r="D77">
        <v>1</v>
      </c>
      <c r="E77">
        <v>15</v>
      </c>
      <c r="F77">
        <v>4</v>
      </c>
      <c r="G77">
        <v>1</v>
      </c>
      <c r="H77">
        <f>표4[[#This Row],[공격성공횟수]]/(표4[[#This Row],[공격실패횟수]]+표4[[#This Row],[공격성공횟수]])</f>
        <v>6.25E-2</v>
      </c>
    </row>
    <row r="78" spans="1:8" x14ac:dyDescent="0.4">
      <c r="A78">
        <v>39</v>
      </c>
      <c r="B78" t="s">
        <v>3</v>
      </c>
      <c r="C78">
        <v>0</v>
      </c>
      <c r="D78">
        <v>2</v>
      </c>
      <c r="E78">
        <v>5</v>
      </c>
      <c r="F78">
        <v>4</v>
      </c>
      <c r="G78">
        <v>1</v>
      </c>
      <c r="H78">
        <f>표4[[#This Row],[공격성공횟수]]/(표4[[#This Row],[공격실패횟수]]+표4[[#This Row],[공격성공횟수]])</f>
        <v>0.2857142857142857</v>
      </c>
    </row>
    <row r="79" spans="1:8" hidden="1" x14ac:dyDescent="0.4">
      <c r="A79">
        <v>39</v>
      </c>
      <c r="B79" t="s">
        <v>2</v>
      </c>
      <c r="C79">
        <v>1</v>
      </c>
      <c r="D79">
        <v>4</v>
      </c>
      <c r="E79">
        <v>4</v>
      </c>
      <c r="F79">
        <v>2</v>
      </c>
      <c r="G79">
        <v>0</v>
      </c>
      <c r="H79">
        <f>표4[[#This Row],[공격성공횟수]]/(표4[[#This Row],[공격실패횟수]]+표4[[#This Row],[공격성공횟수]])</f>
        <v>0.5</v>
      </c>
    </row>
    <row r="80" spans="1:8" x14ac:dyDescent="0.4">
      <c r="A80">
        <v>40</v>
      </c>
      <c r="B80" t="s">
        <v>3</v>
      </c>
      <c r="C80">
        <v>1</v>
      </c>
      <c r="D80">
        <v>4</v>
      </c>
      <c r="E80">
        <v>18</v>
      </c>
      <c r="F80">
        <v>1</v>
      </c>
      <c r="G80">
        <v>0</v>
      </c>
      <c r="H80">
        <f>표4[[#This Row],[공격성공횟수]]/(표4[[#This Row],[공격실패횟수]]+표4[[#This Row],[공격성공횟수]])</f>
        <v>0.18181818181818182</v>
      </c>
    </row>
    <row r="81" spans="1:8" hidden="1" x14ac:dyDescent="0.4">
      <c r="A81">
        <v>40</v>
      </c>
      <c r="B81" t="s">
        <v>2</v>
      </c>
      <c r="C81">
        <v>0</v>
      </c>
      <c r="D81">
        <v>1</v>
      </c>
      <c r="E81">
        <v>19</v>
      </c>
      <c r="F81">
        <v>4</v>
      </c>
      <c r="G81">
        <v>1</v>
      </c>
      <c r="H81">
        <f>표4[[#This Row],[공격성공횟수]]/(표4[[#This Row],[공격실패횟수]]+표4[[#This Row],[공격성공횟수]])</f>
        <v>0.05</v>
      </c>
    </row>
    <row r="82" spans="1:8" x14ac:dyDescent="0.4">
      <c r="A82">
        <v>41</v>
      </c>
      <c r="B82" t="s">
        <v>3</v>
      </c>
      <c r="C82">
        <v>1</v>
      </c>
      <c r="D82">
        <v>4</v>
      </c>
      <c r="E82">
        <v>5</v>
      </c>
      <c r="F82">
        <v>3</v>
      </c>
      <c r="G82">
        <v>0</v>
      </c>
      <c r="H82">
        <f>표4[[#This Row],[공격성공횟수]]/(표4[[#This Row],[공격실패횟수]]+표4[[#This Row],[공격성공횟수]])</f>
        <v>0.44444444444444442</v>
      </c>
    </row>
    <row r="83" spans="1:8" hidden="1" x14ac:dyDescent="0.4">
      <c r="A83">
        <v>41</v>
      </c>
      <c r="B83" t="s">
        <v>2</v>
      </c>
      <c r="C83">
        <v>0</v>
      </c>
      <c r="D83">
        <v>3</v>
      </c>
      <c r="E83">
        <v>8</v>
      </c>
      <c r="F83">
        <v>4</v>
      </c>
      <c r="G83">
        <v>1</v>
      </c>
      <c r="H83">
        <f>표4[[#This Row],[공격성공횟수]]/(표4[[#This Row],[공격실패횟수]]+표4[[#This Row],[공격성공횟수]])</f>
        <v>0.27272727272727271</v>
      </c>
    </row>
    <row r="84" spans="1:8" x14ac:dyDescent="0.4">
      <c r="A84">
        <v>42</v>
      </c>
      <c r="B84" t="s">
        <v>3</v>
      </c>
      <c r="C84">
        <v>1</v>
      </c>
      <c r="D84">
        <v>4</v>
      </c>
      <c r="E84">
        <v>12</v>
      </c>
      <c r="F84">
        <v>1</v>
      </c>
      <c r="G84">
        <v>0</v>
      </c>
      <c r="H84">
        <f>표4[[#This Row],[공격성공횟수]]/(표4[[#This Row],[공격실패횟수]]+표4[[#This Row],[공격성공횟수]])</f>
        <v>0.25</v>
      </c>
    </row>
    <row r="85" spans="1:8" hidden="1" x14ac:dyDescent="0.4">
      <c r="A85">
        <v>42</v>
      </c>
      <c r="B85" t="s">
        <v>2</v>
      </c>
      <c r="C85">
        <v>0</v>
      </c>
      <c r="D85">
        <v>1</v>
      </c>
      <c r="E85">
        <v>17</v>
      </c>
      <c r="F85">
        <v>4</v>
      </c>
      <c r="G85">
        <v>1</v>
      </c>
      <c r="H85">
        <f>표4[[#This Row],[공격성공횟수]]/(표4[[#This Row],[공격실패횟수]]+표4[[#This Row],[공격성공횟수]])</f>
        <v>5.5555555555555552E-2</v>
      </c>
    </row>
    <row r="86" spans="1:8" x14ac:dyDescent="0.4">
      <c r="A86">
        <v>43</v>
      </c>
      <c r="B86" t="s">
        <v>3</v>
      </c>
      <c r="C86">
        <v>1</v>
      </c>
      <c r="D86">
        <v>4</v>
      </c>
      <c r="E86">
        <v>32</v>
      </c>
      <c r="F86">
        <v>2</v>
      </c>
      <c r="G86">
        <v>0</v>
      </c>
      <c r="H86">
        <f>표4[[#This Row],[공격성공횟수]]/(표4[[#This Row],[공격실패횟수]]+표4[[#This Row],[공격성공횟수]])</f>
        <v>0.1111111111111111</v>
      </c>
    </row>
    <row r="87" spans="1:8" hidden="1" x14ac:dyDescent="0.4">
      <c r="A87">
        <v>43</v>
      </c>
      <c r="B87" t="s">
        <v>2</v>
      </c>
      <c r="C87">
        <v>0</v>
      </c>
      <c r="D87">
        <v>2</v>
      </c>
      <c r="E87">
        <v>35</v>
      </c>
      <c r="F87">
        <v>4</v>
      </c>
      <c r="G87">
        <v>1</v>
      </c>
      <c r="H87">
        <f>표4[[#This Row],[공격성공횟수]]/(표4[[#This Row],[공격실패횟수]]+표4[[#This Row],[공격성공횟수]])</f>
        <v>5.4054054054054057E-2</v>
      </c>
    </row>
    <row r="88" spans="1:8" x14ac:dyDescent="0.4">
      <c r="A88">
        <v>44</v>
      </c>
      <c r="B88" t="s">
        <v>3</v>
      </c>
      <c r="C88">
        <v>1</v>
      </c>
      <c r="D88">
        <v>4</v>
      </c>
      <c r="E88">
        <v>4</v>
      </c>
      <c r="F88">
        <v>1</v>
      </c>
      <c r="G88">
        <v>0</v>
      </c>
      <c r="H88">
        <f>표4[[#This Row],[공격성공횟수]]/(표4[[#This Row],[공격실패횟수]]+표4[[#This Row],[공격성공횟수]])</f>
        <v>0.5</v>
      </c>
    </row>
    <row r="89" spans="1:8" hidden="1" x14ac:dyDescent="0.4">
      <c r="A89">
        <v>44</v>
      </c>
      <c r="B89" t="s">
        <v>2</v>
      </c>
      <c r="C89">
        <v>0</v>
      </c>
      <c r="D89">
        <v>1</v>
      </c>
      <c r="E89">
        <v>11</v>
      </c>
      <c r="F89">
        <v>4</v>
      </c>
      <c r="G89">
        <v>1</v>
      </c>
      <c r="H89">
        <f>표4[[#This Row],[공격성공횟수]]/(표4[[#This Row],[공격실패횟수]]+표4[[#This Row],[공격성공횟수]])</f>
        <v>8.3333333333333329E-2</v>
      </c>
    </row>
    <row r="90" spans="1:8" x14ac:dyDescent="0.4">
      <c r="A90">
        <v>45</v>
      </c>
      <c r="B90" t="s">
        <v>3</v>
      </c>
      <c r="C90">
        <v>0</v>
      </c>
      <c r="D90">
        <v>2</v>
      </c>
      <c r="E90">
        <v>16</v>
      </c>
      <c r="F90">
        <v>4</v>
      </c>
      <c r="G90">
        <v>1</v>
      </c>
      <c r="H90">
        <f>표4[[#This Row],[공격성공횟수]]/(표4[[#This Row],[공격실패횟수]]+표4[[#This Row],[공격성공횟수]])</f>
        <v>0.1111111111111111</v>
      </c>
    </row>
    <row r="91" spans="1:8" hidden="1" x14ac:dyDescent="0.4">
      <c r="A91">
        <v>45</v>
      </c>
      <c r="B91" t="s">
        <v>2</v>
      </c>
      <c r="C91">
        <v>1</v>
      </c>
      <c r="D91">
        <v>4</v>
      </c>
      <c r="E91">
        <v>15</v>
      </c>
      <c r="F91">
        <v>2</v>
      </c>
      <c r="G91">
        <v>0</v>
      </c>
      <c r="H91">
        <f>표4[[#This Row],[공격성공횟수]]/(표4[[#This Row],[공격실패횟수]]+표4[[#This Row],[공격성공횟수]])</f>
        <v>0.21052631578947367</v>
      </c>
    </row>
    <row r="92" spans="1:8" x14ac:dyDescent="0.4">
      <c r="A92">
        <v>46</v>
      </c>
      <c r="B92" t="s">
        <v>3</v>
      </c>
      <c r="C92">
        <v>1</v>
      </c>
      <c r="D92">
        <v>4</v>
      </c>
      <c r="E92">
        <v>8</v>
      </c>
      <c r="F92">
        <v>2</v>
      </c>
      <c r="G92">
        <v>0</v>
      </c>
      <c r="H92">
        <f>표4[[#This Row],[공격성공횟수]]/(표4[[#This Row],[공격실패횟수]]+표4[[#This Row],[공격성공횟수]])</f>
        <v>0.33333333333333331</v>
      </c>
    </row>
    <row r="93" spans="1:8" hidden="1" x14ac:dyDescent="0.4">
      <c r="A93">
        <v>46</v>
      </c>
      <c r="B93" t="s">
        <v>2</v>
      </c>
      <c r="C93">
        <v>0</v>
      </c>
      <c r="D93">
        <v>2</v>
      </c>
      <c r="E93">
        <v>9</v>
      </c>
      <c r="F93">
        <v>4</v>
      </c>
      <c r="G93">
        <v>1</v>
      </c>
      <c r="H93">
        <f>표4[[#This Row],[공격성공횟수]]/(표4[[#This Row],[공격실패횟수]]+표4[[#This Row],[공격성공횟수]])</f>
        <v>0.18181818181818182</v>
      </c>
    </row>
    <row r="94" spans="1:8" x14ac:dyDescent="0.4">
      <c r="A94">
        <v>47</v>
      </c>
      <c r="B94" t="s">
        <v>3</v>
      </c>
      <c r="C94">
        <v>1</v>
      </c>
      <c r="D94">
        <v>4</v>
      </c>
      <c r="E94">
        <v>3</v>
      </c>
      <c r="F94">
        <v>0</v>
      </c>
      <c r="G94">
        <v>0</v>
      </c>
      <c r="H94">
        <f>표4[[#This Row],[공격성공횟수]]/(표4[[#This Row],[공격실패횟수]]+표4[[#This Row],[공격성공횟수]])</f>
        <v>0.5714285714285714</v>
      </c>
    </row>
    <row r="95" spans="1:8" hidden="1" x14ac:dyDescent="0.4">
      <c r="A95">
        <v>47</v>
      </c>
      <c r="B95" t="s">
        <v>2</v>
      </c>
      <c r="C95">
        <v>0</v>
      </c>
      <c r="D95">
        <v>0</v>
      </c>
      <c r="E95">
        <v>7</v>
      </c>
      <c r="F95">
        <v>4</v>
      </c>
      <c r="G95">
        <v>1</v>
      </c>
      <c r="H95">
        <f>표4[[#This Row],[공격성공횟수]]/(표4[[#This Row],[공격실패횟수]]+표4[[#This Row],[공격성공횟수]])</f>
        <v>0</v>
      </c>
    </row>
    <row r="96" spans="1:8" x14ac:dyDescent="0.4">
      <c r="A96">
        <v>48</v>
      </c>
      <c r="B96" t="s">
        <v>3</v>
      </c>
      <c r="C96">
        <v>1</v>
      </c>
      <c r="D96">
        <v>4</v>
      </c>
      <c r="E96">
        <v>55</v>
      </c>
      <c r="F96">
        <v>0</v>
      </c>
      <c r="G96">
        <v>0</v>
      </c>
      <c r="H96">
        <f>표4[[#This Row],[공격성공횟수]]/(표4[[#This Row],[공격실패횟수]]+표4[[#This Row],[공격성공횟수]])</f>
        <v>6.7796610169491525E-2</v>
      </c>
    </row>
    <row r="97" spans="1:8" hidden="1" x14ac:dyDescent="0.4">
      <c r="A97">
        <v>48</v>
      </c>
      <c r="B97" t="s">
        <v>2</v>
      </c>
      <c r="C97">
        <v>0</v>
      </c>
      <c r="D97">
        <v>0</v>
      </c>
      <c r="E97">
        <v>69</v>
      </c>
      <c r="F97">
        <v>4</v>
      </c>
      <c r="G97">
        <v>1</v>
      </c>
      <c r="H97">
        <f>표4[[#This Row],[공격성공횟수]]/(표4[[#This Row],[공격실패횟수]]+표4[[#This Row],[공격성공횟수]])</f>
        <v>0</v>
      </c>
    </row>
    <row r="98" spans="1:8" x14ac:dyDescent="0.4">
      <c r="A98">
        <v>49</v>
      </c>
      <c r="B98" t="s">
        <v>3</v>
      </c>
      <c r="C98">
        <v>1</v>
      </c>
      <c r="D98">
        <v>4</v>
      </c>
      <c r="E98">
        <v>2</v>
      </c>
      <c r="F98">
        <v>1</v>
      </c>
      <c r="G98">
        <v>0</v>
      </c>
      <c r="H98">
        <f>표4[[#This Row],[공격성공횟수]]/(표4[[#This Row],[공격실패횟수]]+표4[[#This Row],[공격성공횟수]])</f>
        <v>0.66666666666666663</v>
      </c>
    </row>
    <row r="99" spans="1:8" hidden="1" x14ac:dyDescent="0.4">
      <c r="A99">
        <v>49</v>
      </c>
      <c r="B99" t="s">
        <v>2</v>
      </c>
      <c r="C99">
        <v>0</v>
      </c>
      <c r="D99">
        <v>1</v>
      </c>
      <c r="E99">
        <v>5</v>
      </c>
      <c r="F99">
        <v>4</v>
      </c>
      <c r="G99">
        <v>1</v>
      </c>
      <c r="H99">
        <f>표4[[#This Row],[공격성공횟수]]/(표4[[#This Row],[공격실패횟수]]+표4[[#This Row],[공격성공횟수]])</f>
        <v>0.16666666666666666</v>
      </c>
    </row>
    <row r="100" spans="1:8" x14ac:dyDescent="0.4">
      <c r="A100">
        <v>50</v>
      </c>
      <c r="B100" t="s">
        <v>3</v>
      </c>
      <c r="C100">
        <v>1</v>
      </c>
      <c r="D100">
        <v>4</v>
      </c>
      <c r="E100">
        <v>20</v>
      </c>
      <c r="F100">
        <v>2</v>
      </c>
      <c r="G100">
        <v>0</v>
      </c>
      <c r="H100">
        <f>표4[[#This Row],[공격성공횟수]]/(표4[[#This Row],[공격실패횟수]]+표4[[#This Row],[공격성공횟수]])</f>
        <v>0.16666666666666666</v>
      </c>
    </row>
    <row r="101" spans="1:8" hidden="1" x14ac:dyDescent="0.4">
      <c r="A101">
        <v>50</v>
      </c>
      <c r="B101" t="s">
        <v>2</v>
      </c>
      <c r="C101">
        <v>0</v>
      </c>
      <c r="D101">
        <v>2</v>
      </c>
      <c r="E101">
        <v>22</v>
      </c>
      <c r="F101">
        <v>4</v>
      </c>
      <c r="G101">
        <v>1</v>
      </c>
      <c r="H101">
        <f>표4[[#This Row],[공격성공횟수]]/(표4[[#This Row],[공격실패횟수]]+표4[[#This Row],[공격성공횟수]])</f>
        <v>8.3333333333333329E-2</v>
      </c>
    </row>
    <row r="102" spans="1:8" x14ac:dyDescent="0.4">
      <c r="A102">
        <v>51</v>
      </c>
      <c r="B102" t="s">
        <v>3</v>
      </c>
      <c r="C102">
        <v>1</v>
      </c>
      <c r="D102">
        <v>4</v>
      </c>
      <c r="E102">
        <v>5</v>
      </c>
      <c r="F102">
        <v>0</v>
      </c>
      <c r="G102">
        <v>0</v>
      </c>
      <c r="H102">
        <f>표4[[#This Row],[공격성공횟수]]/(표4[[#This Row],[공격실패횟수]]+표4[[#This Row],[공격성공횟수]])</f>
        <v>0.44444444444444442</v>
      </c>
    </row>
    <row r="103" spans="1:8" hidden="1" x14ac:dyDescent="0.4">
      <c r="A103">
        <v>51</v>
      </c>
      <c r="B103" t="s">
        <v>2</v>
      </c>
      <c r="C103">
        <v>0</v>
      </c>
      <c r="D103">
        <v>0</v>
      </c>
      <c r="E103">
        <v>8</v>
      </c>
      <c r="F103">
        <v>4</v>
      </c>
      <c r="G103">
        <v>1</v>
      </c>
      <c r="H103">
        <f>표4[[#This Row],[공격성공횟수]]/(표4[[#This Row],[공격실패횟수]]+표4[[#This Row],[공격성공횟수]])</f>
        <v>0</v>
      </c>
    </row>
    <row r="104" spans="1:8" x14ac:dyDescent="0.4">
      <c r="A104">
        <v>52</v>
      </c>
      <c r="B104" t="s">
        <v>3</v>
      </c>
      <c r="C104">
        <v>1</v>
      </c>
      <c r="D104">
        <v>4</v>
      </c>
      <c r="E104">
        <v>9</v>
      </c>
      <c r="F104">
        <v>3</v>
      </c>
      <c r="G104">
        <v>0</v>
      </c>
      <c r="H104">
        <f>표4[[#This Row],[공격성공횟수]]/(표4[[#This Row],[공격실패횟수]]+표4[[#This Row],[공격성공횟수]])</f>
        <v>0.30769230769230771</v>
      </c>
    </row>
    <row r="105" spans="1:8" hidden="1" x14ac:dyDescent="0.4">
      <c r="A105">
        <v>52</v>
      </c>
      <c r="B105" t="s">
        <v>2</v>
      </c>
      <c r="C105">
        <v>0</v>
      </c>
      <c r="D105">
        <v>3</v>
      </c>
      <c r="E105">
        <v>10</v>
      </c>
      <c r="F105">
        <v>4</v>
      </c>
      <c r="G105">
        <v>1</v>
      </c>
      <c r="H105">
        <f>표4[[#This Row],[공격성공횟수]]/(표4[[#This Row],[공격실패횟수]]+표4[[#This Row],[공격성공횟수]])</f>
        <v>0.23076923076923078</v>
      </c>
    </row>
    <row r="106" spans="1:8" x14ac:dyDescent="0.4">
      <c r="A106">
        <v>53</v>
      </c>
      <c r="B106" t="s">
        <v>3</v>
      </c>
      <c r="C106">
        <v>0</v>
      </c>
      <c r="D106">
        <v>3</v>
      </c>
      <c r="E106">
        <v>11</v>
      </c>
      <c r="F106">
        <v>4</v>
      </c>
      <c r="G106">
        <v>1</v>
      </c>
      <c r="H106">
        <f>표4[[#This Row],[공격성공횟수]]/(표4[[#This Row],[공격실패횟수]]+표4[[#This Row],[공격성공횟수]])</f>
        <v>0.21428571428571427</v>
      </c>
    </row>
    <row r="107" spans="1:8" hidden="1" x14ac:dyDescent="0.4">
      <c r="A107">
        <v>53</v>
      </c>
      <c r="B107" t="s">
        <v>2</v>
      </c>
      <c r="C107">
        <v>1</v>
      </c>
      <c r="D107">
        <v>4</v>
      </c>
      <c r="E107">
        <v>11</v>
      </c>
      <c r="F107">
        <v>3</v>
      </c>
      <c r="G107">
        <v>0</v>
      </c>
      <c r="H107">
        <f>표4[[#This Row],[공격성공횟수]]/(표4[[#This Row],[공격실패횟수]]+표4[[#This Row],[공격성공횟수]])</f>
        <v>0.26666666666666666</v>
      </c>
    </row>
    <row r="108" spans="1:8" x14ac:dyDescent="0.4">
      <c r="A108">
        <v>54</v>
      </c>
      <c r="B108" t="s">
        <v>3</v>
      </c>
      <c r="C108">
        <v>1</v>
      </c>
      <c r="D108">
        <v>4</v>
      </c>
      <c r="E108">
        <v>16</v>
      </c>
      <c r="F108">
        <v>1</v>
      </c>
      <c r="G108">
        <v>0</v>
      </c>
      <c r="H108">
        <f>표4[[#This Row],[공격성공횟수]]/(표4[[#This Row],[공격실패횟수]]+표4[[#This Row],[공격성공횟수]])</f>
        <v>0.2</v>
      </c>
    </row>
    <row r="109" spans="1:8" hidden="1" x14ac:dyDescent="0.4">
      <c r="A109">
        <v>54</v>
      </c>
      <c r="B109" t="s">
        <v>2</v>
      </c>
      <c r="C109">
        <v>0</v>
      </c>
      <c r="D109">
        <v>1</v>
      </c>
      <c r="E109">
        <v>16</v>
      </c>
      <c r="F109">
        <v>4</v>
      </c>
      <c r="G109">
        <v>1</v>
      </c>
      <c r="H109">
        <f>표4[[#This Row],[공격성공횟수]]/(표4[[#This Row],[공격실패횟수]]+표4[[#This Row],[공격성공횟수]])</f>
        <v>5.8823529411764705E-2</v>
      </c>
    </row>
    <row r="110" spans="1:8" x14ac:dyDescent="0.4">
      <c r="A110">
        <v>55</v>
      </c>
      <c r="B110" t="s">
        <v>3</v>
      </c>
      <c r="C110">
        <v>1</v>
      </c>
      <c r="D110">
        <v>4</v>
      </c>
      <c r="E110">
        <v>6</v>
      </c>
      <c r="F110">
        <v>1</v>
      </c>
      <c r="G110">
        <v>0</v>
      </c>
      <c r="H110">
        <f>표4[[#This Row],[공격성공횟수]]/(표4[[#This Row],[공격실패횟수]]+표4[[#This Row],[공격성공횟수]])</f>
        <v>0.4</v>
      </c>
    </row>
    <row r="111" spans="1:8" hidden="1" x14ac:dyDescent="0.4">
      <c r="A111">
        <v>55</v>
      </c>
      <c r="B111" t="s">
        <v>2</v>
      </c>
      <c r="C111">
        <v>0</v>
      </c>
      <c r="D111">
        <v>1</v>
      </c>
      <c r="E111">
        <v>9</v>
      </c>
      <c r="F111">
        <v>4</v>
      </c>
      <c r="G111">
        <v>1</v>
      </c>
      <c r="H111">
        <f>표4[[#This Row],[공격성공횟수]]/(표4[[#This Row],[공격실패횟수]]+표4[[#This Row],[공격성공횟수]])</f>
        <v>0.1</v>
      </c>
    </row>
    <row r="112" spans="1:8" x14ac:dyDescent="0.4">
      <c r="A112">
        <v>56</v>
      </c>
      <c r="B112" t="s">
        <v>3</v>
      </c>
      <c r="C112">
        <v>0</v>
      </c>
      <c r="D112">
        <v>3</v>
      </c>
      <c r="E112">
        <v>26</v>
      </c>
      <c r="F112">
        <v>4</v>
      </c>
      <c r="G112">
        <v>1</v>
      </c>
      <c r="H112">
        <f>표4[[#This Row],[공격성공횟수]]/(표4[[#This Row],[공격실패횟수]]+표4[[#This Row],[공격성공횟수]])</f>
        <v>0.10344827586206896</v>
      </c>
    </row>
    <row r="113" spans="1:8" hidden="1" x14ac:dyDescent="0.4">
      <c r="A113">
        <v>56</v>
      </c>
      <c r="B113" t="s">
        <v>2</v>
      </c>
      <c r="C113">
        <v>1</v>
      </c>
      <c r="D113">
        <v>4</v>
      </c>
      <c r="E113">
        <v>26</v>
      </c>
      <c r="F113">
        <v>3</v>
      </c>
      <c r="G113">
        <v>0</v>
      </c>
      <c r="H113">
        <f>표4[[#This Row],[공격성공횟수]]/(표4[[#This Row],[공격실패횟수]]+표4[[#This Row],[공격성공횟수]])</f>
        <v>0.13333333333333333</v>
      </c>
    </row>
    <row r="114" spans="1:8" x14ac:dyDescent="0.4">
      <c r="A114">
        <v>57</v>
      </c>
      <c r="B114" t="s">
        <v>3</v>
      </c>
      <c r="C114">
        <v>0</v>
      </c>
      <c r="D114">
        <v>1</v>
      </c>
      <c r="E114">
        <v>3</v>
      </c>
      <c r="F114">
        <v>4</v>
      </c>
      <c r="G114">
        <v>1</v>
      </c>
      <c r="H114">
        <f>표4[[#This Row],[공격성공횟수]]/(표4[[#This Row],[공격실패횟수]]+표4[[#This Row],[공격성공횟수]])</f>
        <v>0.25</v>
      </c>
    </row>
    <row r="115" spans="1:8" hidden="1" x14ac:dyDescent="0.4">
      <c r="A115">
        <v>57</v>
      </c>
      <c r="B115" t="s">
        <v>2</v>
      </c>
      <c r="C115">
        <v>1</v>
      </c>
      <c r="D115">
        <v>4</v>
      </c>
      <c r="E115">
        <v>8</v>
      </c>
      <c r="F115">
        <v>1</v>
      </c>
      <c r="G115">
        <v>0</v>
      </c>
      <c r="H115">
        <f>표4[[#This Row],[공격성공횟수]]/(표4[[#This Row],[공격실패횟수]]+표4[[#This Row],[공격성공횟수]])</f>
        <v>0.33333333333333331</v>
      </c>
    </row>
    <row r="116" spans="1:8" x14ac:dyDescent="0.4">
      <c r="A116">
        <v>58</v>
      </c>
      <c r="B116" t="s">
        <v>3</v>
      </c>
      <c r="C116">
        <v>0</v>
      </c>
      <c r="D116">
        <v>1</v>
      </c>
      <c r="E116">
        <v>5</v>
      </c>
      <c r="F116">
        <v>4</v>
      </c>
      <c r="G116">
        <v>1</v>
      </c>
      <c r="H116">
        <f>표4[[#This Row],[공격성공횟수]]/(표4[[#This Row],[공격실패횟수]]+표4[[#This Row],[공격성공횟수]])</f>
        <v>0.16666666666666666</v>
      </c>
    </row>
    <row r="117" spans="1:8" hidden="1" x14ac:dyDescent="0.4">
      <c r="A117">
        <v>58</v>
      </c>
      <c r="B117" t="s">
        <v>2</v>
      </c>
      <c r="C117">
        <v>1</v>
      </c>
      <c r="D117">
        <v>4</v>
      </c>
      <c r="E117">
        <v>8</v>
      </c>
      <c r="F117">
        <v>1</v>
      </c>
      <c r="G117">
        <v>0</v>
      </c>
      <c r="H117">
        <f>표4[[#This Row],[공격성공횟수]]/(표4[[#This Row],[공격실패횟수]]+표4[[#This Row],[공격성공횟수]])</f>
        <v>0.33333333333333331</v>
      </c>
    </row>
    <row r="118" spans="1:8" x14ac:dyDescent="0.4">
      <c r="A118">
        <v>59</v>
      </c>
      <c r="B118" t="s">
        <v>3</v>
      </c>
      <c r="C118">
        <v>1</v>
      </c>
      <c r="D118">
        <v>4</v>
      </c>
      <c r="E118">
        <v>19</v>
      </c>
      <c r="F118">
        <v>0</v>
      </c>
      <c r="G118">
        <v>0</v>
      </c>
      <c r="H118">
        <f>표4[[#This Row],[공격성공횟수]]/(표4[[#This Row],[공격실패횟수]]+표4[[#This Row],[공격성공횟수]])</f>
        <v>0.17391304347826086</v>
      </c>
    </row>
    <row r="119" spans="1:8" hidden="1" x14ac:dyDescent="0.4">
      <c r="A119">
        <v>59</v>
      </c>
      <c r="B119" t="s">
        <v>2</v>
      </c>
      <c r="C119">
        <v>0</v>
      </c>
      <c r="D119">
        <v>0</v>
      </c>
      <c r="E119">
        <v>22</v>
      </c>
      <c r="F119">
        <v>4</v>
      </c>
      <c r="G119">
        <v>1</v>
      </c>
      <c r="H119">
        <f>표4[[#This Row],[공격성공횟수]]/(표4[[#This Row],[공격실패횟수]]+표4[[#This Row],[공격성공횟수]])</f>
        <v>0</v>
      </c>
    </row>
    <row r="120" spans="1:8" x14ac:dyDescent="0.4">
      <c r="A120">
        <v>60</v>
      </c>
      <c r="B120" t="s">
        <v>3</v>
      </c>
      <c r="C120">
        <v>0</v>
      </c>
      <c r="D120">
        <v>3</v>
      </c>
      <c r="E120">
        <v>37</v>
      </c>
      <c r="F120">
        <v>4</v>
      </c>
      <c r="G120">
        <v>1</v>
      </c>
      <c r="H120">
        <f>표4[[#This Row],[공격성공횟수]]/(표4[[#This Row],[공격실패횟수]]+표4[[#This Row],[공격성공횟수]])</f>
        <v>7.4999999999999997E-2</v>
      </c>
    </row>
    <row r="121" spans="1:8" hidden="1" x14ac:dyDescent="0.4">
      <c r="A121">
        <v>60</v>
      </c>
      <c r="B121" t="s">
        <v>2</v>
      </c>
      <c r="C121">
        <v>1</v>
      </c>
      <c r="D121">
        <v>4</v>
      </c>
      <c r="E121">
        <v>36</v>
      </c>
      <c r="F121">
        <v>3</v>
      </c>
      <c r="G121">
        <v>0</v>
      </c>
      <c r="H121">
        <f>표4[[#This Row],[공격성공횟수]]/(표4[[#This Row],[공격실패횟수]]+표4[[#This Row],[공격성공횟수]])</f>
        <v>0.1</v>
      </c>
    </row>
    <row r="122" spans="1:8" x14ac:dyDescent="0.4">
      <c r="A122">
        <v>61</v>
      </c>
      <c r="B122" t="s">
        <v>3</v>
      </c>
      <c r="C122">
        <v>1</v>
      </c>
      <c r="D122">
        <v>4</v>
      </c>
      <c r="E122">
        <v>6</v>
      </c>
      <c r="F122">
        <v>2</v>
      </c>
      <c r="G122">
        <v>0</v>
      </c>
      <c r="H122">
        <f>표4[[#This Row],[공격성공횟수]]/(표4[[#This Row],[공격실패횟수]]+표4[[#This Row],[공격성공횟수]])</f>
        <v>0.4</v>
      </c>
    </row>
    <row r="123" spans="1:8" hidden="1" x14ac:dyDescent="0.4">
      <c r="A123">
        <v>61</v>
      </c>
      <c r="B123" t="s">
        <v>2</v>
      </c>
      <c r="C123">
        <v>0</v>
      </c>
      <c r="D123">
        <v>2</v>
      </c>
      <c r="E123">
        <v>9</v>
      </c>
      <c r="F123">
        <v>4</v>
      </c>
      <c r="G123">
        <v>1</v>
      </c>
      <c r="H123">
        <f>표4[[#This Row],[공격성공횟수]]/(표4[[#This Row],[공격실패횟수]]+표4[[#This Row],[공격성공횟수]])</f>
        <v>0.18181818181818182</v>
      </c>
    </row>
    <row r="124" spans="1:8" x14ac:dyDescent="0.4">
      <c r="A124">
        <v>62</v>
      </c>
      <c r="B124" t="s">
        <v>3</v>
      </c>
      <c r="C124">
        <v>1</v>
      </c>
      <c r="D124">
        <v>4</v>
      </c>
      <c r="E124">
        <v>21</v>
      </c>
      <c r="F124">
        <v>1</v>
      </c>
      <c r="G124">
        <v>0</v>
      </c>
      <c r="H124">
        <f>표4[[#This Row],[공격성공횟수]]/(표4[[#This Row],[공격실패횟수]]+표4[[#This Row],[공격성공횟수]])</f>
        <v>0.16</v>
      </c>
    </row>
    <row r="125" spans="1:8" hidden="1" x14ac:dyDescent="0.4">
      <c r="A125">
        <v>62</v>
      </c>
      <c r="B125" t="s">
        <v>2</v>
      </c>
      <c r="C125">
        <v>0</v>
      </c>
      <c r="D125">
        <v>1</v>
      </c>
      <c r="E125">
        <v>24</v>
      </c>
      <c r="F125">
        <v>4</v>
      </c>
      <c r="G125">
        <v>1</v>
      </c>
      <c r="H125">
        <f>표4[[#This Row],[공격성공횟수]]/(표4[[#This Row],[공격실패횟수]]+표4[[#This Row],[공격성공횟수]])</f>
        <v>0.04</v>
      </c>
    </row>
    <row r="126" spans="1:8" x14ac:dyDescent="0.4">
      <c r="A126">
        <v>63</v>
      </c>
      <c r="B126" t="s">
        <v>3</v>
      </c>
      <c r="C126">
        <v>1</v>
      </c>
      <c r="D126">
        <v>4</v>
      </c>
      <c r="E126">
        <v>13</v>
      </c>
      <c r="F126">
        <v>0</v>
      </c>
      <c r="G126">
        <v>0</v>
      </c>
      <c r="H126">
        <f>표4[[#This Row],[공격성공횟수]]/(표4[[#This Row],[공격실패횟수]]+표4[[#This Row],[공격성공횟수]])</f>
        <v>0.23529411764705882</v>
      </c>
    </row>
    <row r="127" spans="1:8" hidden="1" x14ac:dyDescent="0.4">
      <c r="A127">
        <v>63</v>
      </c>
      <c r="B127" t="s">
        <v>2</v>
      </c>
      <c r="C127">
        <v>0</v>
      </c>
      <c r="D127">
        <v>0</v>
      </c>
      <c r="E127">
        <v>16</v>
      </c>
      <c r="F127">
        <v>4</v>
      </c>
      <c r="G127">
        <v>1</v>
      </c>
      <c r="H127">
        <f>표4[[#This Row],[공격성공횟수]]/(표4[[#This Row],[공격실패횟수]]+표4[[#This Row],[공격성공횟수]])</f>
        <v>0</v>
      </c>
    </row>
    <row r="128" spans="1:8" x14ac:dyDescent="0.4">
      <c r="A128">
        <v>64</v>
      </c>
      <c r="B128" t="s">
        <v>3</v>
      </c>
      <c r="C128">
        <v>1</v>
      </c>
      <c r="D128">
        <v>4</v>
      </c>
      <c r="E128">
        <v>4</v>
      </c>
      <c r="F128">
        <v>0</v>
      </c>
      <c r="G128">
        <v>0</v>
      </c>
      <c r="H128">
        <f>표4[[#This Row],[공격성공횟수]]/(표4[[#This Row],[공격실패횟수]]+표4[[#This Row],[공격성공횟수]])</f>
        <v>0.5</v>
      </c>
    </row>
    <row r="129" spans="1:8" hidden="1" x14ac:dyDescent="0.4">
      <c r="A129">
        <v>64</v>
      </c>
      <c r="B129" t="s">
        <v>2</v>
      </c>
      <c r="C129">
        <v>0</v>
      </c>
      <c r="D129">
        <v>0</v>
      </c>
      <c r="E129">
        <v>8</v>
      </c>
      <c r="F129">
        <v>4</v>
      </c>
      <c r="G129">
        <v>1</v>
      </c>
      <c r="H129">
        <f>표4[[#This Row],[공격성공횟수]]/(표4[[#This Row],[공격실패횟수]]+표4[[#This Row],[공격성공횟수]])</f>
        <v>0</v>
      </c>
    </row>
    <row r="130" spans="1:8" x14ac:dyDescent="0.4">
      <c r="A130">
        <v>65</v>
      </c>
      <c r="B130" t="s">
        <v>3</v>
      </c>
      <c r="C130">
        <v>0</v>
      </c>
      <c r="D130">
        <v>1</v>
      </c>
      <c r="E130">
        <v>7</v>
      </c>
      <c r="F130">
        <v>4</v>
      </c>
      <c r="G130">
        <v>1</v>
      </c>
      <c r="H130">
        <f>표4[[#This Row],[공격성공횟수]]/(표4[[#This Row],[공격실패횟수]]+표4[[#This Row],[공격성공횟수]])</f>
        <v>0.125</v>
      </c>
    </row>
    <row r="131" spans="1:8" hidden="1" x14ac:dyDescent="0.4">
      <c r="A131">
        <v>65</v>
      </c>
      <c r="B131" t="s">
        <v>2</v>
      </c>
      <c r="C131">
        <v>1</v>
      </c>
      <c r="D131">
        <v>4</v>
      </c>
      <c r="E131">
        <v>11</v>
      </c>
      <c r="F131">
        <v>1</v>
      </c>
      <c r="G131">
        <v>0</v>
      </c>
      <c r="H131">
        <f>표4[[#This Row],[공격성공횟수]]/(표4[[#This Row],[공격실패횟수]]+표4[[#This Row],[공격성공횟수]])</f>
        <v>0.26666666666666666</v>
      </c>
    </row>
    <row r="132" spans="1:8" x14ac:dyDescent="0.4">
      <c r="A132">
        <v>66</v>
      </c>
      <c r="B132" t="s">
        <v>3</v>
      </c>
      <c r="C132">
        <v>1</v>
      </c>
      <c r="D132">
        <v>4</v>
      </c>
      <c r="E132">
        <v>3</v>
      </c>
      <c r="F132">
        <v>0</v>
      </c>
      <c r="G132">
        <v>0</v>
      </c>
      <c r="H132">
        <f>표4[[#This Row],[공격성공횟수]]/(표4[[#This Row],[공격실패횟수]]+표4[[#This Row],[공격성공횟수]])</f>
        <v>0.5714285714285714</v>
      </c>
    </row>
    <row r="133" spans="1:8" hidden="1" x14ac:dyDescent="0.4">
      <c r="A133">
        <v>66</v>
      </c>
      <c r="B133" t="s">
        <v>2</v>
      </c>
      <c r="C133">
        <v>0</v>
      </c>
      <c r="D133">
        <v>0</v>
      </c>
      <c r="E133">
        <v>6</v>
      </c>
      <c r="F133">
        <v>4</v>
      </c>
      <c r="G133">
        <v>1</v>
      </c>
      <c r="H133">
        <f>표4[[#This Row],[공격성공횟수]]/(표4[[#This Row],[공격실패횟수]]+표4[[#This Row],[공격성공횟수]])</f>
        <v>0</v>
      </c>
    </row>
    <row r="134" spans="1:8" x14ac:dyDescent="0.4">
      <c r="A134">
        <v>67</v>
      </c>
      <c r="B134" t="s">
        <v>3</v>
      </c>
      <c r="C134">
        <v>1</v>
      </c>
      <c r="D134">
        <v>4</v>
      </c>
      <c r="E134">
        <v>8</v>
      </c>
      <c r="F134">
        <v>1</v>
      </c>
      <c r="G134">
        <v>0</v>
      </c>
      <c r="H134">
        <f>표4[[#This Row],[공격성공횟수]]/(표4[[#This Row],[공격실패횟수]]+표4[[#This Row],[공격성공횟수]])</f>
        <v>0.33333333333333331</v>
      </c>
    </row>
    <row r="135" spans="1:8" hidden="1" x14ac:dyDescent="0.4">
      <c r="A135">
        <v>67</v>
      </c>
      <c r="B135" t="s">
        <v>2</v>
      </c>
      <c r="C135">
        <v>0</v>
      </c>
      <c r="D135">
        <v>1</v>
      </c>
      <c r="E135">
        <v>11</v>
      </c>
      <c r="F135">
        <v>4</v>
      </c>
      <c r="G135">
        <v>1</v>
      </c>
      <c r="H135">
        <f>표4[[#This Row],[공격성공횟수]]/(표4[[#This Row],[공격실패횟수]]+표4[[#This Row],[공격성공횟수]])</f>
        <v>8.3333333333333329E-2</v>
      </c>
    </row>
    <row r="136" spans="1:8" x14ac:dyDescent="0.4">
      <c r="A136">
        <v>68</v>
      </c>
      <c r="B136" t="s">
        <v>3</v>
      </c>
      <c r="C136">
        <v>1</v>
      </c>
      <c r="D136">
        <v>4</v>
      </c>
      <c r="E136">
        <v>3</v>
      </c>
      <c r="F136">
        <v>1</v>
      </c>
      <c r="G136">
        <v>0</v>
      </c>
      <c r="H136">
        <f>표4[[#This Row],[공격성공횟수]]/(표4[[#This Row],[공격실패횟수]]+표4[[#This Row],[공격성공횟수]])</f>
        <v>0.5714285714285714</v>
      </c>
    </row>
    <row r="137" spans="1:8" hidden="1" x14ac:dyDescent="0.4">
      <c r="A137">
        <v>68</v>
      </c>
      <c r="B137" t="s">
        <v>2</v>
      </c>
      <c r="C137">
        <v>0</v>
      </c>
      <c r="D137">
        <v>1</v>
      </c>
      <c r="E137">
        <v>7</v>
      </c>
      <c r="F137">
        <v>4</v>
      </c>
      <c r="G137">
        <v>1</v>
      </c>
      <c r="H137">
        <f>표4[[#This Row],[공격성공횟수]]/(표4[[#This Row],[공격실패횟수]]+표4[[#This Row],[공격성공횟수]])</f>
        <v>0.125</v>
      </c>
    </row>
    <row r="138" spans="1:8" x14ac:dyDescent="0.4">
      <c r="A138">
        <v>69</v>
      </c>
      <c r="B138" t="s">
        <v>3</v>
      </c>
      <c r="C138">
        <v>1</v>
      </c>
      <c r="D138">
        <v>4</v>
      </c>
      <c r="E138">
        <v>16</v>
      </c>
      <c r="F138">
        <v>0</v>
      </c>
      <c r="G138">
        <v>0</v>
      </c>
      <c r="H138">
        <f>표4[[#This Row],[공격성공횟수]]/(표4[[#This Row],[공격실패횟수]]+표4[[#This Row],[공격성공횟수]])</f>
        <v>0.2</v>
      </c>
    </row>
    <row r="139" spans="1:8" hidden="1" x14ac:dyDescent="0.4">
      <c r="A139">
        <v>69</v>
      </c>
      <c r="B139" t="s">
        <v>2</v>
      </c>
      <c r="C139">
        <v>0</v>
      </c>
      <c r="D139">
        <v>0</v>
      </c>
      <c r="E139">
        <v>22</v>
      </c>
      <c r="F139">
        <v>4</v>
      </c>
      <c r="G139">
        <v>1</v>
      </c>
      <c r="H139">
        <f>표4[[#This Row],[공격성공횟수]]/(표4[[#This Row],[공격실패횟수]]+표4[[#This Row],[공격성공횟수]])</f>
        <v>0</v>
      </c>
    </row>
    <row r="140" spans="1:8" x14ac:dyDescent="0.4">
      <c r="A140">
        <v>70</v>
      </c>
      <c r="B140" t="s">
        <v>3</v>
      </c>
      <c r="C140">
        <v>1</v>
      </c>
      <c r="D140">
        <v>4</v>
      </c>
      <c r="E140">
        <v>5</v>
      </c>
      <c r="F140">
        <v>1</v>
      </c>
      <c r="G140">
        <v>0</v>
      </c>
      <c r="H140">
        <f>표4[[#This Row],[공격성공횟수]]/(표4[[#This Row],[공격실패횟수]]+표4[[#This Row],[공격성공횟수]])</f>
        <v>0.44444444444444442</v>
      </c>
    </row>
    <row r="141" spans="1:8" hidden="1" x14ac:dyDescent="0.4">
      <c r="A141">
        <v>70</v>
      </c>
      <c r="B141" t="s">
        <v>2</v>
      </c>
      <c r="C141">
        <v>0</v>
      </c>
      <c r="D141">
        <v>1</v>
      </c>
      <c r="E141">
        <v>8</v>
      </c>
      <c r="F141">
        <v>4</v>
      </c>
      <c r="G141">
        <v>1</v>
      </c>
      <c r="H141">
        <f>표4[[#This Row],[공격성공횟수]]/(표4[[#This Row],[공격실패횟수]]+표4[[#This Row],[공격성공횟수]])</f>
        <v>0.1111111111111111</v>
      </c>
    </row>
    <row r="142" spans="1:8" x14ac:dyDescent="0.4">
      <c r="A142">
        <v>71</v>
      </c>
      <c r="B142" t="s">
        <v>3</v>
      </c>
      <c r="C142">
        <v>0</v>
      </c>
      <c r="D142">
        <v>2</v>
      </c>
      <c r="E142">
        <v>5</v>
      </c>
      <c r="F142">
        <v>4</v>
      </c>
      <c r="G142">
        <v>1</v>
      </c>
      <c r="H142">
        <f>표4[[#This Row],[공격성공횟수]]/(표4[[#This Row],[공격실패횟수]]+표4[[#This Row],[공격성공횟수]])</f>
        <v>0.2857142857142857</v>
      </c>
    </row>
    <row r="143" spans="1:8" hidden="1" x14ac:dyDescent="0.4">
      <c r="A143">
        <v>71</v>
      </c>
      <c r="B143" t="s">
        <v>2</v>
      </c>
      <c r="C143">
        <v>1</v>
      </c>
      <c r="D143">
        <v>4</v>
      </c>
      <c r="E143">
        <v>11</v>
      </c>
      <c r="F143">
        <v>2</v>
      </c>
      <c r="G143">
        <v>0</v>
      </c>
      <c r="H143">
        <f>표4[[#This Row],[공격성공횟수]]/(표4[[#This Row],[공격실패횟수]]+표4[[#This Row],[공격성공횟수]])</f>
        <v>0.26666666666666666</v>
      </c>
    </row>
    <row r="144" spans="1:8" x14ac:dyDescent="0.4">
      <c r="A144">
        <v>72</v>
      </c>
      <c r="B144" t="s">
        <v>3</v>
      </c>
      <c r="C144">
        <v>1</v>
      </c>
      <c r="D144">
        <v>4</v>
      </c>
      <c r="E144">
        <v>15</v>
      </c>
      <c r="F144">
        <v>0</v>
      </c>
      <c r="G144">
        <v>0</v>
      </c>
      <c r="H144">
        <f>표4[[#This Row],[공격성공횟수]]/(표4[[#This Row],[공격실패횟수]]+표4[[#This Row],[공격성공횟수]])</f>
        <v>0.21052631578947367</v>
      </c>
    </row>
    <row r="145" spans="1:8" hidden="1" x14ac:dyDescent="0.4">
      <c r="A145">
        <v>72</v>
      </c>
      <c r="B145" t="s">
        <v>2</v>
      </c>
      <c r="C145">
        <v>0</v>
      </c>
      <c r="D145">
        <v>0</v>
      </c>
      <c r="E145">
        <v>18</v>
      </c>
      <c r="F145">
        <v>4</v>
      </c>
      <c r="G145">
        <v>1</v>
      </c>
      <c r="H145">
        <f>표4[[#This Row],[공격성공횟수]]/(표4[[#This Row],[공격실패횟수]]+표4[[#This Row],[공격성공횟수]])</f>
        <v>0</v>
      </c>
    </row>
    <row r="146" spans="1:8" x14ac:dyDescent="0.4">
      <c r="A146">
        <v>73</v>
      </c>
      <c r="B146" t="s">
        <v>3</v>
      </c>
      <c r="C146">
        <v>1</v>
      </c>
      <c r="D146">
        <v>4</v>
      </c>
      <c r="E146">
        <v>15</v>
      </c>
      <c r="F146">
        <v>3</v>
      </c>
      <c r="G146">
        <v>0</v>
      </c>
      <c r="H146">
        <f>표4[[#This Row],[공격성공횟수]]/(표4[[#This Row],[공격실패횟수]]+표4[[#This Row],[공격성공횟수]])</f>
        <v>0.21052631578947367</v>
      </c>
    </row>
    <row r="147" spans="1:8" hidden="1" x14ac:dyDescent="0.4">
      <c r="A147">
        <v>73</v>
      </c>
      <c r="B147" t="s">
        <v>2</v>
      </c>
      <c r="C147">
        <v>0</v>
      </c>
      <c r="D147">
        <v>3</v>
      </c>
      <c r="E147">
        <v>14</v>
      </c>
      <c r="F147">
        <v>4</v>
      </c>
      <c r="G147">
        <v>1</v>
      </c>
      <c r="H147">
        <f>표4[[#This Row],[공격성공횟수]]/(표4[[#This Row],[공격실패횟수]]+표4[[#This Row],[공격성공횟수]])</f>
        <v>0.17647058823529413</v>
      </c>
    </row>
    <row r="148" spans="1:8" x14ac:dyDescent="0.4">
      <c r="A148">
        <v>74</v>
      </c>
      <c r="B148" t="s">
        <v>3</v>
      </c>
      <c r="C148">
        <v>0</v>
      </c>
      <c r="D148">
        <v>0</v>
      </c>
      <c r="E148">
        <v>3</v>
      </c>
      <c r="F148">
        <v>4</v>
      </c>
      <c r="G148">
        <v>1</v>
      </c>
      <c r="H148">
        <f>표4[[#This Row],[공격성공횟수]]/(표4[[#This Row],[공격실패횟수]]+표4[[#This Row],[공격성공횟수]])</f>
        <v>0</v>
      </c>
    </row>
    <row r="149" spans="1:8" hidden="1" x14ac:dyDescent="0.4">
      <c r="A149">
        <v>74</v>
      </c>
      <c r="B149" t="s">
        <v>2</v>
      </c>
      <c r="C149">
        <v>1</v>
      </c>
      <c r="D149">
        <v>4</v>
      </c>
      <c r="E149">
        <v>42</v>
      </c>
      <c r="F149">
        <v>0</v>
      </c>
      <c r="G149">
        <v>0</v>
      </c>
      <c r="H149">
        <f>표4[[#This Row],[공격성공횟수]]/(표4[[#This Row],[공격실패횟수]]+표4[[#This Row],[공격성공횟수]])</f>
        <v>8.6956521739130432E-2</v>
      </c>
    </row>
    <row r="150" spans="1:8" x14ac:dyDescent="0.4">
      <c r="A150">
        <v>75</v>
      </c>
      <c r="B150" t="s">
        <v>3</v>
      </c>
      <c r="C150">
        <v>1</v>
      </c>
      <c r="D150">
        <v>4</v>
      </c>
      <c r="E150">
        <v>13</v>
      </c>
      <c r="F150">
        <v>1</v>
      </c>
      <c r="G150">
        <v>0</v>
      </c>
      <c r="H150">
        <f>표4[[#This Row],[공격성공횟수]]/(표4[[#This Row],[공격실패횟수]]+표4[[#This Row],[공격성공횟수]])</f>
        <v>0.23529411764705882</v>
      </c>
    </row>
    <row r="151" spans="1:8" hidden="1" x14ac:dyDescent="0.4">
      <c r="A151">
        <v>75</v>
      </c>
      <c r="B151" t="s">
        <v>2</v>
      </c>
      <c r="C151">
        <v>0</v>
      </c>
      <c r="D151">
        <v>1</v>
      </c>
      <c r="E151">
        <v>14</v>
      </c>
      <c r="F151">
        <v>4</v>
      </c>
      <c r="G151">
        <v>1</v>
      </c>
      <c r="H151">
        <f>표4[[#This Row],[공격성공횟수]]/(표4[[#This Row],[공격실패횟수]]+표4[[#This Row],[공격성공횟수]])</f>
        <v>6.6666666666666666E-2</v>
      </c>
    </row>
    <row r="152" spans="1:8" x14ac:dyDescent="0.4">
      <c r="A152">
        <v>76</v>
      </c>
      <c r="B152" t="s">
        <v>3</v>
      </c>
      <c r="C152">
        <v>1</v>
      </c>
      <c r="D152">
        <v>4</v>
      </c>
      <c r="E152">
        <v>7</v>
      </c>
      <c r="F152">
        <v>0</v>
      </c>
      <c r="G152">
        <v>0</v>
      </c>
      <c r="H152">
        <f>표4[[#This Row],[공격성공횟수]]/(표4[[#This Row],[공격실패횟수]]+표4[[#This Row],[공격성공횟수]])</f>
        <v>0.36363636363636365</v>
      </c>
    </row>
    <row r="153" spans="1:8" hidden="1" x14ac:dyDescent="0.4">
      <c r="A153">
        <v>76</v>
      </c>
      <c r="B153" t="s">
        <v>2</v>
      </c>
      <c r="C153">
        <v>0</v>
      </c>
      <c r="D153">
        <v>0</v>
      </c>
      <c r="E153">
        <v>10</v>
      </c>
      <c r="F153">
        <v>4</v>
      </c>
      <c r="G153">
        <v>1</v>
      </c>
      <c r="H153">
        <f>표4[[#This Row],[공격성공횟수]]/(표4[[#This Row],[공격실패횟수]]+표4[[#This Row],[공격성공횟수]])</f>
        <v>0</v>
      </c>
    </row>
    <row r="154" spans="1:8" x14ac:dyDescent="0.4">
      <c r="A154">
        <v>77</v>
      </c>
      <c r="B154" t="s">
        <v>3</v>
      </c>
      <c r="C154">
        <v>1</v>
      </c>
      <c r="D154">
        <v>4</v>
      </c>
      <c r="E154">
        <v>2</v>
      </c>
      <c r="F154">
        <v>3</v>
      </c>
      <c r="G154">
        <v>0</v>
      </c>
      <c r="H154">
        <f>표4[[#This Row],[공격성공횟수]]/(표4[[#This Row],[공격실패횟수]]+표4[[#This Row],[공격성공횟수]])</f>
        <v>0.66666666666666663</v>
      </c>
    </row>
    <row r="155" spans="1:8" hidden="1" x14ac:dyDescent="0.4">
      <c r="A155">
        <v>77</v>
      </c>
      <c r="B155" t="s">
        <v>2</v>
      </c>
      <c r="C155">
        <v>0</v>
      </c>
      <c r="D155">
        <v>3</v>
      </c>
      <c r="E155">
        <v>3</v>
      </c>
      <c r="F155">
        <v>4</v>
      </c>
      <c r="G155">
        <v>1</v>
      </c>
      <c r="H155">
        <f>표4[[#This Row],[공격성공횟수]]/(표4[[#This Row],[공격실패횟수]]+표4[[#This Row],[공격성공횟수]])</f>
        <v>0.5</v>
      </c>
    </row>
    <row r="156" spans="1:8" x14ac:dyDescent="0.4">
      <c r="A156">
        <v>78</v>
      </c>
      <c r="B156" t="s">
        <v>3</v>
      </c>
      <c r="C156">
        <v>0</v>
      </c>
      <c r="D156">
        <v>3</v>
      </c>
      <c r="E156">
        <v>8</v>
      </c>
      <c r="F156">
        <v>4</v>
      </c>
      <c r="G156">
        <v>1</v>
      </c>
      <c r="H156">
        <f>표4[[#This Row],[공격성공횟수]]/(표4[[#This Row],[공격실패횟수]]+표4[[#This Row],[공격성공횟수]])</f>
        <v>0.27272727272727271</v>
      </c>
    </row>
    <row r="157" spans="1:8" hidden="1" x14ac:dyDescent="0.4">
      <c r="A157">
        <v>78</v>
      </c>
      <c r="B157" t="s">
        <v>2</v>
      </c>
      <c r="C157">
        <v>1</v>
      </c>
      <c r="D157">
        <v>4</v>
      </c>
      <c r="E157">
        <v>13</v>
      </c>
      <c r="F157">
        <v>3</v>
      </c>
      <c r="G157">
        <v>0</v>
      </c>
      <c r="H157">
        <f>표4[[#This Row],[공격성공횟수]]/(표4[[#This Row],[공격실패횟수]]+표4[[#This Row],[공격성공횟수]])</f>
        <v>0.23529411764705882</v>
      </c>
    </row>
    <row r="158" spans="1:8" x14ac:dyDescent="0.4">
      <c r="A158">
        <v>79</v>
      </c>
      <c r="B158" t="s">
        <v>3</v>
      </c>
      <c r="C158">
        <v>0</v>
      </c>
      <c r="D158">
        <v>0</v>
      </c>
      <c r="E158">
        <v>5</v>
      </c>
      <c r="F158">
        <v>4</v>
      </c>
      <c r="G158">
        <v>1</v>
      </c>
      <c r="H158">
        <f>표4[[#This Row],[공격성공횟수]]/(표4[[#This Row],[공격실패횟수]]+표4[[#This Row],[공격성공횟수]])</f>
        <v>0</v>
      </c>
    </row>
    <row r="159" spans="1:8" hidden="1" x14ac:dyDescent="0.4">
      <c r="A159">
        <v>79</v>
      </c>
      <c r="B159" t="s">
        <v>2</v>
      </c>
      <c r="C159">
        <v>1</v>
      </c>
      <c r="D159">
        <v>4</v>
      </c>
      <c r="E159">
        <v>8</v>
      </c>
      <c r="F159">
        <v>0</v>
      </c>
      <c r="G159">
        <v>0</v>
      </c>
      <c r="H159">
        <f>표4[[#This Row],[공격성공횟수]]/(표4[[#This Row],[공격실패횟수]]+표4[[#This Row],[공격성공횟수]])</f>
        <v>0.33333333333333331</v>
      </c>
    </row>
    <row r="160" spans="1:8" x14ac:dyDescent="0.4">
      <c r="A160">
        <v>80</v>
      </c>
      <c r="B160" t="s">
        <v>3</v>
      </c>
      <c r="C160">
        <v>0</v>
      </c>
      <c r="D160">
        <v>3</v>
      </c>
      <c r="E160">
        <v>4</v>
      </c>
      <c r="F160">
        <v>4</v>
      </c>
      <c r="G160">
        <v>1</v>
      </c>
      <c r="H160">
        <f>표4[[#This Row],[공격성공횟수]]/(표4[[#This Row],[공격실패횟수]]+표4[[#This Row],[공격성공횟수]])</f>
        <v>0.42857142857142855</v>
      </c>
    </row>
    <row r="161" spans="1:8" hidden="1" x14ac:dyDescent="0.4">
      <c r="A161">
        <v>80</v>
      </c>
      <c r="B161" t="s">
        <v>2</v>
      </c>
      <c r="C161">
        <v>1</v>
      </c>
      <c r="D161">
        <v>4</v>
      </c>
      <c r="E161">
        <v>19</v>
      </c>
      <c r="F161">
        <v>3</v>
      </c>
      <c r="G161">
        <v>0</v>
      </c>
      <c r="H161">
        <f>표4[[#This Row],[공격성공횟수]]/(표4[[#This Row],[공격실패횟수]]+표4[[#This Row],[공격성공횟수]])</f>
        <v>0.17391304347826086</v>
      </c>
    </row>
    <row r="162" spans="1:8" x14ac:dyDescent="0.4">
      <c r="A162">
        <v>81</v>
      </c>
      <c r="B162" t="s">
        <v>3</v>
      </c>
      <c r="C162">
        <v>1</v>
      </c>
      <c r="D162">
        <v>4</v>
      </c>
      <c r="E162">
        <v>90</v>
      </c>
      <c r="F162">
        <v>1</v>
      </c>
      <c r="G162">
        <v>0</v>
      </c>
      <c r="H162">
        <f>표4[[#This Row],[공격성공횟수]]/(표4[[#This Row],[공격실패횟수]]+표4[[#This Row],[공격성공횟수]])</f>
        <v>4.2553191489361701E-2</v>
      </c>
    </row>
    <row r="163" spans="1:8" hidden="1" x14ac:dyDescent="0.4">
      <c r="A163">
        <v>81</v>
      </c>
      <c r="B163" t="s">
        <v>2</v>
      </c>
      <c r="C163">
        <v>0</v>
      </c>
      <c r="D163">
        <v>1</v>
      </c>
      <c r="E163">
        <v>94</v>
      </c>
      <c r="F163">
        <v>4</v>
      </c>
      <c r="G163">
        <v>1</v>
      </c>
      <c r="H163">
        <f>표4[[#This Row],[공격성공횟수]]/(표4[[#This Row],[공격실패횟수]]+표4[[#This Row],[공격성공횟수]])</f>
        <v>1.0526315789473684E-2</v>
      </c>
    </row>
    <row r="164" spans="1:8" x14ac:dyDescent="0.4">
      <c r="A164">
        <v>82</v>
      </c>
      <c r="B164" t="s">
        <v>3</v>
      </c>
      <c r="C164">
        <v>0</v>
      </c>
      <c r="D164">
        <v>2</v>
      </c>
      <c r="E164">
        <v>26</v>
      </c>
      <c r="F164">
        <v>4</v>
      </c>
      <c r="G164">
        <v>1</v>
      </c>
      <c r="H164">
        <f>표4[[#This Row],[공격성공횟수]]/(표4[[#This Row],[공격실패횟수]]+표4[[#This Row],[공격성공횟수]])</f>
        <v>7.1428571428571425E-2</v>
      </c>
    </row>
    <row r="165" spans="1:8" hidden="1" x14ac:dyDescent="0.4">
      <c r="A165">
        <v>82</v>
      </c>
      <c r="B165" t="s">
        <v>2</v>
      </c>
      <c r="C165">
        <v>1</v>
      </c>
      <c r="D165">
        <v>4</v>
      </c>
      <c r="E165">
        <v>24</v>
      </c>
      <c r="F165">
        <v>2</v>
      </c>
      <c r="G165">
        <v>0</v>
      </c>
      <c r="H165">
        <f>표4[[#This Row],[공격성공횟수]]/(표4[[#This Row],[공격실패횟수]]+표4[[#This Row],[공격성공횟수]])</f>
        <v>0.14285714285714285</v>
      </c>
    </row>
    <row r="166" spans="1:8" x14ac:dyDescent="0.4">
      <c r="A166">
        <v>83</v>
      </c>
      <c r="B166" t="s">
        <v>3</v>
      </c>
      <c r="C166">
        <v>1</v>
      </c>
      <c r="D166">
        <v>4</v>
      </c>
      <c r="E166">
        <v>7</v>
      </c>
      <c r="F166">
        <v>2</v>
      </c>
      <c r="G166">
        <v>0</v>
      </c>
      <c r="H166">
        <f>표4[[#This Row],[공격성공횟수]]/(표4[[#This Row],[공격실패횟수]]+표4[[#This Row],[공격성공횟수]])</f>
        <v>0.36363636363636365</v>
      </c>
    </row>
    <row r="167" spans="1:8" hidden="1" x14ac:dyDescent="0.4">
      <c r="A167">
        <v>83</v>
      </c>
      <c r="B167" t="s">
        <v>2</v>
      </c>
      <c r="C167">
        <v>0</v>
      </c>
      <c r="D167">
        <v>2</v>
      </c>
      <c r="E167">
        <v>46</v>
      </c>
      <c r="F167">
        <v>4</v>
      </c>
      <c r="G167">
        <v>1</v>
      </c>
      <c r="H167">
        <f>표4[[#This Row],[공격성공횟수]]/(표4[[#This Row],[공격실패횟수]]+표4[[#This Row],[공격성공횟수]])</f>
        <v>4.1666666666666664E-2</v>
      </c>
    </row>
    <row r="168" spans="1:8" x14ac:dyDescent="0.4">
      <c r="A168">
        <v>84</v>
      </c>
      <c r="B168" t="s">
        <v>3</v>
      </c>
      <c r="C168">
        <v>1</v>
      </c>
      <c r="D168">
        <v>4</v>
      </c>
      <c r="E168">
        <v>9</v>
      </c>
      <c r="F168">
        <v>1</v>
      </c>
      <c r="G168">
        <v>0</v>
      </c>
      <c r="H168">
        <f>표4[[#This Row],[공격성공횟수]]/(표4[[#This Row],[공격실패횟수]]+표4[[#This Row],[공격성공횟수]])</f>
        <v>0.30769230769230771</v>
      </c>
    </row>
    <row r="169" spans="1:8" hidden="1" x14ac:dyDescent="0.4">
      <c r="A169">
        <v>84</v>
      </c>
      <c r="B169" t="s">
        <v>2</v>
      </c>
      <c r="C169">
        <v>0</v>
      </c>
      <c r="D169">
        <v>1</v>
      </c>
      <c r="E169">
        <v>12</v>
      </c>
      <c r="F169">
        <v>4</v>
      </c>
      <c r="G169">
        <v>1</v>
      </c>
      <c r="H169">
        <f>표4[[#This Row],[공격성공횟수]]/(표4[[#This Row],[공격실패횟수]]+표4[[#This Row],[공격성공횟수]])</f>
        <v>7.6923076923076927E-2</v>
      </c>
    </row>
    <row r="170" spans="1:8" x14ac:dyDescent="0.4">
      <c r="A170">
        <v>85</v>
      </c>
      <c r="B170" t="s">
        <v>3</v>
      </c>
      <c r="C170">
        <v>1</v>
      </c>
      <c r="D170">
        <v>4</v>
      </c>
      <c r="E170">
        <v>5</v>
      </c>
      <c r="F170">
        <v>2</v>
      </c>
      <c r="G170">
        <v>0</v>
      </c>
      <c r="H170">
        <f>표4[[#This Row],[공격성공횟수]]/(표4[[#This Row],[공격실패횟수]]+표4[[#This Row],[공격성공횟수]])</f>
        <v>0.44444444444444442</v>
      </c>
    </row>
    <row r="171" spans="1:8" hidden="1" x14ac:dyDescent="0.4">
      <c r="A171">
        <v>85</v>
      </c>
      <c r="B171" t="s">
        <v>2</v>
      </c>
      <c r="C171">
        <v>0</v>
      </c>
      <c r="D171">
        <v>2</v>
      </c>
      <c r="E171">
        <v>7</v>
      </c>
      <c r="F171">
        <v>4</v>
      </c>
      <c r="G171">
        <v>1</v>
      </c>
      <c r="H171">
        <f>표4[[#This Row],[공격성공횟수]]/(표4[[#This Row],[공격실패횟수]]+표4[[#This Row],[공격성공횟수]])</f>
        <v>0.22222222222222221</v>
      </c>
    </row>
    <row r="172" spans="1:8" x14ac:dyDescent="0.4">
      <c r="A172">
        <v>86</v>
      </c>
      <c r="B172" t="s">
        <v>3</v>
      </c>
      <c r="C172">
        <v>1</v>
      </c>
      <c r="D172">
        <v>4</v>
      </c>
      <c r="E172">
        <v>29</v>
      </c>
      <c r="F172">
        <v>2</v>
      </c>
      <c r="G172">
        <v>0</v>
      </c>
      <c r="H172">
        <f>표4[[#This Row],[공격성공횟수]]/(표4[[#This Row],[공격실패횟수]]+표4[[#This Row],[공격성공횟수]])</f>
        <v>0.12121212121212122</v>
      </c>
    </row>
    <row r="173" spans="1:8" hidden="1" x14ac:dyDescent="0.4">
      <c r="A173">
        <v>86</v>
      </c>
      <c r="B173" t="s">
        <v>2</v>
      </c>
      <c r="C173">
        <v>0</v>
      </c>
      <c r="D173">
        <v>2</v>
      </c>
      <c r="E173">
        <v>40</v>
      </c>
      <c r="F173">
        <v>4</v>
      </c>
      <c r="G173">
        <v>1</v>
      </c>
      <c r="H173">
        <f>표4[[#This Row],[공격성공횟수]]/(표4[[#This Row],[공격실패횟수]]+표4[[#This Row],[공격성공횟수]])</f>
        <v>4.7619047619047616E-2</v>
      </c>
    </row>
    <row r="174" spans="1:8" x14ac:dyDescent="0.4">
      <c r="A174">
        <v>87</v>
      </c>
      <c r="B174" t="s">
        <v>3</v>
      </c>
      <c r="C174">
        <v>1</v>
      </c>
      <c r="D174">
        <v>4</v>
      </c>
      <c r="E174">
        <v>7</v>
      </c>
      <c r="F174">
        <v>1</v>
      </c>
      <c r="G174">
        <v>0</v>
      </c>
      <c r="H174">
        <f>표4[[#This Row],[공격성공횟수]]/(표4[[#This Row],[공격실패횟수]]+표4[[#This Row],[공격성공횟수]])</f>
        <v>0.36363636363636365</v>
      </c>
    </row>
    <row r="175" spans="1:8" hidden="1" x14ac:dyDescent="0.4">
      <c r="A175">
        <v>87</v>
      </c>
      <c r="B175" t="s">
        <v>2</v>
      </c>
      <c r="C175">
        <v>0</v>
      </c>
      <c r="D175">
        <v>1</v>
      </c>
      <c r="E175">
        <v>9</v>
      </c>
      <c r="F175">
        <v>4</v>
      </c>
      <c r="G175">
        <v>1</v>
      </c>
      <c r="H175">
        <f>표4[[#This Row],[공격성공횟수]]/(표4[[#This Row],[공격실패횟수]]+표4[[#This Row],[공격성공횟수]])</f>
        <v>0.1</v>
      </c>
    </row>
    <row r="176" spans="1:8" x14ac:dyDescent="0.4">
      <c r="A176">
        <v>88</v>
      </c>
      <c r="B176" t="s">
        <v>3</v>
      </c>
      <c r="C176">
        <v>1</v>
      </c>
      <c r="D176">
        <v>4</v>
      </c>
      <c r="E176">
        <v>3</v>
      </c>
      <c r="F176">
        <v>1</v>
      </c>
      <c r="G176">
        <v>0</v>
      </c>
      <c r="H176">
        <f>표4[[#This Row],[공격성공횟수]]/(표4[[#This Row],[공격실패횟수]]+표4[[#This Row],[공격성공횟수]])</f>
        <v>0.5714285714285714</v>
      </c>
    </row>
    <row r="177" spans="1:8" hidden="1" x14ac:dyDescent="0.4">
      <c r="A177">
        <v>88</v>
      </c>
      <c r="B177" t="s">
        <v>2</v>
      </c>
      <c r="C177">
        <v>0</v>
      </c>
      <c r="D177">
        <v>1</v>
      </c>
      <c r="E177">
        <v>6</v>
      </c>
      <c r="F177">
        <v>4</v>
      </c>
      <c r="G177">
        <v>1</v>
      </c>
      <c r="H177">
        <f>표4[[#This Row],[공격성공횟수]]/(표4[[#This Row],[공격실패횟수]]+표4[[#This Row],[공격성공횟수]])</f>
        <v>0.14285714285714285</v>
      </c>
    </row>
    <row r="178" spans="1:8" x14ac:dyDescent="0.4">
      <c r="A178">
        <v>89</v>
      </c>
      <c r="B178" t="s">
        <v>3</v>
      </c>
      <c r="C178">
        <v>0</v>
      </c>
      <c r="D178">
        <v>0</v>
      </c>
      <c r="E178">
        <v>4</v>
      </c>
      <c r="F178">
        <v>4</v>
      </c>
      <c r="G178">
        <v>1</v>
      </c>
      <c r="H178">
        <f>표4[[#This Row],[공격성공횟수]]/(표4[[#This Row],[공격실패횟수]]+표4[[#This Row],[공격성공횟수]])</f>
        <v>0</v>
      </c>
    </row>
    <row r="179" spans="1:8" hidden="1" x14ac:dyDescent="0.4">
      <c r="A179">
        <v>89</v>
      </c>
      <c r="B179" t="s">
        <v>2</v>
      </c>
      <c r="C179">
        <v>1</v>
      </c>
      <c r="D179">
        <v>4</v>
      </c>
      <c r="E179">
        <v>8</v>
      </c>
      <c r="F179">
        <v>0</v>
      </c>
      <c r="G179">
        <v>0</v>
      </c>
      <c r="H179">
        <f>표4[[#This Row],[공격성공횟수]]/(표4[[#This Row],[공격실패횟수]]+표4[[#This Row],[공격성공횟수]])</f>
        <v>0.33333333333333331</v>
      </c>
    </row>
    <row r="180" spans="1:8" x14ac:dyDescent="0.4">
      <c r="A180">
        <v>90</v>
      </c>
      <c r="B180" t="s">
        <v>3</v>
      </c>
      <c r="C180">
        <v>0</v>
      </c>
      <c r="D180">
        <v>3</v>
      </c>
      <c r="E180">
        <v>10</v>
      </c>
      <c r="F180">
        <v>4</v>
      </c>
      <c r="G180">
        <v>1</v>
      </c>
      <c r="H180">
        <f>표4[[#This Row],[공격성공횟수]]/(표4[[#This Row],[공격실패횟수]]+표4[[#This Row],[공격성공횟수]])</f>
        <v>0.23076923076923078</v>
      </c>
    </row>
    <row r="181" spans="1:8" hidden="1" x14ac:dyDescent="0.4">
      <c r="A181">
        <v>90</v>
      </c>
      <c r="B181" t="s">
        <v>2</v>
      </c>
      <c r="C181">
        <v>1</v>
      </c>
      <c r="D181">
        <v>4</v>
      </c>
      <c r="E181">
        <v>9</v>
      </c>
      <c r="F181">
        <v>3</v>
      </c>
      <c r="G181">
        <v>0</v>
      </c>
      <c r="H181">
        <f>표4[[#This Row],[공격성공횟수]]/(표4[[#This Row],[공격실패횟수]]+표4[[#This Row],[공격성공횟수]])</f>
        <v>0.30769230769230771</v>
      </c>
    </row>
    <row r="182" spans="1:8" x14ac:dyDescent="0.4">
      <c r="A182">
        <v>91</v>
      </c>
      <c r="B182" t="s">
        <v>3</v>
      </c>
      <c r="C182">
        <v>1</v>
      </c>
      <c r="D182">
        <v>4</v>
      </c>
      <c r="E182">
        <v>7</v>
      </c>
      <c r="F182">
        <v>3</v>
      </c>
      <c r="G182">
        <v>0</v>
      </c>
      <c r="H182">
        <f>표4[[#This Row],[공격성공횟수]]/(표4[[#This Row],[공격실패횟수]]+표4[[#This Row],[공격성공횟수]])</f>
        <v>0.36363636363636365</v>
      </c>
    </row>
    <row r="183" spans="1:8" hidden="1" x14ac:dyDescent="0.4">
      <c r="A183">
        <v>91</v>
      </c>
      <c r="B183" t="s">
        <v>2</v>
      </c>
      <c r="C183">
        <v>0</v>
      </c>
      <c r="D183">
        <v>3</v>
      </c>
      <c r="E183">
        <v>21</v>
      </c>
      <c r="F183">
        <v>4</v>
      </c>
      <c r="G183">
        <v>1</v>
      </c>
      <c r="H183">
        <f>표4[[#This Row],[공격성공횟수]]/(표4[[#This Row],[공격실패횟수]]+표4[[#This Row],[공격성공횟수]])</f>
        <v>0.125</v>
      </c>
    </row>
    <row r="184" spans="1:8" x14ac:dyDescent="0.4">
      <c r="A184">
        <v>92</v>
      </c>
      <c r="B184" t="s">
        <v>3</v>
      </c>
      <c r="C184">
        <v>1</v>
      </c>
      <c r="D184">
        <v>4</v>
      </c>
      <c r="E184">
        <v>10</v>
      </c>
      <c r="F184">
        <v>1</v>
      </c>
      <c r="G184">
        <v>0</v>
      </c>
      <c r="H184">
        <f>표4[[#This Row],[공격성공횟수]]/(표4[[#This Row],[공격실패횟수]]+표4[[#This Row],[공격성공횟수]])</f>
        <v>0.2857142857142857</v>
      </c>
    </row>
    <row r="185" spans="1:8" hidden="1" x14ac:dyDescent="0.4">
      <c r="A185">
        <v>92</v>
      </c>
      <c r="B185" t="s">
        <v>2</v>
      </c>
      <c r="C185">
        <v>0</v>
      </c>
      <c r="D185">
        <v>1</v>
      </c>
      <c r="E185">
        <v>27</v>
      </c>
      <c r="F185">
        <v>4</v>
      </c>
      <c r="G185">
        <v>1</v>
      </c>
      <c r="H185">
        <f>표4[[#This Row],[공격성공횟수]]/(표4[[#This Row],[공격실패횟수]]+표4[[#This Row],[공격성공횟수]])</f>
        <v>3.5714285714285712E-2</v>
      </c>
    </row>
    <row r="186" spans="1:8" x14ac:dyDescent="0.4">
      <c r="A186">
        <v>93</v>
      </c>
      <c r="B186" t="s">
        <v>3</v>
      </c>
      <c r="C186">
        <v>0</v>
      </c>
      <c r="D186">
        <v>1</v>
      </c>
      <c r="E186">
        <v>10</v>
      </c>
      <c r="F186">
        <v>4</v>
      </c>
      <c r="G186">
        <v>1</v>
      </c>
      <c r="H186">
        <f>표4[[#This Row],[공격성공횟수]]/(표4[[#This Row],[공격실패횟수]]+표4[[#This Row],[공격성공횟수]])</f>
        <v>9.0909090909090912E-2</v>
      </c>
    </row>
    <row r="187" spans="1:8" hidden="1" x14ac:dyDescent="0.4">
      <c r="A187">
        <v>93</v>
      </c>
      <c r="B187" t="s">
        <v>2</v>
      </c>
      <c r="C187">
        <v>1</v>
      </c>
      <c r="D187">
        <v>4</v>
      </c>
      <c r="E187">
        <v>13</v>
      </c>
      <c r="F187">
        <v>1</v>
      </c>
      <c r="G187">
        <v>0</v>
      </c>
      <c r="H187">
        <f>표4[[#This Row],[공격성공횟수]]/(표4[[#This Row],[공격실패횟수]]+표4[[#This Row],[공격성공횟수]])</f>
        <v>0.23529411764705882</v>
      </c>
    </row>
    <row r="188" spans="1:8" x14ac:dyDescent="0.4">
      <c r="A188">
        <v>94</v>
      </c>
      <c r="B188" t="s">
        <v>3</v>
      </c>
      <c r="C188">
        <v>0</v>
      </c>
      <c r="D188">
        <v>3</v>
      </c>
      <c r="E188">
        <v>4</v>
      </c>
      <c r="F188">
        <v>4</v>
      </c>
      <c r="G188">
        <v>1</v>
      </c>
      <c r="H188">
        <f>표4[[#This Row],[공격성공횟수]]/(표4[[#This Row],[공격실패횟수]]+표4[[#This Row],[공격성공횟수]])</f>
        <v>0.42857142857142855</v>
      </c>
    </row>
    <row r="189" spans="1:8" hidden="1" x14ac:dyDescent="0.4">
      <c r="A189">
        <v>94</v>
      </c>
      <c r="B189" t="s">
        <v>2</v>
      </c>
      <c r="C189">
        <v>1</v>
      </c>
      <c r="D189">
        <v>4</v>
      </c>
      <c r="E189">
        <v>3</v>
      </c>
      <c r="F189">
        <v>3</v>
      </c>
      <c r="G189">
        <v>0</v>
      </c>
      <c r="H189">
        <f>표4[[#This Row],[공격성공횟수]]/(표4[[#This Row],[공격실패횟수]]+표4[[#This Row],[공격성공횟수]])</f>
        <v>0.5714285714285714</v>
      </c>
    </row>
    <row r="190" spans="1:8" x14ac:dyDescent="0.4">
      <c r="A190">
        <v>95</v>
      </c>
      <c r="B190" t="s">
        <v>3</v>
      </c>
      <c r="C190">
        <v>0</v>
      </c>
      <c r="D190">
        <v>0</v>
      </c>
      <c r="E190">
        <v>11</v>
      </c>
      <c r="F190">
        <v>4</v>
      </c>
      <c r="G190">
        <v>1</v>
      </c>
      <c r="H190">
        <f>표4[[#This Row],[공격성공횟수]]/(표4[[#This Row],[공격실패횟수]]+표4[[#This Row],[공격성공횟수]])</f>
        <v>0</v>
      </c>
    </row>
    <row r="191" spans="1:8" hidden="1" x14ac:dyDescent="0.4">
      <c r="A191">
        <v>95</v>
      </c>
      <c r="B191" t="s">
        <v>2</v>
      </c>
      <c r="C191">
        <v>1</v>
      </c>
      <c r="D191">
        <v>4</v>
      </c>
      <c r="E191">
        <v>7</v>
      </c>
      <c r="F191">
        <v>0</v>
      </c>
      <c r="G191">
        <v>0</v>
      </c>
      <c r="H191">
        <f>표4[[#This Row],[공격성공횟수]]/(표4[[#This Row],[공격실패횟수]]+표4[[#This Row],[공격성공횟수]])</f>
        <v>0.36363636363636365</v>
      </c>
    </row>
    <row r="192" spans="1:8" x14ac:dyDescent="0.4">
      <c r="A192">
        <v>96</v>
      </c>
      <c r="B192" t="s">
        <v>3</v>
      </c>
      <c r="C192">
        <v>0</v>
      </c>
      <c r="D192">
        <v>0</v>
      </c>
      <c r="E192">
        <v>3</v>
      </c>
      <c r="F192">
        <v>4</v>
      </c>
      <c r="G192">
        <v>1</v>
      </c>
      <c r="H192">
        <f>표4[[#This Row],[공격성공횟수]]/(표4[[#This Row],[공격실패횟수]]+표4[[#This Row],[공격성공횟수]])</f>
        <v>0</v>
      </c>
    </row>
    <row r="193" spans="1:8" hidden="1" x14ac:dyDescent="0.4">
      <c r="A193">
        <v>96</v>
      </c>
      <c r="B193" t="s">
        <v>2</v>
      </c>
      <c r="C193">
        <v>1</v>
      </c>
      <c r="D193">
        <v>4</v>
      </c>
      <c r="E193">
        <v>9</v>
      </c>
      <c r="F193">
        <v>0</v>
      </c>
      <c r="G193">
        <v>0</v>
      </c>
      <c r="H193">
        <f>표4[[#This Row],[공격성공횟수]]/(표4[[#This Row],[공격실패횟수]]+표4[[#This Row],[공격성공횟수]])</f>
        <v>0.30769230769230771</v>
      </c>
    </row>
    <row r="194" spans="1:8" x14ac:dyDescent="0.4">
      <c r="A194">
        <v>97</v>
      </c>
      <c r="B194" t="s">
        <v>3</v>
      </c>
      <c r="C194">
        <v>1</v>
      </c>
      <c r="D194">
        <v>4</v>
      </c>
      <c r="E194">
        <v>16</v>
      </c>
      <c r="F194">
        <v>2</v>
      </c>
      <c r="G194">
        <v>0</v>
      </c>
      <c r="H194">
        <f>표4[[#This Row],[공격성공횟수]]/(표4[[#This Row],[공격실패횟수]]+표4[[#This Row],[공격성공횟수]])</f>
        <v>0.2</v>
      </c>
    </row>
    <row r="195" spans="1:8" hidden="1" x14ac:dyDescent="0.4">
      <c r="A195">
        <v>97</v>
      </c>
      <c r="B195" t="s">
        <v>2</v>
      </c>
      <c r="C195">
        <v>0</v>
      </c>
      <c r="D195">
        <v>2</v>
      </c>
      <c r="E195">
        <v>21</v>
      </c>
      <c r="F195">
        <v>4</v>
      </c>
      <c r="G195">
        <v>1</v>
      </c>
      <c r="H195">
        <f>표4[[#This Row],[공격성공횟수]]/(표4[[#This Row],[공격실패횟수]]+표4[[#This Row],[공격성공횟수]])</f>
        <v>8.6956521739130432E-2</v>
      </c>
    </row>
    <row r="196" spans="1:8" x14ac:dyDescent="0.4">
      <c r="A196">
        <v>98</v>
      </c>
      <c r="B196" t="s">
        <v>3</v>
      </c>
      <c r="C196">
        <v>1</v>
      </c>
      <c r="D196">
        <v>4</v>
      </c>
      <c r="E196">
        <v>75</v>
      </c>
      <c r="F196">
        <v>0</v>
      </c>
      <c r="G196">
        <v>0</v>
      </c>
      <c r="H196">
        <f>표4[[#This Row],[공격성공횟수]]/(표4[[#This Row],[공격실패횟수]]+표4[[#This Row],[공격성공횟수]])</f>
        <v>5.0632911392405063E-2</v>
      </c>
    </row>
    <row r="197" spans="1:8" hidden="1" x14ac:dyDescent="0.4">
      <c r="A197">
        <v>98</v>
      </c>
      <c r="B197" t="s">
        <v>2</v>
      </c>
      <c r="C197">
        <v>0</v>
      </c>
      <c r="D197">
        <v>0</v>
      </c>
      <c r="E197">
        <v>81</v>
      </c>
      <c r="F197">
        <v>4</v>
      </c>
      <c r="G197">
        <v>1</v>
      </c>
      <c r="H197">
        <f>표4[[#This Row],[공격성공횟수]]/(표4[[#This Row],[공격실패횟수]]+표4[[#This Row],[공격성공횟수]])</f>
        <v>0</v>
      </c>
    </row>
    <row r="198" spans="1:8" x14ac:dyDescent="0.4">
      <c r="A198">
        <v>99</v>
      </c>
      <c r="B198" t="s">
        <v>3</v>
      </c>
      <c r="C198">
        <v>1</v>
      </c>
      <c r="D198">
        <v>4</v>
      </c>
      <c r="E198">
        <v>20</v>
      </c>
      <c r="F198">
        <v>1</v>
      </c>
      <c r="G198">
        <v>0</v>
      </c>
      <c r="H198">
        <f>표4[[#This Row],[공격성공횟수]]/(표4[[#This Row],[공격실패횟수]]+표4[[#This Row],[공격성공횟수]])</f>
        <v>0.16666666666666666</v>
      </c>
    </row>
    <row r="199" spans="1:8" hidden="1" x14ac:dyDescent="0.4">
      <c r="A199">
        <v>99</v>
      </c>
      <c r="B199" t="s">
        <v>2</v>
      </c>
      <c r="C199">
        <v>0</v>
      </c>
      <c r="D199">
        <v>1</v>
      </c>
      <c r="E199">
        <v>22</v>
      </c>
      <c r="F199">
        <v>4</v>
      </c>
      <c r="G199">
        <v>1</v>
      </c>
      <c r="H199">
        <f>표4[[#This Row],[공격성공횟수]]/(표4[[#This Row],[공격실패횟수]]+표4[[#This Row],[공격성공횟수]])</f>
        <v>4.3478260869565216E-2</v>
      </c>
    </row>
    <row r="200" spans="1:8" x14ac:dyDescent="0.4">
      <c r="A200">
        <v>100</v>
      </c>
      <c r="B200" t="s">
        <v>3</v>
      </c>
      <c r="C200">
        <v>1</v>
      </c>
      <c r="D200">
        <v>4</v>
      </c>
      <c r="E200">
        <v>10</v>
      </c>
      <c r="F200">
        <v>1</v>
      </c>
      <c r="G200">
        <v>0</v>
      </c>
      <c r="H200">
        <f>표4[[#This Row],[공격성공횟수]]/(표4[[#This Row],[공격실패횟수]]+표4[[#This Row],[공격성공횟수]])</f>
        <v>0.2857142857142857</v>
      </c>
    </row>
    <row r="201" spans="1:8" hidden="1" x14ac:dyDescent="0.4">
      <c r="A201">
        <v>100</v>
      </c>
      <c r="B201" t="s">
        <v>2</v>
      </c>
      <c r="C201">
        <v>0</v>
      </c>
      <c r="D201">
        <v>1</v>
      </c>
      <c r="E201">
        <v>13</v>
      </c>
      <c r="F201">
        <v>4</v>
      </c>
      <c r="G201">
        <v>1</v>
      </c>
      <c r="H201">
        <f>표4[[#This Row],[공격성공횟수]]/(표4[[#This Row],[공격실패횟수]]+표4[[#This Row],[공격성공횟수]])</f>
        <v>7.1428571428571425E-2</v>
      </c>
    </row>
    <row r="202" spans="1:8" x14ac:dyDescent="0.4">
      <c r="A202">
        <v>101</v>
      </c>
      <c r="B202" t="s">
        <v>3</v>
      </c>
      <c r="C202">
        <v>1</v>
      </c>
      <c r="D202">
        <v>4</v>
      </c>
      <c r="E202">
        <v>7</v>
      </c>
      <c r="F202">
        <v>2</v>
      </c>
      <c r="G202">
        <v>0</v>
      </c>
      <c r="H202">
        <f>표4[[#This Row],[공격성공횟수]]/(표4[[#This Row],[공격실패횟수]]+표4[[#This Row],[공격성공횟수]])</f>
        <v>0.36363636363636365</v>
      </c>
    </row>
    <row r="203" spans="1:8" hidden="1" x14ac:dyDescent="0.4">
      <c r="A203">
        <v>101</v>
      </c>
      <c r="B203" t="s">
        <v>2</v>
      </c>
      <c r="C203">
        <v>0</v>
      </c>
      <c r="D203">
        <v>2</v>
      </c>
      <c r="E203">
        <v>8</v>
      </c>
      <c r="F203">
        <v>4</v>
      </c>
      <c r="G203">
        <v>1</v>
      </c>
      <c r="H203">
        <f>표4[[#This Row],[공격성공횟수]]/(표4[[#This Row],[공격실패횟수]]+표4[[#This Row],[공격성공횟수]])</f>
        <v>0.2</v>
      </c>
    </row>
    <row r="204" spans="1:8" x14ac:dyDescent="0.4">
      <c r="A204">
        <v>102</v>
      </c>
      <c r="B204" t="s">
        <v>3</v>
      </c>
      <c r="C204">
        <v>1</v>
      </c>
      <c r="D204">
        <v>4</v>
      </c>
      <c r="E204">
        <v>15</v>
      </c>
      <c r="F204">
        <v>2</v>
      </c>
      <c r="G204">
        <v>0</v>
      </c>
      <c r="H204">
        <f>표4[[#This Row],[공격성공횟수]]/(표4[[#This Row],[공격실패횟수]]+표4[[#This Row],[공격성공횟수]])</f>
        <v>0.21052631578947367</v>
      </c>
    </row>
    <row r="205" spans="1:8" hidden="1" x14ac:dyDescent="0.4">
      <c r="A205">
        <v>102</v>
      </c>
      <c r="B205" t="s">
        <v>2</v>
      </c>
      <c r="C205">
        <v>0</v>
      </c>
      <c r="D205">
        <v>2</v>
      </c>
      <c r="E205">
        <v>16</v>
      </c>
      <c r="F205">
        <v>4</v>
      </c>
      <c r="G205">
        <v>1</v>
      </c>
      <c r="H205">
        <f>표4[[#This Row],[공격성공횟수]]/(표4[[#This Row],[공격실패횟수]]+표4[[#This Row],[공격성공횟수]])</f>
        <v>0.1111111111111111</v>
      </c>
    </row>
    <row r="206" spans="1:8" x14ac:dyDescent="0.4">
      <c r="A206">
        <v>103</v>
      </c>
      <c r="B206" t="s">
        <v>3</v>
      </c>
      <c r="C206">
        <v>1</v>
      </c>
      <c r="D206">
        <v>4</v>
      </c>
      <c r="E206">
        <v>5</v>
      </c>
      <c r="F206">
        <v>1</v>
      </c>
      <c r="G206">
        <v>0</v>
      </c>
      <c r="H206">
        <f>표4[[#This Row],[공격성공횟수]]/(표4[[#This Row],[공격실패횟수]]+표4[[#This Row],[공격성공횟수]])</f>
        <v>0.44444444444444442</v>
      </c>
    </row>
    <row r="207" spans="1:8" hidden="1" x14ac:dyDescent="0.4">
      <c r="A207">
        <v>103</v>
      </c>
      <c r="B207" t="s">
        <v>2</v>
      </c>
      <c r="C207">
        <v>0</v>
      </c>
      <c r="D207">
        <v>1</v>
      </c>
      <c r="E207">
        <v>8</v>
      </c>
      <c r="F207">
        <v>4</v>
      </c>
      <c r="G207">
        <v>1</v>
      </c>
      <c r="H207">
        <f>표4[[#This Row],[공격성공횟수]]/(표4[[#This Row],[공격실패횟수]]+표4[[#This Row],[공격성공횟수]])</f>
        <v>0.1111111111111111</v>
      </c>
    </row>
    <row r="208" spans="1:8" x14ac:dyDescent="0.4">
      <c r="A208">
        <v>104</v>
      </c>
      <c r="B208" t="s">
        <v>3</v>
      </c>
      <c r="C208">
        <v>1</v>
      </c>
      <c r="D208">
        <v>4</v>
      </c>
      <c r="E208">
        <v>5</v>
      </c>
      <c r="F208">
        <v>0</v>
      </c>
      <c r="G208">
        <v>0</v>
      </c>
      <c r="H208">
        <f>표4[[#This Row],[공격성공횟수]]/(표4[[#This Row],[공격실패횟수]]+표4[[#This Row],[공격성공횟수]])</f>
        <v>0.44444444444444442</v>
      </c>
    </row>
    <row r="209" spans="1:8" hidden="1" x14ac:dyDescent="0.4">
      <c r="A209">
        <v>104</v>
      </c>
      <c r="B209" t="s">
        <v>2</v>
      </c>
      <c r="C209">
        <v>0</v>
      </c>
      <c r="D209">
        <v>0</v>
      </c>
      <c r="E209">
        <v>8</v>
      </c>
      <c r="F209">
        <v>4</v>
      </c>
      <c r="G209">
        <v>1</v>
      </c>
      <c r="H209">
        <f>표4[[#This Row],[공격성공횟수]]/(표4[[#This Row],[공격실패횟수]]+표4[[#This Row],[공격성공횟수]])</f>
        <v>0</v>
      </c>
    </row>
    <row r="210" spans="1:8" x14ac:dyDescent="0.4">
      <c r="A210">
        <v>105</v>
      </c>
      <c r="B210" t="s">
        <v>3</v>
      </c>
      <c r="C210">
        <v>0</v>
      </c>
      <c r="D210">
        <v>2</v>
      </c>
      <c r="E210">
        <v>6</v>
      </c>
      <c r="F210">
        <v>4</v>
      </c>
      <c r="G210">
        <v>1</v>
      </c>
      <c r="H210">
        <f>표4[[#This Row],[공격성공횟수]]/(표4[[#This Row],[공격실패횟수]]+표4[[#This Row],[공격성공횟수]])</f>
        <v>0.25</v>
      </c>
    </row>
    <row r="211" spans="1:8" hidden="1" x14ac:dyDescent="0.4">
      <c r="A211">
        <v>105</v>
      </c>
      <c r="B211" t="s">
        <v>2</v>
      </c>
      <c r="C211">
        <v>1</v>
      </c>
      <c r="D211">
        <v>4</v>
      </c>
      <c r="E211">
        <v>5</v>
      </c>
      <c r="F211">
        <v>2</v>
      </c>
      <c r="G211">
        <v>0</v>
      </c>
      <c r="H211">
        <f>표4[[#This Row],[공격성공횟수]]/(표4[[#This Row],[공격실패횟수]]+표4[[#This Row],[공격성공횟수]])</f>
        <v>0.44444444444444442</v>
      </c>
    </row>
    <row r="212" spans="1:8" x14ac:dyDescent="0.4">
      <c r="A212">
        <v>106</v>
      </c>
      <c r="B212" t="s">
        <v>3</v>
      </c>
      <c r="C212">
        <v>0</v>
      </c>
      <c r="D212">
        <v>1</v>
      </c>
      <c r="E212">
        <v>11</v>
      </c>
      <c r="F212">
        <v>4</v>
      </c>
      <c r="G212">
        <v>1</v>
      </c>
      <c r="H212">
        <f>표4[[#This Row],[공격성공횟수]]/(표4[[#This Row],[공격실패횟수]]+표4[[#This Row],[공격성공횟수]])</f>
        <v>8.3333333333333329E-2</v>
      </c>
    </row>
    <row r="213" spans="1:8" hidden="1" x14ac:dyDescent="0.4">
      <c r="A213">
        <v>106</v>
      </c>
      <c r="B213" t="s">
        <v>2</v>
      </c>
      <c r="C213">
        <v>1</v>
      </c>
      <c r="D213">
        <v>4</v>
      </c>
      <c r="E213">
        <v>8</v>
      </c>
      <c r="F213">
        <v>1</v>
      </c>
      <c r="G213">
        <v>0</v>
      </c>
      <c r="H213">
        <f>표4[[#This Row],[공격성공횟수]]/(표4[[#This Row],[공격실패횟수]]+표4[[#This Row],[공격성공횟수]])</f>
        <v>0.33333333333333331</v>
      </c>
    </row>
    <row r="214" spans="1:8" x14ac:dyDescent="0.4">
      <c r="A214">
        <v>107</v>
      </c>
      <c r="B214" t="s">
        <v>3</v>
      </c>
      <c r="C214">
        <v>1</v>
      </c>
      <c r="D214">
        <v>4</v>
      </c>
      <c r="E214">
        <v>61</v>
      </c>
      <c r="F214">
        <v>0</v>
      </c>
      <c r="G214">
        <v>0</v>
      </c>
      <c r="H214">
        <f>표4[[#This Row],[공격성공횟수]]/(표4[[#This Row],[공격실패횟수]]+표4[[#This Row],[공격성공횟수]])</f>
        <v>6.1538461538461542E-2</v>
      </c>
    </row>
    <row r="215" spans="1:8" hidden="1" x14ac:dyDescent="0.4">
      <c r="A215">
        <v>107</v>
      </c>
      <c r="B215" t="s">
        <v>2</v>
      </c>
      <c r="C215">
        <v>0</v>
      </c>
      <c r="D215">
        <v>0</v>
      </c>
      <c r="E215">
        <v>75</v>
      </c>
      <c r="F215">
        <v>4</v>
      </c>
      <c r="G215">
        <v>1</v>
      </c>
      <c r="H215">
        <f>표4[[#This Row],[공격성공횟수]]/(표4[[#This Row],[공격실패횟수]]+표4[[#This Row],[공격성공횟수]])</f>
        <v>0</v>
      </c>
    </row>
    <row r="216" spans="1:8" x14ac:dyDescent="0.4">
      <c r="A216">
        <v>108</v>
      </c>
      <c r="B216" t="s">
        <v>3</v>
      </c>
      <c r="C216">
        <v>1</v>
      </c>
      <c r="D216">
        <v>4</v>
      </c>
      <c r="E216">
        <v>82</v>
      </c>
      <c r="F216">
        <v>3</v>
      </c>
      <c r="G216">
        <v>0</v>
      </c>
      <c r="H216">
        <f>표4[[#This Row],[공격성공횟수]]/(표4[[#This Row],[공격실패횟수]]+표4[[#This Row],[공격성공횟수]])</f>
        <v>4.6511627906976744E-2</v>
      </c>
    </row>
    <row r="217" spans="1:8" hidden="1" x14ac:dyDescent="0.4">
      <c r="A217">
        <v>108</v>
      </c>
      <c r="B217" t="s">
        <v>2</v>
      </c>
      <c r="C217">
        <v>0</v>
      </c>
      <c r="D217">
        <v>3</v>
      </c>
      <c r="E217">
        <v>103</v>
      </c>
      <c r="F217">
        <v>4</v>
      </c>
      <c r="G217">
        <v>1</v>
      </c>
      <c r="H217">
        <f>표4[[#This Row],[공격성공횟수]]/(표4[[#This Row],[공격실패횟수]]+표4[[#This Row],[공격성공횟수]])</f>
        <v>2.8301886792452831E-2</v>
      </c>
    </row>
    <row r="218" spans="1:8" x14ac:dyDescent="0.4">
      <c r="A218">
        <v>109</v>
      </c>
      <c r="B218" t="s">
        <v>3</v>
      </c>
      <c r="C218">
        <v>1</v>
      </c>
      <c r="D218">
        <v>4</v>
      </c>
      <c r="E218">
        <v>18</v>
      </c>
      <c r="F218">
        <v>0</v>
      </c>
      <c r="G218">
        <v>0</v>
      </c>
      <c r="H218">
        <f>표4[[#This Row],[공격성공횟수]]/(표4[[#This Row],[공격실패횟수]]+표4[[#This Row],[공격성공횟수]])</f>
        <v>0.18181818181818182</v>
      </c>
    </row>
    <row r="219" spans="1:8" hidden="1" x14ac:dyDescent="0.4">
      <c r="A219">
        <v>109</v>
      </c>
      <c r="B219" t="s">
        <v>2</v>
      </c>
      <c r="C219">
        <v>0</v>
      </c>
      <c r="D219">
        <v>0</v>
      </c>
      <c r="E219">
        <v>21</v>
      </c>
      <c r="F219">
        <v>4</v>
      </c>
      <c r="G219">
        <v>1</v>
      </c>
      <c r="H219">
        <f>표4[[#This Row],[공격성공횟수]]/(표4[[#This Row],[공격실패횟수]]+표4[[#This Row],[공격성공횟수]])</f>
        <v>0</v>
      </c>
    </row>
    <row r="220" spans="1:8" x14ac:dyDescent="0.4">
      <c r="A220">
        <v>110</v>
      </c>
      <c r="B220" t="s">
        <v>3</v>
      </c>
      <c r="C220">
        <v>1</v>
      </c>
      <c r="D220">
        <v>4</v>
      </c>
      <c r="E220">
        <v>15</v>
      </c>
      <c r="F220">
        <v>1</v>
      </c>
      <c r="G220">
        <v>0</v>
      </c>
      <c r="H220">
        <f>표4[[#This Row],[공격성공횟수]]/(표4[[#This Row],[공격실패횟수]]+표4[[#This Row],[공격성공횟수]])</f>
        <v>0.21052631578947367</v>
      </c>
    </row>
    <row r="221" spans="1:8" hidden="1" x14ac:dyDescent="0.4">
      <c r="A221">
        <v>110</v>
      </c>
      <c r="B221" t="s">
        <v>2</v>
      </c>
      <c r="C221">
        <v>0</v>
      </c>
      <c r="D221">
        <v>1</v>
      </c>
      <c r="E221">
        <v>18</v>
      </c>
      <c r="F221">
        <v>4</v>
      </c>
      <c r="G221">
        <v>1</v>
      </c>
      <c r="H221">
        <f>표4[[#This Row],[공격성공횟수]]/(표4[[#This Row],[공격실패횟수]]+표4[[#This Row],[공격성공횟수]])</f>
        <v>5.2631578947368418E-2</v>
      </c>
    </row>
    <row r="222" spans="1:8" x14ac:dyDescent="0.4">
      <c r="A222">
        <v>111</v>
      </c>
      <c r="B222" t="s">
        <v>3</v>
      </c>
      <c r="C222">
        <v>1</v>
      </c>
      <c r="D222">
        <v>4</v>
      </c>
      <c r="E222">
        <v>17</v>
      </c>
      <c r="F222">
        <v>1</v>
      </c>
      <c r="G222">
        <v>0</v>
      </c>
      <c r="H222">
        <f>표4[[#This Row],[공격성공횟수]]/(표4[[#This Row],[공격실패횟수]]+표4[[#This Row],[공격성공횟수]])</f>
        <v>0.19047619047619047</v>
      </c>
    </row>
    <row r="223" spans="1:8" hidden="1" x14ac:dyDescent="0.4">
      <c r="A223">
        <v>111</v>
      </c>
      <c r="B223" t="s">
        <v>2</v>
      </c>
      <c r="C223">
        <v>0</v>
      </c>
      <c r="D223">
        <v>1</v>
      </c>
      <c r="E223">
        <v>18</v>
      </c>
      <c r="F223">
        <v>4</v>
      </c>
      <c r="G223">
        <v>1</v>
      </c>
      <c r="H223">
        <f>표4[[#This Row],[공격성공횟수]]/(표4[[#This Row],[공격실패횟수]]+표4[[#This Row],[공격성공횟수]])</f>
        <v>5.2631578947368418E-2</v>
      </c>
    </row>
    <row r="224" spans="1:8" x14ac:dyDescent="0.4">
      <c r="A224">
        <v>112</v>
      </c>
      <c r="B224" t="s">
        <v>3</v>
      </c>
      <c r="C224">
        <v>1</v>
      </c>
      <c r="D224">
        <v>4</v>
      </c>
      <c r="E224">
        <v>1</v>
      </c>
      <c r="F224">
        <v>3</v>
      </c>
      <c r="G224">
        <v>0</v>
      </c>
      <c r="H224">
        <f>표4[[#This Row],[공격성공횟수]]/(표4[[#This Row],[공격실패횟수]]+표4[[#This Row],[공격성공횟수]])</f>
        <v>0.8</v>
      </c>
    </row>
    <row r="225" spans="1:8" hidden="1" x14ac:dyDescent="0.4">
      <c r="A225">
        <v>112</v>
      </c>
      <c r="B225" t="s">
        <v>2</v>
      </c>
      <c r="C225">
        <v>0</v>
      </c>
      <c r="D225">
        <v>3</v>
      </c>
      <c r="E225">
        <v>2</v>
      </c>
      <c r="F225">
        <v>4</v>
      </c>
      <c r="G225">
        <v>1</v>
      </c>
      <c r="H225">
        <f>표4[[#This Row],[공격성공횟수]]/(표4[[#This Row],[공격실패횟수]]+표4[[#This Row],[공격성공횟수]])</f>
        <v>0.6</v>
      </c>
    </row>
    <row r="226" spans="1:8" x14ac:dyDescent="0.4">
      <c r="A226">
        <v>113</v>
      </c>
      <c r="B226" t="s">
        <v>3</v>
      </c>
      <c r="C226">
        <v>1</v>
      </c>
      <c r="D226">
        <v>4</v>
      </c>
      <c r="E226">
        <v>10</v>
      </c>
      <c r="F226">
        <v>2</v>
      </c>
      <c r="G226">
        <v>0</v>
      </c>
      <c r="H226">
        <f>표4[[#This Row],[공격성공횟수]]/(표4[[#This Row],[공격실패횟수]]+표4[[#This Row],[공격성공횟수]])</f>
        <v>0.2857142857142857</v>
      </c>
    </row>
    <row r="227" spans="1:8" hidden="1" x14ac:dyDescent="0.4">
      <c r="A227">
        <v>113</v>
      </c>
      <c r="B227" t="s">
        <v>2</v>
      </c>
      <c r="C227">
        <v>0</v>
      </c>
      <c r="D227">
        <v>2</v>
      </c>
      <c r="E227">
        <v>11</v>
      </c>
      <c r="F227">
        <v>4</v>
      </c>
      <c r="G227">
        <v>1</v>
      </c>
      <c r="H227">
        <f>표4[[#This Row],[공격성공횟수]]/(표4[[#This Row],[공격실패횟수]]+표4[[#This Row],[공격성공횟수]])</f>
        <v>0.15384615384615385</v>
      </c>
    </row>
    <row r="228" spans="1:8" x14ac:dyDescent="0.4">
      <c r="A228">
        <v>114</v>
      </c>
      <c r="B228" t="s">
        <v>3</v>
      </c>
      <c r="C228">
        <v>1</v>
      </c>
      <c r="D228">
        <v>4</v>
      </c>
      <c r="E228">
        <v>11</v>
      </c>
      <c r="F228">
        <v>1</v>
      </c>
      <c r="G228">
        <v>0</v>
      </c>
      <c r="H228">
        <f>표4[[#This Row],[공격성공횟수]]/(표4[[#This Row],[공격실패횟수]]+표4[[#This Row],[공격성공횟수]])</f>
        <v>0.26666666666666666</v>
      </c>
    </row>
    <row r="229" spans="1:8" hidden="1" x14ac:dyDescent="0.4">
      <c r="A229">
        <v>114</v>
      </c>
      <c r="B229" t="s">
        <v>2</v>
      </c>
      <c r="C229">
        <v>0</v>
      </c>
      <c r="D229">
        <v>1</v>
      </c>
      <c r="E229">
        <v>13</v>
      </c>
      <c r="F229">
        <v>4</v>
      </c>
      <c r="G229">
        <v>1</v>
      </c>
      <c r="H229">
        <f>표4[[#This Row],[공격성공횟수]]/(표4[[#This Row],[공격실패횟수]]+표4[[#This Row],[공격성공횟수]])</f>
        <v>7.1428571428571425E-2</v>
      </c>
    </row>
    <row r="230" spans="1:8" x14ac:dyDescent="0.4">
      <c r="A230">
        <v>115</v>
      </c>
      <c r="B230" t="s">
        <v>3</v>
      </c>
      <c r="C230">
        <v>1</v>
      </c>
      <c r="D230">
        <v>4</v>
      </c>
      <c r="E230">
        <v>6</v>
      </c>
      <c r="F230">
        <v>3</v>
      </c>
      <c r="G230">
        <v>0</v>
      </c>
      <c r="H230">
        <f>표4[[#This Row],[공격성공횟수]]/(표4[[#This Row],[공격실패횟수]]+표4[[#This Row],[공격성공횟수]])</f>
        <v>0.4</v>
      </c>
    </row>
    <row r="231" spans="1:8" hidden="1" x14ac:dyDescent="0.4">
      <c r="A231">
        <v>115</v>
      </c>
      <c r="B231" t="s">
        <v>2</v>
      </c>
      <c r="C231">
        <v>0</v>
      </c>
      <c r="D231">
        <v>3</v>
      </c>
      <c r="E231">
        <v>7</v>
      </c>
      <c r="F231">
        <v>4</v>
      </c>
      <c r="G231">
        <v>1</v>
      </c>
      <c r="H231">
        <f>표4[[#This Row],[공격성공횟수]]/(표4[[#This Row],[공격실패횟수]]+표4[[#This Row],[공격성공횟수]])</f>
        <v>0.3</v>
      </c>
    </row>
    <row r="232" spans="1:8" x14ac:dyDescent="0.4">
      <c r="A232">
        <v>116</v>
      </c>
      <c r="B232" t="s">
        <v>3</v>
      </c>
      <c r="C232">
        <v>0</v>
      </c>
      <c r="D232">
        <v>3</v>
      </c>
      <c r="E232">
        <v>56</v>
      </c>
      <c r="F232">
        <v>4</v>
      </c>
      <c r="G232">
        <v>1</v>
      </c>
      <c r="H232">
        <f>표4[[#This Row],[공격성공횟수]]/(표4[[#This Row],[공격실패횟수]]+표4[[#This Row],[공격성공횟수]])</f>
        <v>5.0847457627118647E-2</v>
      </c>
    </row>
    <row r="233" spans="1:8" hidden="1" x14ac:dyDescent="0.4">
      <c r="A233">
        <v>116</v>
      </c>
      <c r="B233" t="s">
        <v>2</v>
      </c>
      <c r="C233">
        <v>1</v>
      </c>
      <c r="D233">
        <v>4</v>
      </c>
      <c r="E233">
        <v>61</v>
      </c>
      <c r="F233">
        <v>3</v>
      </c>
      <c r="G233">
        <v>0</v>
      </c>
      <c r="H233">
        <f>표4[[#This Row],[공격성공횟수]]/(표4[[#This Row],[공격실패횟수]]+표4[[#This Row],[공격성공횟수]])</f>
        <v>6.1538461538461542E-2</v>
      </c>
    </row>
    <row r="234" spans="1:8" x14ac:dyDescent="0.4">
      <c r="A234">
        <v>117</v>
      </c>
      <c r="B234" t="s">
        <v>3</v>
      </c>
      <c r="C234">
        <v>1</v>
      </c>
      <c r="D234">
        <v>4</v>
      </c>
      <c r="E234">
        <v>13</v>
      </c>
      <c r="F234">
        <v>3</v>
      </c>
      <c r="G234">
        <v>0</v>
      </c>
      <c r="H234">
        <f>표4[[#This Row],[공격성공횟수]]/(표4[[#This Row],[공격실패횟수]]+표4[[#This Row],[공격성공횟수]])</f>
        <v>0.23529411764705882</v>
      </c>
    </row>
    <row r="235" spans="1:8" hidden="1" x14ac:dyDescent="0.4">
      <c r="A235">
        <v>117</v>
      </c>
      <c r="B235" t="s">
        <v>2</v>
      </c>
      <c r="C235">
        <v>0</v>
      </c>
      <c r="D235">
        <v>3</v>
      </c>
      <c r="E235">
        <v>17</v>
      </c>
      <c r="F235">
        <v>4</v>
      </c>
      <c r="G235">
        <v>1</v>
      </c>
      <c r="H235">
        <f>표4[[#This Row],[공격성공횟수]]/(표4[[#This Row],[공격실패횟수]]+표4[[#This Row],[공격성공횟수]])</f>
        <v>0.15</v>
      </c>
    </row>
    <row r="236" spans="1:8" x14ac:dyDescent="0.4">
      <c r="A236">
        <v>118</v>
      </c>
      <c r="B236" t="s">
        <v>3</v>
      </c>
      <c r="C236">
        <v>0</v>
      </c>
      <c r="D236">
        <v>1</v>
      </c>
      <c r="E236">
        <v>24</v>
      </c>
      <c r="F236">
        <v>4</v>
      </c>
      <c r="G236">
        <v>1</v>
      </c>
      <c r="H236">
        <f>표4[[#This Row],[공격성공횟수]]/(표4[[#This Row],[공격실패횟수]]+표4[[#This Row],[공격성공횟수]])</f>
        <v>0.04</v>
      </c>
    </row>
    <row r="237" spans="1:8" hidden="1" x14ac:dyDescent="0.4">
      <c r="A237">
        <v>118</v>
      </c>
      <c r="B237" t="s">
        <v>2</v>
      </c>
      <c r="C237">
        <v>1</v>
      </c>
      <c r="D237">
        <v>4</v>
      </c>
      <c r="E237">
        <v>32</v>
      </c>
      <c r="F237">
        <v>1</v>
      </c>
      <c r="G237">
        <v>0</v>
      </c>
      <c r="H237">
        <f>표4[[#This Row],[공격성공횟수]]/(표4[[#This Row],[공격실패횟수]]+표4[[#This Row],[공격성공횟수]])</f>
        <v>0.1111111111111111</v>
      </c>
    </row>
    <row r="238" spans="1:8" x14ac:dyDescent="0.4">
      <c r="A238">
        <v>119</v>
      </c>
      <c r="B238" t="s">
        <v>3</v>
      </c>
      <c r="C238">
        <v>0</v>
      </c>
      <c r="D238">
        <v>3</v>
      </c>
      <c r="E238">
        <v>8</v>
      </c>
      <c r="F238">
        <v>4</v>
      </c>
      <c r="G238">
        <v>1</v>
      </c>
      <c r="H238">
        <f>표4[[#This Row],[공격성공횟수]]/(표4[[#This Row],[공격실패횟수]]+표4[[#This Row],[공격성공횟수]])</f>
        <v>0.27272727272727271</v>
      </c>
    </row>
    <row r="239" spans="1:8" hidden="1" x14ac:dyDescent="0.4">
      <c r="A239">
        <v>119</v>
      </c>
      <c r="B239" t="s">
        <v>2</v>
      </c>
      <c r="C239">
        <v>1</v>
      </c>
      <c r="D239">
        <v>4</v>
      </c>
      <c r="E239">
        <v>7</v>
      </c>
      <c r="F239">
        <v>3</v>
      </c>
      <c r="G239">
        <v>0</v>
      </c>
      <c r="H239">
        <f>표4[[#This Row],[공격성공횟수]]/(표4[[#This Row],[공격실패횟수]]+표4[[#This Row],[공격성공횟수]])</f>
        <v>0.36363636363636365</v>
      </c>
    </row>
    <row r="240" spans="1:8" x14ac:dyDescent="0.4">
      <c r="A240">
        <v>120</v>
      </c>
      <c r="B240" t="s">
        <v>3</v>
      </c>
      <c r="C240">
        <v>1</v>
      </c>
      <c r="D240">
        <v>4</v>
      </c>
      <c r="E240">
        <v>10</v>
      </c>
      <c r="F240">
        <v>1</v>
      </c>
      <c r="G240">
        <v>0</v>
      </c>
      <c r="H240">
        <f>표4[[#This Row],[공격성공횟수]]/(표4[[#This Row],[공격실패횟수]]+표4[[#This Row],[공격성공횟수]])</f>
        <v>0.2857142857142857</v>
      </c>
    </row>
    <row r="241" spans="1:8" hidden="1" x14ac:dyDescent="0.4">
      <c r="A241">
        <v>120</v>
      </c>
      <c r="B241" t="s">
        <v>2</v>
      </c>
      <c r="C241">
        <v>0</v>
      </c>
      <c r="D241">
        <v>1</v>
      </c>
      <c r="E241">
        <v>12</v>
      </c>
      <c r="F241">
        <v>4</v>
      </c>
      <c r="G241">
        <v>1</v>
      </c>
      <c r="H241">
        <f>표4[[#This Row],[공격성공횟수]]/(표4[[#This Row],[공격실패횟수]]+표4[[#This Row],[공격성공횟수]])</f>
        <v>7.6923076923076927E-2</v>
      </c>
    </row>
    <row r="242" spans="1:8" x14ac:dyDescent="0.4">
      <c r="A242">
        <v>121</v>
      </c>
      <c r="B242" t="s">
        <v>3</v>
      </c>
      <c r="C242">
        <v>0</v>
      </c>
      <c r="D242">
        <v>2</v>
      </c>
      <c r="E242">
        <v>8</v>
      </c>
      <c r="F242">
        <v>4</v>
      </c>
      <c r="G242">
        <v>1</v>
      </c>
      <c r="H242">
        <f>표4[[#This Row],[공격성공횟수]]/(표4[[#This Row],[공격실패횟수]]+표4[[#This Row],[공격성공횟수]])</f>
        <v>0.2</v>
      </c>
    </row>
    <row r="243" spans="1:8" hidden="1" x14ac:dyDescent="0.4">
      <c r="A243">
        <v>121</v>
      </c>
      <c r="B243" t="s">
        <v>2</v>
      </c>
      <c r="C243">
        <v>1</v>
      </c>
      <c r="D243">
        <v>4</v>
      </c>
      <c r="E243">
        <v>7</v>
      </c>
      <c r="F243">
        <v>2</v>
      </c>
      <c r="G243">
        <v>0</v>
      </c>
      <c r="H243">
        <f>표4[[#This Row],[공격성공횟수]]/(표4[[#This Row],[공격실패횟수]]+표4[[#This Row],[공격성공횟수]])</f>
        <v>0.36363636363636365</v>
      </c>
    </row>
    <row r="244" spans="1:8" x14ac:dyDescent="0.4">
      <c r="A244">
        <v>122</v>
      </c>
      <c r="B244" t="s">
        <v>3</v>
      </c>
      <c r="C244">
        <v>0</v>
      </c>
      <c r="D244">
        <v>2</v>
      </c>
      <c r="E244">
        <v>15</v>
      </c>
      <c r="F244">
        <v>4</v>
      </c>
      <c r="G244">
        <v>1</v>
      </c>
      <c r="H244">
        <f>표4[[#This Row],[공격성공횟수]]/(표4[[#This Row],[공격실패횟수]]+표4[[#This Row],[공격성공횟수]])</f>
        <v>0.11764705882352941</v>
      </c>
    </row>
    <row r="245" spans="1:8" hidden="1" x14ac:dyDescent="0.4">
      <c r="A245">
        <v>122</v>
      </c>
      <c r="B245" t="s">
        <v>2</v>
      </c>
      <c r="C245">
        <v>1</v>
      </c>
      <c r="D245">
        <v>4</v>
      </c>
      <c r="E245">
        <v>12</v>
      </c>
      <c r="F245">
        <v>2</v>
      </c>
      <c r="G245">
        <v>0</v>
      </c>
      <c r="H245">
        <f>표4[[#This Row],[공격성공횟수]]/(표4[[#This Row],[공격실패횟수]]+표4[[#This Row],[공격성공횟수]])</f>
        <v>0.25</v>
      </c>
    </row>
    <row r="246" spans="1:8" x14ac:dyDescent="0.4">
      <c r="A246">
        <v>123</v>
      </c>
      <c r="B246" t="s">
        <v>3</v>
      </c>
      <c r="C246">
        <v>1</v>
      </c>
      <c r="D246">
        <v>4</v>
      </c>
      <c r="E246">
        <v>9</v>
      </c>
      <c r="F246">
        <v>2</v>
      </c>
      <c r="G246">
        <v>0</v>
      </c>
      <c r="H246">
        <f>표4[[#This Row],[공격성공횟수]]/(표4[[#This Row],[공격실패횟수]]+표4[[#This Row],[공격성공횟수]])</f>
        <v>0.30769230769230771</v>
      </c>
    </row>
    <row r="247" spans="1:8" hidden="1" x14ac:dyDescent="0.4">
      <c r="A247">
        <v>123</v>
      </c>
      <c r="B247" t="s">
        <v>2</v>
      </c>
      <c r="C247">
        <v>0</v>
      </c>
      <c r="D247">
        <v>2</v>
      </c>
      <c r="E247">
        <v>9</v>
      </c>
      <c r="F247">
        <v>4</v>
      </c>
      <c r="G247">
        <v>1</v>
      </c>
      <c r="H247">
        <f>표4[[#This Row],[공격성공횟수]]/(표4[[#This Row],[공격실패횟수]]+표4[[#This Row],[공격성공횟수]])</f>
        <v>0.18181818181818182</v>
      </c>
    </row>
    <row r="248" spans="1:8" x14ac:dyDescent="0.4">
      <c r="A248">
        <v>124</v>
      </c>
      <c r="B248" t="s">
        <v>3</v>
      </c>
      <c r="C248">
        <v>1</v>
      </c>
      <c r="D248">
        <v>4</v>
      </c>
      <c r="E248">
        <v>18</v>
      </c>
      <c r="F248">
        <v>0</v>
      </c>
      <c r="G248">
        <v>0</v>
      </c>
      <c r="H248">
        <f>표4[[#This Row],[공격성공횟수]]/(표4[[#This Row],[공격실패횟수]]+표4[[#This Row],[공격성공횟수]])</f>
        <v>0.18181818181818182</v>
      </c>
    </row>
    <row r="249" spans="1:8" hidden="1" x14ac:dyDescent="0.4">
      <c r="A249">
        <v>124</v>
      </c>
      <c r="B249" t="s">
        <v>2</v>
      </c>
      <c r="C249">
        <v>0</v>
      </c>
      <c r="D249">
        <v>0</v>
      </c>
      <c r="E249">
        <v>31</v>
      </c>
      <c r="F249">
        <v>4</v>
      </c>
      <c r="G249">
        <v>1</v>
      </c>
      <c r="H249">
        <f>표4[[#This Row],[공격성공횟수]]/(표4[[#This Row],[공격실패횟수]]+표4[[#This Row],[공격성공횟수]])</f>
        <v>0</v>
      </c>
    </row>
    <row r="250" spans="1:8" x14ac:dyDescent="0.4">
      <c r="A250">
        <v>125</v>
      </c>
      <c r="B250" t="s">
        <v>3</v>
      </c>
      <c r="C250">
        <v>0</v>
      </c>
      <c r="D250">
        <v>0</v>
      </c>
      <c r="E250">
        <v>3</v>
      </c>
      <c r="F250">
        <v>4</v>
      </c>
      <c r="G250">
        <v>1</v>
      </c>
      <c r="H250">
        <f>표4[[#This Row],[공격성공횟수]]/(표4[[#This Row],[공격실패횟수]]+표4[[#This Row],[공격성공횟수]])</f>
        <v>0</v>
      </c>
    </row>
    <row r="251" spans="1:8" hidden="1" x14ac:dyDescent="0.4">
      <c r="A251">
        <v>125</v>
      </c>
      <c r="B251" t="s">
        <v>2</v>
      </c>
      <c r="C251">
        <v>1</v>
      </c>
      <c r="D251">
        <v>4</v>
      </c>
      <c r="E251">
        <v>0</v>
      </c>
      <c r="F251">
        <v>0</v>
      </c>
      <c r="G251">
        <v>0</v>
      </c>
      <c r="H251">
        <f>표4[[#This Row],[공격성공횟수]]/(표4[[#This Row],[공격실패횟수]]+표4[[#This Row],[공격성공횟수]])</f>
        <v>1</v>
      </c>
    </row>
    <row r="252" spans="1:8" x14ac:dyDescent="0.4">
      <c r="A252">
        <v>126</v>
      </c>
      <c r="B252" t="s">
        <v>3</v>
      </c>
      <c r="C252">
        <v>1</v>
      </c>
      <c r="D252">
        <v>4</v>
      </c>
      <c r="E252">
        <v>9</v>
      </c>
      <c r="F252">
        <v>0</v>
      </c>
      <c r="G252">
        <v>0</v>
      </c>
      <c r="H252">
        <f>표4[[#This Row],[공격성공횟수]]/(표4[[#This Row],[공격실패횟수]]+표4[[#This Row],[공격성공횟수]])</f>
        <v>0.30769230769230771</v>
      </c>
    </row>
    <row r="253" spans="1:8" hidden="1" x14ac:dyDescent="0.4">
      <c r="A253">
        <v>126</v>
      </c>
      <c r="B253" t="s">
        <v>2</v>
      </c>
      <c r="C253">
        <v>0</v>
      </c>
      <c r="D253">
        <v>0</v>
      </c>
      <c r="E253">
        <v>11</v>
      </c>
      <c r="F253">
        <v>4</v>
      </c>
      <c r="G253">
        <v>1</v>
      </c>
      <c r="H253">
        <f>표4[[#This Row],[공격성공횟수]]/(표4[[#This Row],[공격실패횟수]]+표4[[#This Row],[공격성공횟수]])</f>
        <v>0</v>
      </c>
    </row>
    <row r="254" spans="1:8" x14ac:dyDescent="0.4">
      <c r="A254">
        <v>127</v>
      </c>
      <c r="B254" t="s">
        <v>3</v>
      </c>
      <c r="C254">
        <v>1</v>
      </c>
      <c r="D254">
        <v>4</v>
      </c>
      <c r="E254">
        <v>11</v>
      </c>
      <c r="F254">
        <v>0</v>
      </c>
      <c r="G254">
        <v>0</v>
      </c>
      <c r="H254">
        <f>표4[[#This Row],[공격성공횟수]]/(표4[[#This Row],[공격실패횟수]]+표4[[#This Row],[공격성공횟수]])</f>
        <v>0.26666666666666666</v>
      </c>
    </row>
    <row r="255" spans="1:8" hidden="1" x14ac:dyDescent="0.4">
      <c r="A255">
        <v>127</v>
      </c>
      <c r="B255" t="s">
        <v>2</v>
      </c>
      <c r="C255">
        <v>0</v>
      </c>
      <c r="D255">
        <v>0</v>
      </c>
      <c r="E255">
        <v>20</v>
      </c>
      <c r="F255">
        <v>4</v>
      </c>
      <c r="G255">
        <v>1</v>
      </c>
      <c r="H255">
        <f>표4[[#This Row],[공격성공횟수]]/(표4[[#This Row],[공격실패횟수]]+표4[[#This Row],[공격성공횟수]])</f>
        <v>0</v>
      </c>
    </row>
    <row r="256" spans="1:8" x14ac:dyDescent="0.4">
      <c r="A256">
        <v>128</v>
      </c>
      <c r="B256" t="s">
        <v>3</v>
      </c>
      <c r="C256">
        <v>1</v>
      </c>
      <c r="D256">
        <v>4</v>
      </c>
      <c r="E256">
        <v>22</v>
      </c>
      <c r="F256">
        <v>3</v>
      </c>
      <c r="G256">
        <v>0</v>
      </c>
      <c r="H256">
        <f>표4[[#This Row],[공격성공횟수]]/(표4[[#This Row],[공격실패횟수]]+표4[[#This Row],[공격성공횟수]])</f>
        <v>0.15384615384615385</v>
      </c>
    </row>
    <row r="257" spans="1:8" hidden="1" x14ac:dyDescent="0.4">
      <c r="A257">
        <v>128</v>
      </c>
      <c r="B257" t="s">
        <v>2</v>
      </c>
      <c r="C257">
        <v>0</v>
      </c>
      <c r="D257">
        <v>3</v>
      </c>
      <c r="E257">
        <v>27</v>
      </c>
      <c r="F257">
        <v>4</v>
      </c>
      <c r="G257">
        <v>1</v>
      </c>
      <c r="H257">
        <f>표4[[#This Row],[공격성공횟수]]/(표4[[#This Row],[공격실패횟수]]+표4[[#This Row],[공격성공횟수]])</f>
        <v>0.1</v>
      </c>
    </row>
    <row r="258" spans="1:8" x14ac:dyDescent="0.4">
      <c r="A258">
        <v>129</v>
      </c>
      <c r="B258" t="s">
        <v>3</v>
      </c>
      <c r="C258">
        <v>1</v>
      </c>
      <c r="D258">
        <v>4</v>
      </c>
      <c r="E258">
        <v>17</v>
      </c>
      <c r="F258">
        <v>2</v>
      </c>
      <c r="G258">
        <v>0</v>
      </c>
      <c r="H258">
        <f>표4[[#This Row],[공격성공횟수]]/(표4[[#This Row],[공격실패횟수]]+표4[[#This Row],[공격성공횟수]])</f>
        <v>0.19047619047619047</v>
      </c>
    </row>
    <row r="259" spans="1:8" hidden="1" x14ac:dyDescent="0.4">
      <c r="A259">
        <v>129</v>
      </c>
      <c r="B259" t="s">
        <v>2</v>
      </c>
      <c r="C259">
        <v>0</v>
      </c>
      <c r="D259">
        <v>2</v>
      </c>
      <c r="E259">
        <v>25</v>
      </c>
      <c r="F259">
        <v>4</v>
      </c>
      <c r="G259">
        <v>1</v>
      </c>
      <c r="H259">
        <f>표4[[#This Row],[공격성공횟수]]/(표4[[#This Row],[공격실패횟수]]+표4[[#This Row],[공격성공횟수]])</f>
        <v>7.407407407407407E-2</v>
      </c>
    </row>
    <row r="260" spans="1:8" x14ac:dyDescent="0.4">
      <c r="A260">
        <v>130</v>
      </c>
      <c r="B260" t="s">
        <v>3</v>
      </c>
      <c r="C260">
        <v>1</v>
      </c>
      <c r="D260">
        <v>4</v>
      </c>
      <c r="E260">
        <v>64</v>
      </c>
      <c r="F260">
        <v>1</v>
      </c>
      <c r="G260">
        <v>0</v>
      </c>
      <c r="H260">
        <f>표4[[#This Row],[공격성공횟수]]/(표4[[#This Row],[공격실패횟수]]+표4[[#This Row],[공격성공횟수]])</f>
        <v>5.8823529411764705E-2</v>
      </c>
    </row>
    <row r="261" spans="1:8" hidden="1" x14ac:dyDescent="0.4">
      <c r="A261">
        <v>130</v>
      </c>
      <c r="B261" t="s">
        <v>2</v>
      </c>
      <c r="C261">
        <v>0</v>
      </c>
      <c r="D261">
        <v>1</v>
      </c>
      <c r="E261">
        <v>73</v>
      </c>
      <c r="F261">
        <v>4</v>
      </c>
      <c r="G261">
        <v>1</v>
      </c>
      <c r="H261">
        <f>표4[[#This Row],[공격성공횟수]]/(표4[[#This Row],[공격실패횟수]]+표4[[#This Row],[공격성공횟수]])</f>
        <v>1.3513513513513514E-2</v>
      </c>
    </row>
    <row r="262" spans="1:8" x14ac:dyDescent="0.4">
      <c r="A262">
        <v>131</v>
      </c>
      <c r="B262" t="s">
        <v>3</v>
      </c>
      <c r="C262">
        <v>0</v>
      </c>
      <c r="D262">
        <v>0</v>
      </c>
      <c r="E262">
        <v>9</v>
      </c>
      <c r="F262">
        <v>4</v>
      </c>
      <c r="G262">
        <v>1</v>
      </c>
      <c r="H262">
        <f>표4[[#This Row],[공격성공횟수]]/(표4[[#This Row],[공격실패횟수]]+표4[[#This Row],[공격성공횟수]])</f>
        <v>0</v>
      </c>
    </row>
    <row r="263" spans="1:8" hidden="1" x14ac:dyDescent="0.4">
      <c r="A263">
        <v>131</v>
      </c>
      <c r="B263" t="s">
        <v>2</v>
      </c>
      <c r="C263">
        <v>1</v>
      </c>
      <c r="D263">
        <v>4</v>
      </c>
      <c r="E263">
        <v>6</v>
      </c>
      <c r="F263">
        <v>0</v>
      </c>
      <c r="G263">
        <v>0</v>
      </c>
      <c r="H263">
        <f>표4[[#This Row],[공격성공횟수]]/(표4[[#This Row],[공격실패횟수]]+표4[[#This Row],[공격성공횟수]])</f>
        <v>0.4</v>
      </c>
    </row>
    <row r="264" spans="1:8" x14ac:dyDescent="0.4">
      <c r="A264">
        <v>132</v>
      </c>
      <c r="B264" t="s">
        <v>3</v>
      </c>
      <c r="C264">
        <v>0</v>
      </c>
      <c r="D264">
        <v>3</v>
      </c>
      <c r="E264">
        <v>90</v>
      </c>
      <c r="F264">
        <v>0</v>
      </c>
      <c r="G264">
        <v>0</v>
      </c>
      <c r="H264">
        <f>표4[[#This Row],[공격성공횟수]]/(표4[[#This Row],[공격실패횟수]]+표4[[#This Row],[공격성공횟수]])</f>
        <v>3.2258064516129031E-2</v>
      </c>
    </row>
    <row r="265" spans="1:8" hidden="1" x14ac:dyDescent="0.4">
      <c r="A265">
        <v>132</v>
      </c>
      <c r="B265" t="s">
        <v>2</v>
      </c>
      <c r="C265">
        <v>0</v>
      </c>
      <c r="D265">
        <v>0</v>
      </c>
      <c r="E265">
        <v>115</v>
      </c>
      <c r="F265">
        <v>3</v>
      </c>
      <c r="G265">
        <v>0</v>
      </c>
      <c r="H265">
        <f>표4[[#This Row],[공격성공횟수]]/(표4[[#This Row],[공격실패횟수]]+표4[[#This Row],[공격성공횟수]])</f>
        <v>0</v>
      </c>
    </row>
    <row r="266" spans="1:8" x14ac:dyDescent="0.4">
      <c r="A266">
        <v>133</v>
      </c>
      <c r="B266" t="s">
        <v>3</v>
      </c>
      <c r="C266">
        <v>1</v>
      </c>
      <c r="D266">
        <v>4</v>
      </c>
      <c r="E266">
        <v>37</v>
      </c>
      <c r="F266">
        <v>2</v>
      </c>
      <c r="G266">
        <v>0</v>
      </c>
      <c r="H266">
        <f>표4[[#This Row],[공격성공횟수]]/(표4[[#This Row],[공격실패횟수]]+표4[[#This Row],[공격성공횟수]])</f>
        <v>9.7560975609756101E-2</v>
      </c>
    </row>
    <row r="267" spans="1:8" hidden="1" x14ac:dyDescent="0.4">
      <c r="A267">
        <v>133</v>
      </c>
      <c r="B267" t="s">
        <v>2</v>
      </c>
      <c r="C267">
        <v>0</v>
      </c>
      <c r="D267">
        <v>2</v>
      </c>
      <c r="E267">
        <v>50</v>
      </c>
      <c r="F267">
        <v>4</v>
      </c>
      <c r="G267">
        <v>1</v>
      </c>
      <c r="H267">
        <f>표4[[#This Row],[공격성공횟수]]/(표4[[#This Row],[공격실패횟수]]+표4[[#This Row],[공격성공횟수]])</f>
        <v>3.8461538461538464E-2</v>
      </c>
    </row>
    <row r="268" spans="1:8" x14ac:dyDescent="0.4">
      <c r="A268">
        <v>134</v>
      </c>
      <c r="B268" t="s">
        <v>3</v>
      </c>
      <c r="C268">
        <v>0</v>
      </c>
      <c r="D268">
        <v>3</v>
      </c>
      <c r="E268">
        <v>13</v>
      </c>
      <c r="F268">
        <v>4</v>
      </c>
      <c r="G268">
        <v>1</v>
      </c>
      <c r="H268">
        <f>표4[[#This Row],[공격성공횟수]]/(표4[[#This Row],[공격실패횟수]]+표4[[#This Row],[공격성공횟수]])</f>
        <v>0.1875</v>
      </c>
    </row>
    <row r="269" spans="1:8" hidden="1" x14ac:dyDescent="0.4">
      <c r="A269">
        <v>134</v>
      </c>
      <c r="B269" t="s">
        <v>2</v>
      </c>
      <c r="C269">
        <v>1</v>
      </c>
      <c r="D269">
        <v>4</v>
      </c>
      <c r="E269">
        <v>28</v>
      </c>
      <c r="F269">
        <v>3</v>
      </c>
      <c r="G269">
        <v>0</v>
      </c>
      <c r="H269">
        <f>표4[[#This Row],[공격성공횟수]]/(표4[[#This Row],[공격실패횟수]]+표4[[#This Row],[공격성공횟수]])</f>
        <v>0.125</v>
      </c>
    </row>
    <row r="270" spans="1:8" x14ac:dyDescent="0.4">
      <c r="A270">
        <v>135</v>
      </c>
      <c r="B270" t="s">
        <v>3</v>
      </c>
      <c r="C270">
        <v>1</v>
      </c>
      <c r="D270">
        <v>4</v>
      </c>
      <c r="E270">
        <v>47</v>
      </c>
      <c r="F270">
        <v>3</v>
      </c>
      <c r="G270">
        <v>0</v>
      </c>
      <c r="H270">
        <f>표4[[#This Row],[공격성공횟수]]/(표4[[#This Row],[공격실패횟수]]+표4[[#This Row],[공격성공횟수]])</f>
        <v>7.8431372549019607E-2</v>
      </c>
    </row>
    <row r="271" spans="1:8" hidden="1" x14ac:dyDescent="0.4">
      <c r="A271">
        <v>135</v>
      </c>
      <c r="B271" t="s">
        <v>2</v>
      </c>
      <c r="C271">
        <v>0</v>
      </c>
      <c r="D271">
        <v>3</v>
      </c>
      <c r="E271">
        <v>48</v>
      </c>
      <c r="F271">
        <v>4</v>
      </c>
      <c r="G271">
        <v>1</v>
      </c>
      <c r="H271">
        <f>표4[[#This Row],[공격성공횟수]]/(표4[[#This Row],[공격실패횟수]]+표4[[#This Row],[공격성공횟수]])</f>
        <v>5.8823529411764705E-2</v>
      </c>
    </row>
    <row r="272" spans="1:8" x14ac:dyDescent="0.4">
      <c r="A272">
        <v>136</v>
      </c>
      <c r="B272" t="s">
        <v>3</v>
      </c>
      <c r="C272">
        <v>1</v>
      </c>
      <c r="D272">
        <v>4</v>
      </c>
      <c r="E272">
        <v>8</v>
      </c>
      <c r="F272">
        <v>2</v>
      </c>
      <c r="G272">
        <v>0</v>
      </c>
      <c r="H272">
        <f>표4[[#This Row],[공격성공횟수]]/(표4[[#This Row],[공격실패횟수]]+표4[[#This Row],[공격성공횟수]])</f>
        <v>0.33333333333333331</v>
      </c>
    </row>
    <row r="273" spans="1:8" hidden="1" x14ac:dyDescent="0.4">
      <c r="A273">
        <v>136</v>
      </c>
      <c r="B273" t="s">
        <v>2</v>
      </c>
      <c r="C273">
        <v>0</v>
      </c>
      <c r="D273">
        <v>2</v>
      </c>
      <c r="E273">
        <v>10</v>
      </c>
      <c r="F273">
        <v>4</v>
      </c>
      <c r="G273">
        <v>1</v>
      </c>
      <c r="H273">
        <f>표4[[#This Row],[공격성공횟수]]/(표4[[#This Row],[공격실패횟수]]+표4[[#This Row],[공격성공횟수]])</f>
        <v>0.16666666666666666</v>
      </c>
    </row>
    <row r="274" spans="1:8" x14ac:dyDescent="0.4">
      <c r="A274">
        <v>137</v>
      </c>
      <c r="B274" t="s">
        <v>3</v>
      </c>
      <c r="C274">
        <v>1</v>
      </c>
      <c r="D274">
        <v>4</v>
      </c>
      <c r="E274">
        <v>12</v>
      </c>
      <c r="F274">
        <v>0</v>
      </c>
      <c r="G274">
        <v>0</v>
      </c>
      <c r="H274">
        <f>표4[[#This Row],[공격성공횟수]]/(표4[[#This Row],[공격실패횟수]]+표4[[#This Row],[공격성공횟수]])</f>
        <v>0.25</v>
      </c>
    </row>
    <row r="275" spans="1:8" hidden="1" x14ac:dyDescent="0.4">
      <c r="A275">
        <v>137</v>
      </c>
      <c r="B275" t="s">
        <v>2</v>
      </c>
      <c r="C275">
        <v>0</v>
      </c>
      <c r="D275">
        <v>0</v>
      </c>
      <c r="E275">
        <v>15</v>
      </c>
      <c r="F275">
        <v>4</v>
      </c>
      <c r="G275">
        <v>1</v>
      </c>
      <c r="H275">
        <f>표4[[#This Row],[공격성공횟수]]/(표4[[#This Row],[공격실패횟수]]+표4[[#This Row],[공격성공횟수]])</f>
        <v>0</v>
      </c>
    </row>
    <row r="276" spans="1:8" x14ac:dyDescent="0.4">
      <c r="A276">
        <v>138</v>
      </c>
      <c r="B276" t="s">
        <v>3</v>
      </c>
      <c r="C276">
        <v>1</v>
      </c>
      <c r="D276">
        <v>4</v>
      </c>
      <c r="E276">
        <v>67</v>
      </c>
      <c r="F276">
        <v>0</v>
      </c>
      <c r="G276">
        <v>0</v>
      </c>
      <c r="H276">
        <f>표4[[#This Row],[공격성공횟수]]/(표4[[#This Row],[공격실패횟수]]+표4[[#This Row],[공격성공횟수]])</f>
        <v>5.6338028169014086E-2</v>
      </c>
    </row>
    <row r="277" spans="1:8" hidden="1" x14ac:dyDescent="0.4">
      <c r="A277">
        <v>138</v>
      </c>
      <c r="B277" t="s">
        <v>2</v>
      </c>
      <c r="C277">
        <v>0</v>
      </c>
      <c r="D277">
        <v>0</v>
      </c>
      <c r="E277">
        <v>73</v>
      </c>
      <c r="F277">
        <v>4</v>
      </c>
      <c r="G277">
        <v>1</v>
      </c>
      <c r="H277">
        <f>표4[[#This Row],[공격성공횟수]]/(표4[[#This Row],[공격실패횟수]]+표4[[#This Row],[공격성공횟수]])</f>
        <v>0</v>
      </c>
    </row>
    <row r="278" spans="1:8" x14ac:dyDescent="0.4">
      <c r="A278">
        <v>139</v>
      </c>
      <c r="B278" t="s">
        <v>3</v>
      </c>
      <c r="C278">
        <v>1</v>
      </c>
      <c r="D278">
        <v>4</v>
      </c>
      <c r="E278">
        <v>4</v>
      </c>
      <c r="F278">
        <v>2</v>
      </c>
      <c r="G278">
        <v>0</v>
      </c>
      <c r="H278">
        <f>표4[[#This Row],[공격성공횟수]]/(표4[[#This Row],[공격실패횟수]]+표4[[#This Row],[공격성공횟수]])</f>
        <v>0.5</v>
      </c>
    </row>
    <row r="279" spans="1:8" hidden="1" x14ac:dyDescent="0.4">
      <c r="A279">
        <v>139</v>
      </c>
      <c r="B279" t="s">
        <v>2</v>
      </c>
      <c r="C279">
        <v>0</v>
      </c>
      <c r="D279">
        <v>2</v>
      </c>
      <c r="E279">
        <v>6</v>
      </c>
      <c r="F279">
        <v>4</v>
      </c>
      <c r="G279">
        <v>1</v>
      </c>
      <c r="H279">
        <f>표4[[#This Row],[공격성공횟수]]/(표4[[#This Row],[공격실패횟수]]+표4[[#This Row],[공격성공횟수]])</f>
        <v>0.25</v>
      </c>
    </row>
    <row r="280" spans="1:8" x14ac:dyDescent="0.4">
      <c r="A280">
        <v>140</v>
      </c>
      <c r="B280" t="s">
        <v>3</v>
      </c>
      <c r="C280">
        <v>0</v>
      </c>
      <c r="D280">
        <v>1</v>
      </c>
      <c r="E280">
        <v>8</v>
      </c>
      <c r="F280">
        <v>4</v>
      </c>
      <c r="G280">
        <v>1</v>
      </c>
      <c r="H280">
        <f>표4[[#This Row],[공격성공횟수]]/(표4[[#This Row],[공격실패횟수]]+표4[[#This Row],[공격성공횟수]])</f>
        <v>0.1111111111111111</v>
      </c>
    </row>
    <row r="281" spans="1:8" hidden="1" x14ac:dyDescent="0.4">
      <c r="A281">
        <v>140</v>
      </c>
      <c r="B281" t="s">
        <v>2</v>
      </c>
      <c r="C281">
        <v>1</v>
      </c>
      <c r="D281">
        <v>4</v>
      </c>
      <c r="E281">
        <v>6</v>
      </c>
      <c r="F281">
        <v>1</v>
      </c>
      <c r="G281">
        <v>0</v>
      </c>
      <c r="H281">
        <f>표4[[#This Row],[공격성공횟수]]/(표4[[#This Row],[공격실패횟수]]+표4[[#This Row],[공격성공횟수]])</f>
        <v>0.4</v>
      </c>
    </row>
    <row r="282" spans="1:8" x14ac:dyDescent="0.4">
      <c r="A282">
        <v>141</v>
      </c>
      <c r="B282" t="s">
        <v>3</v>
      </c>
      <c r="C282">
        <v>1</v>
      </c>
      <c r="D282">
        <v>4</v>
      </c>
      <c r="E282">
        <v>47</v>
      </c>
      <c r="F282">
        <v>2</v>
      </c>
      <c r="G282">
        <v>0</v>
      </c>
      <c r="H282">
        <f>표4[[#This Row],[공격성공횟수]]/(표4[[#This Row],[공격실패횟수]]+표4[[#This Row],[공격성공횟수]])</f>
        <v>7.8431372549019607E-2</v>
      </c>
    </row>
    <row r="283" spans="1:8" hidden="1" x14ac:dyDescent="0.4">
      <c r="A283">
        <v>141</v>
      </c>
      <c r="B283" t="s">
        <v>2</v>
      </c>
      <c r="C283">
        <v>0</v>
      </c>
      <c r="D283">
        <v>2</v>
      </c>
      <c r="E283">
        <v>57</v>
      </c>
      <c r="F283">
        <v>4</v>
      </c>
      <c r="G283">
        <v>1</v>
      </c>
      <c r="H283">
        <f>표4[[#This Row],[공격성공횟수]]/(표4[[#This Row],[공격실패횟수]]+표4[[#This Row],[공격성공횟수]])</f>
        <v>3.3898305084745763E-2</v>
      </c>
    </row>
    <row r="284" spans="1:8" x14ac:dyDescent="0.4">
      <c r="A284">
        <v>142</v>
      </c>
      <c r="B284" t="s">
        <v>3</v>
      </c>
      <c r="C284">
        <v>0</v>
      </c>
      <c r="D284">
        <v>3</v>
      </c>
      <c r="E284">
        <v>86</v>
      </c>
      <c r="F284">
        <v>2</v>
      </c>
      <c r="G284">
        <v>0</v>
      </c>
      <c r="H284">
        <f>표4[[#This Row],[공격성공횟수]]/(표4[[#This Row],[공격실패횟수]]+표4[[#This Row],[공격성공횟수]])</f>
        <v>3.3707865168539325E-2</v>
      </c>
    </row>
    <row r="285" spans="1:8" hidden="1" x14ac:dyDescent="0.4">
      <c r="A285">
        <v>142</v>
      </c>
      <c r="B285" t="s">
        <v>2</v>
      </c>
      <c r="C285">
        <v>0</v>
      </c>
      <c r="D285">
        <v>2</v>
      </c>
      <c r="E285">
        <v>112</v>
      </c>
      <c r="F285">
        <v>3</v>
      </c>
      <c r="G285">
        <v>0</v>
      </c>
      <c r="H285">
        <f>표4[[#This Row],[공격성공횟수]]/(표4[[#This Row],[공격실패횟수]]+표4[[#This Row],[공격성공횟수]])</f>
        <v>1.7543859649122806E-2</v>
      </c>
    </row>
    <row r="286" spans="1:8" x14ac:dyDescent="0.4">
      <c r="A286">
        <v>143</v>
      </c>
      <c r="B286" t="s">
        <v>3</v>
      </c>
      <c r="C286">
        <v>1</v>
      </c>
      <c r="D286">
        <v>4</v>
      </c>
      <c r="E286">
        <v>13</v>
      </c>
      <c r="F286">
        <v>1</v>
      </c>
      <c r="G286">
        <v>0</v>
      </c>
      <c r="H286">
        <f>표4[[#This Row],[공격성공횟수]]/(표4[[#This Row],[공격실패횟수]]+표4[[#This Row],[공격성공횟수]])</f>
        <v>0.23529411764705882</v>
      </c>
    </row>
    <row r="287" spans="1:8" hidden="1" x14ac:dyDescent="0.4">
      <c r="A287">
        <v>143</v>
      </c>
      <c r="B287" t="s">
        <v>2</v>
      </c>
      <c r="C287">
        <v>0</v>
      </c>
      <c r="D287">
        <v>1</v>
      </c>
      <c r="E287">
        <v>16</v>
      </c>
      <c r="F287">
        <v>4</v>
      </c>
      <c r="G287">
        <v>1</v>
      </c>
      <c r="H287">
        <f>표4[[#This Row],[공격성공횟수]]/(표4[[#This Row],[공격실패횟수]]+표4[[#This Row],[공격성공횟수]])</f>
        <v>5.8823529411764705E-2</v>
      </c>
    </row>
    <row r="288" spans="1:8" x14ac:dyDescent="0.4">
      <c r="A288">
        <v>144</v>
      </c>
      <c r="B288" t="s">
        <v>3</v>
      </c>
      <c r="C288">
        <v>0</v>
      </c>
      <c r="D288">
        <v>0</v>
      </c>
      <c r="E288">
        <v>14</v>
      </c>
      <c r="F288">
        <v>4</v>
      </c>
      <c r="G288">
        <v>1</v>
      </c>
      <c r="H288">
        <f>표4[[#This Row],[공격성공횟수]]/(표4[[#This Row],[공격실패횟수]]+표4[[#This Row],[공격성공횟수]])</f>
        <v>0</v>
      </c>
    </row>
    <row r="289" spans="1:8" hidden="1" x14ac:dyDescent="0.4">
      <c r="A289">
        <v>144</v>
      </c>
      <c r="B289" t="s">
        <v>2</v>
      </c>
      <c r="C289">
        <v>1</v>
      </c>
      <c r="D289">
        <v>4</v>
      </c>
      <c r="E289">
        <v>10</v>
      </c>
      <c r="F289">
        <v>0</v>
      </c>
      <c r="G289">
        <v>0</v>
      </c>
      <c r="H289">
        <f>표4[[#This Row],[공격성공횟수]]/(표4[[#This Row],[공격실패횟수]]+표4[[#This Row],[공격성공횟수]])</f>
        <v>0.2857142857142857</v>
      </c>
    </row>
    <row r="290" spans="1:8" x14ac:dyDescent="0.4">
      <c r="A290">
        <v>145</v>
      </c>
      <c r="B290" t="s">
        <v>3</v>
      </c>
      <c r="C290">
        <v>1</v>
      </c>
      <c r="D290">
        <v>4</v>
      </c>
      <c r="E290">
        <v>18</v>
      </c>
      <c r="F290">
        <v>1</v>
      </c>
      <c r="G290">
        <v>0</v>
      </c>
      <c r="H290">
        <f>표4[[#This Row],[공격성공횟수]]/(표4[[#This Row],[공격실패횟수]]+표4[[#This Row],[공격성공횟수]])</f>
        <v>0.18181818181818182</v>
      </c>
    </row>
    <row r="291" spans="1:8" hidden="1" x14ac:dyDescent="0.4">
      <c r="A291">
        <v>145</v>
      </c>
      <c r="B291" t="s">
        <v>2</v>
      </c>
      <c r="C291">
        <v>0</v>
      </c>
      <c r="D291">
        <v>1</v>
      </c>
      <c r="E291">
        <v>22</v>
      </c>
      <c r="F291">
        <v>4</v>
      </c>
      <c r="G291">
        <v>1</v>
      </c>
      <c r="H291">
        <f>표4[[#This Row],[공격성공횟수]]/(표4[[#This Row],[공격실패횟수]]+표4[[#This Row],[공격성공횟수]])</f>
        <v>4.3478260869565216E-2</v>
      </c>
    </row>
    <row r="292" spans="1:8" x14ac:dyDescent="0.4">
      <c r="A292">
        <v>146</v>
      </c>
      <c r="B292" t="s">
        <v>3</v>
      </c>
      <c r="C292">
        <v>0</v>
      </c>
      <c r="D292">
        <v>1</v>
      </c>
      <c r="E292">
        <v>6</v>
      </c>
      <c r="F292">
        <v>4</v>
      </c>
      <c r="G292">
        <v>1</v>
      </c>
      <c r="H292">
        <f>표4[[#This Row],[공격성공횟수]]/(표4[[#This Row],[공격실패횟수]]+표4[[#This Row],[공격성공횟수]])</f>
        <v>0.14285714285714285</v>
      </c>
    </row>
    <row r="293" spans="1:8" hidden="1" x14ac:dyDescent="0.4">
      <c r="A293">
        <v>146</v>
      </c>
      <c r="B293" t="s">
        <v>2</v>
      </c>
      <c r="C293">
        <v>1</v>
      </c>
      <c r="D293">
        <v>4</v>
      </c>
      <c r="E293">
        <v>9</v>
      </c>
      <c r="F293">
        <v>1</v>
      </c>
      <c r="G293">
        <v>0</v>
      </c>
      <c r="H293">
        <f>표4[[#This Row],[공격성공횟수]]/(표4[[#This Row],[공격실패횟수]]+표4[[#This Row],[공격성공횟수]])</f>
        <v>0.30769230769230771</v>
      </c>
    </row>
    <row r="294" spans="1:8" x14ac:dyDescent="0.4">
      <c r="A294">
        <v>147</v>
      </c>
      <c r="B294" t="s">
        <v>3</v>
      </c>
      <c r="C294">
        <v>1</v>
      </c>
      <c r="D294">
        <v>4</v>
      </c>
      <c r="E294">
        <v>9</v>
      </c>
      <c r="F294">
        <v>1</v>
      </c>
      <c r="G294">
        <v>0</v>
      </c>
      <c r="H294">
        <f>표4[[#This Row],[공격성공횟수]]/(표4[[#This Row],[공격실패횟수]]+표4[[#This Row],[공격성공횟수]])</f>
        <v>0.30769230769230771</v>
      </c>
    </row>
    <row r="295" spans="1:8" hidden="1" x14ac:dyDescent="0.4">
      <c r="A295">
        <v>147</v>
      </c>
      <c r="B295" t="s">
        <v>2</v>
      </c>
      <c r="C295">
        <v>0</v>
      </c>
      <c r="D295">
        <v>1</v>
      </c>
      <c r="E295">
        <v>10</v>
      </c>
      <c r="F295">
        <v>4</v>
      </c>
      <c r="G295">
        <v>1</v>
      </c>
      <c r="H295">
        <f>표4[[#This Row],[공격성공횟수]]/(표4[[#This Row],[공격실패횟수]]+표4[[#This Row],[공격성공횟수]])</f>
        <v>9.0909090909090912E-2</v>
      </c>
    </row>
    <row r="296" spans="1:8" x14ac:dyDescent="0.4">
      <c r="A296">
        <v>148</v>
      </c>
      <c r="B296" t="s">
        <v>3</v>
      </c>
      <c r="C296">
        <v>1</v>
      </c>
      <c r="D296">
        <v>4</v>
      </c>
      <c r="E296">
        <v>17</v>
      </c>
      <c r="F296">
        <v>1</v>
      </c>
      <c r="G296">
        <v>0</v>
      </c>
      <c r="H296">
        <f>표4[[#This Row],[공격성공횟수]]/(표4[[#This Row],[공격실패횟수]]+표4[[#This Row],[공격성공횟수]])</f>
        <v>0.19047619047619047</v>
      </c>
    </row>
    <row r="297" spans="1:8" hidden="1" x14ac:dyDescent="0.4">
      <c r="A297">
        <v>148</v>
      </c>
      <c r="B297" t="s">
        <v>2</v>
      </c>
      <c r="C297">
        <v>0</v>
      </c>
      <c r="D297">
        <v>1</v>
      </c>
      <c r="E297">
        <v>20</v>
      </c>
      <c r="F297">
        <v>4</v>
      </c>
      <c r="G297">
        <v>1</v>
      </c>
      <c r="H297">
        <f>표4[[#This Row],[공격성공횟수]]/(표4[[#This Row],[공격실패횟수]]+표4[[#This Row],[공격성공횟수]])</f>
        <v>4.7619047619047616E-2</v>
      </c>
    </row>
    <row r="298" spans="1:8" x14ac:dyDescent="0.4">
      <c r="A298">
        <v>149</v>
      </c>
      <c r="B298" t="s">
        <v>3</v>
      </c>
      <c r="C298">
        <v>1</v>
      </c>
      <c r="D298">
        <v>4</v>
      </c>
      <c r="E298">
        <v>6</v>
      </c>
      <c r="F298">
        <v>0</v>
      </c>
      <c r="G298">
        <v>0</v>
      </c>
      <c r="H298">
        <f>표4[[#This Row],[공격성공횟수]]/(표4[[#This Row],[공격실패횟수]]+표4[[#This Row],[공격성공횟수]])</f>
        <v>0.4</v>
      </c>
    </row>
    <row r="299" spans="1:8" hidden="1" x14ac:dyDescent="0.4">
      <c r="A299">
        <v>149</v>
      </c>
      <c r="B299" t="s">
        <v>2</v>
      </c>
      <c r="C299">
        <v>0</v>
      </c>
      <c r="D299">
        <v>0</v>
      </c>
      <c r="E299">
        <v>9</v>
      </c>
      <c r="F299">
        <v>4</v>
      </c>
      <c r="G299">
        <v>1</v>
      </c>
      <c r="H299">
        <f>표4[[#This Row],[공격성공횟수]]/(표4[[#This Row],[공격실패횟수]]+표4[[#This Row],[공격성공횟수]])</f>
        <v>0</v>
      </c>
    </row>
    <row r="300" spans="1:8" x14ac:dyDescent="0.4">
      <c r="A300">
        <v>150</v>
      </c>
      <c r="B300" t="s">
        <v>3</v>
      </c>
      <c r="C300">
        <v>0</v>
      </c>
      <c r="D300">
        <v>3</v>
      </c>
      <c r="E300">
        <v>17</v>
      </c>
      <c r="F300">
        <v>4</v>
      </c>
      <c r="G300">
        <v>1</v>
      </c>
      <c r="H300">
        <f>표4[[#This Row],[공격성공횟수]]/(표4[[#This Row],[공격실패횟수]]+표4[[#This Row],[공격성공횟수]])</f>
        <v>0.15</v>
      </c>
    </row>
    <row r="301" spans="1:8" hidden="1" x14ac:dyDescent="0.4">
      <c r="A301">
        <v>150</v>
      </c>
      <c r="B301" t="s">
        <v>2</v>
      </c>
      <c r="C301">
        <v>1</v>
      </c>
      <c r="D301">
        <v>4</v>
      </c>
      <c r="E301">
        <v>32</v>
      </c>
      <c r="F301">
        <v>3</v>
      </c>
      <c r="G301">
        <v>0</v>
      </c>
      <c r="H301">
        <f>표4[[#This Row],[공격성공횟수]]/(표4[[#This Row],[공격실패횟수]]+표4[[#This Row],[공격성공횟수]])</f>
        <v>0.1111111111111111</v>
      </c>
    </row>
    <row r="302" spans="1:8" x14ac:dyDescent="0.4">
      <c r="A302">
        <v>151</v>
      </c>
      <c r="B302" t="s">
        <v>3</v>
      </c>
      <c r="C302">
        <v>0</v>
      </c>
      <c r="D302">
        <v>1</v>
      </c>
      <c r="E302">
        <v>10</v>
      </c>
      <c r="F302">
        <v>4</v>
      </c>
      <c r="G302">
        <v>1</v>
      </c>
      <c r="H302">
        <f>표4[[#This Row],[공격성공횟수]]/(표4[[#This Row],[공격실패횟수]]+표4[[#This Row],[공격성공횟수]])</f>
        <v>9.0909090909090912E-2</v>
      </c>
    </row>
    <row r="303" spans="1:8" hidden="1" x14ac:dyDescent="0.4">
      <c r="A303">
        <v>151</v>
      </c>
      <c r="B303" t="s">
        <v>2</v>
      </c>
      <c r="C303">
        <v>1</v>
      </c>
      <c r="D303">
        <v>4</v>
      </c>
      <c r="E303">
        <v>6</v>
      </c>
      <c r="F303">
        <v>1</v>
      </c>
      <c r="G303">
        <v>0</v>
      </c>
      <c r="H303">
        <f>표4[[#This Row],[공격성공횟수]]/(표4[[#This Row],[공격실패횟수]]+표4[[#This Row],[공격성공횟수]])</f>
        <v>0.4</v>
      </c>
    </row>
    <row r="304" spans="1:8" x14ac:dyDescent="0.4">
      <c r="A304">
        <v>152</v>
      </c>
      <c r="B304" t="s">
        <v>3</v>
      </c>
      <c r="C304">
        <v>1</v>
      </c>
      <c r="D304">
        <v>4</v>
      </c>
      <c r="E304">
        <v>7</v>
      </c>
      <c r="F304">
        <v>0</v>
      </c>
      <c r="G304">
        <v>0</v>
      </c>
      <c r="H304">
        <f>표4[[#This Row],[공격성공횟수]]/(표4[[#This Row],[공격실패횟수]]+표4[[#This Row],[공격성공횟수]])</f>
        <v>0.36363636363636365</v>
      </c>
    </row>
    <row r="305" spans="1:8" hidden="1" x14ac:dyDescent="0.4">
      <c r="A305">
        <v>152</v>
      </c>
      <c r="B305" t="s">
        <v>2</v>
      </c>
      <c r="C305">
        <v>0</v>
      </c>
      <c r="D305">
        <v>0</v>
      </c>
      <c r="E305">
        <v>10</v>
      </c>
      <c r="F305">
        <v>4</v>
      </c>
      <c r="G305">
        <v>1</v>
      </c>
      <c r="H305">
        <f>표4[[#This Row],[공격성공횟수]]/(표4[[#This Row],[공격실패횟수]]+표4[[#This Row],[공격성공횟수]])</f>
        <v>0</v>
      </c>
    </row>
    <row r="306" spans="1:8" x14ac:dyDescent="0.4">
      <c r="A306">
        <v>153</v>
      </c>
      <c r="B306" t="s">
        <v>3</v>
      </c>
      <c r="C306">
        <v>1</v>
      </c>
      <c r="D306">
        <v>4</v>
      </c>
      <c r="E306">
        <v>4</v>
      </c>
      <c r="F306">
        <v>0</v>
      </c>
      <c r="G306">
        <v>0</v>
      </c>
      <c r="H306">
        <f>표4[[#This Row],[공격성공횟수]]/(표4[[#This Row],[공격실패횟수]]+표4[[#This Row],[공격성공횟수]])</f>
        <v>0.5</v>
      </c>
    </row>
    <row r="307" spans="1:8" hidden="1" x14ac:dyDescent="0.4">
      <c r="A307">
        <v>153</v>
      </c>
      <c r="B307" t="s">
        <v>2</v>
      </c>
      <c r="C307">
        <v>0</v>
      </c>
      <c r="D307">
        <v>0</v>
      </c>
      <c r="E307">
        <v>8</v>
      </c>
      <c r="F307">
        <v>4</v>
      </c>
      <c r="G307">
        <v>1</v>
      </c>
      <c r="H307">
        <f>표4[[#This Row],[공격성공횟수]]/(표4[[#This Row],[공격실패횟수]]+표4[[#This Row],[공격성공횟수]])</f>
        <v>0</v>
      </c>
    </row>
    <row r="308" spans="1:8" x14ac:dyDescent="0.4">
      <c r="A308">
        <v>154</v>
      </c>
      <c r="B308" t="s">
        <v>3</v>
      </c>
      <c r="C308">
        <v>0</v>
      </c>
      <c r="D308">
        <v>0</v>
      </c>
      <c r="E308">
        <v>16</v>
      </c>
      <c r="F308">
        <v>4</v>
      </c>
      <c r="G308">
        <v>1</v>
      </c>
      <c r="H308">
        <f>표4[[#This Row],[공격성공횟수]]/(표4[[#This Row],[공격실패횟수]]+표4[[#This Row],[공격성공횟수]])</f>
        <v>0</v>
      </c>
    </row>
    <row r="309" spans="1:8" hidden="1" x14ac:dyDescent="0.4">
      <c r="A309">
        <v>154</v>
      </c>
      <c r="B309" t="s">
        <v>2</v>
      </c>
      <c r="C309">
        <v>1</v>
      </c>
      <c r="D309">
        <v>4</v>
      </c>
      <c r="E309">
        <v>22</v>
      </c>
      <c r="F309">
        <v>0</v>
      </c>
      <c r="G309">
        <v>0</v>
      </c>
      <c r="H309">
        <f>표4[[#This Row],[공격성공횟수]]/(표4[[#This Row],[공격실패횟수]]+표4[[#This Row],[공격성공횟수]])</f>
        <v>0.15384615384615385</v>
      </c>
    </row>
    <row r="310" spans="1:8" x14ac:dyDescent="0.4">
      <c r="A310">
        <v>155</v>
      </c>
      <c r="B310" t="s">
        <v>3</v>
      </c>
      <c r="C310">
        <v>1</v>
      </c>
      <c r="D310">
        <v>4</v>
      </c>
      <c r="E310">
        <v>7</v>
      </c>
      <c r="F310">
        <v>0</v>
      </c>
      <c r="G310">
        <v>0</v>
      </c>
      <c r="H310">
        <f>표4[[#This Row],[공격성공횟수]]/(표4[[#This Row],[공격실패횟수]]+표4[[#This Row],[공격성공횟수]])</f>
        <v>0.36363636363636365</v>
      </c>
    </row>
    <row r="311" spans="1:8" hidden="1" x14ac:dyDescent="0.4">
      <c r="A311">
        <v>155</v>
      </c>
      <c r="B311" t="s">
        <v>2</v>
      </c>
      <c r="C311">
        <v>0</v>
      </c>
      <c r="D311">
        <v>0</v>
      </c>
      <c r="E311">
        <v>17</v>
      </c>
      <c r="F311">
        <v>4</v>
      </c>
      <c r="G311">
        <v>1</v>
      </c>
      <c r="H311">
        <f>표4[[#This Row],[공격성공횟수]]/(표4[[#This Row],[공격실패횟수]]+표4[[#This Row],[공격성공횟수]])</f>
        <v>0</v>
      </c>
    </row>
    <row r="312" spans="1:8" x14ac:dyDescent="0.4">
      <c r="A312">
        <v>156</v>
      </c>
      <c r="B312" t="s">
        <v>3</v>
      </c>
      <c r="C312">
        <v>0</v>
      </c>
      <c r="D312">
        <v>1</v>
      </c>
      <c r="E312">
        <v>65</v>
      </c>
      <c r="F312">
        <v>4</v>
      </c>
      <c r="G312">
        <v>1</v>
      </c>
      <c r="H312">
        <f>표4[[#This Row],[공격성공횟수]]/(표4[[#This Row],[공격실패횟수]]+표4[[#This Row],[공격성공횟수]])</f>
        <v>1.5151515151515152E-2</v>
      </c>
    </row>
    <row r="313" spans="1:8" hidden="1" x14ac:dyDescent="0.4">
      <c r="A313">
        <v>156</v>
      </c>
      <c r="B313" t="s">
        <v>2</v>
      </c>
      <c r="C313">
        <v>1</v>
      </c>
      <c r="D313">
        <v>4</v>
      </c>
      <c r="E313">
        <v>89</v>
      </c>
      <c r="F313">
        <v>1</v>
      </c>
      <c r="G313">
        <v>0</v>
      </c>
      <c r="H313">
        <f>표4[[#This Row],[공격성공횟수]]/(표4[[#This Row],[공격실패횟수]]+표4[[#This Row],[공격성공횟수]])</f>
        <v>4.3010752688172046E-2</v>
      </c>
    </row>
    <row r="314" spans="1:8" x14ac:dyDescent="0.4">
      <c r="A314">
        <v>157</v>
      </c>
      <c r="B314" t="s">
        <v>3</v>
      </c>
      <c r="C314">
        <v>1</v>
      </c>
      <c r="D314">
        <v>4</v>
      </c>
      <c r="E314">
        <v>6</v>
      </c>
      <c r="F314">
        <v>2</v>
      </c>
      <c r="G314">
        <v>0</v>
      </c>
      <c r="H314">
        <f>표4[[#This Row],[공격성공횟수]]/(표4[[#This Row],[공격실패횟수]]+표4[[#This Row],[공격성공횟수]])</f>
        <v>0.4</v>
      </c>
    </row>
    <row r="315" spans="1:8" hidden="1" x14ac:dyDescent="0.4">
      <c r="A315">
        <v>157</v>
      </c>
      <c r="B315" t="s">
        <v>2</v>
      </c>
      <c r="C315">
        <v>0</v>
      </c>
      <c r="D315">
        <v>2</v>
      </c>
      <c r="E315">
        <v>7</v>
      </c>
      <c r="F315">
        <v>4</v>
      </c>
      <c r="G315">
        <v>1</v>
      </c>
      <c r="H315">
        <f>표4[[#This Row],[공격성공횟수]]/(표4[[#This Row],[공격실패횟수]]+표4[[#This Row],[공격성공횟수]])</f>
        <v>0.22222222222222221</v>
      </c>
    </row>
    <row r="316" spans="1:8" x14ac:dyDescent="0.4">
      <c r="A316">
        <v>158</v>
      </c>
      <c r="B316" t="s">
        <v>3</v>
      </c>
      <c r="C316">
        <v>1</v>
      </c>
      <c r="D316">
        <v>4</v>
      </c>
      <c r="E316">
        <v>7</v>
      </c>
      <c r="F316">
        <v>1</v>
      </c>
      <c r="G316">
        <v>0</v>
      </c>
      <c r="H316">
        <f>표4[[#This Row],[공격성공횟수]]/(표4[[#This Row],[공격실패횟수]]+표4[[#This Row],[공격성공횟수]])</f>
        <v>0.36363636363636365</v>
      </c>
    </row>
    <row r="317" spans="1:8" hidden="1" x14ac:dyDescent="0.4">
      <c r="A317">
        <v>158</v>
      </c>
      <c r="B317" t="s">
        <v>2</v>
      </c>
      <c r="C317">
        <v>0</v>
      </c>
      <c r="D317">
        <v>1</v>
      </c>
      <c r="E317">
        <v>13</v>
      </c>
      <c r="F317">
        <v>4</v>
      </c>
      <c r="G317">
        <v>1</v>
      </c>
      <c r="H317">
        <f>표4[[#This Row],[공격성공횟수]]/(표4[[#This Row],[공격실패횟수]]+표4[[#This Row],[공격성공횟수]])</f>
        <v>7.1428571428571425E-2</v>
      </c>
    </row>
    <row r="318" spans="1:8" x14ac:dyDescent="0.4">
      <c r="A318">
        <v>159</v>
      </c>
      <c r="B318" t="s">
        <v>3</v>
      </c>
      <c r="C318">
        <v>1</v>
      </c>
      <c r="D318">
        <v>4</v>
      </c>
      <c r="E318">
        <v>16</v>
      </c>
      <c r="F318">
        <v>0</v>
      </c>
      <c r="G318">
        <v>0</v>
      </c>
      <c r="H318">
        <f>표4[[#This Row],[공격성공횟수]]/(표4[[#This Row],[공격실패횟수]]+표4[[#This Row],[공격성공횟수]])</f>
        <v>0.2</v>
      </c>
    </row>
    <row r="319" spans="1:8" hidden="1" x14ac:dyDescent="0.4">
      <c r="A319">
        <v>159</v>
      </c>
      <c r="B319" t="s">
        <v>2</v>
      </c>
      <c r="C319">
        <v>0</v>
      </c>
      <c r="D319">
        <v>0</v>
      </c>
      <c r="E319">
        <v>22</v>
      </c>
      <c r="F319">
        <v>4</v>
      </c>
      <c r="G319">
        <v>1</v>
      </c>
      <c r="H319">
        <f>표4[[#This Row],[공격성공횟수]]/(표4[[#This Row],[공격실패횟수]]+표4[[#This Row],[공격성공횟수]])</f>
        <v>0</v>
      </c>
    </row>
    <row r="320" spans="1:8" x14ac:dyDescent="0.4">
      <c r="A320">
        <v>160</v>
      </c>
      <c r="B320" t="s">
        <v>3</v>
      </c>
      <c r="C320">
        <v>1</v>
      </c>
      <c r="D320">
        <v>4</v>
      </c>
      <c r="E320">
        <v>5</v>
      </c>
      <c r="F320">
        <v>1</v>
      </c>
      <c r="G320">
        <v>0</v>
      </c>
      <c r="H320">
        <f>표4[[#This Row],[공격성공횟수]]/(표4[[#This Row],[공격실패횟수]]+표4[[#This Row],[공격성공횟수]])</f>
        <v>0.44444444444444442</v>
      </c>
    </row>
    <row r="321" spans="1:8" hidden="1" x14ac:dyDescent="0.4">
      <c r="A321">
        <v>160</v>
      </c>
      <c r="B321" t="s">
        <v>2</v>
      </c>
      <c r="C321">
        <v>0</v>
      </c>
      <c r="D321">
        <v>1</v>
      </c>
      <c r="E321">
        <v>7</v>
      </c>
      <c r="F321">
        <v>4</v>
      </c>
      <c r="G321">
        <v>1</v>
      </c>
      <c r="H321">
        <f>표4[[#This Row],[공격성공횟수]]/(표4[[#This Row],[공격실패횟수]]+표4[[#This Row],[공격성공횟수]])</f>
        <v>0.125</v>
      </c>
    </row>
    <row r="322" spans="1:8" x14ac:dyDescent="0.4">
      <c r="A322">
        <v>161</v>
      </c>
      <c r="B322" t="s">
        <v>3</v>
      </c>
      <c r="C322">
        <v>1</v>
      </c>
      <c r="D322">
        <v>4</v>
      </c>
      <c r="E322">
        <v>8</v>
      </c>
      <c r="F322">
        <v>0</v>
      </c>
      <c r="G322">
        <v>0</v>
      </c>
      <c r="H322">
        <f>표4[[#This Row],[공격성공횟수]]/(표4[[#This Row],[공격실패횟수]]+표4[[#This Row],[공격성공횟수]])</f>
        <v>0.33333333333333331</v>
      </c>
    </row>
    <row r="323" spans="1:8" hidden="1" x14ac:dyDescent="0.4">
      <c r="A323">
        <v>161</v>
      </c>
      <c r="B323" t="s">
        <v>2</v>
      </c>
      <c r="C323">
        <v>0</v>
      </c>
      <c r="D323">
        <v>0</v>
      </c>
      <c r="E323">
        <v>14</v>
      </c>
      <c r="F323">
        <v>4</v>
      </c>
      <c r="G323">
        <v>1</v>
      </c>
      <c r="H323">
        <f>표4[[#This Row],[공격성공횟수]]/(표4[[#This Row],[공격실패횟수]]+표4[[#This Row],[공격성공횟수]])</f>
        <v>0</v>
      </c>
    </row>
    <row r="324" spans="1:8" x14ac:dyDescent="0.4">
      <c r="A324">
        <v>162</v>
      </c>
      <c r="B324" t="s">
        <v>3</v>
      </c>
      <c r="C324">
        <v>0</v>
      </c>
      <c r="D324">
        <v>2</v>
      </c>
      <c r="E324">
        <v>3</v>
      </c>
      <c r="F324">
        <v>4</v>
      </c>
      <c r="G324">
        <v>1</v>
      </c>
      <c r="H324">
        <f>표4[[#This Row],[공격성공횟수]]/(표4[[#This Row],[공격실패횟수]]+표4[[#This Row],[공격성공횟수]])</f>
        <v>0.4</v>
      </c>
    </row>
    <row r="325" spans="1:8" hidden="1" x14ac:dyDescent="0.4">
      <c r="A325">
        <v>162</v>
      </c>
      <c r="B325" t="s">
        <v>2</v>
      </c>
      <c r="C325">
        <v>1</v>
      </c>
      <c r="D325">
        <v>4</v>
      </c>
      <c r="E325">
        <v>10</v>
      </c>
      <c r="F325">
        <v>2</v>
      </c>
      <c r="G325">
        <v>0</v>
      </c>
      <c r="H325">
        <f>표4[[#This Row],[공격성공횟수]]/(표4[[#This Row],[공격실패횟수]]+표4[[#This Row],[공격성공횟수]])</f>
        <v>0.2857142857142857</v>
      </c>
    </row>
    <row r="326" spans="1:8" x14ac:dyDescent="0.4">
      <c r="A326">
        <v>163</v>
      </c>
      <c r="B326" t="s">
        <v>3</v>
      </c>
      <c r="C326">
        <v>0</v>
      </c>
      <c r="D326">
        <v>1</v>
      </c>
      <c r="E326">
        <v>4</v>
      </c>
      <c r="F326">
        <v>4</v>
      </c>
      <c r="G326">
        <v>1</v>
      </c>
      <c r="H326">
        <f>표4[[#This Row],[공격성공횟수]]/(표4[[#This Row],[공격실패횟수]]+표4[[#This Row],[공격성공횟수]])</f>
        <v>0.2</v>
      </c>
    </row>
    <row r="327" spans="1:8" hidden="1" x14ac:dyDescent="0.4">
      <c r="A327">
        <v>163</v>
      </c>
      <c r="B327" t="s">
        <v>2</v>
      </c>
      <c r="C327">
        <v>1</v>
      </c>
      <c r="D327">
        <v>4</v>
      </c>
      <c r="E327">
        <v>1</v>
      </c>
      <c r="F327">
        <v>1</v>
      </c>
      <c r="G327">
        <v>0</v>
      </c>
      <c r="H327">
        <f>표4[[#This Row],[공격성공횟수]]/(표4[[#This Row],[공격실패횟수]]+표4[[#This Row],[공격성공횟수]])</f>
        <v>0.8</v>
      </c>
    </row>
    <row r="328" spans="1:8" x14ac:dyDescent="0.4">
      <c r="A328">
        <v>164</v>
      </c>
      <c r="B328" t="s">
        <v>3</v>
      </c>
      <c r="C328">
        <v>1</v>
      </c>
      <c r="D328">
        <v>4</v>
      </c>
      <c r="E328">
        <v>3</v>
      </c>
      <c r="F328">
        <v>3</v>
      </c>
      <c r="G328">
        <v>0</v>
      </c>
      <c r="H328">
        <f>표4[[#This Row],[공격성공횟수]]/(표4[[#This Row],[공격실패횟수]]+표4[[#This Row],[공격성공횟수]])</f>
        <v>0.5714285714285714</v>
      </c>
    </row>
    <row r="329" spans="1:8" hidden="1" x14ac:dyDescent="0.4">
      <c r="A329">
        <v>164</v>
      </c>
      <c r="B329" t="s">
        <v>2</v>
      </c>
      <c r="C329">
        <v>0</v>
      </c>
      <c r="D329">
        <v>3</v>
      </c>
      <c r="E329">
        <v>3</v>
      </c>
      <c r="F329">
        <v>4</v>
      </c>
      <c r="G329">
        <v>1</v>
      </c>
      <c r="H329">
        <f>표4[[#This Row],[공격성공횟수]]/(표4[[#This Row],[공격실패횟수]]+표4[[#This Row],[공격성공횟수]])</f>
        <v>0.5</v>
      </c>
    </row>
    <row r="330" spans="1:8" x14ac:dyDescent="0.4">
      <c r="A330">
        <v>165</v>
      </c>
      <c r="B330" t="s">
        <v>3</v>
      </c>
      <c r="C330">
        <v>1</v>
      </c>
      <c r="D330">
        <v>4</v>
      </c>
      <c r="E330">
        <v>5</v>
      </c>
      <c r="F330">
        <v>1</v>
      </c>
      <c r="G330">
        <v>0</v>
      </c>
      <c r="H330">
        <f>표4[[#This Row],[공격성공횟수]]/(표4[[#This Row],[공격실패횟수]]+표4[[#This Row],[공격성공횟수]])</f>
        <v>0.44444444444444442</v>
      </c>
    </row>
    <row r="331" spans="1:8" hidden="1" x14ac:dyDescent="0.4">
      <c r="A331">
        <v>165</v>
      </c>
      <c r="B331" t="s">
        <v>2</v>
      </c>
      <c r="C331">
        <v>0</v>
      </c>
      <c r="D331">
        <v>1</v>
      </c>
      <c r="E331">
        <v>7</v>
      </c>
      <c r="F331">
        <v>4</v>
      </c>
      <c r="G331">
        <v>1</v>
      </c>
      <c r="H331">
        <f>표4[[#This Row],[공격성공횟수]]/(표4[[#This Row],[공격실패횟수]]+표4[[#This Row],[공격성공횟수]])</f>
        <v>0.125</v>
      </c>
    </row>
    <row r="332" spans="1:8" x14ac:dyDescent="0.4">
      <c r="A332">
        <v>166</v>
      </c>
      <c r="B332" t="s">
        <v>3</v>
      </c>
      <c r="C332">
        <v>1</v>
      </c>
      <c r="D332">
        <v>4</v>
      </c>
      <c r="E332">
        <v>5</v>
      </c>
      <c r="F332">
        <v>1</v>
      </c>
      <c r="G332">
        <v>0</v>
      </c>
      <c r="H332">
        <f>표4[[#This Row],[공격성공횟수]]/(표4[[#This Row],[공격실패횟수]]+표4[[#This Row],[공격성공횟수]])</f>
        <v>0.44444444444444442</v>
      </c>
    </row>
    <row r="333" spans="1:8" hidden="1" x14ac:dyDescent="0.4">
      <c r="A333">
        <v>166</v>
      </c>
      <c r="B333" t="s">
        <v>2</v>
      </c>
      <c r="C333">
        <v>0</v>
      </c>
      <c r="D333">
        <v>1</v>
      </c>
      <c r="E333">
        <v>8</v>
      </c>
      <c r="F333">
        <v>4</v>
      </c>
      <c r="G333">
        <v>1</v>
      </c>
      <c r="H333">
        <f>표4[[#This Row],[공격성공횟수]]/(표4[[#This Row],[공격실패횟수]]+표4[[#This Row],[공격성공횟수]])</f>
        <v>0.1111111111111111</v>
      </c>
    </row>
    <row r="334" spans="1:8" x14ac:dyDescent="0.4">
      <c r="A334">
        <v>167</v>
      </c>
      <c r="B334" t="s">
        <v>3</v>
      </c>
      <c r="C334">
        <v>1</v>
      </c>
      <c r="D334">
        <v>4</v>
      </c>
      <c r="E334">
        <v>10</v>
      </c>
      <c r="F334">
        <v>1</v>
      </c>
      <c r="G334">
        <v>0</v>
      </c>
      <c r="H334">
        <f>표4[[#This Row],[공격성공횟수]]/(표4[[#This Row],[공격실패횟수]]+표4[[#This Row],[공격성공횟수]])</f>
        <v>0.2857142857142857</v>
      </c>
    </row>
    <row r="335" spans="1:8" hidden="1" x14ac:dyDescent="0.4">
      <c r="A335">
        <v>167</v>
      </c>
      <c r="B335" t="s">
        <v>2</v>
      </c>
      <c r="C335">
        <v>0</v>
      </c>
      <c r="D335">
        <v>1</v>
      </c>
      <c r="E335">
        <v>13</v>
      </c>
      <c r="F335">
        <v>4</v>
      </c>
      <c r="G335">
        <v>1</v>
      </c>
      <c r="H335">
        <f>표4[[#This Row],[공격성공횟수]]/(표4[[#This Row],[공격실패횟수]]+표4[[#This Row],[공격성공횟수]])</f>
        <v>7.1428571428571425E-2</v>
      </c>
    </row>
    <row r="336" spans="1:8" x14ac:dyDescent="0.4">
      <c r="A336">
        <v>168</v>
      </c>
      <c r="B336" t="s">
        <v>3</v>
      </c>
      <c r="C336">
        <v>1</v>
      </c>
      <c r="D336">
        <v>4</v>
      </c>
      <c r="E336">
        <v>2</v>
      </c>
      <c r="F336">
        <v>1</v>
      </c>
      <c r="G336">
        <v>0</v>
      </c>
      <c r="H336">
        <f>표4[[#This Row],[공격성공횟수]]/(표4[[#This Row],[공격실패횟수]]+표4[[#This Row],[공격성공횟수]])</f>
        <v>0.66666666666666663</v>
      </c>
    </row>
    <row r="337" spans="1:8" hidden="1" x14ac:dyDescent="0.4">
      <c r="A337">
        <v>168</v>
      </c>
      <c r="B337" t="s">
        <v>2</v>
      </c>
      <c r="C337">
        <v>0</v>
      </c>
      <c r="D337">
        <v>1</v>
      </c>
      <c r="E337">
        <v>5</v>
      </c>
      <c r="F337">
        <v>4</v>
      </c>
      <c r="G337">
        <v>1</v>
      </c>
      <c r="H337">
        <f>표4[[#This Row],[공격성공횟수]]/(표4[[#This Row],[공격실패횟수]]+표4[[#This Row],[공격성공횟수]])</f>
        <v>0.16666666666666666</v>
      </c>
    </row>
    <row r="338" spans="1:8" x14ac:dyDescent="0.4">
      <c r="A338">
        <v>169</v>
      </c>
      <c r="B338" t="s">
        <v>3</v>
      </c>
      <c r="C338">
        <v>1</v>
      </c>
      <c r="D338">
        <v>4</v>
      </c>
      <c r="E338">
        <v>45</v>
      </c>
      <c r="F338">
        <v>2</v>
      </c>
      <c r="G338">
        <v>0</v>
      </c>
      <c r="H338">
        <f>표4[[#This Row],[공격성공횟수]]/(표4[[#This Row],[공격실패횟수]]+표4[[#This Row],[공격성공횟수]])</f>
        <v>8.1632653061224483E-2</v>
      </c>
    </row>
    <row r="339" spans="1:8" hidden="1" x14ac:dyDescent="0.4">
      <c r="A339">
        <v>169</v>
      </c>
      <c r="B339" t="s">
        <v>2</v>
      </c>
      <c r="C339">
        <v>0</v>
      </c>
      <c r="D339">
        <v>2</v>
      </c>
      <c r="E339">
        <v>46</v>
      </c>
      <c r="F339">
        <v>4</v>
      </c>
      <c r="G339">
        <v>1</v>
      </c>
      <c r="H339">
        <f>표4[[#This Row],[공격성공횟수]]/(표4[[#This Row],[공격실패횟수]]+표4[[#This Row],[공격성공횟수]])</f>
        <v>4.1666666666666664E-2</v>
      </c>
    </row>
    <row r="340" spans="1:8" x14ac:dyDescent="0.4">
      <c r="A340">
        <v>170</v>
      </c>
      <c r="B340" t="s">
        <v>3</v>
      </c>
      <c r="C340">
        <v>0</v>
      </c>
      <c r="D340">
        <v>0</v>
      </c>
      <c r="E340">
        <v>4</v>
      </c>
      <c r="F340">
        <v>4</v>
      </c>
      <c r="G340">
        <v>1</v>
      </c>
      <c r="H340">
        <f>표4[[#This Row],[공격성공횟수]]/(표4[[#This Row],[공격실패횟수]]+표4[[#This Row],[공격성공횟수]])</f>
        <v>0</v>
      </c>
    </row>
    <row r="341" spans="1:8" hidden="1" x14ac:dyDescent="0.4">
      <c r="A341">
        <v>170</v>
      </c>
      <c r="B341" t="s">
        <v>2</v>
      </c>
      <c r="C341">
        <v>1</v>
      </c>
      <c r="D341">
        <v>4</v>
      </c>
      <c r="E341">
        <v>14</v>
      </c>
      <c r="F341">
        <v>0</v>
      </c>
      <c r="G341">
        <v>0</v>
      </c>
      <c r="H341">
        <f>표4[[#This Row],[공격성공횟수]]/(표4[[#This Row],[공격실패횟수]]+표4[[#This Row],[공격성공횟수]])</f>
        <v>0.22222222222222221</v>
      </c>
    </row>
    <row r="342" spans="1:8" x14ac:dyDescent="0.4">
      <c r="A342">
        <v>171</v>
      </c>
      <c r="B342" t="s">
        <v>3</v>
      </c>
      <c r="C342">
        <v>1</v>
      </c>
      <c r="D342">
        <v>4</v>
      </c>
      <c r="E342">
        <v>14</v>
      </c>
      <c r="F342">
        <v>0</v>
      </c>
      <c r="G342">
        <v>0</v>
      </c>
      <c r="H342">
        <f>표4[[#This Row],[공격성공횟수]]/(표4[[#This Row],[공격실패횟수]]+표4[[#This Row],[공격성공횟수]])</f>
        <v>0.22222222222222221</v>
      </c>
    </row>
    <row r="343" spans="1:8" hidden="1" x14ac:dyDescent="0.4">
      <c r="A343">
        <v>171</v>
      </c>
      <c r="B343" t="s">
        <v>2</v>
      </c>
      <c r="C343">
        <v>0</v>
      </c>
      <c r="D343">
        <v>0</v>
      </c>
      <c r="E343">
        <v>19</v>
      </c>
      <c r="F343">
        <v>4</v>
      </c>
      <c r="G343">
        <v>1</v>
      </c>
      <c r="H343">
        <f>표4[[#This Row],[공격성공횟수]]/(표4[[#This Row],[공격실패횟수]]+표4[[#This Row],[공격성공횟수]])</f>
        <v>0</v>
      </c>
    </row>
    <row r="344" spans="1:8" x14ac:dyDescent="0.4">
      <c r="A344">
        <v>172</v>
      </c>
      <c r="B344" t="s">
        <v>3</v>
      </c>
      <c r="C344">
        <v>1</v>
      </c>
      <c r="D344">
        <v>4</v>
      </c>
      <c r="E344">
        <v>44</v>
      </c>
      <c r="F344">
        <v>2</v>
      </c>
      <c r="G344">
        <v>0</v>
      </c>
      <c r="H344">
        <f>표4[[#This Row],[공격성공횟수]]/(표4[[#This Row],[공격실패횟수]]+표4[[#This Row],[공격성공횟수]])</f>
        <v>8.3333333333333329E-2</v>
      </c>
    </row>
    <row r="345" spans="1:8" hidden="1" x14ac:dyDescent="0.4">
      <c r="A345">
        <v>172</v>
      </c>
      <c r="B345" t="s">
        <v>2</v>
      </c>
      <c r="C345">
        <v>0</v>
      </c>
      <c r="D345">
        <v>2</v>
      </c>
      <c r="E345">
        <v>49</v>
      </c>
      <c r="F345">
        <v>4</v>
      </c>
      <c r="G345">
        <v>1</v>
      </c>
      <c r="H345">
        <f>표4[[#This Row],[공격성공횟수]]/(표4[[#This Row],[공격실패횟수]]+표4[[#This Row],[공격성공횟수]])</f>
        <v>3.9215686274509803E-2</v>
      </c>
    </row>
    <row r="346" spans="1:8" x14ac:dyDescent="0.4">
      <c r="A346">
        <v>173</v>
      </c>
      <c r="B346" t="s">
        <v>3</v>
      </c>
      <c r="C346">
        <v>1</v>
      </c>
      <c r="D346">
        <v>4</v>
      </c>
      <c r="E346">
        <v>56</v>
      </c>
      <c r="F346">
        <v>2</v>
      </c>
      <c r="G346">
        <v>0</v>
      </c>
      <c r="H346">
        <f>표4[[#This Row],[공격성공횟수]]/(표4[[#This Row],[공격실패횟수]]+표4[[#This Row],[공격성공횟수]])</f>
        <v>6.6666666666666666E-2</v>
      </c>
    </row>
    <row r="347" spans="1:8" hidden="1" x14ac:dyDescent="0.4">
      <c r="A347">
        <v>173</v>
      </c>
      <c r="B347" t="s">
        <v>2</v>
      </c>
      <c r="C347">
        <v>0</v>
      </c>
      <c r="D347">
        <v>2</v>
      </c>
      <c r="E347">
        <v>61</v>
      </c>
      <c r="F347">
        <v>4</v>
      </c>
      <c r="G347">
        <v>1</v>
      </c>
      <c r="H347">
        <f>표4[[#This Row],[공격성공횟수]]/(표4[[#This Row],[공격실패횟수]]+표4[[#This Row],[공격성공횟수]])</f>
        <v>3.1746031746031744E-2</v>
      </c>
    </row>
    <row r="348" spans="1:8" x14ac:dyDescent="0.4">
      <c r="A348">
        <v>174</v>
      </c>
      <c r="B348" t="s">
        <v>3</v>
      </c>
      <c r="C348">
        <v>1</v>
      </c>
      <c r="D348">
        <v>4</v>
      </c>
      <c r="E348">
        <v>4</v>
      </c>
      <c r="F348">
        <v>2</v>
      </c>
      <c r="G348">
        <v>0</v>
      </c>
      <c r="H348">
        <f>표4[[#This Row],[공격성공횟수]]/(표4[[#This Row],[공격실패횟수]]+표4[[#This Row],[공격성공횟수]])</f>
        <v>0.5</v>
      </c>
    </row>
    <row r="349" spans="1:8" hidden="1" x14ac:dyDescent="0.4">
      <c r="A349">
        <v>174</v>
      </c>
      <c r="B349" t="s">
        <v>2</v>
      </c>
      <c r="C349">
        <v>0</v>
      </c>
      <c r="D349">
        <v>2</v>
      </c>
      <c r="E349">
        <v>5</v>
      </c>
      <c r="F349">
        <v>4</v>
      </c>
      <c r="G349">
        <v>1</v>
      </c>
      <c r="H349">
        <f>표4[[#This Row],[공격성공횟수]]/(표4[[#This Row],[공격실패횟수]]+표4[[#This Row],[공격성공횟수]])</f>
        <v>0.2857142857142857</v>
      </c>
    </row>
    <row r="350" spans="1:8" x14ac:dyDescent="0.4">
      <c r="A350">
        <v>175</v>
      </c>
      <c r="B350" t="s">
        <v>3</v>
      </c>
      <c r="C350">
        <v>1</v>
      </c>
      <c r="D350">
        <v>4</v>
      </c>
      <c r="E350">
        <v>5</v>
      </c>
      <c r="F350">
        <v>0</v>
      </c>
      <c r="G350">
        <v>0</v>
      </c>
      <c r="H350">
        <f>표4[[#This Row],[공격성공횟수]]/(표4[[#This Row],[공격실패횟수]]+표4[[#This Row],[공격성공횟수]])</f>
        <v>0.44444444444444442</v>
      </c>
    </row>
    <row r="351" spans="1:8" hidden="1" x14ac:dyDescent="0.4">
      <c r="A351">
        <v>175</v>
      </c>
      <c r="B351" t="s">
        <v>2</v>
      </c>
      <c r="C351">
        <v>0</v>
      </c>
      <c r="D351">
        <v>0</v>
      </c>
      <c r="E351">
        <v>9</v>
      </c>
      <c r="F351">
        <v>4</v>
      </c>
      <c r="G351">
        <v>1</v>
      </c>
      <c r="H351">
        <f>표4[[#This Row],[공격성공횟수]]/(표4[[#This Row],[공격실패횟수]]+표4[[#This Row],[공격성공횟수]])</f>
        <v>0</v>
      </c>
    </row>
    <row r="352" spans="1:8" x14ac:dyDescent="0.4">
      <c r="A352">
        <v>176</v>
      </c>
      <c r="B352" t="s">
        <v>3</v>
      </c>
      <c r="C352">
        <v>1</v>
      </c>
      <c r="D352">
        <v>4</v>
      </c>
      <c r="E352">
        <v>11</v>
      </c>
      <c r="F352">
        <v>2</v>
      </c>
      <c r="G352">
        <v>0</v>
      </c>
      <c r="H352">
        <f>표4[[#This Row],[공격성공횟수]]/(표4[[#This Row],[공격실패횟수]]+표4[[#This Row],[공격성공횟수]])</f>
        <v>0.26666666666666666</v>
      </c>
    </row>
    <row r="353" spans="1:8" hidden="1" x14ac:dyDescent="0.4">
      <c r="A353">
        <v>176</v>
      </c>
      <c r="B353" t="s">
        <v>2</v>
      </c>
      <c r="C353">
        <v>0</v>
      </c>
      <c r="D353">
        <v>2</v>
      </c>
      <c r="E353">
        <v>13</v>
      </c>
      <c r="F353">
        <v>4</v>
      </c>
      <c r="G353">
        <v>1</v>
      </c>
      <c r="H353">
        <f>표4[[#This Row],[공격성공횟수]]/(표4[[#This Row],[공격실패횟수]]+표4[[#This Row],[공격성공횟수]])</f>
        <v>0.13333333333333333</v>
      </c>
    </row>
    <row r="354" spans="1:8" x14ac:dyDescent="0.4">
      <c r="A354">
        <v>177</v>
      </c>
      <c r="B354" t="s">
        <v>3</v>
      </c>
      <c r="C354">
        <v>0</v>
      </c>
      <c r="D354">
        <v>2</v>
      </c>
      <c r="E354">
        <v>11</v>
      </c>
      <c r="F354">
        <v>4</v>
      </c>
      <c r="G354">
        <v>1</v>
      </c>
      <c r="H354">
        <f>표4[[#This Row],[공격성공횟수]]/(표4[[#This Row],[공격실패횟수]]+표4[[#This Row],[공격성공횟수]])</f>
        <v>0.15384615384615385</v>
      </c>
    </row>
    <row r="355" spans="1:8" hidden="1" x14ac:dyDescent="0.4">
      <c r="A355">
        <v>177</v>
      </c>
      <c r="B355" t="s">
        <v>2</v>
      </c>
      <c r="C355">
        <v>1</v>
      </c>
      <c r="D355">
        <v>4</v>
      </c>
      <c r="E355">
        <v>14</v>
      </c>
      <c r="F355">
        <v>2</v>
      </c>
      <c r="G355">
        <v>0</v>
      </c>
      <c r="H355">
        <f>표4[[#This Row],[공격성공횟수]]/(표4[[#This Row],[공격실패횟수]]+표4[[#This Row],[공격성공횟수]])</f>
        <v>0.22222222222222221</v>
      </c>
    </row>
    <row r="356" spans="1:8" x14ac:dyDescent="0.4">
      <c r="A356">
        <v>178</v>
      </c>
      <c r="B356" t="s">
        <v>3</v>
      </c>
      <c r="C356">
        <v>1</v>
      </c>
      <c r="D356">
        <v>4</v>
      </c>
      <c r="E356">
        <v>13</v>
      </c>
      <c r="F356">
        <v>1</v>
      </c>
      <c r="G356">
        <v>0</v>
      </c>
      <c r="H356">
        <f>표4[[#This Row],[공격성공횟수]]/(표4[[#This Row],[공격실패횟수]]+표4[[#This Row],[공격성공횟수]])</f>
        <v>0.23529411764705882</v>
      </c>
    </row>
    <row r="357" spans="1:8" hidden="1" x14ac:dyDescent="0.4">
      <c r="A357">
        <v>178</v>
      </c>
      <c r="B357" t="s">
        <v>2</v>
      </c>
      <c r="C357">
        <v>0</v>
      </c>
      <c r="D357">
        <v>1</v>
      </c>
      <c r="E357">
        <v>14</v>
      </c>
      <c r="F357">
        <v>4</v>
      </c>
      <c r="G357">
        <v>1</v>
      </c>
      <c r="H357">
        <f>표4[[#This Row],[공격성공횟수]]/(표4[[#This Row],[공격실패횟수]]+표4[[#This Row],[공격성공횟수]])</f>
        <v>6.6666666666666666E-2</v>
      </c>
    </row>
    <row r="358" spans="1:8" x14ac:dyDescent="0.4">
      <c r="A358">
        <v>179</v>
      </c>
      <c r="B358" t="s">
        <v>3</v>
      </c>
      <c r="C358">
        <v>1</v>
      </c>
      <c r="D358">
        <v>4</v>
      </c>
      <c r="E358">
        <v>64</v>
      </c>
      <c r="F358">
        <v>2</v>
      </c>
      <c r="G358">
        <v>0</v>
      </c>
      <c r="H358">
        <f>표4[[#This Row],[공격성공횟수]]/(표4[[#This Row],[공격실패횟수]]+표4[[#This Row],[공격성공횟수]])</f>
        <v>5.8823529411764705E-2</v>
      </c>
    </row>
    <row r="359" spans="1:8" hidden="1" x14ac:dyDescent="0.4">
      <c r="A359">
        <v>179</v>
      </c>
      <c r="B359" t="s">
        <v>2</v>
      </c>
      <c r="C359">
        <v>0</v>
      </c>
      <c r="D359">
        <v>2</v>
      </c>
      <c r="E359">
        <v>69</v>
      </c>
      <c r="F359">
        <v>4</v>
      </c>
      <c r="G359">
        <v>1</v>
      </c>
      <c r="H359">
        <f>표4[[#This Row],[공격성공횟수]]/(표4[[#This Row],[공격실패횟수]]+표4[[#This Row],[공격성공횟수]])</f>
        <v>2.8169014084507043E-2</v>
      </c>
    </row>
    <row r="360" spans="1:8" x14ac:dyDescent="0.4">
      <c r="A360">
        <v>180</v>
      </c>
      <c r="B360" t="s">
        <v>3</v>
      </c>
      <c r="C360">
        <v>1</v>
      </c>
      <c r="D360">
        <v>4</v>
      </c>
      <c r="E360">
        <v>15</v>
      </c>
      <c r="F360">
        <v>3</v>
      </c>
      <c r="G360">
        <v>0</v>
      </c>
      <c r="H360">
        <f>표4[[#This Row],[공격성공횟수]]/(표4[[#This Row],[공격실패횟수]]+표4[[#This Row],[공격성공횟수]])</f>
        <v>0.21052631578947367</v>
      </c>
    </row>
    <row r="361" spans="1:8" hidden="1" x14ac:dyDescent="0.4">
      <c r="A361">
        <v>180</v>
      </c>
      <c r="B361" t="s">
        <v>2</v>
      </c>
      <c r="C361">
        <v>0</v>
      </c>
      <c r="D361">
        <v>3</v>
      </c>
      <c r="E361">
        <v>17</v>
      </c>
      <c r="F361">
        <v>4</v>
      </c>
      <c r="G361">
        <v>1</v>
      </c>
      <c r="H361">
        <f>표4[[#This Row],[공격성공횟수]]/(표4[[#This Row],[공격실패횟수]]+표4[[#This Row],[공격성공횟수]])</f>
        <v>0.15</v>
      </c>
    </row>
    <row r="362" spans="1:8" x14ac:dyDescent="0.4">
      <c r="A362">
        <v>181</v>
      </c>
      <c r="B362" t="s">
        <v>3</v>
      </c>
      <c r="C362">
        <v>1</v>
      </c>
      <c r="D362">
        <v>4</v>
      </c>
      <c r="E362">
        <v>75</v>
      </c>
      <c r="F362">
        <v>1</v>
      </c>
      <c r="G362">
        <v>0</v>
      </c>
      <c r="H362">
        <f>표4[[#This Row],[공격성공횟수]]/(표4[[#This Row],[공격실패횟수]]+표4[[#This Row],[공격성공횟수]])</f>
        <v>5.0632911392405063E-2</v>
      </c>
    </row>
    <row r="363" spans="1:8" hidden="1" x14ac:dyDescent="0.4">
      <c r="A363">
        <v>181</v>
      </c>
      <c r="B363" t="s">
        <v>2</v>
      </c>
      <c r="C363">
        <v>0</v>
      </c>
      <c r="D363">
        <v>1</v>
      </c>
      <c r="E363">
        <v>89</v>
      </c>
      <c r="F363">
        <v>4</v>
      </c>
      <c r="G363">
        <v>1</v>
      </c>
      <c r="H363">
        <f>표4[[#This Row],[공격성공횟수]]/(표4[[#This Row],[공격실패횟수]]+표4[[#This Row],[공격성공횟수]])</f>
        <v>1.1111111111111112E-2</v>
      </c>
    </row>
    <row r="364" spans="1:8" x14ac:dyDescent="0.4">
      <c r="A364">
        <v>182</v>
      </c>
      <c r="B364" t="s">
        <v>3</v>
      </c>
      <c r="C364">
        <v>0</v>
      </c>
      <c r="D364">
        <v>1</v>
      </c>
      <c r="E364">
        <v>35</v>
      </c>
      <c r="F364">
        <v>4</v>
      </c>
      <c r="G364">
        <v>1</v>
      </c>
      <c r="H364">
        <f>표4[[#This Row],[공격성공횟수]]/(표4[[#This Row],[공격실패횟수]]+표4[[#This Row],[공격성공횟수]])</f>
        <v>2.7777777777777776E-2</v>
      </c>
    </row>
    <row r="365" spans="1:8" hidden="1" x14ac:dyDescent="0.4">
      <c r="A365">
        <v>182</v>
      </c>
      <c r="B365" t="s">
        <v>2</v>
      </c>
      <c r="C365">
        <v>1</v>
      </c>
      <c r="D365">
        <v>4</v>
      </c>
      <c r="E365">
        <v>47</v>
      </c>
      <c r="F365">
        <v>1</v>
      </c>
      <c r="G365">
        <v>0</v>
      </c>
      <c r="H365">
        <f>표4[[#This Row],[공격성공횟수]]/(표4[[#This Row],[공격실패횟수]]+표4[[#This Row],[공격성공횟수]])</f>
        <v>7.8431372549019607E-2</v>
      </c>
    </row>
    <row r="366" spans="1:8" x14ac:dyDescent="0.4">
      <c r="A366">
        <v>183</v>
      </c>
      <c r="B366" t="s">
        <v>3</v>
      </c>
      <c r="C366">
        <v>0</v>
      </c>
      <c r="D366">
        <v>0</v>
      </c>
      <c r="E366">
        <v>6</v>
      </c>
      <c r="F366">
        <v>4</v>
      </c>
      <c r="G366">
        <v>1</v>
      </c>
      <c r="H366">
        <f>표4[[#This Row],[공격성공횟수]]/(표4[[#This Row],[공격실패횟수]]+표4[[#This Row],[공격성공횟수]])</f>
        <v>0</v>
      </c>
    </row>
    <row r="367" spans="1:8" hidden="1" x14ac:dyDescent="0.4">
      <c r="A367">
        <v>183</v>
      </c>
      <c r="B367" t="s">
        <v>2</v>
      </c>
      <c r="C367">
        <v>1</v>
      </c>
      <c r="D367">
        <v>4</v>
      </c>
      <c r="E367">
        <v>11</v>
      </c>
      <c r="F367">
        <v>0</v>
      </c>
      <c r="G367">
        <v>0</v>
      </c>
      <c r="H367">
        <f>표4[[#This Row],[공격성공횟수]]/(표4[[#This Row],[공격실패횟수]]+표4[[#This Row],[공격성공횟수]])</f>
        <v>0.26666666666666666</v>
      </c>
    </row>
    <row r="368" spans="1:8" x14ac:dyDescent="0.4">
      <c r="A368">
        <v>184</v>
      </c>
      <c r="B368" t="s">
        <v>3</v>
      </c>
      <c r="C368">
        <v>1</v>
      </c>
      <c r="D368">
        <v>4</v>
      </c>
      <c r="E368">
        <v>6</v>
      </c>
      <c r="F368">
        <v>1</v>
      </c>
      <c r="G368">
        <v>0</v>
      </c>
      <c r="H368">
        <f>표4[[#This Row],[공격성공횟수]]/(표4[[#This Row],[공격실패횟수]]+표4[[#This Row],[공격성공횟수]])</f>
        <v>0.4</v>
      </c>
    </row>
    <row r="369" spans="1:8" hidden="1" x14ac:dyDescent="0.4">
      <c r="A369">
        <v>184</v>
      </c>
      <c r="B369" t="s">
        <v>2</v>
      </c>
      <c r="C369">
        <v>0</v>
      </c>
      <c r="D369">
        <v>1</v>
      </c>
      <c r="E369">
        <v>8</v>
      </c>
      <c r="F369">
        <v>4</v>
      </c>
      <c r="G369">
        <v>1</v>
      </c>
      <c r="H369">
        <f>표4[[#This Row],[공격성공횟수]]/(표4[[#This Row],[공격실패횟수]]+표4[[#This Row],[공격성공횟수]])</f>
        <v>0.1111111111111111</v>
      </c>
    </row>
    <row r="370" spans="1:8" x14ac:dyDescent="0.4">
      <c r="A370">
        <v>185</v>
      </c>
      <c r="B370" t="s">
        <v>3</v>
      </c>
      <c r="C370">
        <v>1</v>
      </c>
      <c r="D370">
        <v>4</v>
      </c>
      <c r="E370">
        <v>3</v>
      </c>
      <c r="F370">
        <v>0</v>
      </c>
      <c r="G370">
        <v>0</v>
      </c>
      <c r="H370">
        <f>표4[[#This Row],[공격성공횟수]]/(표4[[#This Row],[공격실패횟수]]+표4[[#This Row],[공격성공횟수]])</f>
        <v>0.5714285714285714</v>
      </c>
    </row>
    <row r="371" spans="1:8" hidden="1" x14ac:dyDescent="0.4">
      <c r="A371">
        <v>185</v>
      </c>
      <c r="B371" t="s">
        <v>2</v>
      </c>
      <c r="C371">
        <v>0</v>
      </c>
      <c r="D371">
        <v>0</v>
      </c>
      <c r="E371">
        <v>7</v>
      </c>
      <c r="F371">
        <v>4</v>
      </c>
      <c r="G371">
        <v>1</v>
      </c>
      <c r="H371">
        <f>표4[[#This Row],[공격성공횟수]]/(표4[[#This Row],[공격실패횟수]]+표4[[#This Row],[공격성공횟수]])</f>
        <v>0</v>
      </c>
    </row>
    <row r="372" spans="1:8" x14ac:dyDescent="0.4">
      <c r="A372">
        <v>186</v>
      </c>
      <c r="B372" t="s">
        <v>3</v>
      </c>
      <c r="C372">
        <v>0</v>
      </c>
      <c r="D372">
        <v>2</v>
      </c>
      <c r="E372">
        <v>5</v>
      </c>
      <c r="F372">
        <v>4</v>
      </c>
      <c r="G372">
        <v>1</v>
      </c>
      <c r="H372">
        <f>표4[[#This Row],[공격성공횟수]]/(표4[[#This Row],[공격실패횟수]]+표4[[#This Row],[공격성공횟수]])</f>
        <v>0.2857142857142857</v>
      </c>
    </row>
    <row r="373" spans="1:8" hidden="1" x14ac:dyDescent="0.4">
      <c r="A373">
        <v>186</v>
      </c>
      <c r="B373" t="s">
        <v>2</v>
      </c>
      <c r="C373">
        <v>1</v>
      </c>
      <c r="D373">
        <v>4</v>
      </c>
      <c r="E373">
        <v>14</v>
      </c>
      <c r="F373">
        <v>2</v>
      </c>
      <c r="G373">
        <v>0</v>
      </c>
      <c r="H373">
        <f>표4[[#This Row],[공격성공횟수]]/(표4[[#This Row],[공격실패횟수]]+표4[[#This Row],[공격성공횟수]])</f>
        <v>0.22222222222222221</v>
      </c>
    </row>
    <row r="374" spans="1:8" x14ac:dyDescent="0.4">
      <c r="A374">
        <v>187</v>
      </c>
      <c r="B374" t="s">
        <v>3</v>
      </c>
      <c r="C374">
        <v>1</v>
      </c>
      <c r="D374">
        <v>4</v>
      </c>
      <c r="E374">
        <v>47</v>
      </c>
      <c r="F374">
        <v>1</v>
      </c>
      <c r="G374">
        <v>0</v>
      </c>
      <c r="H374">
        <f>표4[[#This Row],[공격성공횟수]]/(표4[[#This Row],[공격실패횟수]]+표4[[#This Row],[공격성공횟수]])</f>
        <v>7.8431372549019607E-2</v>
      </c>
    </row>
    <row r="375" spans="1:8" hidden="1" x14ac:dyDescent="0.4">
      <c r="A375">
        <v>187</v>
      </c>
      <c r="B375" t="s">
        <v>2</v>
      </c>
      <c r="C375">
        <v>0</v>
      </c>
      <c r="D375">
        <v>1</v>
      </c>
      <c r="E375">
        <v>51</v>
      </c>
      <c r="F375">
        <v>4</v>
      </c>
      <c r="G375">
        <v>1</v>
      </c>
      <c r="H375">
        <f>표4[[#This Row],[공격성공횟수]]/(표4[[#This Row],[공격실패횟수]]+표4[[#This Row],[공격성공횟수]])</f>
        <v>1.9230769230769232E-2</v>
      </c>
    </row>
    <row r="376" spans="1:8" x14ac:dyDescent="0.4">
      <c r="A376">
        <v>188</v>
      </c>
      <c r="B376" t="s">
        <v>3</v>
      </c>
      <c r="C376">
        <v>1</v>
      </c>
      <c r="D376">
        <v>4</v>
      </c>
      <c r="E376">
        <v>6</v>
      </c>
      <c r="F376">
        <v>0</v>
      </c>
      <c r="G376">
        <v>0</v>
      </c>
      <c r="H376">
        <f>표4[[#This Row],[공격성공횟수]]/(표4[[#This Row],[공격실패횟수]]+표4[[#This Row],[공격성공횟수]])</f>
        <v>0.4</v>
      </c>
    </row>
    <row r="377" spans="1:8" hidden="1" x14ac:dyDescent="0.4">
      <c r="A377">
        <v>188</v>
      </c>
      <c r="B377" t="s">
        <v>2</v>
      </c>
      <c r="C377">
        <v>0</v>
      </c>
      <c r="D377">
        <v>0</v>
      </c>
      <c r="E377">
        <v>21</v>
      </c>
      <c r="F377">
        <v>4</v>
      </c>
      <c r="G377">
        <v>1</v>
      </c>
      <c r="H377">
        <f>표4[[#This Row],[공격성공횟수]]/(표4[[#This Row],[공격실패횟수]]+표4[[#This Row],[공격성공횟수]])</f>
        <v>0</v>
      </c>
    </row>
    <row r="378" spans="1:8" x14ac:dyDescent="0.4">
      <c r="A378">
        <v>189</v>
      </c>
      <c r="B378" t="s">
        <v>3</v>
      </c>
      <c r="C378">
        <v>1</v>
      </c>
      <c r="D378">
        <v>4</v>
      </c>
      <c r="E378">
        <v>9</v>
      </c>
      <c r="F378">
        <v>0</v>
      </c>
      <c r="G378">
        <v>0</v>
      </c>
      <c r="H378">
        <f>표4[[#This Row],[공격성공횟수]]/(표4[[#This Row],[공격실패횟수]]+표4[[#This Row],[공격성공횟수]])</f>
        <v>0.30769230769230771</v>
      </c>
    </row>
    <row r="379" spans="1:8" hidden="1" x14ac:dyDescent="0.4">
      <c r="A379">
        <v>189</v>
      </c>
      <c r="B379" t="s">
        <v>2</v>
      </c>
      <c r="C379">
        <v>0</v>
      </c>
      <c r="D379">
        <v>0</v>
      </c>
      <c r="E379">
        <v>12</v>
      </c>
      <c r="F379">
        <v>4</v>
      </c>
      <c r="G379">
        <v>1</v>
      </c>
      <c r="H379">
        <f>표4[[#This Row],[공격성공횟수]]/(표4[[#This Row],[공격실패횟수]]+표4[[#This Row],[공격성공횟수]])</f>
        <v>0</v>
      </c>
    </row>
    <row r="380" spans="1:8" x14ac:dyDescent="0.4">
      <c r="A380">
        <v>190</v>
      </c>
      <c r="B380" t="s">
        <v>3</v>
      </c>
      <c r="C380">
        <v>1</v>
      </c>
      <c r="D380">
        <v>4</v>
      </c>
      <c r="E380">
        <v>11</v>
      </c>
      <c r="F380">
        <v>3</v>
      </c>
      <c r="G380">
        <v>0</v>
      </c>
      <c r="H380">
        <f>표4[[#This Row],[공격성공횟수]]/(표4[[#This Row],[공격실패횟수]]+표4[[#This Row],[공격성공횟수]])</f>
        <v>0.26666666666666666</v>
      </c>
    </row>
    <row r="381" spans="1:8" hidden="1" x14ac:dyDescent="0.4">
      <c r="A381">
        <v>190</v>
      </c>
      <c r="B381" t="s">
        <v>2</v>
      </c>
      <c r="C381">
        <v>0</v>
      </c>
      <c r="D381">
        <v>3</v>
      </c>
      <c r="E381">
        <v>12</v>
      </c>
      <c r="F381">
        <v>4</v>
      </c>
      <c r="G381">
        <v>1</v>
      </c>
      <c r="H381">
        <f>표4[[#This Row],[공격성공횟수]]/(표4[[#This Row],[공격실패횟수]]+표4[[#This Row],[공격성공횟수]])</f>
        <v>0.2</v>
      </c>
    </row>
    <row r="382" spans="1:8" x14ac:dyDescent="0.4">
      <c r="A382">
        <v>191</v>
      </c>
      <c r="B382" t="s">
        <v>3</v>
      </c>
      <c r="C382">
        <v>1</v>
      </c>
      <c r="D382">
        <v>4</v>
      </c>
      <c r="E382">
        <v>14</v>
      </c>
      <c r="F382">
        <v>1</v>
      </c>
      <c r="G382">
        <v>0</v>
      </c>
      <c r="H382">
        <f>표4[[#This Row],[공격성공횟수]]/(표4[[#This Row],[공격실패횟수]]+표4[[#This Row],[공격성공횟수]])</f>
        <v>0.22222222222222221</v>
      </c>
    </row>
    <row r="383" spans="1:8" hidden="1" x14ac:dyDescent="0.4">
      <c r="A383">
        <v>191</v>
      </c>
      <c r="B383" t="s">
        <v>2</v>
      </c>
      <c r="C383">
        <v>0</v>
      </c>
      <c r="D383">
        <v>1</v>
      </c>
      <c r="E383">
        <v>21</v>
      </c>
      <c r="F383">
        <v>4</v>
      </c>
      <c r="G383">
        <v>1</v>
      </c>
      <c r="H383">
        <f>표4[[#This Row],[공격성공횟수]]/(표4[[#This Row],[공격실패횟수]]+표4[[#This Row],[공격성공횟수]])</f>
        <v>4.5454545454545456E-2</v>
      </c>
    </row>
    <row r="384" spans="1:8" x14ac:dyDescent="0.4">
      <c r="A384">
        <v>192</v>
      </c>
      <c r="B384" t="s">
        <v>3</v>
      </c>
      <c r="C384">
        <v>1</v>
      </c>
      <c r="D384">
        <v>4</v>
      </c>
      <c r="E384">
        <v>13</v>
      </c>
      <c r="F384">
        <v>3</v>
      </c>
      <c r="G384">
        <v>0</v>
      </c>
      <c r="H384">
        <f>표4[[#This Row],[공격성공횟수]]/(표4[[#This Row],[공격실패횟수]]+표4[[#This Row],[공격성공횟수]])</f>
        <v>0.23529411764705882</v>
      </c>
    </row>
    <row r="385" spans="1:8" hidden="1" x14ac:dyDescent="0.4">
      <c r="A385">
        <v>192</v>
      </c>
      <c r="B385" t="s">
        <v>2</v>
      </c>
      <c r="C385">
        <v>0</v>
      </c>
      <c r="D385">
        <v>3</v>
      </c>
      <c r="E385">
        <v>14</v>
      </c>
      <c r="F385">
        <v>4</v>
      </c>
      <c r="G385">
        <v>1</v>
      </c>
      <c r="H385">
        <f>표4[[#This Row],[공격성공횟수]]/(표4[[#This Row],[공격실패횟수]]+표4[[#This Row],[공격성공횟수]])</f>
        <v>0.17647058823529413</v>
      </c>
    </row>
    <row r="386" spans="1:8" x14ac:dyDescent="0.4">
      <c r="A386">
        <v>193</v>
      </c>
      <c r="B386" t="s">
        <v>3</v>
      </c>
      <c r="C386">
        <v>1</v>
      </c>
      <c r="D386">
        <v>4</v>
      </c>
      <c r="E386">
        <v>3</v>
      </c>
      <c r="F386">
        <v>3</v>
      </c>
      <c r="G386">
        <v>0</v>
      </c>
      <c r="H386">
        <f>표4[[#This Row],[공격성공횟수]]/(표4[[#This Row],[공격실패횟수]]+표4[[#This Row],[공격성공횟수]])</f>
        <v>0.5714285714285714</v>
      </c>
    </row>
    <row r="387" spans="1:8" hidden="1" x14ac:dyDescent="0.4">
      <c r="A387">
        <v>193</v>
      </c>
      <c r="B387" t="s">
        <v>2</v>
      </c>
      <c r="C387">
        <v>0</v>
      </c>
      <c r="D387">
        <v>3</v>
      </c>
      <c r="E387">
        <v>4</v>
      </c>
      <c r="F387">
        <v>4</v>
      </c>
      <c r="G387">
        <v>1</v>
      </c>
      <c r="H387">
        <f>표4[[#This Row],[공격성공횟수]]/(표4[[#This Row],[공격실패횟수]]+표4[[#This Row],[공격성공횟수]])</f>
        <v>0.42857142857142855</v>
      </c>
    </row>
    <row r="388" spans="1:8" x14ac:dyDescent="0.4">
      <c r="A388">
        <v>194</v>
      </c>
      <c r="B388" t="s">
        <v>3</v>
      </c>
      <c r="C388">
        <v>1</v>
      </c>
      <c r="D388">
        <v>4</v>
      </c>
      <c r="E388">
        <v>2</v>
      </c>
      <c r="F388">
        <v>2</v>
      </c>
      <c r="G388">
        <v>0</v>
      </c>
      <c r="H388">
        <f>표4[[#This Row],[공격성공횟수]]/(표4[[#This Row],[공격실패횟수]]+표4[[#This Row],[공격성공횟수]])</f>
        <v>0.66666666666666663</v>
      </c>
    </row>
    <row r="389" spans="1:8" hidden="1" x14ac:dyDescent="0.4">
      <c r="A389">
        <v>194</v>
      </c>
      <c r="B389" t="s">
        <v>2</v>
      </c>
      <c r="C389">
        <v>0</v>
      </c>
      <c r="D389">
        <v>2</v>
      </c>
      <c r="E389">
        <v>4</v>
      </c>
      <c r="F389">
        <v>4</v>
      </c>
      <c r="G389">
        <v>1</v>
      </c>
      <c r="H389">
        <f>표4[[#This Row],[공격성공횟수]]/(표4[[#This Row],[공격실패횟수]]+표4[[#This Row],[공격성공횟수]])</f>
        <v>0.33333333333333331</v>
      </c>
    </row>
    <row r="390" spans="1:8" x14ac:dyDescent="0.4">
      <c r="A390">
        <v>195</v>
      </c>
      <c r="B390" t="s">
        <v>3</v>
      </c>
      <c r="C390">
        <v>1</v>
      </c>
      <c r="D390">
        <v>4</v>
      </c>
      <c r="E390">
        <v>6</v>
      </c>
      <c r="F390">
        <v>1</v>
      </c>
      <c r="G390">
        <v>0</v>
      </c>
      <c r="H390">
        <f>표4[[#This Row],[공격성공횟수]]/(표4[[#This Row],[공격실패횟수]]+표4[[#This Row],[공격성공횟수]])</f>
        <v>0.4</v>
      </c>
    </row>
    <row r="391" spans="1:8" hidden="1" x14ac:dyDescent="0.4">
      <c r="A391">
        <v>195</v>
      </c>
      <c r="B391" t="s">
        <v>2</v>
      </c>
      <c r="C391">
        <v>0</v>
      </c>
      <c r="D391">
        <v>1</v>
      </c>
      <c r="E391">
        <v>9</v>
      </c>
      <c r="F391">
        <v>4</v>
      </c>
      <c r="G391">
        <v>1</v>
      </c>
      <c r="H391">
        <f>표4[[#This Row],[공격성공횟수]]/(표4[[#This Row],[공격실패횟수]]+표4[[#This Row],[공격성공횟수]])</f>
        <v>0.1</v>
      </c>
    </row>
    <row r="392" spans="1:8" x14ac:dyDescent="0.4">
      <c r="A392">
        <v>196</v>
      </c>
      <c r="B392" t="s">
        <v>3</v>
      </c>
      <c r="C392">
        <v>1</v>
      </c>
      <c r="D392">
        <v>4</v>
      </c>
      <c r="E392">
        <v>14</v>
      </c>
      <c r="F392">
        <v>3</v>
      </c>
      <c r="G392">
        <v>0</v>
      </c>
      <c r="H392">
        <f>표4[[#This Row],[공격성공횟수]]/(표4[[#This Row],[공격실패횟수]]+표4[[#This Row],[공격성공횟수]])</f>
        <v>0.22222222222222221</v>
      </c>
    </row>
    <row r="393" spans="1:8" hidden="1" x14ac:dyDescent="0.4">
      <c r="A393">
        <v>196</v>
      </c>
      <c r="B393" t="s">
        <v>2</v>
      </c>
      <c r="C393">
        <v>0</v>
      </c>
      <c r="D393">
        <v>3</v>
      </c>
      <c r="E393">
        <v>14</v>
      </c>
      <c r="F393">
        <v>4</v>
      </c>
      <c r="G393">
        <v>1</v>
      </c>
      <c r="H393">
        <f>표4[[#This Row],[공격성공횟수]]/(표4[[#This Row],[공격실패횟수]]+표4[[#This Row],[공격성공횟수]])</f>
        <v>0.17647058823529413</v>
      </c>
    </row>
    <row r="394" spans="1:8" x14ac:dyDescent="0.4">
      <c r="A394">
        <v>197</v>
      </c>
      <c r="B394" t="s">
        <v>3</v>
      </c>
      <c r="C394">
        <v>1</v>
      </c>
      <c r="D394">
        <v>4</v>
      </c>
      <c r="E394">
        <v>8</v>
      </c>
      <c r="F394">
        <v>2</v>
      </c>
      <c r="G394">
        <v>0</v>
      </c>
      <c r="H394">
        <f>표4[[#This Row],[공격성공횟수]]/(표4[[#This Row],[공격실패횟수]]+표4[[#This Row],[공격성공횟수]])</f>
        <v>0.33333333333333331</v>
      </c>
    </row>
    <row r="395" spans="1:8" hidden="1" x14ac:dyDescent="0.4">
      <c r="A395">
        <v>197</v>
      </c>
      <c r="B395" t="s">
        <v>2</v>
      </c>
      <c r="C395">
        <v>0</v>
      </c>
      <c r="D395">
        <v>2</v>
      </c>
      <c r="E395">
        <v>10</v>
      </c>
      <c r="F395">
        <v>4</v>
      </c>
      <c r="G395">
        <v>1</v>
      </c>
      <c r="H395">
        <f>표4[[#This Row],[공격성공횟수]]/(표4[[#This Row],[공격실패횟수]]+표4[[#This Row],[공격성공횟수]])</f>
        <v>0.16666666666666666</v>
      </c>
    </row>
    <row r="396" spans="1:8" x14ac:dyDescent="0.4">
      <c r="A396">
        <v>198</v>
      </c>
      <c r="B396" t="s">
        <v>3</v>
      </c>
      <c r="C396">
        <v>1</v>
      </c>
      <c r="D396">
        <v>4</v>
      </c>
      <c r="E396">
        <v>4</v>
      </c>
      <c r="F396">
        <v>2</v>
      </c>
      <c r="G396">
        <v>0</v>
      </c>
      <c r="H396">
        <f>표4[[#This Row],[공격성공횟수]]/(표4[[#This Row],[공격실패횟수]]+표4[[#This Row],[공격성공횟수]])</f>
        <v>0.5</v>
      </c>
    </row>
    <row r="397" spans="1:8" hidden="1" x14ac:dyDescent="0.4">
      <c r="A397">
        <v>198</v>
      </c>
      <c r="B397" t="s">
        <v>2</v>
      </c>
      <c r="C397">
        <v>0</v>
      </c>
      <c r="D397">
        <v>2</v>
      </c>
      <c r="E397">
        <v>5</v>
      </c>
      <c r="F397">
        <v>4</v>
      </c>
      <c r="G397">
        <v>1</v>
      </c>
      <c r="H397">
        <f>표4[[#This Row],[공격성공횟수]]/(표4[[#This Row],[공격실패횟수]]+표4[[#This Row],[공격성공횟수]])</f>
        <v>0.2857142857142857</v>
      </c>
    </row>
    <row r="398" spans="1:8" x14ac:dyDescent="0.4">
      <c r="A398">
        <v>199</v>
      </c>
      <c r="B398" t="s">
        <v>3</v>
      </c>
      <c r="C398">
        <v>1</v>
      </c>
      <c r="D398">
        <v>4</v>
      </c>
      <c r="E398">
        <v>4</v>
      </c>
      <c r="F398">
        <v>0</v>
      </c>
      <c r="G398">
        <v>0</v>
      </c>
      <c r="H398">
        <f>표4[[#This Row],[공격성공횟수]]/(표4[[#This Row],[공격실패횟수]]+표4[[#This Row],[공격성공횟수]])</f>
        <v>0.5</v>
      </c>
    </row>
    <row r="399" spans="1:8" hidden="1" x14ac:dyDescent="0.4">
      <c r="A399">
        <v>199</v>
      </c>
      <c r="B399" t="s">
        <v>2</v>
      </c>
      <c r="C399">
        <v>0</v>
      </c>
      <c r="D399">
        <v>0</v>
      </c>
      <c r="E399">
        <v>8</v>
      </c>
      <c r="F399">
        <v>4</v>
      </c>
      <c r="G399">
        <v>1</v>
      </c>
      <c r="H399">
        <f>표4[[#This Row],[공격성공횟수]]/(표4[[#This Row],[공격실패횟수]]+표4[[#This Row],[공격성공횟수]])</f>
        <v>0</v>
      </c>
    </row>
    <row r="400" spans="1:8" x14ac:dyDescent="0.4">
      <c r="A400">
        <v>200</v>
      </c>
      <c r="B400" t="s">
        <v>3</v>
      </c>
      <c r="C400">
        <v>1</v>
      </c>
      <c r="D400">
        <v>4</v>
      </c>
      <c r="E400">
        <v>41</v>
      </c>
      <c r="F400">
        <v>0</v>
      </c>
      <c r="G400">
        <v>0</v>
      </c>
      <c r="H400">
        <f>표4[[#This Row],[공격성공횟수]]/(표4[[#This Row],[공격실패횟수]]+표4[[#This Row],[공격성공횟수]])</f>
        <v>8.8888888888888892E-2</v>
      </c>
    </row>
    <row r="401" spans="1:8" hidden="1" x14ac:dyDescent="0.4">
      <c r="A401">
        <v>200</v>
      </c>
      <c r="B401" t="s">
        <v>2</v>
      </c>
      <c r="C401">
        <v>0</v>
      </c>
      <c r="D401">
        <v>0</v>
      </c>
      <c r="E401">
        <v>45</v>
      </c>
      <c r="F401">
        <v>4</v>
      </c>
      <c r="G401">
        <v>1</v>
      </c>
      <c r="H401">
        <f>표4[[#This Row],[공격성공횟수]]/(표4[[#This Row],[공격실패횟수]]+표4[[#This Row],[공격성공횟수]])</f>
        <v>0</v>
      </c>
    </row>
    <row r="402" spans="1:8" x14ac:dyDescent="0.4">
      <c r="A402">
        <v>201</v>
      </c>
      <c r="B402" t="s">
        <v>3</v>
      </c>
      <c r="C402">
        <v>0</v>
      </c>
      <c r="D402">
        <v>3</v>
      </c>
      <c r="E402">
        <v>7</v>
      </c>
      <c r="F402">
        <v>4</v>
      </c>
      <c r="G402">
        <v>1</v>
      </c>
      <c r="H402">
        <f>표4[[#This Row],[공격성공횟수]]/(표4[[#This Row],[공격실패횟수]]+표4[[#This Row],[공격성공횟수]])</f>
        <v>0.3</v>
      </c>
    </row>
    <row r="403" spans="1:8" hidden="1" x14ac:dyDescent="0.4">
      <c r="A403">
        <v>201</v>
      </c>
      <c r="B403" t="s">
        <v>2</v>
      </c>
      <c r="C403">
        <v>1</v>
      </c>
      <c r="D403">
        <v>4</v>
      </c>
      <c r="E403">
        <v>16</v>
      </c>
      <c r="F403">
        <v>3</v>
      </c>
      <c r="G403">
        <v>0</v>
      </c>
      <c r="H403">
        <f>표4[[#This Row],[공격성공횟수]]/(표4[[#This Row],[공격실패횟수]]+표4[[#This Row],[공격성공횟수]])</f>
        <v>0.2</v>
      </c>
    </row>
    <row r="404" spans="1:8" x14ac:dyDescent="0.4">
      <c r="A404">
        <v>202</v>
      </c>
      <c r="B404" t="s">
        <v>3</v>
      </c>
      <c r="C404">
        <v>0</v>
      </c>
      <c r="D404">
        <v>0</v>
      </c>
      <c r="E404">
        <v>2</v>
      </c>
      <c r="F404">
        <v>4</v>
      </c>
      <c r="G404">
        <v>1</v>
      </c>
      <c r="H404">
        <f>표4[[#This Row],[공격성공횟수]]/(표4[[#This Row],[공격실패횟수]]+표4[[#This Row],[공격성공횟수]])</f>
        <v>0</v>
      </c>
    </row>
    <row r="405" spans="1:8" hidden="1" x14ac:dyDescent="0.4">
      <c r="A405">
        <v>202</v>
      </c>
      <c r="B405" t="s">
        <v>2</v>
      </c>
      <c r="C405">
        <v>1</v>
      </c>
      <c r="D405">
        <v>4</v>
      </c>
      <c r="E405">
        <v>5</v>
      </c>
      <c r="F405">
        <v>0</v>
      </c>
      <c r="G405">
        <v>0</v>
      </c>
      <c r="H405">
        <f>표4[[#This Row],[공격성공횟수]]/(표4[[#This Row],[공격실패횟수]]+표4[[#This Row],[공격성공횟수]])</f>
        <v>0.44444444444444442</v>
      </c>
    </row>
    <row r="406" spans="1:8" x14ac:dyDescent="0.4">
      <c r="A406">
        <v>203</v>
      </c>
      <c r="B406" t="s">
        <v>3</v>
      </c>
      <c r="C406">
        <v>1</v>
      </c>
      <c r="D406">
        <v>4</v>
      </c>
      <c r="E406">
        <v>61</v>
      </c>
      <c r="F406">
        <v>0</v>
      </c>
      <c r="G406">
        <v>0</v>
      </c>
      <c r="H406">
        <f>표4[[#This Row],[공격성공횟수]]/(표4[[#This Row],[공격실패횟수]]+표4[[#This Row],[공격성공횟수]])</f>
        <v>6.1538461538461542E-2</v>
      </c>
    </row>
    <row r="407" spans="1:8" hidden="1" x14ac:dyDescent="0.4">
      <c r="A407">
        <v>203</v>
      </c>
      <c r="B407" t="s">
        <v>2</v>
      </c>
      <c r="C407">
        <v>0</v>
      </c>
      <c r="D407">
        <v>0</v>
      </c>
      <c r="E407">
        <v>75</v>
      </c>
      <c r="F407">
        <v>4</v>
      </c>
      <c r="G407">
        <v>1</v>
      </c>
      <c r="H407">
        <f>표4[[#This Row],[공격성공횟수]]/(표4[[#This Row],[공격실패횟수]]+표4[[#This Row],[공격성공횟수]])</f>
        <v>0</v>
      </c>
    </row>
    <row r="408" spans="1:8" x14ac:dyDescent="0.4">
      <c r="A408">
        <v>204</v>
      </c>
      <c r="B408" t="s">
        <v>3</v>
      </c>
      <c r="C408">
        <v>0</v>
      </c>
      <c r="D408">
        <v>0</v>
      </c>
      <c r="E408">
        <v>14</v>
      </c>
      <c r="F408">
        <v>4</v>
      </c>
      <c r="G408">
        <v>1</v>
      </c>
      <c r="H408">
        <f>표4[[#This Row],[공격성공횟수]]/(표4[[#This Row],[공격실패횟수]]+표4[[#This Row],[공격성공횟수]])</f>
        <v>0</v>
      </c>
    </row>
    <row r="409" spans="1:8" hidden="1" x14ac:dyDescent="0.4">
      <c r="A409">
        <v>204</v>
      </c>
      <c r="B409" t="s">
        <v>2</v>
      </c>
      <c r="C409">
        <v>1</v>
      </c>
      <c r="D409">
        <v>4</v>
      </c>
      <c r="E409">
        <v>19</v>
      </c>
      <c r="F409">
        <v>0</v>
      </c>
      <c r="G409">
        <v>0</v>
      </c>
      <c r="H409">
        <f>표4[[#This Row],[공격성공횟수]]/(표4[[#This Row],[공격실패횟수]]+표4[[#This Row],[공격성공횟수]])</f>
        <v>0.17391304347826086</v>
      </c>
    </row>
    <row r="410" spans="1:8" x14ac:dyDescent="0.4">
      <c r="A410">
        <v>205</v>
      </c>
      <c r="B410" t="s">
        <v>3</v>
      </c>
      <c r="C410">
        <v>0</v>
      </c>
      <c r="D410">
        <v>2</v>
      </c>
      <c r="E410">
        <v>11</v>
      </c>
      <c r="F410">
        <v>4</v>
      </c>
      <c r="G410">
        <v>1</v>
      </c>
      <c r="H410">
        <f>표4[[#This Row],[공격성공횟수]]/(표4[[#This Row],[공격실패횟수]]+표4[[#This Row],[공격성공횟수]])</f>
        <v>0.15384615384615385</v>
      </c>
    </row>
    <row r="411" spans="1:8" hidden="1" x14ac:dyDescent="0.4">
      <c r="A411">
        <v>205</v>
      </c>
      <c r="B411" t="s">
        <v>2</v>
      </c>
      <c r="C411">
        <v>1</v>
      </c>
      <c r="D411">
        <v>4</v>
      </c>
      <c r="E411">
        <v>9</v>
      </c>
      <c r="F411">
        <v>2</v>
      </c>
      <c r="G411">
        <v>0</v>
      </c>
      <c r="H411">
        <f>표4[[#This Row],[공격성공횟수]]/(표4[[#This Row],[공격실패횟수]]+표4[[#This Row],[공격성공횟수]])</f>
        <v>0.30769230769230771</v>
      </c>
    </row>
    <row r="412" spans="1:8" x14ac:dyDescent="0.4">
      <c r="A412">
        <v>206</v>
      </c>
      <c r="B412" t="s">
        <v>3</v>
      </c>
      <c r="C412">
        <v>1</v>
      </c>
      <c r="D412">
        <v>4</v>
      </c>
      <c r="E412">
        <v>12</v>
      </c>
      <c r="F412">
        <v>2</v>
      </c>
      <c r="G412">
        <v>0</v>
      </c>
      <c r="H412">
        <f>표4[[#This Row],[공격성공횟수]]/(표4[[#This Row],[공격실패횟수]]+표4[[#This Row],[공격성공횟수]])</f>
        <v>0.25</v>
      </c>
    </row>
    <row r="413" spans="1:8" hidden="1" x14ac:dyDescent="0.4">
      <c r="A413">
        <v>206</v>
      </c>
      <c r="B413" t="s">
        <v>2</v>
      </c>
      <c r="C413">
        <v>0</v>
      </c>
      <c r="D413">
        <v>2</v>
      </c>
      <c r="E413">
        <v>13</v>
      </c>
      <c r="F413">
        <v>4</v>
      </c>
      <c r="G413">
        <v>1</v>
      </c>
      <c r="H413">
        <f>표4[[#This Row],[공격성공횟수]]/(표4[[#This Row],[공격실패횟수]]+표4[[#This Row],[공격성공횟수]])</f>
        <v>0.13333333333333333</v>
      </c>
    </row>
    <row r="414" spans="1:8" x14ac:dyDescent="0.4">
      <c r="A414">
        <v>207</v>
      </c>
      <c r="B414" t="s">
        <v>3</v>
      </c>
      <c r="C414">
        <v>1</v>
      </c>
      <c r="D414">
        <v>4</v>
      </c>
      <c r="E414">
        <v>7</v>
      </c>
      <c r="F414">
        <v>3</v>
      </c>
      <c r="G414">
        <v>0</v>
      </c>
      <c r="H414">
        <f>표4[[#This Row],[공격성공횟수]]/(표4[[#This Row],[공격실패횟수]]+표4[[#This Row],[공격성공횟수]])</f>
        <v>0.36363636363636365</v>
      </c>
    </row>
    <row r="415" spans="1:8" hidden="1" x14ac:dyDescent="0.4">
      <c r="A415">
        <v>207</v>
      </c>
      <c r="B415" t="s">
        <v>2</v>
      </c>
      <c r="C415">
        <v>0</v>
      </c>
      <c r="D415">
        <v>3</v>
      </c>
      <c r="E415">
        <v>15</v>
      </c>
      <c r="F415">
        <v>4</v>
      </c>
      <c r="G415">
        <v>1</v>
      </c>
      <c r="H415">
        <f>표4[[#This Row],[공격성공횟수]]/(표4[[#This Row],[공격실패횟수]]+표4[[#This Row],[공격성공횟수]])</f>
        <v>0.16666666666666666</v>
      </c>
    </row>
    <row r="416" spans="1:8" x14ac:dyDescent="0.4">
      <c r="A416">
        <v>208</v>
      </c>
      <c r="B416" t="s">
        <v>3</v>
      </c>
      <c r="C416">
        <v>1</v>
      </c>
      <c r="D416">
        <v>4</v>
      </c>
      <c r="E416">
        <v>13</v>
      </c>
      <c r="F416">
        <v>2</v>
      </c>
      <c r="G416">
        <v>0</v>
      </c>
      <c r="H416">
        <f>표4[[#This Row],[공격성공횟수]]/(표4[[#This Row],[공격실패횟수]]+표4[[#This Row],[공격성공횟수]])</f>
        <v>0.23529411764705882</v>
      </c>
    </row>
    <row r="417" spans="1:8" hidden="1" x14ac:dyDescent="0.4">
      <c r="A417">
        <v>208</v>
      </c>
      <c r="B417" t="s">
        <v>2</v>
      </c>
      <c r="C417">
        <v>0</v>
      </c>
      <c r="D417">
        <v>2</v>
      </c>
      <c r="E417">
        <v>23</v>
      </c>
      <c r="F417">
        <v>4</v>
      </c>
      <c r="G417">
        <v>1</v>
      </c>
      <c r="H417">
        <f>표4[[#This Row],[공격성공횟수]]/(표4[[#This Row],[공격실패횟수]]+표4[[#This Row],[공격성공횟수]])</f>
        <v>0.08</v>
      </c>
    </row>
    <row r="418" spans="1:8" x14ac:dyDescent="0.4">
      <c r="A418">
        <v>209</v>
      </c>
      <c r="B418" t="s">
        <v>3</v>
      </c>
      <c r="C418">
        <v>1</v>
      </c>
      <c r="D418">
        <v>4</v>
      </c>
      <c r="E418">
        <v>7</v>
      </c>
      <c r="F418">
        <v>2</v>
      </c>
      <c r="G418">
        <v>0</v>
      </c>
      <c r="H418">
        <f>표4[[#This Row],[공격성공횟수]]/(표4[[#This Row],[공격실패횟수]]+표4[[#This Row],[공격성공횟수]])</f>
        <v>0.36363636363636365</v>
      </c>
    </row>
    <row r="419" spans="1:8" hidden="1" x14ac:dyDescent="0.4">
      <c r="A419">
        <v>209</v>
      </c>
      <c r="B419" t="s">
        <v>2</v>
      </c>
      <c r="C419">
        <v>0</v>
      </c>
      <c r="D419">
        <v>2</v>
      </c>
      <c r="E419">
        <v>11</v>
      </c>
      <c r="F419">
        <v>4</v>
      </c>
      <c r="G419">
        <v>1</v>
      </c>
      <c r="H419">
        <f>표4[[#This Row],[공격성공횟수]]/(표4[[#This Row],[공격실패횟수]]+표4[[#This Row],[공격성공횟수]])</f>
        <v>0.15384615384615385</v>
      </c>
    </row>
    <row r="420" spans="1:8" x14ac:dyDescent="0.4">
      <c r="A420">
        <v>210</v>
      </c>
      <c r="B420" t="s">
        <v>3</v>
      </c>
      <c r="C420">
        <v>0</v>
      </c>
      <c r="D420">
        <v>2</v>
      </c>
      <c r="E420">
        <v>85</v>
      </c>
      <c r="F420">
        <v>2</v>
      </c>
      <c r="G420">
        <v>0</v>
      </c>
      <c r="H420">
        <f>표4[[#This Row],[공격성공횟수]]/(표4[[#This Row],[공격실패횟수]]+표4[[#This Row],[공격성공횟수]])</f>
        <v>2.2988505747126436E-2</v>
      </c>
    </row>
    <row r="421" spans="1:8" hidden="1" x14ac:dyDescent="0.4">
      <c r="A421">
        <v>210</v>
      </c>
      <c r="B421" t="s">
        <v>2</v>
      </c>
      <c r="C421">
        <v>0</v>
      </c>
      <c r="D421">
        <v>2</v>
      </c>
      <c r="E421">
        <v>113</v>
      </c>
      <c r="F421">
        <v>2</v>
      </c>
      <c r="G421">
        <v>0</v>
      </c>
      <c r="H421">
        <f>표4[[#This Row],[공격성공횟수]]/(표4[[#This Row],[공격실패횟수]]+표4[[#This Row],[공격성공횟수]])</f>
        <v>1.7391304347826087E-2</v>
      </c>
    </row>
    <row r="422" spans="1:8" x14ac:dyDescent="0.4">
      <c r="A422">
        <v>211</v>
      </c>
      <c r="B422" t="s">
        <v>3</v>
      </c>
      <c r="C422">
        <v>1</v>
      </c>
      <c r="D422">
        <v>4</v>
      </c>
      <c r="E422">
        <v>9</v>
      </c>
      <c r="F422">
        <v>0</v>
      </c>
      <c r="G422">
        <v>0</v>
      </c>
      <c r="H422">
        <f>표4[[#This Row],[공격성공횟수]]/(표4[[#This Row],[공격실패횟수]]+표4[[#This Row],[공격성공횟수]])</f>
        <v>0.30769230769230771</v>
      </c>
    </row>
    <row r="423" spans="1:8" hidden="1" x14ac:dyDescent="0.4">
      <c r="A423">
        <v>211</v>
      </c>
      <c r="B423" t="s">
        <v>2</v>
      </c>
      <c r="C423">
        <v>0</v>
      </c>
      <c r="D423">
        <v>0</v>
      </c>
      <c r="E423">
        <v>12</v>
      </c>
      <c r="F423">
        <v>4</v>
      </c>
      <c r="G423">
        <v>1</v>
      </c>
      <c r="H423">
        <f>표4[[#This Row],[공격성공횟수]]/(표4[[#This Row],[공격실패횟수]]+표4[[#This Row],[공격성공횟수]])</f>
        <v>0</v>
      </c>
    </row>
    <row r="424" spans="1:8" x14ac:dyDescent="0.4">
      <c r="A424">
        <v>212</v>
      </c>
      <c r="B424" t="s">
        <v>3</v>
      </c>
      <c r="C424">
        <v>1</v>
      </c>
      <c r="D424">
        <v>4</v>
      </c>
      <c r="E424">
        <v>6</v>
      </c>
      <c r="F424">
        <v>1</v>
      </c>
      <c r="G424">
        <v>0</v>
      </c>
      <c r="H424">
        <f>표4[[#This Row],[공격성공횟수]]/(표4[[#This Row],[공격실패횟수]]+표4[[#This Row],[공격성공횟수]])</f>
        <v>0.4</v>
      </c>
    </row>
    <row r="425" spans="1:8" hidden="1" x14ac:dyDescent="0.4">
      <c r="A425">
        <v>212</v>
      </c>
      <c r="B425" t="s">
        <v>2</v>
      </c>
      <c r="C425">
        <v>0</v>
      </c>
      <c r="D425">
        <v>1</v>
      </c>
      <c r="E425">
        <v>11</v>
      </c>
      <c r="F425">
        <v>4</v>
      </c>
      <c r="G425">
        <v>1</v>
      </c>
      <c r="H425">
        <f>표4[[#This Row],[공격성공횟수]]/(표4[[#This Row],[공격실패횟수]]+표4[[#This Row],[공격성공횟수]])</f>
        <v>8.3333333333333329E-2</v>
      </c>
    </row>
    <row r="426" spans="1:8" x14ac:dyDescent="0.4">
      <c r="A426">
        <v>213</v>
      </c>
      <c r="B426" t="s">
        <v>3</v>
      </c>
      <c r="C426">
        <v>0</v>
      </c>
      <c r="D426">
        <v>0</v>
      </c>
      <c r="E426">
        <v>2</v>
      </c>
      <c r="F426">
        <v>4</v>
      </c>
      <c r="G426">
        <v>1</v>
      </c>
      <c r="H426">
        <f>표4[[#This Row],[공격성공횟수]]/(표4[[#This Row],[공격실패횟수]]+표4[[#This Row],[공격성공횟수]])</f>
        <v>0</v>
      </c>
    </row>
    <row r="427" spans="1:8" hidden="1" x14ac:dyDescent="0.4">
      <c r="A427">
        <v>213</v>
      </c>
      <c r="B427" t="s">
        <v>2</v>
      </c>
      <c r="C427">
        <v>1</v>
      </c>
      <c r="D427">
        <v>4</v>
      </c>
      <c r="E427">
        <v>5</v>
      </c>
      <c r="F427">
        <v>0</v>
      </c>
      <c r="G427">
        <v>0</v>
      </c>
      <c r="H427">
        <f>표4[[#This Row],[공격성공횟수]]/(표4[[#This Row],[공격실패횟수]]+표4[[#This Row],[공격성공횟수]])</f>
        <v>0.44444444444444442</v>
      </c>
    </row>
    <row r="428" spans="1:8" x14ac:dyDescent="0.4">
      <c r="A428">
        <v>214</v>
      </c>
      <c r="B428" t="s">
        <v>3</v>
      </c>
      <c r="C428">
        <v>1</v>
      </c>
      <c r="D428">
        <v>4</v>
      </c>
      <c r="E428">
        <v>4</v>
      </c>
      <c r="F428">
        <v>2</v>
      </c>
      <c r="G428">
        <v>0</v>
      </c>
      <c r="H428">
        <f>표4[[#This Row],[공격성공횟수]]/(표4[[#This Row],[공격실패횟수]]+표4[[#This Row],[공격성공횟수]])</f>
        <v>0.5</v>
      </c>
    </row>
    <row r="429" spans="1:8" hidden="1" x14ac:dyDescent="0.4">
      <c r="A429">
        <v>214</v>
      </c>
      <c r="B429" t="s">
        <v>2</v>
      </c>
      <c r="C429">
        <v>0</v>
      </c>
      <c r="D429">
        <v>2</v>
      </c>
      <c r="E429">
        <v>5</v>
      </c>
      <c r="F429">
        <v>4</v>
      </c>
      <c r="G429">
        <v>1</v>
      </c>
      <c r="H429">
        <f>표4[[#This Row],[공격성공횟수]]/(표4[[#This Row],[공격실패횟수]]+표4[[#This Row],[공격성공횟수]])</f>
        <v>0.2857142857142857</v>
      </c>
    </row>
    <row r="430" spans="1:8" x14ac:dyDescent="0.4">
      <c r="A430">
        <v>215</v>
      </c>
      <c r="B430" t="s">
        <v>3</v>
      </c>
      <c r="C430">
        <v>1</v>
      </c>
      <c r="D430">
        <v>4</v>
      </c>
      <c r="E430">
        <v>11</v>
      </c>
      <c r="F430">
        <v>3</v>
      </c>
      <c r="G430">
        <v>0</v>
      </c>
      <c r="H430">
        <f>표4[[#This Row],[공격성공횟수]]/(표4[[#This Row],[공격실패횟수]]+표4[[#This Row],[공격성공횟수]])</f>
        <v>0.26666666666666666</v>
      </c>
    </row>
    <row r="431" spans="1:8" hidden="1" x14ac:dyDescent="0.4">
      <c r="A431">
        <v>215</v>
      </c>
      <c r="B431" t="s">
        <v>2</v>
      </c>
      <c r="C431">
        <v>0</v>
      </c>
      <c r="D431">
        <v>3</v>
      </c>
      <c r="E431">
        <v>11</v>
      </c>
      <c r="F431">
        <v>4</v>
      </c>
      <c r="G431">
        <v>1</v>
      </c>
      <c r="H431">
        <f>표4[[#This Row],[공격성공횟수]]/(표4[[#This Row],[공격실패횟수]]+표4[[#This Row],[공격성공횟수]])</f>
        <v>0.21428571428571427</v>
      </c>
    </row>
    <row r="432" spans="1:8" x14ac:dyDescent="0.4">
      <c r="A432">
        <v>216</v>
      </c>
      <c r="B432" t="s">
        <v>3</v>
      </c>
      <c r="C432">
        <v>1</v>
      </c>
      <c r="D432">
        <v>4</v>
      </c>
      <c r="E432">
        <v>6</v>
      </c>
      <c r="F432">
        <v>0</v>
      </c>
      <c r="G432">
        <v>0</v>
      </c>
      <c r="H432">
        <f>표4[[#This Row],[공격성공횟수]]/(표4[[#This Row],[공격실패횟수]]+표4[[#This Row],[공격성공횟수]])</f>
        <v>0.4</v>
      </c>
    </row>
    <row r="433" spans="1:8" hidden="1" x14ac:dyDescent="0.4">
      <c r="A433">
        <v>216</v>
      </c>
      <c r="B433" t="s">
        <v>2</v>
      </c>
      <c r="C433">
        <v>0</v>
      </c>
      <c r="D433">
        <v>0</v>
      </c>
      <c r="E433">
        <v>10</v>
      </c>
      <c r="F433">
        <v>4</v>
      </c>
      <c r="G433">
        <v>1</v>
      </c>
      <c r="H433">
        <f>표4[[#This Row],[공격성공횟수]]/(표4[[#This Row],[공격실패횟수]]+표4[[#This Row],[공격성공횟수]])</f>
        <v>0</v>
      </c>
    </row>
    <row r="434" spans="1:8" x14ac:dyDescent="0.4">
      <c r="A434">
        <v>217</v>
      </c>
      <c r="B434" t="s">
        <v>3</v>
      </c>
      <c r="C434">
        <v>1</v>
      </c>
      <c r="D434">
        <v>4</v>
      </c>
      <c r="E434">
        <v>11</v>
      </c>
      <c r="F434">
        <v>1</v>
      </c>
      <c r="G434">
        <v>0</v>
      </c>
      <c r="H434">
        <f>표4[[#This Row],[공격성공횟수]]/(표4[[#This Row],[공격실패횟수]]+표4[[#This Row],[공격성공횟수]])</f>
        <v>0.26666666666666666</v>
      </c>
    </row>
    <row r="435" spans="1:8" hidden="1" x14ac:dyDescent="0.4">
      <c r="A435">
        <v>217</v>
      </c>
      <c r="B435" t="s">
        <v>2</v>
      </c>
      <c r="C435">
        <v>0</v>
      </c>
      <c r="D435">
        <v>1</v>
      </c>
      <c r="E435">
        <v>13</v>
      </c>
      <c r="F435">
        <v>4</v>
      </c>
      <c r="G435">
        <v>1</v>
      </c>
      <c r="H435">
        <f>표4[[#This Row],[공격성공횟수]]/(표4[[#This Row],[공격실패횟수]]+표4[[#This Row],[공격성공횟수]])</f>
        <v>7.1428571428571425E-2</v>
      </c>
    </row>
    <row r="436" spans="1:8" x14ac:dyDescent="0.4">
      <c r="A436">
        <v>218</v>
      </c>
      <c r="B436" t="s">
        <v>3</v>
      </c>
      <c r="C436">
        <v>1</v>
      </c>
      <c r="D436">
        <v>4</v>
      </c>
      <c r="E436">
        <v>7</v>
      </c>
      <c r="F436">
        <v>1</v>
      </c>
      <c r="G436">
        <v>0</v>
      </c>
      <c r="H436">
        <f>표4[[#This Row],[공격성공횟수]]/(표4[[#This Row],[공격실패횟수]]+표4[[#This Row],[공격성공횟수]])</f>
        <v>0.36363636363636365</v>
      </c>
    </row>
    <row r="437" spans="1:8" hidden="1" x14ac:dyDescent="0.4">
      <c r="A437">
        <v>218</v>
      </c>
      <c r="B437" t="s">
        <v>2</v>
      </c>
      <c r="C437">
        <v>0</v>
      </c>
      <c r="D437">
        <v>1</v>
      </c>
      <c r="E437">
        <v>10</v>
      </c>
      <c r="F437">
        <v>4</v>
      </c>
      <c r="G437">
        <v>1</v>
      </c>
      <c r="H437">
        <f>표4[[#This Row],[공격성공횟수]]/(표4[[#This Row],[공격실패횟수]]+표4[[#This Row],[공격성공횟수]])</f>
        <v>9.0909090909090912E-2</v>
      </c>
    </row>
    <row r="438" spans="1:8" x14ac:dyDescent="0.4">
      <c r="A438">
        <v>219</v>
      </c>
      <c r="B438" t="s">
        <v>3</v>
      </c>
      <c r="C438">
        <v>1</v>
      </c>
      <c r="D438">
        <v>4</v>
      </c>
      <c r="E438">
        <v>2</v>
      </c>
      <c r="F438">
        <v>1</v>
      </c>
      <c r="G438">
        <v>0</v>
      </c>
      <c r="H438">
        <f>표4[[#This Row],[공격성공횟수]]/(표4[[#This Row],[공격실패횟수]]+표4[[#This Row],[공격성공횟수]])</f>
        <v>0.66666666666666663</v>
      </c>
    </row>
    <row r="439" spans="1:8" hidden="1" x14ac:dyDescent="0.4">
      <c r="A439">
        <v>219</v>
      </c>
      <c r="B439" t="s">
        <v>2</v>
      </c>
      <c r="C439">
        <v>0</v>
      </c>
      <c r="D439">
        <v>1</v>
      </c>
      <c r="E439">
        <v>5</v>
      </c>
      <c r="F439">
        <v>4</v>
      </c>
      <c r="G439">
        <v>1</v>
      </c>
      <c r="H439">
        <f>표4[[#This Row],[공격성공횟수]]/(표4[[#This Row],[공격실패횟수]]+표4[[#This Row],[공격성공횟수]])</f>
        <v>0.16666666666666666</v>
      </c>
    </row>
    <row r="440" spans="1:8" x14ac:dyDescent="0.4">
      <c r="A440">
        <v>220</v>
      </c>
      <c r="B440" t="s">
        <v>3</v>
      </c>
      <c r="C440">
        <v>1</v>
      </c>
      <c r="D440">
        <v>4</v>
      </c>
      <c r="E440">
        <v>63</v>
      </c>
      <c r="F440">
        <v>1</v>
      </c>
      <c r="G440">
        <v>0</v>
      </c>
      <c r="H440">
        <f>표4[[#This Row],[공격성공횟수]]/(표4[[#This Row],[공격실패횟수]]+표4[[#This Row],[공격성공횟수]])</f>
        <v>5.9701492537313432E-2</v>
      </c>
    </row>
    <row r="441" spans="1:8" hidden="1" x14ac:dyDescent="0.4">
      <c r="A441">
        <v>220</v>
      </c>
      <c r="B441" t="s">
        <v>2</v>
      </c>
      <c r="C441">
        <v>0</v>
      </c>
      <c r="D441">
        <v>1</v>
      </c>
      <c r="E441">
        <v>75</v>
      </c>
      <c r="F441">
        <v>4</v>
      </c>
      <c r="G441">
        <v>1</v>
      </c>
      <c r="H441">
        <f>표4[[#This Row],[공격성공횟수]]/(표4[[#This Row],[공격실패횟수]]+표4[[#This Row],[공격성공횟수]])</f>
        <v>1.3157894736842105E-2</v>
      </c>
    </row>
    <row r="442" spans="1:8" x14ac:dyDescent="0.4">
      <c r="A442">
        <v>221</v>
      </c>
      <c r="B442" t="s">
        <v>3</v>
      </c>
      <c r="C442">
        <v>1</v>
      </c>
      <c r="D442">
        <v>4</v>
      </c>
      <c r="E442">
        <v>13</v>
      </c>
      <c r="F442">
        <v>1</v>
      </c>
      <c r="G442">
        <v>0</v>
      </c>
      <c r="H442">
        <f>표4[[#This Row],[공격성공횟수]]/(표4[[#This Row],[공격실패횟수]]+표4[[#This Row],[공격성공횟수]])</f>
        <v>0.23529411764705882</v>
      </c>
    </row>
    <row r="443" spans="1:8" hidden="1" x14ac:dyDescent="0.4">
      <c r="A443">
        <v>221</v>
      </c>
      <c r="B443" t="s">
        <v>2</v>
      </c>
      <c r="C443">
        <v>0</v>
      </c>
      <c r="D443">
        <v>1</v>
      </c>
      <c r="E443">
        <v>15</v>
      </c>
      <c r="F443">
        <v>4</v>
      </c>
      <c r="G443">
        <v>1</v>
      </c>
      <c r="H443">
        <f>표4[[#This Row],[공격성공횟수]]/(표4[[#This Row],[공격실패횟수]]+표4[[#This Row],[공격성공횟수]])</f>
        <v>6.25E-2</v>
      </c>
    </row>
    <row r="444" spans="1:8" x14ac:dyDescent="0.4">
      <c r="A444">
        <v>222</v>
      </c>
      <c r="B444" t="s">
        <v>3</v>
      </c>
      <c r="C444">
        <v>1</v>
      </c>
      <c r="D444">
        <v>4</v>
      </c>
      <c r="E444">
        <v>5</v>
      </c>
      <c r="F444">
        <v>0</v>
      </c>
      <c r="G444">
        <v>0</v>
      </c>
      <c r="H444">
        <f>표4[[#This Row],[공격성공횟수]]/(표4[[#This Row],[공격실패횟수]]+표4[[#This Row],[공격성공횟수]])</f>
        <v>0.44444444444444442</v>
      </c>
    </row>
    <row r="445" spans="1:8" hidden="1" x14ac:dyDescent="0.4">
      <c r="A445">
        <v>222</v>
      </c>
      <c r="B445" t="s">
        <v>2</v>
      </c>
      <c r="C445">
        <v>0</v>
      </c>
      <c r="D445">
        <v>0</v>
      </c>
      <c r="E445">
        <v>9</v>
      </c>
      <c r="F445">
        <v>4</v>
      </c>
      <c r="G445">
        <v>1</v>
      </c>
      <c r="H445">
        <f>표4[[#This Row],[공격성공횟수]]/(표4[[#This Row],[공격실패횟수]]+표4[[#This Row],[공격성공횟수]])</f>
        <v>0</v>
      </c>
    </row>
    <row r="446" spans="1:8" x14ac:dyDescent="0.4">
      <c r="A446">
        <v>223</v>
      </c>
      <c r="B446" t="s">
        <v>3</v>
      </c>
      <c r="C446">
        <v>0</v>
      </c>
      <c r="D446">
        <v>1</v>
      </c>
      <c r="E446">
        <v>19</v>
      </c>
      <c r="F446">
        <v>4</v>
      </c>
      <c r="G446">
        <v>1</v>
      </c>
      <c r="H446">
        <f>표4[[#This Row],[공격성공횟수]]/(표4[[#This Row],[공격실패횟수]]+표4[[#This Row],[공격성공횟수]])</f>
        <v>0.05</v>
      </c>
    </row>
    <row r="447" spans="1:8" hidden="1" x14ac:dyDescent="0.4">
      <c r="A447">
        <v>223</v>
      </c>
      <c r="B447" t="s">
        <v>2</v>
      </c>
      <c r="C447">
        <v>1</v>
      </c>
      <c r="D447">
        <v>4</v>
      </c>
      <c r="E447">
        <v>30</v>
      </c>
      <c r="F447">
        <v>1</v>
      </c>
      <c r="G447">
        <v>0</v>
      </c>
      <c r="H447">
        <f>표4[[#This Row],[공격성공횟수]]/(표4[[#This Row],[공격실패횟수]]+표4[[#This Row],[공격성공횟수]])</f>
        <v>0.11764705882352941</v>
      </c>
    </row>
    <row r="448" spans="1:8" x14ac:dyDescent="0.4">
      <c r="A448">
        <v>224</v>
      </c>
      <c r="B448" t="s">
        <v>3</v>
      </c>
      <c r="C448">
        <v>1</v>
      </c>
      <c r="D448">
        <v>4</v>
      </c>
      <c r="E448">
        <v>8</v>
      </c>
      <c r="F448">
        <v>3</v>
      </c>
      <c r="G448">
        <v>0</v>
      </c>
      <c r="H448">
        <f>표4[[#This Row],[공격성공횟수]]/(표4[[#This Row],[공격실패횟수]]+표4[[#This Row],[공격성공횟수]])</f>
        <v>0.33333333333333331</v>
      </c>
    </row>
    <row r="449" spans="1:8" hidden="1" x14ac:dyDescent="0.4">
      <c r="A449">
        <v>224</v>
      </c>
      <c r="B449" t="s">
        <v>2</v>
      </c>
      <c r="C449">
        <v>0</v>
      </c>
      <c r="D449">
        <v>3</v>
      </c>
      <c r="E449">
        <v>11</v>
      </c>
      <c r="F449">
        <v>4</v>
      </c>
      <c r="G449">
        <v>1</v>
      </c>
      <c r="H449">
        <f>표4[[#This Row],[공격성공횟수]]/(표4[[#This Row],[공격실패횟수]]+표4[[#This Row],[공격성공횟수]])</f>
        <v>0.21428571428571427</v>
      </c>
    </row>
    <row r="450" spans="1:8" x14ac:dyDescent="0.4">
      <c r="A450">
        <v>225</v>
      </c>
      <c r="B450" t="s">
        <v>3</v>
      </c>
      <c r="C450">
        <v>0</v>
      </c>
      <c r="D450">
        <v>0</v>
      </c>
      <c r="E450">
        <v>3</v>
      </c>
      <c r="F450">
        <v>4</v>
      </c>
      <c r="G450">
        <v>1</v>
      </c>
      <c r="H450">
        <f>표4[[#This Row],[공격성공횟수]]/(표4[[#This Row],[공격실패횟수]]+표4[[#This Row],[공격성공횟수]])</f>
        <v>0</v>
      </c>
    </row>
    <row r="451" spans="1:8" hidden="1" x14ac:dyDescent="0.4">
      <c r="A451">
        <v>225</v>
      </c>
      <c r="B451" t="s">
        <v>2</v>
      </c>
      <c r="C451">
        <v>1</v>
      </c>
      <c r="D451">
        <v>4</v>
      </c>
      <c r="E451">
        <v>6</v>
      </c>
      <c r="F451">
        <v>0</v>
      </c>
      <c r="G451">
        <v>0</v>
      </c>
      <c r="H451">
        <f>표4[[#This Row],[공격성공횟수]]/(표4[[#This Row],[공격실패횟수]]+표4[[#This Row],[공격성공횟수]])</f>
        <v>0.4</v>
      </c>
    </row>
    <row r="452" spans="1:8" x14ac:dyDescent="0.4">
      <c r="A452">
        <v>226</v>
      </c>
      <c r="B452" t="s">
        <v>3</v>
      </c>
      <c r="C452">
        <v>0</v>
      </c>
      <c r="D452">
        <v>2</v>
      </c>
      <c r="E452">
        <v>8</v>
      </c>
      <c r="F452">
        <v>4</v>
      </c>
      <c r="G452">
        <v>1</v>
      </c>
      <c r="H452">
        <f>표4[[#This Row],[공격성공횟수]]/(표4[[#This Row],[공격실패횟수]]+표4[[#This Row],[공격성공횟수]])</f>
        <v>0.2</v>
      </c>
    </row>
    <row r="453" spans="1:8" hidden="1" x14ac:dyDescent="0.4">
      <c r="A453">
        <v>226</v>
      </c>
      <c r="B453" t="s">
        <v>2</v>
      </c>
      <c r="C453">
        <v>1</v>
      </c>
      <c r="D453">
        <v>4</v>
      </c>
      <c r="E453">
        <v>12</v>
      </c>
      <c r="F453">
        <v>2</v>
      </c>
      <c r="G453">
        <v>0</v>
      </c>
      <c r="H453">
        <f>표4[[#This Row],[공격성공횟수]]/(표4[[#This Row],[공격실패횟수]]+표4[[#This Row],[공격성공횟수]])</f>
        <v>0.25</v>
      </c>
    </row>
    <row r="454" spans="1:8" x14ac:dyDescent="0.4">
      <c r="A454">
        <v>227</v>
      </c>
      <c r="B454" t="s">
        <v>3</v>
      </c>
      <c r="C454">
        <v>1</v>
      </c>
      <c r="D454">
        <v>4</v>
      </c>
      <c r="E454">
        <v>10</v>
      </c>
      <c r="F454">
        <v>0</v>
      </c>
      <c r="G454">
        <v>0</v>
      </c>
      <c r="H454">
        <f>표4[[#This Row],[공격성공횟수]]/(표4[[#This Row],[공격실패횟수]]+표4[[#This Row],[공격성공횟수]])</f>
        <v>0.2857142857142857</v>
      </c>
    </row>
    <row r="455" spans="1:8" hidden="1" x14ac:dyDescent="0.4">
      <c r="A455">
        <v>227</v>
      </c>
      <c r="B455" t="s">
        <v>2</v>
      </c>
      <c r="C455">
        <v>0</v>
      </c>
      <c r="D455">
        <v>0</v>
      </c>
      <c r="E455">
        <v>12</v>
      </c>
      <c r="F455">
        <v>4</v>
      </c>
      <c r="G455">
        <v>1</v>
      </c>
      <c r="H455">
        <f>표4[[#This Row],[공격성공횟수]]/(표4[[#This Row],[공격실패횟수]]+표4[[#This Row],[공격성공횟수]])</f>
        <v>0</v>
      </c>
    </row>
    <row r="456" spans="1:8" x14ac:dyDescent="0.4">
      <c r="A456">
        <v>228</v>
      </c>
      <c r="B456" t="s">
        <v>3</v>
      </c>
      <c r="C456">
        <v>1</v>
      </c>
      <c r="D456">
        <v>4</v>
      </c>
      <c r="E456">
        <v>4</v>
      </c>
      <c r="F456">
        <v>1</v>
      </c>
      <c r="G456">
        <v>0</v>
      </c>
      <c r="H456">
        <f>표4[[#This Row],[공격성공횟수]]/(표4[[#This Row],[공격실패횟수]]+표4[[#This Row],[공격성공횟수]])</f>
        <v>0.5</v>
      </c>
    </row>
    <row r="457" spans="1:8" hidden="1" x14ac:dyDescent="0.4">
      <c r="A457">
        <v>228</v>
      </c>
      <c r="B457" t="s">
        <v>2</v>
      </c>
      <c r="C457">
        <v>0</v>
      </c>
      <c r="D457">
        <v>1</v>
      </c>
      <c r="E457">
        <v>7</v>
      </c>
      <c r="F457">
        <v>4</v>
      </c>
      <c r="G457">
        <v>1</v>
      </c>
      <c r="H457">
        <f>표4[[#This Row],[공격성공횟수]]/(표4[[#This Row],[공격실패횟수]]+표4[[#This Row],[공격성공횟수]])</f>
        <v>0.125</v>
      </c>
    </row>
    <row r="458" spans="1:8" x14ac:dyDescent="0.4">
      <c r="A458">
        <v>229</v>
      </c>
      <c r="B458" t="s">
        <v>3</v>
      </c>
      <c r="C458">
        <v>1</v>
      </c>
      <c r="D458">
        <v>4</v>
      </c>
      <c r="E458">
        <v>78</v>
      </c>
      <c r="F458">
        <v>3</v>
      </c>
      <c r="G458">
        <v>0</v>
      </c>
      <c r="H458">
        <f>표4[[#This Row],[공격성공횟수]]/(표4[[#This Row],[공격실패횟수]]+표4[[#This Row],[공격성공횟수]])</f>
        <v>4.878048780487805E-2</v>
      </c>
    </row>
    <row r="459" spans="1:8" hidden="1" x14ac:dyDescent="0.4">
      <c r="A459">
        <v>229</v>
      </c>
      <c r="B459" t="s">
        <v>2</v>
      </c>
      <c r="C459">
        <v>0</v>
      </c>
      <c r="D459">
        <v>3</v>
      </c>
      <c r="E459">
        <v>102</v>
      </c>
      <c r="F459">
        <v>4</v>
      </c>
      <c r="G459">
        <v>1</v>
      </c>
      <c r="H459">
        <f>표4[[#This Row],[공격성공횟수]]/(표4[[#This Row],[공격실패횟수]]+표4[[#This Row],[공격성공횟수]])</f>
        <v>2.8571428571428571E-2</v>
      </c>
    </row>
    <row r="460" spans="1:8" x14ac:dyDescent="0.4">
      <c r="A460">
        <v>230</v>
      </c>
      <c r="B460" t="s">
        <v>3</v>
      </c>
      <c r="C460">
        <v>1</v>
      </c>
      <c r="D460">
        <v>4</v>
      </c>
      <c r="E460">
        <v>2</v>
      </c>
      <c r="F460">
        <v>0</v>
      </c>
      <c r="G460">
        <v>0</v>
      </c>
      <c r="H460">
        <f>표4[[#This Row],[공격성공횟수]]/(표4[[#This Row],[공격실패횟수]]+표4[[#This Row],[공격성공횟수]])</f>
        <v>0.66666666666666663</v>
      </c>
    </row>
    <row r="461" spans="1:8" hidden="1" x14ac:dyDescent="0.4">
      <c r="A461">
        <v>230</v>
      </c>
      <c r="B461" t="s">
        <v>2</v>
      </c>
      <c r="C461">
        <v>0</v>
      </c>
      <c r="D461">
        <v>0</v>
      </c>
      <c r="E461">
        <v>5</v>
      </c>
      <c r="F461">
        <v>4</v>
      </c>
      <c r="G461">
        <v>1</v>
      </c>
      <c r="H461">
        <f>표4[[#This Row],[공격성공횟수]]/(표4[[#This Row],[공격실패횟수]]+표4[[#This Row],[공격성공횟수]])</f>
        <v>0</v>
      </c>
    </row>
    <row r="462" spans="1:8" x14ac:dyDescent="0.4">
      <c r="A462">
        <v>231</v>
      </c>
      <c r="B462" t="s">
        <v>3</v>
      </c>
      <c r="C462">
        <v>1</v>
      </c>
      <c r="D462">
        <v>4</v>
      </c>
      <c r="E462">
        <v>5</v>
      </c>
      <c r="F462">
        <v>0</v>
      </c>
      <c r="G462">
        <v>0</v>
      </c>
      <c r="H462">
        <f>표4[[#This Row],[공격성공횟수]]/(표4[[#This Row],[공격실패횟수]]+표4[[#This Row],[공격성공횟수]])</f>
        <v>0.44444444444444442</v>
      </c>
    </row>
    <row r="463" spans="1:8" hidden="1" x14ac:dyDescent="0.4">
      <c r="A463">
        <v>231</v>
      </c>
      <c r="B463" t="s">
        <v>2</v>
      </c>
      <c r="C463">
        <v>0</v>
      </c>
      <c r="D463">
        <v>0</v>
      </c>
      <c r="E463">
        <v>9</v>
      </c>
      <c r="F463">
        <v>4</v>
      </c>
      <c r="G463">
        <v>1</v>
      </c>
      <c r="H463">
        <f>표4[[#This Row],[공격성공횟수]]/(표4[[#This Row],[공격실패횟수]]+표4[[#This Row],[공격성공횟수]])</f>
        <v>0</v>
      </c>
    </row>
    <row r="464" spans="1:8" x14ac:dyDescent="0.4">
      <c r="A464">
        <v>232</v>
      </c>
      <c r="B464" t="s">
        <v>3</v>
      </c>
      <c r="C464">
        <v>1</v>
      </c>
      <c r="D464">
        <v>4</v>
      </c>
      <c r="E464">
        <v>6</v>
      </c>
      <c r="F464">
        <v>1</v>
      </c>
      <c r="G464">
        <v>0</v>
      </c>
      <c r="H464">
        <f>표4[[#This Row],[공격성공횟수]]/(표4[[#This Row],[공격실패횟수]]+표4[[#This Row],[공격성공횟수]])</f>
        <v>0.4</v>
      </c>
    </row>
    <row r="465" spans="1:8" hidden="1" x14ac:dyDescent="0.4">
      <c r="A465">
        <v>232</v>
      </c>
      <c r="B465" t="s">
        <v>2</v>
      </c>
      <c r="C465">
        <v>0</v>
      </c>
      <c r="D465">
        <v>1</v>
      </c>
      <c r="E465">
        <v>8</v>
      </c>
      <c r="F465">
        <v>4</v>
      </c>
      <c r="G465">
        <v>1</v>
      </c>
      <c r="H465">
        <f>표4[[#This Row],[공격성공횟수]]/(표4[[#This Row],[공격실패횟수]]+표4[[#This Row],[공격성공횟수]])</f>
        <v>0.1111111111111111</v>
      </c>
    </row>
    <row r="466" spans="1:8" x14ac:dyDescent="0.4">
      <c r="A466">
        <v>233</v>
      </c>
      <c r="B466" t="s">
        <v>3</v>
      </c>
      <c r="C466">
        <v>1</v>
      </c>
      <c r="D466">
        <v>4</v>
      </c>
      <c r="E466">
        <v>7</v>
      </c>
      <c r="F466">
        <v>3</v>
      </c>
      <c r="G466">
        <v>0</v>
      </c>
      <c r="H466">
        <f>표4[[#This Row],[공격성공횟수]]/(표4[[#This Row],[공격실패횟수]]+표4[[#This Row],[공격성공횟수]])</f>
        <v>0.36363636363636365</v>
      </c>
    </row>
    <row r="467" spans="1:8" hidden="1" x14ac:dyDescent="0.4">
      <c r="A467">
        <v>233</v>
      </c>
      <c r="B467" t="s">
        <v>2</v>
      </c>
      <c r="C467">
        <v>0</v>
      </c>
      <c r="D467">
        <v>3</v>
      </c>
      <c r="E467">
        <v>13</v>
      </c>
      <c r="F467">
        <v>4</v>
      </c>
      <c r="G467">
        <v>1</v>
      </c>
      <c r="H467">
        <f>표4[[#This Row],[공격성공횟수]]/(표4[[#This Row],[공격실패횟수]]+표4[[#This Row],[공격성공횟수]])</f>
        <v>0.1875</v>
      </c>
    </row>
    <row r="468" spans="1:8" x14ac:dyDescent="0.4">
      <c r="A468">
        <v>234</v>
      </c>
      <c r="B468" t="s">
        <v>3</v>
      </c>
      <c r="C468">
        <v>0</v>
      </c>
      <c r="D468">
        <v>2</v>
      </c>
      <c r="E468">
        <v>8</v>
      </c>
      <c r="F468">
        <v>4</v>
      </c>
      <c r="G468">
        <v>1</v>
      </c>
      <c r="H468">
        <f>표4[[#This Row],[공격성공횟수]]/(표4[[#This Row],[공격실패횟수]]+표4[[#This Row],[공격성공횟수]])</f>
        <v>0.2</v>
      </c>
    </row>
    <row r="469" spans="1:8" hidden="1" x14ac:dyDescent="0.4">
      <c r="A469">
        <v>234</v>
      </c>
      <c r="B469" t="s">
        <v>2</v>
      </c>
      <c r="C469">
        <v>1</v>
      </c>
      <c r="D469">
        <v>4</v>
      </c>
      <c r="E469">
        <v>12</v>
      </c>
      <c r="F469">
        <v>2</v>
      </c>
      <c r="G469">
        <v>0</v>
      </c>
      <c r="H469">
        <f>표4[[#This Row],[공격성공횟수]]/(표4[[#This Row],[공격실패횟수]]+표4[[#This Row],[공격성공횟수]])</f>
        <v>0.25</v>
      </c>
    </row>
    <row r="470" spans="1:8" x14ac:dyDescent="0.4">
      <c r="A470">
        <v>235</v>
      </c>
      <c r="B470" t="s">
        <v>3</v>
      </c>
      <c r="C470">
        <v>0</v>
      </c>
      <c r="D470">
        <v>1</v>
      </c>
      <c r="E470">
        <v>4</v>
      </c>
      <c r="F470">
        <v>4</v>
      </c>
      <c r="G470">
        <v>1</v>
      </c>
      <c r="H470">
        <f>표4[[#This Row],[공격성공횟수]]/(표4[[#This Row],[공격실패횟수]]+표4[[#This Row],[공격성공횟수]])</f>
        <v>0.2</v>
      </c>
    </row>
    <row r="471" spans="1:8" hidden="1" x14ac:dyDescent="0.4">
      <c r="A471">
        <v>235</v>
      </c>
      <c r="B471" t="s">
        <v>2</v>
      </c>
      <c r="C471">
        <v>1</v>
      </c>
      <c r="D471">
        <v>4</v>
      </c>
      <c r="E471">
        <v>19</v>
      </c>
      <c r="F471">
        <v>1</v>
      </c>
      <c r="G471">
        <v>0</v>
      </c>
      <c r="H471">
        <f>표4[[#This Row],[공격성공횟수]]/(표4[[#This Row],[공격실패횟수]]+표4[[#This Row],[공격성공횟수]])</f>
        <v>0.17391304347826086</v>
      </c>
    </row>
    <row r="472" spans="1:8" x14ac:dyDescent="0.4">
      <c r="A472">
        <v>236</v>
      </c>
      <c r="B472" t="s">
        <v>3</v>
      </c>
      <c r="C472">
        <v>1</v>
      </c>
      <c r="D472">
        <v>4</v>
      </c>
      <c r="E472">
        <v>49</v>
      </c>
      <c r="F472">
        <v>0</v>
      </c>
      <c r="G472">
        <v>0</v>
      </c>
      <c r="H472">
        <f>표4[[#This Row],[공격성공횟수]]/(표4[[#This Row],[공격실패횟수]]+표4[[#This Row],[공격성공횟수]])</f>
        <v>7.5471698113207544E-2</v>
      </c>
    </row>
    <row r="473" spans="1:8" hidden="1" x14ac:dyDescent="0.4">
      <c r="A473">
        <v>236</v>
      </c>
      <c r="B473" t="s">
        <v>2</v>
      </c>
      <c r="C473">
        <v>0</v>
      </c>
      <c r="D473">
        <v>0</v>
      </c>
      <c r="E473">
        <v>52</v>
      </c>
      <c r="F473">
        <v>4</v>
      </c>
      <c r="G473">
        <v>1</v>
      </c>
      <c r="H473">
        <f>표4[[#This Row],[공격성공횟수]]/(표4[[#This Row],[공격실패횟수]]+표4[[#This Row],[공격성공횟수]])</f>
        <v>0</v>
      </c>
    </row>
    <row r="474" spans="1:8" x14ac:dyDescent="0.4">
      <c r="A474">
        <v>237</v>
      </c>
      <c r="B474" t="s">
        <v>3</v>
      </c>
      <c r="C474">
        <v>1</v>
      </c>
      <c r="D474">
        <v>4</v>
      </c>
      <c r="E474">
        <v>3</v>
      </c>
      <c r="F474">
        <v>0</v>
      </c>
      <c r="G474">
        <v>0</v>
      </c>
      <c r="H474">
        <f>표4[[#This Row],[공격성공횟수]]/(표4[[#This Row],[공격실패횟수]]+표4[[#This Row],[공격성공횟수]])</f>
        <v>0.5714285714285714</v>
      </c>
    </row>
    <row r="475" spans="1:8" hidden="1" x14ac:dyDescent="0.4">
      <c r="A475">
        <v>237</v>
      </c>
      <c r="B475" t="s">
        <v>2</v>
      </c>
      <c r="C475">
        <v>0</v>
      </c>
      <c r="D475">
        <v>0</v>
      </c>
      <c r="E475">
        <v>7</v>
      </c>
      <c r="F475">
        <v>4</v>
      </c>
      <c r="G475">
        <v>1</v>
      </c>
      <c r="H475">
        <f>표4[[#This Row],[공격성공횟수]]/(표4[[#This Row],[공격실패횟수]]+표4[[#This Row],[공격성공횟수]])</f>
        <v>0</v>
      </c>
    </row>
    <row r="476" spans="1:8" x14ac:dyDescent="0.4">
      <c r="A476">
        <v>238</v>
      </c>
      <c r="B476" t="s">
        <v>3</v>
      </c>
      <c r="C476">
        <v>0</v>
      </c>
      <c r="D476">
        <v>1</v>
      </c>
      <c r="E476">
        <v>11</v>
      </c>
      <c r="F476">
        <v>4</v>
      </c>
      <c r="G476">
        <v>1</v>
      </c>
      <c r="H476">
        <f>표4[[#This Row],[공격성공횟수]]/(표4[[#This Row],[공격실패횟수]]+표4[[#This Row],[공격성공횟수]])</f>
        <v>8.3333333333333329E-2</v>
      </c>
    </row>
    <row r="477" spans="1:8" hidden="1" x14ac:dyDescent="0.4">
      <c r="A477">
        <v>238</v>
      </c>
      <c r="B477" t="s">
        <v>2</v>
      </c>
      <c r="C477">
        <v>1</v>
      </c>
      <c r="D477">
        <v>4</v>
      </c>
      <c r="E477">
        <v>8</v>
      </c>
      <c r="F477">
        <v>1</v>
      </c>
      <c r="G477">
        <v>0</v>
      </c>
      <c r="H477">
        <f>표4[[#This Row],[공격성공횟수]]/(표4[[#This Row],[공격실패횟수]]+표4[[#This Row],[공격성공횟수]])</f>
        <v>0.33333333333333331</v>
      </c>
    </row>
    <row r="478" spans="1:8" x14ac:dyDescent="0.4">
      <c r="A478">
        <v>239</v>
      </c>
      <c r="B478" t="s">
        <v>3</v>
      </c>
      <c r="C478">
        <v>1</v>
      </c>
      <c r="D478">
        <v>4</v>
      </c>
      <c r="E478">
        <v>6</v>
      </c>
      <c r="F478">
        <v>2</v>
      </c>
      <c r="G478">
        <v>0</v>
      </c>
      <c r="H478">
        <f>표4[[#This Row],[공격성공횟수]]/(표4[[#This Row],[공격실패횟수]]+표4[[#This Row],[공격성공횟수]])</f>
        <v>0.4</v>
      </c>
    </row>
    <row r="479" spans="1:8" hidden="1" x14ac:dyDescent="0.4">
      <c r="A479">
        <v>239</v>
      </c>
      <c r="B479" t="s">
        <v>2</v>
      </c>
      <c r="C479">
        <v>0</v>
      </c>
      <c r="D479">
        <v>2</v>
      </c>
      <c r="E479">
        <v>22</v>
      </c>
      <c r="F479">
        <v>4</v>
      </c>
      <c r="G479">
        <v>1</v>
      </c>
      <c r="H479">
        <f>표4[[#This Row],[공격성공횟수]]/(표4[[#This Row],[공격실패횟수]]+표4[[#This Row],[공격성공횟수]])</f>
        <v>8.3333333333333329E-2</v>
      </c>
    </row>
    <row r="480" spans="1:8" x14ac:dyDescent="0.4">
      <c r="A480">
        <v>240</v>
      </c>
      <c r="B480" t="s">
        <v>3</v>
      </c>
      <c r="C480">
        <v>1</v>
      </c>
      <c r="D480">
        <v>4</v>
      </c>
      <c r="E480">
        <v>25</v>
      </c>
      <c r="F480">
        <v>2</v>
      </c>
      <c r="G480">
        <v>0</v>
      </c>
      <c r="H480">
        <f>표4[[#This Row],[공격성공횟수]]/(표4[[#This Row],[공격실패횟수]]+표4[[#This Row],[공격성공횟수]])</f>
        <v>0.13793103448275862</v>
      </c>
    </row>
    <row r="481" spans="1:8" hidden="1" x14ac:dyDescent="0.4">
      <c r="A481">
        <v>240</v>
      </c>
      <c r="B481" t="s">
        <v>2</v>
      </c>
      <c r="C481">
        <v>0</v>
      </c>
      <c r="D481">
        <v>2</v>
      </c>
      <c r="E481">
        <v>29</v>
      </c>
      <c r="F481">
        <v>4</v>
      </c>
      <c r="G481">
        <v>1</v>
      </c>
      <c r="H481">
        <f>표4[[#This Row],[공격성공횟수]]/(표4[[#This Row],[공격실패횟수]]+표4[[#This Row],[공격성공횟수]])</f>
        <v>6.4516129032258063E-2</v>
      </c>
    </row>
    <row r="482" spans="1:8" x14ac:dyDescent="0.4">
      <c r="A482">
        <v>241</v>
      </c>
      <c r="B482" t="s">
        <v>3</v>
      </c>
      <c r="C482">
        <v>1</v>
      </c>
      <c r="D482">
        <v>4</v>
      </c>
      <c r="E482">
        <v>11</v>
      </c>
      <c r="F482">
        <v>0</v>
      </c>
      <c r="G482">
        <v>0</v>
      </c>
      <c r="H482">
        <f>표4[[#This Row],[공격성공횟수]]/(표4[[#This Row],[공격실패횟수]]+표4[[#This Row],[공격성공횟수]])</f>
        <v>0.26666666666666666</v>
      </c>
    </row>
    <row r="483" spans="1:8" hidden="1" x14ac:dyDescent="0.4">
      <c r="A483">
        <v>241</v>
      </c>
      <c r="B483" t="s">
        <v>2</v>
      </c>
      <c r="C483">
        <v>0</v>
      </c>
      <c r="D483">
        <v>0</v>
      </c>
      <c r="E483">
        <v>15</v>
      </c>
      <c r="F483">
        <v>4</v>
      </c>
      <c r="G483">
        <v>1</v>
      </c>
      <c r="H483">
        <f>표4[[#This Row],[공격성공횟수]]/(표4[[#This Row],[공격실패횟수]]+표4[[#This Row],[공격성공횟수]])</f>
        <v>0</v>
      </c>
    </row>
    <row r="484" spans="1:8" x14ac:dyDescent="0.4">
      <c r="A484">
        <v>242</v>
      </c>
      <c r="B484" t="s">
        <v>3</v>
      </c>
      <c r="C484">
        <v>1</v>
      </c>
      <c r="D484">
        <v>4</v>
      </c>
      <c r="E484">
        <v>7</v>
      </c>
      <c r="F484">
        <v>1</v>
      </c>
      <c r="G484">
        <v>0</v>
      </c>
      <c r="H484">
        <f>표4[[#This Row],[공격성공횟수]]/(표4[[#This Row],[공격실패횟수]]+표4[[#This Row],[공격성공횟수]])</f>
        <v>0.36363636363636365</v>
      </c>
    </row>
    <row r="485" spans="1:8" hidden="1" x14ac:dyDescent="0.4">
      <c r="A485">
        <v>242</v>
      </c>
      <c r="B485" t="s">
        <v>2</v>
      </c>
      <c r="C485">
        <v>0</v>
      </c>
      <c r="D485">
        <v>1</v>
      </c>
      <c r="E485">
        <v>10</v>
      </c>
      <c r="F485">
        <v>4</v>
      </c>
      <c r="G485">
        <v>1</v>
      </c>
      <c r="H485">
        <f>표4[[#This Row],[공격성공횟수]]/(표4[[#This Row],[공격실패횟수]]+표4[[#This Row],[공격성공횟수]])</f>
        <v>9.0909090909090912E-2</v>
      </c>
    </row>
    <row r="486" spans="1:8" x14ac:dyDescent="0.4">
      <c r="A486">
        <v>243</v>
      </c>
      <c r="B486" t="s">
        <v>3</v>
      </c>
      <c r="C486">
        <v>1</v>
      </c>
      <c r="D486">
        <v>4</v>
      </c>
      <c r="E486">
        <v>19</v>
      </c>
      <c r="F486">
        <v>1</v>
      </c>
      <c r="G486">
        <v>0</v>
      </c>
      <c r="H486">
        <f>표4[[#This Row],[공격성공횟수]]/(표4[[#This Row],[공격실패횟수]]+표4[[#This Row],[공격성공횟수]])</f>
        <v>0.17391304347826086</v>
      </c>
    </row>
    <row r="487" spans="1:8" hidden="1" x14ac:dyDescent="0.4">
      <c r="A487">
        <v>243</v>
      </c>
      <c r="B487" t="s">
        <v>2</v>
      </c>
      <c r="C487">
        <v>0</v>
      </c>
      <c r="D487">
        <v>1</v>
      </c>
      <c r="E487">
        <v>22</v>
      </c>
      <c r="F487">
        <v>4</v>
      </c>
      <c r="G487">
        <v>1</v>
      </c>
      <c r="H487">
        <f>표4[[#This Row],[공격성공횟수]]/(표4[[#This Row],[공격실패횟수]]+표4[[#This Row],[공격성공횟수]])</f>
        <v>4.3478260869565216E-2</v>
      </c>
    </row>
    <row r="488" spans="1:8" x14ac:dyDescent="0.4">
      <c r="A488">
        <v>244</v>
      </c>
      <c r="B488" t="s">
        <v>3</v>
      </c>
      <c r="C488">
        <v>0</v>
      </c>
      <c r="D488">
        <v>2</v>
      </c>
      <c r="E488">
        <v>13</v>
      </c>
      <c r="F488">
        <v>4</v>
      </c>
      <c r="G488">
        <v>1</v>
      </c>
      <c r="H488">
        <f>표4[[#This Row],[공격성공횟수]]/(표4[[#This Row],[공격실패횟수]]+표4[[#This Row],[공격성공횟수]])</f>
        <v>0.13333333333333333</v>
      </c>
    </row>
    <row r="489" spans="1:8" hidden="1" x14ac:dyDescent="0.4">
      <c r="A489">
        <v>244</v>
      </c>
      <c r="B489" t="s">
        <v>2</v>
      </c>
      <c r="C489">
        <v>1</v>
      </c>
      <c r="D489">
        <v>4</v>
      </c>
      <c r="E489">
        <v>11</v>
      </c>
      <c r="F489">
        <v>2</v>
      </c>
      <c r="G489">
        <v>0</v>
      </c>
      <c r="H489">
        <f>표4[[#This Row],[공격성공횟수]]/(표4[[#This Row],[공격실패횟수]]+표4[[#This Row],[공격성공횟수]])</f>
        <v>0.26666666666666666</v>
      </c>
    </row>
    <row r="490" spans="1:8" x14ac:dyDescent="0.4">
      <c r="A490">
        <v>245</v>
      </c>
      <c r="B490" t="s">
        <v>3</v>
      </c>
      <c r="C490">
        <v>1</v>
      </c>
      <c r="D490">
        <v>4</v>
      </c>
      <c r="E490">
        <v>11</v>
      </c>
      <c r="F490">
        <v>1</v>
      </c>
      <c r="G490">
        <v>0</v>
      </c>
      <c r="H490">
        <f>표4[[#This Row],[공격성공횟수]]/(표4[[#This Row],[공격실패횟수]]+표4[[#This Row],[공격성공횟수]])</f>
        <v>0.26666666666666666</v>
      </c>
    </row>
    <row r="491" spans="1:8" hidden="1" x14ac:dyDescent="0.4">
      <c r="A491">
        <v>245</v>
      </c>
      <c r="B491" t="s">
        <v>2</v>
      </c>
      <c r="C491">
        <v>0</v>
      </c>
      <c r="D491">
        <v>1</v>
      </c>
      <c r="E491">
        <v>15</v>
      </c>
      <c r="F491">
        <v>4</v>
      </c>
      <c r="G491">
        <v>1</v>
      </c>
      <c r="H491">
        <f>표4[[#This Row],[공격성공횟수]]/(표4[[#This Row],[공격실패횟수]]+표4[[#This Row],[공격성공횟수]])</f>
        <v>6.25E-2</v>
      </c>
    </row>
    <row r="492" spans="1:8" x14ac:dyDescent="0.4">
      <c r="A492">
        <v>246</v>
      </c>
      <c r="B492" t="s">
        <v>3</v>
      </c>
      <c r="C492">
        <v>1</v>
      </c>
      <c r="D492">
        <v>4</v>
      </c>
      <c r="E492">
        <v>2</v>
      </c>
      <c r="F492">
        <v>3</v>
      </c>
      <c r="G492">
        <v>0</v>
      </c>
      <c r="H492">
        <f>표4[[#This Row],[공격성공횟수]]/(표4[[#This Row],[공격실패횟수]]+표4[[#This Row],[공격성공횟수]])</f>
        <v>0.66666666666666663</v>
      </c>
    </row>
    <row r="493" spans="1:8" hidden="1" x14ac:dyDescent="0.4">
      <c r="A493">
        <v>246</v>
      </c>
      <c r="B493" t="s">
        <v>2</v>
      </c>
      <c r="C493">
        <v>0</v>
      </c>
      <c r="D493">
        <v>3</v>
      </c>
      <c r="E493">
        <v>10</v>
      </c>
      <c r="F493">
        <v>4</v>
      </c>
      <c r="G493">
        <v>1</v>
      </c>
      <c r="H493">
        <f>표4[[#This Row],[공격성공횟수]]/(표4[[#This Row],[공격실패횟수]]+표4[[#This Row],[공격성공횟수]])</f>
        <v>0.23076923076923078</v>
      </c>
    </row>
    <row r="494" spans="1:8" x14ac:dyDescent="0.4">
      <c r="A494">
        <v>247</v>
      </c>
      <c r="B494" t="s">
        <v>3</v>
      </c>
      <c r="C494">
        <v>1</v>
      </c>
      <c r="D494">
        <v>4</v>
      </c>
      <c r="E494">
        <v>42</v>
      </c>
      <c r="F494">
        <v>1</v>
      </c>
      <c r="G494">
        <v>0</v>
      </c>
      <c r="H494">
        <f>표4[[#This Row],[공격성공횟수]]/(표4[[#This Row],[공격실패횟수]]+표4[[#This Row],[공격성공횟수]])</f>
        <v>8.6956521739130432E-2</v>
      </c>
    </row>
    <row r="495" spans="1:8" hidden="1" x14ac:dyDescent="0.4">
      <c r="A495">
        <v>247</v>
      </c>
      <c r="B495" t="s">
        <v>2</v>
      </c>
      <c r="C495">
        <v>0</v>
      </c>
      <c r="D495">
        <v>1</v>
      </c>
      <c r="E495">
        <v>49</v>
      </c>
      <c r="F495">
        <v>4</v>
      </c>
      <c r="G495">
        <v>1</v>
      </c>
      <c r="H495">
        <f>표4[[#This Row],[공격성공횟수]]/(표4[[#This Row],[공격실패횟수]]+표4[[#This Row],[공격성공횟수]])</f>
        <v>0.02</v>
      </c>
    </row>
    <row r="496" spans="1:8" x14ac:dyDescent="0.4">
      <c r="A496">
        <v>248</v>
      </c>
      <c r="B496" t="s">
        <v>3</v>
      </c>
      <c r="C496">
        <v>1</v>
      </c>
      <c r="D496">
        <v>4</v>
      </c>
      <c r="E496">
        <v>3</v>
      </c>
      <c r="F496">
        <v>2</v>
      </c>
      <c r="G496">
        <v>0</v>
      </c>
      <c r="H496">
        <f>표4[[#This Row],[공격성공횟수]]/(표4[[#This Row],[공격실패횟수]]+표4[[#This Row],[공격성공횟수]])</f>
        <v>0.5714285714285714</v>
      </c>
    </row>
    <row r="497" spans="1:8" hidden="1" x14ac:dyDescent="0.4">
      <c r="A497">
        <v>248</v>
      </c>
      <c r="B497" t="s">
        <v>2</v>
      </c>
      <c r="C497">
        <v>0</v>
      </c>
      <c r="D497">
        <v>2</v>
      </c>
      <c r="E497">
        <v>5</v>
      </c>
      <c r="F497">
        <v>4</v>
      </c>
      <c r="G497">
        <v>1</v>
      </c>
      <c r="H497">
        <f>표4[[#This Row],[공격성공횟수]]/(표4[[#This Row],[공격실패횟수]]+표4[[#This Row],[공격성공횟수]])</f>
        <v>0.2857142857142857</v>
      </c>
    </row>
    <row r="498" spans="1:8" x14ac:dyDescent="0.4">
      <c r="A498">
        <v>249</v>
      </c>
      <c r="B498" t="s">
        <v>3</v>
      </c>
      <c r="C498">
        <v>1</v>
      </c>
      <c r="D498">
        <v>4</v>
      </c>
      <c r="E498">
        <v>2</v>
      </c>
      <c r="F498">
        <v>0</v>
      </c>
      <c r="G498">
        <v>0</v>
      </c>
      <c r="H498">
        <f>표4[[#This Row],[공격성공횟수]]/(표4[[#This Row],[공격실패횟수]]+표4[[#This Row],[공격성공횟수]])</f>
        <v>0.66666666666666663</v>
      </c>
    </row>
    <row r="499" spans="1:8" hidden="1" x14ac:dyDescent="0.4">
      <c r="A499">
        <v>249</v>
      </c>
      <c r="B499" t="s">
        <v>2</v>
      </c>
      <c r="C499">
        <v>0</v>
      </c>
      <c r="D499">
        <v>0</v>
      </c>
      <c r="E499">
        <v>6</v>
      </c>
      <c r="F499">
        <v>4</v>
      </c>
      <c r="G499">
        <v>1</v>
      </c>
      <c r="H499">
        <f>표4[[#This Row],[공격성공횟수]]/(표4[[#This Row],[공격실패횟수]]+표4[[#This Row],[공격성공횟수]])</f>
        <v>0</v>
      </c>
    </row>
    <row r="500" spans="1:8" x14ac:dyDescent="0.4">
      <c r="A500">
        <v>250</v>
      </c>
      <c r="B500" t="s">
        <v>3</v>
      </c>
      <c r="C500">
        <v>1</v>
      </c>
      <c r="D500">
        <v>4</v>
      </c>
      <c r="E500">
        <v>8</v>
      </c>
      <c r="F500">
        <v>1</v>
      </c>
      <c r="G500">
        <v>0</v>
      </c>
      <c r="H500">
        <f>표4[[#This Row],[공격성공횟수]]/(표4[[#This Row],[공격실패횟수]]+표4[[#This Row],[공격성공횟수]])</f>
        <v>0.33333333333333331</v>
      </c>
    </row>
    <row r="501" spans="1:8" hidden="1" x14ac:dyDescent="0.4">
      <c r="A501">
        <v>250</v>
      </c>
      <c r="B501" t="s">
        <v>2</v>
      </c>
      <c r="C501">
        <v>0</v>
      </c>
      <c r="D501">
        <v>1</v>
      </c>
      <c r="E501">
        <v>11</v>
      </c>
      <c r="F501">
        <v>4</v>
      </c>
      <c r="G501">
        <v>1</v>
      </c>
      <c r="H501">
        <f>표4[[#This Row],[공격성공횟수]]/(표4[[#This Row],[공격실패횟수]]+표4[[#This Row],[공격성공횟수]])</f>
        <v>8.3333333333333329E-2</v>
      </c>
    </row>
    <row r="502" spans="1:8" x14ac:dyDescent="0.4">
      <c r="A502">
        <v>251</v>
      </c>
      <c r="B502" t="s">
        <v>3</v>
      </c>
      <c r="C502">
        <v>1</v>
      </c>
      <c r="D502">
        <v>4</v>
      </c>
      <c r="E502">
        <v>48</v>
      </c>
      <c r="F502">
        <v>1</v>
      </c>
      <c r="G502">
        <v>0</v>
      </c>
      <c r="H502">
        <f>표4[[#This Row],[공격성공횟수]]/(표4[[#This Row],[공격실패횟수]]+표4[[#This Row],[공격성공횟수]])</f>
        <v>7.6923076923076927E-2</v>
      </c>
    </row>
    <row r="503" spans="1:8" hidden="1" x14ac:dyDescent="0.4">
      <c r="A503">
        <v>251</v>
      </c>
      <c r="B503" t="s">
        <v>2</v>
      </c>
      <c r="C503">
        <v>0</v>
      </c>
      <c r="D503">
        <v>1</v>
      </c>
      <c r="E503">
        <v>52</v>
      </c>
      <c r="F503">
        <v>4</v>
      </c>
      <c r="G503">
        <v>1</v>
      </c>
      <c r="H503">
        <f>표4[[#This Row],[공격성공횟수]]/(표4[[#This Row],[공격실패횟수]]+표4[[#This Row],[공격성공횟수]])</f>
        <v>1.8867924528301886E-2</v>
      </c>
    </row>
    <row r="504" spans="1:8" x14ac:dyDescent="0.4">
      <c r="A504">
        <v>252</v>
      </c>
      <c r="B504" t="s">
        <v>3</v>
      </c>
      <c r="C504">
        <v>1</v>
      </c>
      <c r="D504">
        <v>4</v>
      </c>
      <c r="E504">
        <v>42</v>
      </c>
      <c r="F504">
        <v>1</v>
      </c>
      <c r="G504">
        <v>0</v>
      </c>
      <c r="H504">
        <f>표4[[#This Row],[공격성공횟수]]/(표4[[#This Row],[공격실패횟수]]+표4[[#This Row],[공격성공횟수]])</f>
        <v>8.6956521739130432E-2</v>
      </c>
    </row>
    <row r="505" spans="1:8" hidden="1" x14ac:dyDescent="0.4">
      <c r="A505">
        <v>252</v>
      </c>
      <c r="B505" t="s">
        <v>2</v>
      </c>
      <c r="C505">
        <v>0</v>
      </c>
      <c r="D505">
        <v>1</v>
      </c>
      <c r="E505">
        <v>48</v>
      </c>
      <c r="F505">
        <v>4</v>
      </c>
      <c r="G505">
        <v>1</v>
      </c>
      <c r="H505">
        <f>표4[[#This Row],[공격성공횟수]]/(표4[[#This Row],[공격실패횟수]]+표4[[#This Row],[공격성공횟수]])</f>
        <v>2.0408163265306121E-2</v>
      </c>
    </row>
    <row r="506" spans="1:8" x14ac:dyDescent="0.4">
      <c r="A506">
        <v>253</v>
      </c>
      <c r="B506" t="s">
        <v>3</v>
      </c>
      <c r="C506">
        <v>1</v>
      </c>
      <c r="D506">
        <v>4</v>
      </c>
      <c r="E506">
        <v>10</v>
      </c>
      <c r="F506">
        <v>3</v>
      </c>
      <c r="G506">
        <v>0</v>
      </c>
      <c r="H506">
        <f>표4[[#This Row],[공격성공횟수]]/(표4[[#This Row],[공격실패횟수]]+표4[[#This Row],[공격성공횟수]])</f>
        <v>0.2857142857142857</v>
      </c>
    </row>
    <row r="507" spans="1:8" hidden="1" x14ac:dyDescent="0.4">
      <c r="A507">
        <v>253</v>
      </c>
      <c r="B507" t="s">
        <v>2</v>
      </c>
      <c r="C507">
        <v>0</v>
      </c>
      <c r="D507">
        <v>3</v>
      </c>
      <c r="E507">
        <v>10</v>
      </c>
      <c r="F507">
        <v>4</v>
      </c>
      <c r="G507">
        <v>1</v>
      </c>
      <c r="H507">
        <f>표4[[#This Row],[공격성공횟수]]/(표4[[#This Row],[공격실패횟수]]+표4[[#This Row],[공격성공횟수]])</f>
        <v>0.23076923076923078</v>
      </c>
    </row>
    <row r="508" spans="1:8" x14ac:dyDescent="0.4">
      <c r="A508">
        <v>254</v>
      </c>
      <c r="B508" t="s">
        <v>3</v>
      </c>
      <c r="C508">
        <v>1</v>
      </c>
      <c r="D508">
        <v>4</v>
      </c>
      <c r="E508">
        <v>19</v>
      </c>
      <c r="F508">
        <v>3</v>
      </c>
      <c r="G508">
        <v>0</v>
      </c>
      <c r="H508">
        <f>표4[[#This Row],[공격성공횟수]]/(표4[[#This Row],[공격실패횟수]]+표4[[#This Row],[공격성공횟수]])</f>
        <v>0.17391304347826086</v>
      </c>
    </row>
    <row r="509" spans="1:8" hidden="1" x14ac:dyDescent="0.4">
      <c r="A509">
        <v>254</v>
      </c>
      <c r="B509" t="s">
        <v>2</v>
      </c>
      <c r="C509">
        <v>0</v>
      </c>
      <c r="D509">
        <v>3</v>
      </c>
      <c r="E509">
        <v>24</v>
      </c>
      <c r="F509">
        <v>4</v>
      </c>
      <c r="G509">
        <v>1</v>
      </c>
      <c r="H509">
        <f>표4[[#This Row],[공격성공횟수]]/(표4[[#This Row],[공격실패횟수]]+표4[[#This Row],[공격성공횟수]])</f>
        <v>0.1111111111111111</v>
      </c>
    </row>
    <row r="510" spans="1:8" x14ac:dyDescent="0.4">
      <c r="A510">
        <v>255</v>
      </c>
      <c r="B510" t="s">
        <v>3</v>
      </c>
      <c r="C510">
        <v>1</v>
      </c>
      <c r="D510">
        <v>4</v>
      </c>
      <c r="E510">
        <v>2</v>
      </c>
      <c r="F510">
        <v>1</v>
      </c>
      <c r="G510">
        <v>0</v>
      </c>
      <c r="H510">
        <f>표4[[#This Row],[공격성공횟수]]/(표4[[#This Row],[공격실패횟수]]+표4[[#This Row],[공격성공횟수]])</f>
        <v>0.66666666666666663</v>
      </c>
    </row>
    <row r="511" spans="1:8" hidden="1" x14ac:dyDescent="0.4">
      <c r="A511">
        <v>255</v>
      </c>
      <c r="B511" t="s">
        <v>2</v>
      </c>
      <c r="C511">
        <v>0</v>
      </c>
      <c r="D511">
        <v>1</v>
      </c>
      <c r="E511">
        <v>5</v>
      </c>
      <c r="F511">
        <v>4</v>
      </c>
      <c r="G511">
        <v>1</v>
      </c>
      <c r="H511">
        <f>표4[[#This Row],[공격성공횟수]]/(표4[[#This Row],[공격실패횟수]]+표4[[#This Row],[공격성공횟수]])</f>
        <v>0.16666666666666666</v>
      </c>
    </row>
    <row r="512" spans="1:8" x14ac:dyDescent="0.4">
      <c r="A512">
        <v>256</v>
      </c>
      <c r="B512" t="s">
        <v>3</v>
      </c>
      <c r="C512">
        <v>1</v>
      </c>
      <c r="D512">
        <v>4</v>
      </c>
      <c r="E512">
        <v>4</v>
      </c>
      <c r="F512">
        <v>0</v>
      </c>
      <c r="G512">
        <v>0</v>
      </c>
      <c r="H512">
        <f>표4[[#This Row],[공격성공횟수]]/(표4[[#This Row],[공격실패횟수]]+표4[[#This Row],[공격성공횟수]])</f>
        <v>0.5</v>
      </c>
    </row>
    <row r="513" spans="1:8" hidden="1" x14ac:dyDescent="0.4">
      <c r="A513">
        <v>256</v>
      </c>
      <c r="B513" t="s">
        <v>2</v>
      </c>
      <c r="C513">
        <v>0</v>
      </c>
      <c r="D513">
        <v>0</v>
      </c>
      <c r="E513">
        <v>8</v>
      </c>
      <c r="F513">
        <v>4</v>
      </c>
      <c r="G513">
        <v>1</v>
      </c>
      <c r="H513">
        <f>표4[[#This Row],[공격성공횟수]]/(표4[[#This Row],[공격실패횟수]]+표4[[#This Row],[공격성공횟수]])</f>
        <v>0</v>
      </c>
    </row>
    <row r="514" spans="1:8" x14ac:dyDescent="0.4">
      <c r="A514">
        <v>257</v>
      </c>
      <c r="B514" t="s">
        <v>3</v>
      </c>
      <c r="C514">
        <v>1</v>
      </c>
      <c r="D514">
        <v>4</v>
      </c>
      <c r="E514">
        <v>15</v>
      </c>
      <c r="F514">
        <v>0</v>
      </c>
      <c r="G514">
        <v>0</v>
      </c>
      <c r="H514">
        <f>표4[[#This Row],[공격성공횟수]]/(표4[[#This Row],[공격실패횟수]]+표4[[#This Row],[공격성공횟수]])</f>
        <v>0.21052631578947367</v>
      </c>
    </row>
    <row r="515" spans="1:8" hidden="1" x14ac:dyDescent="0.4">
      <c r="A515">
        <v>257</v>
      </c>
      <c r="B515" t="s">
        <v>2</v>
      </c>
      <c r="C515">
        <v>0</v>
      </c>
      <c r="D515">
        <v>0</v>
      </c>
      <c r="E515">
        <v>19</v>
      </c>
      <c r="F515">
        <v>4</v>
      </c>
      <c r="G515">
        <v>1</v>
      </c>
      <c r="H515">
        <f>표4[[#This Row],[공격성공횟수]]/(표4[[#This Row],[공격실패횟수]]+표4[[#This Row],[공격성공횟수]])</f>
        <v>0</v>
      </c>
    </row>
    <row r="516" spans="1:8" x14ac:dyDescent="0.4">
      <c r="A516">
        <v>258</v>
      </c>
      <c r="B516" t="s">
        <v>3</v>
      </c>
      <c r="C516">
        <v>1</v>
      </c>
      <c r="D516">
        <v>4</v>
      </c>
      <c r="E516">
        <v>67</v>
      </c>
      <c r="F516">
        <v>3</v>
      </c>
      <c r="G516">
        <v>0</v>
      </c>
      <c r="H516">
        <f>표4[[#This Row],[공격성공횟수]]/(표4[[#This Row],[공격실패횟수]]+표4[[#This Row],[공격성공횟수]])</f>
        <v>5.6338028169014086E-2</v>
      </c>
    </row>
    <row r="517" spans="1:8" hidden="1" x14ac:dyDescent="0.4">
      <c r="A517">
        <v>258</v>
      </c>
      <c r="B517" t="s">
        <v>2</v>
      </c>
      <c r="C517">
        <v>0</v>
      </c>
      <c r="D517">
        <v>3</v>
      </c>
      <c r="E517">
        <v>68</v>
      </c>
      <c r="F517">
        <v>4</v>
      </c>
      <c r="G517">
        <v>1</v>
      </c>
      <c r="H517">
        <f>표4[[#This Row],[공격성공횟수]]/(표4[[#This Row],[공격실패횟수]]+표4[[#This Row],[공격성공횟수]])</f>
        <v>4.2253521126760563E-2</v>
      </c>
    </row>
    <row r="518" spans="1:8" x14ac:dyDescent="0.4">
      <c r="A518">
        <v>259</v>
      </c>
      <c r="B518" t="s">
        <v>3</v>
      </c>
      <c r="C518">
        <v>1</v>
      </c>
      <c r="D518">
        <v>4</v>
      </c>
      <c r="E518">
        <v>43</v>
      </c>
      <c r="F518">
        <v>1</v>
      </c>
      <c r="G518">
        <v>0</v>
      </c>
      <c r="H518">
        <f>표4[[#This Row],[공격성공횟수]]/(표4[[#This Row],[공격실패횟수]]+표4[[#This Row],[공격성공횟수]])</f>
        <v>8.5106382978723402E-2</v>
      </c>
    </row>
    <row r="519" spans="1:8" hidden="1" x14ac:dyDescent="0.4">
      <c r="A519">
        <v>259</v>
      </c>
      <c r="B519" t="s">
        <v>2</v>
      </c>
      <c r="C519">
        <v>0</v>
      </c>
      <c r="D519">
        <v>1</v>
      </c>
      <c r="E519">
        <v>55</v>
      </c>
      <c r="F519">
        <v>4</v>
      </c>
      <c r="G519">
        <v>1</v>
      </c>
      <c r="H519">
        <f>표4[[#This Row],[공격성공횟수]]/(표4[[#This Row],[공격실패횟수]]+표4[[#This Row],[공격성공횟수]])</f>
        <v>1.7857142857142856E-2</v>
      </c>
    </row>
    <row r="520" spans="1:8" x14ac:dyDescent="0.4">
      <c r="A520">
        <v>260</v>
      </c>
      <c r="B520" t="s">
        <v>3</v>
      </c>
      <c r="C520">
        <v>1</v>
      </c>
      <c r="D520">
        <v>4</v>
      </c>
      <c r="E520">
        <v>17</v>
      </c>
      <c r="F520">
        <v>1</v>
      </c>
      <c r="G520">
        <v>0</v>
      </c>
      <c r="H520">
        <f>표4[[#This Row],[공격성공횟수]]/(표4[[#This Row],[공격실패횟수]]+표4[[#This Row],[공격성공횟수]])</f>
        <v>0.19047619047619047</v>
      </c>
    </row>
    <row r="521" spans="1:8" hidden="1" x14ac:dyDescent="0.4">
      <c r="A521">
        <v>260</v>
      </c>
      <c r="B521" t="s">
        <v>2</v>
      </c>
      <c r="C521">
        <v>0</v>
      </c>
      <c r="D521">
        <v>1</v>
      </c>
      <c r="E521">
        <v>20</v>
      </c>
      <c r="F521">
        <v>4</v>
      </c>
      <c r="G521">
        <v>1</v>
      </c>
      <c r="H521">
        <f>표4[[#This Row],[공격성공횟수]]/(표4[[#This Row],[공격실패횟수]]+표4[[#This Row],[공격성공횟수]])</f>
        <v>4.7619047619047616E-2</v>
      </c>
    </row>
    <row r="522" spans="1:8" x14ac:dyDescent="0.4">
      <c r="A522">
        <v>261</v>
      </c>
      <c r="B522" t="s">
        <v>3</v>
      </c>
      <c r="C522">
        <v>0</v>
      </c>
      <c r="D522">
        <v>3</v>
      </c>
      <c r="E522">
        <v>6</v>
      </c>
      <c r="F522">
        <v>4</v>
      </c>
      <c r="G522">
        <v>1</v>
      </c>
      <c r="H522">
        <f>표4[[#This Row],[공격성공횟수]]/(표4[[#This Row],[공격실패횟수]]+표4[[#This Row],[공격성공횟수]])</f>
        <v>0.33333333333333331</v>
      </c>
    </row>
    <row r="523" spans="1:8" hidden="1" x14ac:dyDescent="0.4">
      <c r="A523">
        <v>261</v>
      </c>
      <c r="B523" t="s">
        <v>2</v>
      </c>
      <c r="C523">
        <v>1</v>
      </c>
      <c r="D523">
        <v>4</v>
      </c>
      <c r="E523">
        <v>6</v>
      </c>
      <c r="F523">
        <v>3</v>
      </c>
      <c r="G523">
        <v>0</v>
      </c>
      <c r="H523">
        <f>표4[[#This Row],[공격성공횟수]]/(표4[[#This Row],[공격실패횟수]]+표4[[#This Row],[공격성공횟수]])</f>
        <v>0.4</v>
      </c>
    </row>
    <row r="524" spans="1:8" x14ac:dyDescent="0.4">
      <c r="A524">
        <v>262</v>
      </c>
      <c r="B524" t="s">
        <v>3</v>
      </c>
      <c r="C524">
        <v>1</v>
      </c>
      <c r="D524">
        <v>4</v>
      </c>
      <c r="E524">
        <v>11</v>
      </c>
      <c r="F524">
        <v>2</v>
      </c>
      <c r="G524">
        <v>0</v>
      </c>
      <c r="H524">
        <f>표4[[#This Row],[공격성공횟수]]/(표4[[#This Row],[공격실패횟수]]+표4[[#This Row],[공격성공횟수]])</f>
        <v>0.26666666666666666</v>
      </c>
    </row>
    <row r="525" spans="1:8" hidden="1" x14ac:dyDescent="0.4">
      <c r="A525">
        <v>262</v>
      </c>
      <c r="B525" t="s">
        <v>2</v>
      </c>
      <c r="C525">
        <v>0</v>
      </c>
      <c r="D525">
        <v>2</v>
      </c>
      <c r="E525">
        <v>11</v>
      </c>
      <c r="F525">
        <v>4</v>
      </c>
      <c r="G525">
        <v>1</v>
      </c>
      <c r="H525">
        <f>표4[[#This Row],[공격성공횟수]]/(표4[[#This Row],[공격실패횟수]]+표4[[#This Row],[공격성공횟수]])</f>
        <v>0.15384615384615385</v>
      </c>
    </row>
    <row r="526" spans="1:8" x14ac:dyDescent="0.4">
      <c r="A526">
        <v>263</v>
      </c>
      <c r="B526" t="s">
        <v>3</v>
      </c>
      <c r="C526">
        <v>1</v>
      </c>
      <c r="D526">
        <v>4</v>
      </c>
      <c r="E526">
        <v>15</v>
      </c>
      <c r="F526">
        <v>3</v>
      </c>
      <c r="G526">
        <v>0</v>
      </c>
      <c r="H526">
        <f>표4[[#This Row],[공격성공횟수]]/(표4[[#This Row],[공격실패횟수]]+표4[[#This Row],[공격성공횟수]])</f>
        <v>0.21052631578947367</v>
      </c>
    </row>
    <row r="527" spans="1:8" hidden="1" x14ac:dyDescent="0.4">
      <c r="A527">
        <v>263</v>
      </c>
      <c r="B527" t="s">
        <v>2</v>
      </c>
      <c r="C527">
        <v>0</v>
      </c>
      <c r="D527">
        <v>3</v>
      </c>
      <c r="E527">
        <v>19</v>
      </c>
      <c r="F527">
        <v>4</v>
      </c>
      <c r="G527">
        <v>1</v>
      </c>
      <c r="H527">
        <f>표4[[#This Row],[공격성공횟수]]/(표4[[#This Row],[공격실패횟수]]+표4[[#This Row],[공격성공횟수]])</f>
        <v>0.13636363636363635</v>
      </c>
    </row>
    <row r="528" spans="1:8" x14ac:dyDescent="0.4">
      <c r="A528">
        <v>264</v>
      </c>
      <c r="B528" t="s">
        <v>3</v>
      </c>
      <c r="C528">
        <v>0</v>
      </c>
      <c r="D528">
        <v>0</v>
      </c>
      <c r="E528">
        <v>12</v>
      </c>
      <c r="F528">
        <v>4</v>
      </c>
      <c r="G528">
        <v>1</v>
      </c>
      <c r="H528">
        <f>표4[[#This Row],[공격성공횟수]]/(표4[[#This Row],[공격실패횟수]]+표4[[#This Row],[공격성공횟수]])</f>
        <v>0</v>
      </c>
    </row>
    <row r="529" spans="1:8" hidden="1" x14ac:dyDescent="0.4">
      <c r="A529">
        <v>264</v>
      </c>
      <c r="B529" t="s">
        <v>2</v>
      </c>
      <c r="C529">
        <v>1</v>
      </c>
      <c r="D529">
        <v>4</v>
      </c>
      <c r="E529">
        <v>24</v>
      </c>
      <c r="F529">
        <v>0</v>
      </c>
      <c r="G529">
        <v>0</v>
      </c>
      <c r="H529">
        <f>표4[[#This Row],[공격성공횟수]]/(표4[[#This Row],[공격실패횟수]]+표4[[#This Row],[공격성공횟수]])</f>
        <v>0.14285714285714285</v>
      </c>
    </row>
    <row r="530" spans="1:8" x14ac:dyDescent="0.4">
      <c r="A530">
        <v>265</v>
      </c>
      <c r="B530" t="s">
        <v>3</v>
      </c>
      <c r="C530">
        <v>1</v>
      </c>
      <c r="D530">
        <v>4</v>
      </c>
      <c r="E530">
        <v>14</v>
      </c>
      <c r="F530">
        <v>0</v>
      </c>
      <c r="G530">
        <v>0</v>
      </c>
      <c r="H530">
        <f>표4[[#This Row],[공격성공횟수]]/(표4[[#This Row],[공격실패횟수]]+표4[[#This Row],[공격성공횟수]])</f>
        <v>0.22222222222222221</v>
      </c>
    </row>
    <row r="531" spans="1:8" hidden="1" x14ac:dyDescent="0.4">
      <c r="A531">
        <v>265</v>
      </c>
      <c r="B531" t="s">
        <v>2</v>
      </c>
      <c r="C531">
        <v>0</v>
      </c>
      <c r="D531">
        <v>0</v>
      </c>
      <c r="E531">
        <v>16</v>
      </c>
      <c r="F531">
        <v>4</v>
      </c>
      <c r="G531">
        <v>1</v>
      </c>
      <c r="H531">
        <f>표4[[#This Row],[공격성공횟수]]/(표4[[#This Row],[공격실패횟수]]+표4[[#This Row],[공격성공횟수]])</f>
        <v>0</v>
      </c>
    </row>
    <row r="532" spans="1:8" x14ac:dyDescent="0.4">
      <c r="A532">
        <v>266</v>
      </c>
      <c r="B532" t="s">
        <v>3</v>
      </c>
      <c r="C532">
        <v>1</v>
      </c>
      <c r="D532">
        <v>4</v>
      </c>
      <c r="E532">
        <v>3</v>
      </c>
      <c r="F532">
        <v>3</v>
      </c>
      <c r="G532">
        <v>0</v>
      </c>
      <c r="H532">
        <f>표4[[#This Row],[공격성공횟수]]/(표4[[#This Row],[공격실패횟수]]+표4[[#This Row],[공격성공횟수]])</f>
        <v>0.5714285714285714</v>
      </c>
    </row>
    <row r="533" spans="1:8" hidden="1" x14ac:dyDescent="0.4">
      <c r="A533">
        <v>266</v>
      </c>
      <c r="B533" t="s">
        <v>2</v>
      </c>
      <c r="C533">
        <v>0</v>
      </c>
      <c r="D533">
        <v>3</v>
      </c>
      <c r="E533">
        <v>4</v>
      </c>
      <c r="F533">
        <v>4</v>
      </c>
      <c r="G533">
        <v>1</v>
      </c>
      <c r="H533">
        <f>표4[[#This Row],[공격성공횟수]]/(표4[[#This Row],[공격실패횟수]]+표4[[#This Row],[공격성공횟수]])</f>
        <v>0.42857142857142855</v>
      </c>
    </row>
    <row r="534" spans="1:8" x14ac:dyDescent="0.4">
      <c r="A534">
        <v>267</v>
      </c>
      <c r="B534" t="s">
        <v>3</v>
      </c>
      <c r="C534">
        <v>1</v>
      </c>
      <c r="D534">
        <v>4</v>
      </c>
      <c r="E534">
        <v>4</v>
      </c>
      <c r="F534">
        <v>2</v>
      </c>
      <c r="G534">
        <v>0</v>
      </c>
      <c r="H534">
        <f>표4[[#This Row],[공격성공횟수]]/(표4[[#This Row],[공격실패횟수]]+표4[[#This Row],[공격성공횟수]])</f>
        <v>0.5</v>
      </c>
    </row>
    <row r="535" spans="1:8" hidden="1" x14ac:dyDescent="0.4">
      <c r="A535">
        <v>267</v>
      </c>
      <c r="B535" t="s">
        <v>2</v>
      </c>
      <c r="C535">
        <v>0</v>
      </c>
      <c r="D535">
        <v>2</v>
      </c>
      <c r="E535">
        <v>5</v>
      </c>
      <c r="F535">
        <v>4</v>
      </c>
      <c r="G535">
        <v>1</v>
      </c>
      <c r="H535">
        <f>표4[[#This Row],[공격성공횟수]]/(표4[[#This Row],[공격실패횟수]]+표4[[#This Row],[공격성공횟수]])</f>
        <v>0.2857142857142857</v>
      </c>
    </row>
    <row r="536" spans="1:8" x14ac:dyDescent="0.4">
      <c r="A536">
        <v>268</v>
      </c>
      <c r="B536" t="s">
        <v>3</v>
      </c>
      <c r="C536">
        <v>0</v>
      </c>
      <c r="D536">
        <v>1</v>
      </c>
      <c r="E536">
        <v>4</v>
      </c>
      <c r="F536">
        <v>4</v>
      </c>
      <c r="G536">
        <v>1</v>
      </c>
      <c r="H536">
        <f>표4[[#This Row],[공격성공횟수]]/(표4[[#This Row],[공격실패횟수]]+표4[[#This Row],[공격성공횟수]])</f>
        <v>0.2</v>
      </c>
    </row>
    <row r="537" spans="1:8" hidden="1" x14ac:dyDescent="0.4">
      <c r="A537">
        <v>268</v>
      </c>
      <c r="B537" t="s">
        <v>2</v>
      </c>
      <c r="C537">
        <v>1</v>
      </c>
      <c r="D537">
        <v>4</v>
      </c>
      <c r="E537">
        <v>9</v>
      </c>
      <c r="F537">
        <v>1</v>
      </c>
      <c r="G537">
        <v>0</v>
      </c>
      <c r="H537">
        <f>표4[[#This Row],[공격성공횟수]]/(표4[[#This Row],[공격실패횟수]]+표4[[#This Row],[공격성공횟수]])</f>
        <v>0.30769230769230771</v>
      </c>
    </row>
    <row r="538" spans="1:8" x14ac:dyDescent="0.4">
      <c r="A538">
        <v>269</v>
      </c>
      <c r="B538" t="s">
        <v>3</v>
      </c>
      <c r="C538">
        <v>1</v>
      </c>
      <c r="D538">
        <v>4</v>
      </c>
      <c r="E538">
        <v>14</v>
      </c>
      <c r="F538">
        <v>1</v>
      </c>
      <c r="G538">
        <v>0</v>
      </c>
      <c r="H538">
        <f>표4[[#This Row],[공격성공횟수]]/(표4[[#This Row],[공격실패횟수]]+표4[[#This Row],[공격성공횟수]])</f>
        <v>0.22222222222222221</v>
      </c>
    </row>
    <row r="539" spans="1:8" hidden="1" x14ac:dyDescent="0.4">
      <c r="A539">
        <v>269</v>
      </c>
      <c r="B539" t="s">
        <v>2</v>
      </c>
      <c r="C539">
        <v>0</v>
      </c>
      <c r="D539">
        <v>1</v>
      </c>
      <c r="E539">
        <v>15</v>
      </c>
      <c r="F539">
        <v>4</v>
      </c>
      <c r="G539">
        <v>1</v>
      </c>
      <c r="H539">
        <f>표4[[#This Row],[공격성공횟수]]/(표4[[#This Row],[공격실패횟수]]+표4[[#This Row],[공격성공횟수]])</f>
        <v>6.25E-2</v>
      </c>
    </row>
    <row r="540" spans="1:8" x14ac:dyDescent="0.4">
      <c r="A540">
        <v>270</v>
      </c>
      <c r="B540" t="s">
        <v>3</v>
      </c>
      <c r="C540">
        <v>0</v>
      </c>
      <c r="D540">
        <v>2</v>
      </c>
      <c r="E540">
        <v>5</v>
      </c>
      <c r="F540">
        <v>4</v>
      </c>
      <c r="G540">
        <v>1</v>
      </c>
      <c r="H540">
        <f>표4[[#This Row],[공격성공횟수]]/(표4[[#This Row],[공격실패횟수]]+표4[[#This Row],[공격성공횟수]])</f>
        <v>0.2857142857142857</v>
      </c>
    </row>
    <row r="541" spans="1:8" hidden="1" x14ac:dyDescent="0.4">
      <c r="A541">
        <v>270</v>
      </c>
      <c r="B541" t="s">
        <v>2</v>
      </c>
      <c r="C541">
        <v>1</v>
      </c>
      <c r="D541">
        <v>4</v>
      </c>
      <c r="E541">
        <v>16</v>
      </c>
      <c r="F541">
        <v>2</v>
      </c>
      <c r="G541">
        <v>0</v>
      </c>
      <c r="H541">
        <f>표4[[#This Row],[공격성공횟수]]/(표4[[#This Row],[공격실패횟수]]+표4[[#This Row],[공격성공횟수]])</f>
        <v>0.2</v>
      </c>
    </row>
    <row r="542" spans="1:8" x14ac:dyDescent="0.4">
      <c r="A542">
        <v>271</v>
      </c>
      <c r="B542" t="s">
        <v>3</v>
      </c>
      <c r="C542">
        <v>1</v>
      </c>
      <c r="D542">
        <v>4</v>
      </c>
      <c r="E542">
        <v>6</v>
      </c>
      <c r="F542">
        <v>2</v>
      </c>
      <c r="G542">
        <v>0</v>
      </c>
      <c r="H542">
        <f>표4[[#This Row],[공격성공횟수]]/(표4[[#This Row],[공격실패횟수]]+표4[[#This Row],[공격성공횟수]])</f>
        <v>0.4</v>
      </c>
    </row>
    <row r="543" spans="1:8" hidden="1" x14ac:dyDescent="0.4">
      <c r="A543">
        <v>271</v>
      </c>
      <c r="B543" t="s">
        <v>2</v>
      </c>
      <c r="C543">
        <v>0</v>
      </c>
      <c r="D543">
        <v>2</v>
      </c>
      <c r="E543">
        <v>6</v>
      </c>
      <c r="F543">
        <v>4</v>
      </c>
      <c r="G543">
        <v>1</v>
      </c>
      <c r="H543">
        <f>표4[[#This Row],[공격성공횟수]]/(표4[[#This Row],[공격실패횟수]]+표4[[#This Row],[공격성공횟수]])</f>
        <v>0.25</v>
      </c>
    </row>
    <row r="544" spans="1:8" x14ac:dyDescent="0.4">
      <c r="A544">
        <v>272</v>
      </c>
      <c r="B544" t="s">
        <v>3</v>
      </c>
      <c r="C544">
        <v>1</v>
      </c>
      <c r="D544">
        <v>4</v>
      </c>
      <c r="E544">
        <v>4</v>
      </c>
      <c r="F544">
        <v>3</v>
      </c>
      <c r="G544">
        <v>0</v>
      </c>
      <c r="H544">
        <f>표4[[#This Row],[공격성공횟수]]/(표4[[#This Row],[공격실패횟수]]+표4[[#This Row],[공격성공횟수]])</f>
        <v>0.5</v>
      </c>
    </row>
    <row r="545" spans="1:8" hidden="1" x14ac:dyDescent="0.4">
      <c r="A545">
        <v>272</v>
      </c>
      <c r="B545" t="s">
        <v>2</v>
      </c>
      <c r="C545">
        <v>0</v>
      </c>
      <c r="D545">
        <v>3</v>
      </c>
      <c r="E545">
        <v>19</v>
      </c>
      <c r="F545">
        <v>4</v>
      </c>
      <c r="G545">
        <v>1</v>
      </c>
      <c r="H545">
        <f>표4[[#This Row],[공격성공횟수]]/(표4[[#This Row],[공격실패횟수]]+표4[[#This Row],[공격성공횟수]])</f>
        <v>0.13636363636363635</v>
      </c>
    </row>
    <row r="546" spans="1:8" x14ac:dyDescent="0.4">
      <c r="A546">
        <v>273</v>
      </c>
      <c r="B546" t="s">
        <v>3</v>
      </c>
      <c r="C546">
        <v>0</v>
      </c>
      <c r="D546">
        <v>2</v>
      </c>
      <c r="E546">
        <v>49</v>
      </c>
      <c r="F546">
        <v>4</v>
      </c>
      <c r="G546">
        <v>1</v>
      </c>
      <c r="H546">
        <f>표4[[#This Row],[공격성공횟수]]/(표4[[#This Row],[공격실패횟수]]+표4[[#This Row],[공격성공횟수]])</f>
        <v>3.9215686274509803E-2</v>
      </c>
    </row>
    <row r="547" spans="1:8" hidden="1" x14ac:dyDescent="0.4">
      <c r="A547">
        <v>273</v>
      </c>
      <c r="B547" t="s">
        <v>2</v>
      </c>
      <c r="C547">
        <v>1</v>
      </c>
      <c r="D547">
        <v>4</v>
      </c>
      <c r="E547">
        <v>48</v>
      </c>
      <c r="F547">
        <v>2</v>
      </c>
      <c r="G547">
        <v>0</v>
      </c>
      <c r="H547">
        <f>표4[[#This Row],[공격성공횟수]]/(표4[[#This Row],[공격실패횟수]]+표4[[#This Row],[공격성공횟수]])</f>
        <v>7.6923076923076927E-2</v>
      </c>
    </row>
    <row r="548" spans="1:8" x14ac:dyDescent="0.4">
      <c r="A548">
        <v>274</v>
      </c>
      <c r="B548" t="s">
        <v>3</v>
      </c>
      <c r="C548">
        <v>1</v>
      </c>
      <c r="D548">
        <v>4</v>
      </c>
      <c r="E548">
        <v>6</v>
      </c>
      <c r="F548">
        <v>0</v>
      </c>
      <c r="G548">
        <v>0</v>
      </c>
      <c r="H548">
        <f>표4[[#This Row],[공격성공횟수]]/(표4[[#This Row],[공격실패횟수]]+표4[[#This Row],[공격성공횟수]])</f>
        <v>0.4</v>
      </c>
    </row>
    <row r="549" spans="1:8" hidden="1" x14ac:dyDescent="0.4">
      <c r="A549">
        <v>274</v>
      </c>
      <c r="B549" t="s">
        <v>2</v>
      </c>
      <c r="C549">
        <v>0</v>
      </c>
      <c r="D549">
        <v>0</v>
      </c>
      <c r="E549">
        <v>9</v>
      </c>
      <c r="F549">
        <v>4</v>
      </c>
      <c r="G549">
        <v>1</v>
      </c>
      <c r="H549">
        <f>표4[[#This Row],[공격성공횟수]]/(표4[[#This Row],[공격실패횟수]]+표4[[#This Row],[공격성공횟수]])</f>
        <v>0</v>
      </c>
    </row>
    <row r="550" spans="1:8" x14ac:dyDescent="0.4">
      <c r="A550">
        <v>275</v>
      </c>
      <c r="B550" t="s">
        <v>3</v>
      </c>
      <c r="C550">
        <v>1</v>
      </c>
      <c r="D550">
        <v>4</v>
      </c>
      <c r="E550">
        <v>9</v>
      </c>
      <c r="F550">
        <v>3</v>
      </c>
      <c r="G550">
        <v>0</v>
      </c>
      <c r="H550">
        <f>표4[[#This Row],[공격성공횟수]]/(표4[[#This Row],[공격실패횟수]]+표4[[#This Row],[공격성공횟수]])</f>
        <v>0.30769230769230771</v>
      </c>
    </row>
    <row r="551" spans="1:8" hidden="1" x14ac:dyDescent="0.4">
      <c r="A551">
        <v>275</v>
      </c>
      <c r="B551" t="s">
        <v>2</v>
      </c>
      <c r="C551">
        <v>0</v>
      </c>
      <c r="D551">
        <v>3</v>
      </c>
      <c r="E551">
        <v>13</v>
      </c>
      <c r="F551">
        <v>4</v>
      </c>
      <c r="G551">
        <v>1</v>
      </c>
      <c r="H551">
        <f>표4[[#This Row],[공격성공횟수]]/(표4[[#This Row],[공격실패횟수]]+표4[[#This Row],[공격성공횟수]])</f>
        <v>0.1875</v>
      </c>
    </row>
    <row r="552" spans="1:8" x14ac:dyDescent="0.4">
      <c r="A552">
        <v>276</v>
      </c>
      <c r="B552" t="s">
        <v>3</v>
      </c>
      <c r="C552">
        <v>1</v>
      </c>
      <c r="D552">
        <v>4</v>
      </c>
      <c r="E552">
        <v>85</v>
      </c>
      <c r="F552">
        <v>0</v>
      </c>
      <c r="G552">
        <v>0</v>
      </c>
      <c r="H552">
        <f>표4[[#This Row],[공격성공횟수]]/(표4[[#This Row],[공격실패횟수]]+표4[[#This Row],[공격성공횟수]])</f>
        <v>4.49438202247191E-2</v>
      </c>
    </row>
    <row r="553" spans="1:8" hidden="1" x14ac:dyDescent="0.4">
      <c r="A553">
        <v>276</v>
      </c>
      <c r="B553" t="s">
        <v>2</v>
      </c>
      <c r="C553">
        <v>0</v>
      </c>
      <c r="D553">
        <v>0</v>
      </c>
      <c r="E553">
        <v>101</v>
      </c>
      <c r="F553">
        <v>4</v>
      </c>
      <c r="G553">
        <v>1</v>
      </c>
      <c r="H553">
        <f>표4[[#This Row],[공격성공횟수]]/(표4[[#This Row],[공격실패횟수]]+표4[[#This Row],[공격성공횟수]])</f>
        <v>0</v>
      </c>
    </row>
    <row r="554" spans="1:8" x14ac:dyDescent="0.4">
      <c r="A554">
        <v>277</v>
      </c>
      <c r="B554" t="s">
        <v>3</v>
      </c>
      <c r="C554">
        <v>0</v>
      </c>
      <c r="D554">
        <v>3</v>
      </c>
      <c r="E554">
        <v>58</v>
      </c>
      <c r="F554">
        <v>4</v>
      </c>
      <c r="G554">
        <v>1</v>
      </c>
      <c r="H554">
        <f>표4[[#This Row],[공격성공횟수]]/(표4[[#This Row],[공격실패횟수]]+표4[[#This Row],[공격성공횟수]])</f>
        <v>4.9180327868852458E-2</v>
      </c>
    </row>
    <row r="555" spans="1:8" hidden="1" x14ac:dyDescent="0.4">
      <c r="A555">
        <v>277</v>
      </c>
      <c r="B555" t="s">
        <v>2</v>
      </c>
      <c r="C555">
        <v>1</v>
      </c>
      <c r="D555">
        <v>4</v>
      </c>
      <c r="E555">
        <v>65</v>
      </c>
      <c r="F555">
        <v>3</v>
      </c>
      <c r="G555">
        <v>0</v>
      </c>
      <c r="H555">
        <f>표4[[#This Row],[공격성공횟수]]/(표4[[#This Row],[공격실패횟수]]+표4[[#This Row],[공격성공횟수]])</f>
        <v>5.7971014492753624E-2</v>
      </c>
    </row>
    <row r="556" spans="1:8" x14ac:dyDescent="0.4">
      <c r="A556">
        <v>278</v>
      </c>
      <c r="B556" t="s">
        <v>3</v>
      </c>
      <c r="C556">
        <v>1</v>
      </c>
      <c r="D556">
        <v>4</v>
      </c>
      <c r="E556">
        <v>10</v>
      </c>
      <c r="F556">
        <v>0</v>
      </c>
      <c r="G556">
        <v>0</v>
      </c>
      <c r="H556">
        <f>표4[[#This Row],[공격성공횟수]]/(표4[[#This Row],[공격실패횟수]]+표4[[#This Row],[공격성공횟수]])</f>
        <v>0.2857142857142857</v>
      </c>
    </row>
    <row r="557" spans="1:8" hidden="1" x14ac:dyDescent="0.4">
      <c r="A557">
        <v>278</v>
      </c>
      <c r="B557" t="s">
        <v>2</v>
      </c>
      <c r="C557">
        <v>0</v>
      </c>
      <c r="D557">
        <v>0</v>
      </c>
      <c r="E557">
        <v>25</v>
      </c>
      <c r="F557">
        <v>4</v>
      </c>
      <c r="G557">
        <v>1</v>
      </c>
      <c r="H557">
        <f>표4[[#This Row],[공격성공횟수]]/(표4[[#This Row],[공격실패횟수]]+표4[[#This Row],[공격성공횟수]])</f>
        <v>0</v>
      </c>
    </row>
    <row r="558" spans="1:8" x14ac:dyDescent="0.4">
      <c r="A558">
        <v>279</v>
      </c>
      <c r="B558" t="s">
        <v>3</v>
      </c>
      <c r="C558">
        <v>1</v>
      </c>
      <c r="D558">
        <v>4</v>
      </c>
      <c r="E558">
        <v>4</v>
      </c>
      <c r="F558">
        <v>0</v>
      </c>
      <c r="G558">
        <v>0</v>
      </c>
      <c r="H558">
        <f>표4[[#This Row],[공격성공횟수]]/(표4[[#This Row],[공격실패횟수]]+표4[[#This Row],[공격성공횟수]])</f>
        <v>0.5</v>
      </c>
    </row>
    <row r="559" spans="1:8" hidden="1" x14ac:dyDescent="0.4">
      <c r="A559">
        <v>279</v>
      </c>
      <c r="B559" t="s">
        <v>2</v>
      </c>
      <c r="C559">
        <v>0</v>
      </c>
      <c r="D559">
        <v>0</v>
      </c>
      <c r="E559">
        <v>9</v>
      </c>
      <c r="F559">
        <v>4</v>
      </c>
      <c r="G559">
        <v>1</v>
      </c>
      <c r="H559">
        <f>표4[[#This Row],[공격성공횟수]]/(표4[[#This Row],[공격실패횟수]]+표4[[#This Row],[공격성공횟수]])</f>
        <v>0</v>
      </c>
    </row>
    <row r="560" spans="1:8" x14ac:dyDescent="0.4">
      <c r="A560">
        <v>280</v>
      </c>
      <c r="B560" t="s">
        <v>3</v>
      </c>
      <c r="C560">
        <v>0</v>
      </c>
      <c r="D560">
        <v>3</v>
      </c>
      <c r="E560">
        <v>8</v>
      </c>
      <c r="F560">
        <v>4</v>
      </c>
      <c r="G560">
        <v>1</v>
      </c>
      <c r="H560">
        <f>표4[[#This Row],[공격성공횟수]]/(표4[[#This Row],[공격실패횟수]]+표4[[#This Row],[공격성공횟수]])</f>
        <v>0.27272727272727271</v>
      </c>
    </row>
    <row r="561" spans="1:8" hidden="1" x14ac:dyDescent="0.4">
      <c r="A561">
        <v>280</v>
      </c>
      <c r="B561" t="s">
        <v>2</v>
      </c>
      <c r="C561">
        <v>1</v>
      </c>
      <c r="D561">
        <v>4</v>
      </c>
      <c r="E561">
        <v>7</v>
      </c>
      <c r="F561">
        <v>3</v>
      </c>
      <c r="G561">
        <v>0</v>
      </c>
      <c r="H561">
        <f>표4[[#This Row],[공격성공횟수]]/(표4[[#This Row],[공격실패횟수]]+표4[[#This Row],[공격성공횟수]])</f>
        <v>0.36363636363636365</v>
      </c>
    </row>
    <row r="562" spans="1:8" x14ac:dyDescent="0.4">
      <c r="A562">
        <v>281</v>
      </c>
      <c r="B562" t="s">
        <v>3</v>
      </c>
      <c r="C562">
        <v>1</v>
      </c>
      <c r="D562">
        <v>4</v>
      </c>
      <c r="E562">
        <v>20</v>
      </c>
      <c r="F562">
        <v>0</v>
      </c>
      <c r="G562">
        <v>0</v>
      </c>
      <c r="H562">
        <f>표4[[#This Row],[공격성공횟수]]/(표4[[#This Row],[공격실패횟수]]+표4[[#This Row],[공격성공횟수]])</f>
        <v>0.16666666666666666</v>
      </c>
    </row>
    <row r="563" spans="1:8" hidden="1" x14ac:dyDescent="0.4">
      <c r="A563">
        <v>281</v>
      </c>
      <c r="B563" t="s">
        <v>2</v>
      </c>
      <c r="C563">
        <v>0</v>
      </c>
      <c r="D563">
        <v>0</v>
      </c>
      <c r="E563">
        <v>26</v>
      </c>
      <c r="F563">
        <v>4</v>
      </c>
      <c r="G563">
        <v>1</v>
      </c>
      <c r="H563">
        <f>표4[[#This Row],[공격성공횟수]]/(표4[[#This Row],[공격실패횟수]]+표4[[#This Row],[공격성공횟수]])</f>
        <v>0</v>
      </c>
    </row>
    <row r="564" spans="1:8" x14ac:dyDescent="0.4">
      <c r="A564">
        <v>282</v>
      </c>
      <c r="B564" t="s">
        <v>3</v>
      </c>
      <c r="C564">
        <v>1</v>
      </c>
      <c r="D564">
        <v>4</v>
      </c>
      <c r="E564">
        <v>8</v>
      </c>
      <c r="F564">
        <v>3</v>
      </c>
      <c r="G564">
        <v>0</v>
      </c>
      <c r="H564">
        <f>표4[[#This Row],[공격성공횟수]]/(표4[[#This Row],[공격실패횟수]]+표4[[#This Row],[공격성공횟수]])</f>
        <v>0.33333333333333331</v>
      </c>
    </row>
    <row r="565" spans="1:8" hidden="1" x14ac:dyDescent="0.4">
      <c r="A565">
        <v>282</v>
      </c>
      <c r="B565" t="s">
        <v>2</v>
      </c>
      <c r="C565">
        <v>0</v>
      </c>
      <c r="D565">
        <v>3</v>
      </c>
      <c r="E565">
        <v>9</v>
      </c>
      <c r="F565">
        <v>4</v>
      </c>
      <c r="G565">
        <v>1</v>
      </c>
      <c r="H565">
        <f>표4[[#This Row],[공격성공횟수]]/(표4[[#This Row],[공격실패횟수]]+표4[[#This Row],[공격성공횟수]])</f>
        <v>0.25</v>
      </c>
    </row>
    <row r="566" spans="1:8" x14ac:dyDescent="0.4">
      <c r="A566">
        <v>283</v>
      </c>
      <c r="B566" t="s">
        <v>3</v>
      </c>
      <c r="C566">
        <v>1</v>
      </c>
      <c r="D566">
        <v>4</v>
      </c>
      <c r="E566">
        <v>10</v>
      </c>
      <c r="F566">
        <v>2</v>
      </c>
      <c r="G566">
        <v>0</v>
      </c>
      <c r="H566">
        <f>표4[[#This Row],[공격성공횟수]]/(표4[[#This Row],[공격실패횟수]]+표4[[#This Row],[공격성공횟수]])</f>
        <v>0.2857142857142857</v>
      </c>
    </row>
    <row r="567" spans="1:8" hidden="1" x14ac:dyDescent="0.4">
      <c r="A567">
        <v>283</v>
      </c>
      <c r="B567" t="s">
        <v>2</v>
      </c>
      <c r="C567">
        <v>0</v>
      </c>
      <c r="D567">
        <v>2</v>
      </c>
      <c r="E567">
        <v>12</v>
      </c>
      <c r="F567">
        <v>4</v>
      </c>
      <c r="G567">
        <v>1</v>
      </c>
      <c r="H567">
        <f>표4[[#This Row],[공격성공횟수]]/(표4[[#This Row],[공격실패횟수]]+표4[[#This Row],[공격성공횟수]])</f>
        <v>0.14285714285714285</v>
      </c>
    </row>
    <row r="568" spans="1:8" x14ac:dyDescent="0.4">
      <c r="A568">
        <v>284</v>
      </c>
      <c r="B568" t="s">
        <v>3</v>
      </c>
      <c r="C568">
        <v>1</v>
      </c>
      <c r="D568">
        <v>4</v>
      </c>
      <c r="E568">
        <v>8</v>
      </c>
      <c r="F568">
        <v>2</v>
      </c>
      <c r="G568">
        <v>0</v>
      </c>
      <c r="H568">
        <f>표4[[#This Row],[공격성공횟수]]/(표4[[#This Row],[공격실패횟수]]+표4[[#This Row],[공격성공횟수]])</f>
        <v>0.33333333333333331</v>
      </c>
    </row>
    <row r="569" spans="1:8" hidden="1" x14ac:dyDescent="0.4">
      <c r="A569">
        <v>284</v>
      </c>
      <c r="B569" t="s">
        <v>2</v>
      </c>
      <c r="C569">
        <v>0</v>
      </c>
      <c r="D569">
        <v>2</v>
      </c>
      <c r="E569">
        <v>38</v>
      </c>
      <c r="F569">
        <v>4</v>
      </c>
      <c r="G569">
        <v>1</v>
      </c>
      <c r="H569">
        <f>표4[[#This Row],[공격성공횟수]]/(표4[[#This Row],[공격실패횟수]]+표4[[#This Row],[공격성공횟수]])</f>
        <v>0.05</v>
      </c>
    </row>
    <row r="570" spans="1:8" x14ac:dyDescent="0.4">
      <c r="A570">
        <v>285</v>
      </c>
      <c r="B570" t="s">
        <v>3</v>
      </c>
      <c r="C570">
        <v>0</v>
      </c>
      <c r="D570">
        <v>2</v>
      </c>
      <c r="E570">
        <v>0</v>
      </c>
      <c r="F570">
        <v>4</v>
      </c>
      <c r="G570">
        <v>1</v>
      </c>
      <c r="H570">
        <f>표4[[#This Row],[공격성공횟수]]/(표4[[#This Row],[공격실패횟수]]+표4[[#This Row],[공격성공횟수]])</f>
        <v>1</v>
      </c>
    </row>
    <row r="571" spans="1:8" hidden="1" x14ac:dyDescent="0.4">
      <c r="A571">
        <v>285</v>
      </c>
      <c r="B571" t="s">
        <v>2</v>
      </c>
      <c r="C571">
        <v>1</v>
      </c>
      <c r="D571">
        <v>4</v>
      </c>
      <c r="E571">
        <v>8</v>
      </c>
      <c r="F571">
        <v>2</v>
      </c>
      <c r="G571">
        <v>0</v>
      </c>
      <c r="H571">
        <f>표4[[#This Row],[공격성공횟수]]/(표4[[#This Row],[공격실패횟수]]+표4[[#This Row],[공격성공횟수]])</f>
        <v>0.33333333333333331</v>
      </c>
    </row>
    <row r="572" spans="1:8" x14ac:dyDescent="0.4">
      <c r="A572">
        <v>286</v>
      </c>
      <c r="B572" t="s">
        <v>3</v>
      </c>
      <c r="C572">
        <v>1</v>
      </c>
      <c r="D572">
        <v>4</v>
      </c>
      <c r="E572">
        <v>9</v>
      </c>
      <c r="F572">
        <v>0</v>
      </c>
      <c r="G572">
        <v>0</v>
      </c>
      <c r="H572">
        <f>표4[[#This Row],[공격성공횟수]]/(표4[[#This Row],[공격실패횟수]]+표4[[#This Row],[공격성공횟수]])</f>
        <v>0.30769230769230771</v>
      </c>
    </row>
    <row r="573" spans="1:8" hidden="1" x14ac:dyDescent="0.4">
      <c r="A573">
        <v>286</v>
      </c>
      <c r="B573" t="s">
        <v>2</v>
      </c>
      <c r="C573">
        <v>0</v>
      </c>
      <c r="D573">
        <v>0</v>
      </c>
      <c r="E573">
        <v>25</v>
      </c>
      <c r="F573">
        <v>4</v>
      </c>
      <c r="G573">
        <v>1</v>
      </c>
      <c r="H573">
        <f>표4[[#This Row],[공격성공횟수]]/(표4[[#This Row],[공격실패횟수]]+표4[[#This Row],[공격성공횟수]])</f>
        <v>0</v>
      </c>
    </row>
    <row r="574" spans="1:8" x14ac:dyDescent="0.4">
      <c r="A574">
        <v>287</v>
      </c>
      <c r="B574" t="s">
        <v>3</v>
      </c>
      <c r="C574">
        <v>1</v>
      </c>
      <c r="D574">
        <v>4</v>
      </c>
      <c r="E574">
        <v>28</v>
      </c>
      <c r="F574">
        <v>3</v>
      </c>
      <c r="G574">
        <v>0</v>
      </c>
      <c r="H574">
        <f>표4[[#This Row],[공격성공횟수]]/(표4[[#This Row],[공격실패횟수]]+표4[[#This Row],[공격성공횟수]])</f>
        <v>0.125</v>
      </c>
    </row>
    <row r="575" spans="1:8" hidden="1" x14ac:dyDescent="0.4">
      <c r="A575">
        <v>287</v>
      </c>
      <c r="B575" t="s">
        <v>2</v>
      </c>
      <c r="C575">
        <v>0</v>
      </c>
      <c r="D575">
        <v>3</v>
      </c>
      <c r="E575">
        <v>28</v>
      </c>
      <c r="F575">
        <v>4</v>
      </c>
      <c r="G575">
        <v>1</v>
      </c>
      <c r="H575">
        <f>표4[[#This Row],[공격성공횟수]]/(표4[[#This Row],[공격실패횟수]]+표4[[#This Row],[공격성공횟수]])</f>
        <v>9.6774193548387094E-2</v>
      </c>
    </row>
    <row r="576" spans="1:8" x14ac:dyDescent="0.4">
      <c r="A576">
        <v>288</v>
      </c>
      <c r="B576" t="s">
        <v>3</v>
      </c>
      <c r="C576">
        <v>1</v>
      </c>
      <c r="D576">
        <v>4</v>
      </c>
      <c r="E576">
        <v>22</v>
      </c>
      <c r="F576">
        <v>1</v>
      </c>
      <c r="G576">
        <v>0</v>
      </c>
      <c r="H576">
        <f>표4[[#This Row],[공격성공횟수]]/(표4[[#This Row],[공격실패횟수]]+표4[[#This Row],[공격성공횟수]])</f>
        <v>0.15384615384615385</v>
      </c>
    </row>
    <row r="577" spans="1:8" hidden="1" x14ac:dyDescent="0.4">
      <c r="A577">
        <v>288</v>
      </c>
      <c r="B577" t="s">
        <v>2</v>
      </c>
      <c r="C577">
        <v>0</v>
      </c>
      <c r="D577">
        <v>1</v>
      </c>
      <c r="E577">
        <v>24</v>
      </c>
      <c r="F577">
        <v>4</v>
      </c>
      <c r="G577">
        <v>1</v>
      </c>
      <c r="H577">
        <f>표4[[#This Row],[공격성공횟수]]/(표4[[#This Row],[공격실패횟수]]+표4[[#This Row],[공격성공횟수]])</f>
        <v>0.04</v>
      </c>
    </row>
    <row r="578" spans="1:8" x14ac:dyDescent="0.4">
      <c r="A578">
        <v>289</v>
      </c>
      <c r="B578" t="s">
        <v>3</v>
      </c>
      <c r="C578">
        <v>1</v>
      </c>
      <c r="D578">
        <v>4</v>
      </c>
      <c r="E578">
        <v>12</v>
      </c>
      <c r="F578">
        <v>0</v>
      </c>
      <c r="G578">
        <v>0</v>
      </c>
      <c r="H578">
        <f>표4[[#This Row],[공격성공횟수]]/(표4[[#This Row],[공격실패횟수]]+표4[[#This Row],[공격성공횟수]])</f>
        <v>0.25</v>
      </c>
    </row>
    <row r="579" spans="1:8" hidden="1" x14ac:dyDescent="0.4">
      <c r="A579">
        <v>289</v>
      </c>
      <c r="B579" t="s">
        <v>2</v>
      </c>
      <c r="C579">
        <v>0</v>
      </c>
      <c r="D579">
        <v>0</v>
      </c>
      <c r="E579">
        <v>16</v>
      </c>
      <c r="F579">
        <v>4</v>
      </c>
      <c r="G579">
        <v>1</v>
      </c>
      <c r="H579">
        <f>표4[[#This Row],[공격성공횟수]]/(표4[[#This Row],[공격실패횟수]]+표4[[#This Row],[공격성공횟수]])</f>
        <v>0</v>
      </c>
    </row>
    <row r="580" spans="1:8" x14ac:dyDescent="0.4">
      <c r="A580">
        <v>290</v>
      </c>
      <c r="B580" t="s">
        <v>3</v>
      </c>
      <c r="C580">
        <v>1</v>
      </c>
      <c r="D580">
        <v>4</v>
      </c>
      <c r="E580">
        <v>12</v>
      </c>
      <c r="F580">
        <v>3</v>
      </c>
      <c r="G580">
        <v>0</v>
      </c>
      <c r="H580">
        <f>표4[[#This Row],[공격성공횟수]]/(표4[[#This Row],[공격실패횟수]]+표4[[#This Row],[공격성공횟수]])</f>
        <v>0.25</v>
      </c>
    </row>
    <row r="581" spans="1:8" hidden="1" x14ac:dyDescent="0.4">
      <c r="A581">
        <v>290</v>
      </c>
      <c r="B581" t="s">
        <v>2</v>
      </c>
      <c r="C581">
        <v>0</v>
      </c>
      <c r="D581">
        <v>3</v>
      </c>
      <c r="E581">
        <v>12</v>
      </c>
      <c r="F581">
        <v>4</v>
      </c>
      <c r="G581">
        <v>1</v>
      </c>
      <c r="H581">
        <f>표4[[#This Row],[공격성공횟수]]/(표4[[#This Row],[공격실패횟수]]+표4[[#This Row],[공격성공횟수]])</f>
        <v>0.2</v>
      </c>
    </row>
    <row r="582" spans="1:8" x14ac:dyDescent="0.4">
      <c r="A582">
        <v>291</v>
      </c>
      <c r="B582" t="s">
        <v>3</v>
      </c>
      <c r="C582">
        <v>1</v>
      </c>
      <c r="D582">
        <v>4</v>
      </c>
      <c r="E582">
        <v>20</v>
      </c>
      <c r="F582">
        <v>0</v>
      </c>
      <c r="G582">
        <v>0</v>
      </c>
      <c r="H582">
        <f>표4[[#This Row],[공격성공횟수]]/(표4[[#This Row],[공격실패횟수]]+표4[[#This Row],[공격성공횟수]])</f>
        <v>0.16666666666666666</v>
      </c>
    </row>
    <row r="583" spans="1:8" hidden="1" x14ac:dyDescent="0.4">
      <c r="A583">
        <v>291</v>
      </c>
      <c r="B583" t="s">
        <v>2</v>
      </c>
      <c r="C583">
        <v>0</v>
      </c>
      <c r="D583">
        <v>0</v>
      </c>
      <c r="E583">
        <v>28</v>
      </c>
      <c r="F583">
        <v>4</v>
      </c>
      <c r="G583">
        <v>1</v>
      </c>
      <c r="H583">
        <f>표4[[#This Row],[공격성공횟수]]/(표4[[#This Row],[공격실패횟수]]+표4[[#This Row],[공격성공횟수]])</f>
        <v>0</v>
      </c>
    </row>
    <row r="584" spans="1:8" x14ac:dyDescent="0.4">
      <c r="A584">
        <v>292</v>
      </c>
      <c r="B584" t="s">
        <v>3</v>
      </c>
      <c r="C584">
        <v>1</v>
      </c>
      <c r="D584">
        <v>4</v>
      </c>
      <c r="E584">
        <v>13</v>
      </c>
      <c r="F584">
        <v>0</v>
      </c>
      <c r="G584">
        <v>0</v>
      </c>
      <c r="H584">
        <f>표4[[#This Row],[공격성공횟수]]/(표4[[#This Row],[공격실패횟수]]+표4[[#This Row],[공격성공횟수]])</f>
        <v>0.23529411764705882</v>
      </c>
    </row>
    <row r="585" spans="1:8" hidden="1" x14ac:dyDescent="0.4">
      <c r="A585">
        <v>292</v>
      </c>
      <c r="B585" t="s">
        <v>2</v>
      </c>
      <c r="C585">
        <v>0</v>
      </c>
      <c r="D585">
        <v>0</v>
      </c>
      <c r="E585">
        <v>17</v>
      </c>
      <c r="F585">
        <v>4</v>
      </c>
      <c r="G585">
        <v>1</v>
      </c>
      <c r="H585">
        <f>표4[[#This Row],[공격성공횟수]]/(표4[[#This Row],[공격실패횟수]]+표4[[#This Row],[공격성공횟수]])</f>
        <v>0</v>
      </c>
    </row>
    <row r="586" spans="1:8" x14ac:dyDescent="0.4">
      <c r="A586">
        <v>293</v>
      </c>
      <c r="B586" t="s">
        <v>3</v>
      </c>
      <c r="C586">
        <v>1</v>
      </c>
      <c r="D586">
        <v>4</v>
      </c>
      <c r="E586">
        <v>16</v>
      </c>
      <c r="F586">
        <v>3</v>
      </c>
      <c r="G586">
        <v>0</v>
      </c>
      <c r="H586">
        <f>표4[[#This Row],[공격성공횟수]]/(표4[[#This Row],[공격실패횟수]]+표4[[#This Row],[공격성공횟수]])</f>
        <v>0.2</v>
      </c>
    </row>
    <row r="587" spans="1:8" hidden="1" x14ac:dyDescent="0.4">
      <c r="A587">
        <v>293</v>
      </c>
      <c r="B587" t="s">
        <v>2</v>
      </c>
      <c r="C587">
        <v>0</v>
      </c>
      <c r="D587">
        <v>3</v>
      </c>
      <c r="E587">
        <v>43</v>
      </c>
      <c r="F587">
        <v>4</v>
      </c>
      <c r="G587">
        <v>1</v>
      </c>
      <c r="H587">
        <f>표4[[#This Row],[공격성공횟수]]/(표4[[#This Row],[공격실패횟수]]+표4[[#This Row],[공격성공횟수]])</f>
        <v>6.5217391304347824E-2</v>
      </c>
    </row>
    <row r="588" spans="1:8" x14ac:dyDescent="0.4">
      <c r="A588">
        <v>294</v>
      </c>
      <c r="B588" t="s">
        <v>3</v>
      </c>
      <c r="C588">
        <v>1</v>
      </c>
      <c r="D588">
        <v>4</v>
      </c>
      <c r="E588">
        <v>5</v>
      </c>
      <c r="F588">
        <v>3</v>
      </c>
      <c r="G588">
        <v>0</v>
      </c>
      <c r="H588">
        <f>표4[[#This Row],[공격성공횟수]]/(표4[[#This Row],[공격실패횟수]]+표4[[#This Row],[공격성공횟수]])</f>
        <v>0.44444444444444442</v>
      </c>
    </row>
    <row r="589" spans="1:8" hidden="1" x14ac:dyDescent="0.4">
      <c r="A589">
        <v>294</v>
      </c>
      <c r="B589" t="s">
        <v>2</v>
      </c>
      <c r="C589">
        <v>0</v>
      </c>
      <c r="D589">
        <v>3</v>
      </c>
      <c r="E589">
        <v>6</v>
      </c>
      <c r="F589">
        <v>4</v>
      </c>
      <c r="G589">
        <v>1</v>
      </c>
      <c r="H589">
        <f>표4[[#This Row],[공격성공횟수]]/(표4[[#This Row],[공격실패횟수]]+표4[[#This Row],[공격성공횟수]])</f>
        <v>0.33333333333333331</v>
      </c>
    </row>
    <row r="590" spans="1:8" x14ac:dyDescent="0.4">
      <c r="A590">
        <v>295</v>
      </c>
      <c r="B590" t="s">
        <v>3</v>
      </c>
      <c r="C590">
        <v>1</v>
      </c>
      <c r="D590">
        <v>4</v>
      </c>
      <c r="E590">
        <v>65</v>
      </c>
      <c r="F590">
        <v>2</v>
      </c>
      <c r="G590">
        <v>0</v>
      </c>
      <c r="H590">
        <f>표4[[#This Row],[공격성공횟수]]/(표4[[#This Row],[공격실패횟수]]+표4[[#This Row],[공격성공횟수]])</f>
        <v>5.7971014492753624E-2</v>
      </c>
    </row>
    <row r="591" spans="1:8" hidden="1" x14ac:dyDescent="0.4">
      <c r="A591">
        <v>295</v>
      </c>
      <c r="B591" t="s">
        <v>2</v>
      </c>
      <c r="C591">
        <v>0</v>
      </c>
      <c r="D591">
        <v>2</v>
      </c>
      <c r="E591">
        <v>100</v>
      </c>
      <c r="F591">
        <v>4</v>
      </c>
      <c r="G591">
        <v>1</v>
      </c>
      <c r="H591">
        <f>표4[[#This Row],[공격성공횟수]]/(표4[[#This Row],[공격실패횟수]]+표4[[#This Row],[공격성공횟수]])</f>
        <v>1.9607843137254902E-2</v>
      </c>
    </row>
    <row r="592" spans="1:8" x14ac:dyDescent="0.4">
      <c r="A592">
        <v>296</v>
      </c>
      <c r="B592" t="s">
        <v>3</v>
      </c>
      <c r="C592">
        <v>0</v>
      </c>
      <c r="D592">
        <v>3</v>
      </c>
      <c r="E592">
        <v>1</v>
      </c>
      <c r="F592">
        <v>4</v>
      </c>
      <c r="G592">
        <v>1</v>
      </c>
      <c r="H592">
        <f>표4[[#This Row],[공격성공횟수]]/(표4[[#This Row],[공격실패횟수]]+표4[[#This Row],[공격성공횟수]])</f>
        <v>0.75</v>
      </c>
    </row>
    <row r="593" spans="1:8" hidden="1" x14ac:dyDescent="0.4">
      <c r="A593">
        <v>296</v>
      </c>
      <c r="B593" t="s">
        <v>2</v>
      </c>
      <c r="C593">
        <v>1</v>
      </c>
      <c r="D593">
        <v>4</v>
      </c>
      <c r="E593">
        <v>4</v>
      </c>
      <c r="F593">
        <v>3</v>
      </c>
      <c r="G593">
        <v>0</v>
      </c>
      <c r="H593">
        <f>표4[[#This Row],[공격성공횟수]]/(표4[[#This Row],[공격실패횟수]]+표4[[#This Row],[공격성공횟수]])</f>
        <v>0.5</v>
      </c>
    </row>
    <row r="594" spans="1:8" x14ac:dyDescent="0.4">
      <c r="A594">
        <v>297</v>
      </c>
      <c r="B594" t="s">
        <v>3</v>
      </c>
      <c r="C594">
        <v>0</v>
      </c>
      <c r="D594">
        <v>3</v>
      </c>
      <c r="E594">
        <v>35</v>
      </c>
      <c r="F594">
        <v>4</v>
      </c>
      <c r="G594">
        <v>1</v>
      </c>
      <c r="H594">
        <f>표4[[#This Row],[공격성공횟수]]/(표4[[#This Row],[공격실패횟수]]+표4[[#This Row],[공격성공횟수]])</f>
        <v>7.8947368421052627E-2</v>
      </c>
    </row>
    <row r="595" spans="1:8" hidden="1" x14ac:dyDescent="0.4">
      <c r="A595">
        <v>297</v>
      </c>
      <c r="B595" t="s">
        <v>2</v>
      </c>
      <c r="C595">
        <v>1</v>
      </c>
      <c r="D595">
        <v>4</v>
      </c>
      <c r="E595">
        <v>43</v>
      </c>
      <c r="F595">
        <v>3</v>
      </c>
      <c r="G595">
        <v>0</v>
      </c>
      <c r="H595">
        <f>표4[[#This Row],[공격성공횟수]]/(표4[[#This Row],[공격실패횟수]]+표4[[#This Row],[공격성공횟수]])</f>
        <v>8.5106382978723402E-2</v>
      </c>
    </row>
    <row r="596" spans="1:8" x14ac:dyDescent="0.4">
      <c r="A596">
        <v>298</v>
      </c>
      <c r="B596" t="s">
        <v>3</v>
      </c>
      <c r="C596">
        <v>1</v>
      </c>
      <c r="D596">
        <v>4</v>
      </c>
      <c r="E596">
        <v>10</v>
      </c>
      <c r="F596">
        <v>2</v>
      </c>
      <c r="G596">
        <v>0</v>
      </c>
      <c r="H596">
        <f>표4[[#This Row],[공격성공횟수]]/(표4[[#This Row],[공격실패횟수]]+표4[[#This Row],[공격성공횟수]])</f>
        <v>0.2857142857142857</v>
      </c>
    </row>
    <row r="597" spans="1:8" hidden="1" x14ac:dyDescent="0.4">
      <c r="A597">
        <v>298</v>
      </c>
      <c r="B597" t="s">
        <v>2</v>
      </c>
      <c r="C597">
        <v>0</v>
      </c>
      <c r="D597">
        <v>2</v>
      </c>
      <c r="E597">
        <v>10</v>
      </c>
      <c r="F597">
        <v>4</v>
      </c>
      <c r="G597">
        <v>1</v>
      </c>
      <c r="H597">
        <f>표4[[#This Row],[공격성공횟수]]/(표4[[#This Row],[공격실패횟수]]+표4[[#This Row],[공격성공횟수]])</f>
        <v>0.16666666666666666</v>
      </c>
    </row>
    <row r="598" spans="1:8" x14ac:dyDescent="0.4">
      <c r="A598">
        <v>299</v>
      </c>
      <c r="B598" t="s">
        <v>3</v>
      </c>
      <c r="C598">
        <v>0</v>
      </c>
      <c r="D598">
        <v>1</v>
      </c>
      <c r="E598">
        <v>10</v>
      </c>
      <c r="F598">
        <v>4</v>
      </c>
      <c r="G598">
        <v>1</v>
      </c>
      <c r="H598">
        <f>표4[[#This Row],[공격성공횟수]]/(표4[[#This Row],[공격실패횟수]]+표4[[#This Row],[공격성공횟수]])</f>
        <v>9.0909090909090912E-2</v>
      </c>
    </row>
    <row r="599" spans="1:8" hidden="1" x14ac:dyDescent="0.4">
      <c r="A599">
        <v>299</v>
      </c>
      <c r="B599" t="s">
        <v>2</v>
      </c>
      <c r="C599">
        <v>1</v>
      </c>
      <c r="D599">
        <v>4</v>
      </c>
      <c r="E599">
        <v>8</v>
      </c>
      <c r="F599">
        <v>1</v>
      </c>
      <c r="G599">
        <v>0</v>
      </c>
      <c r="H599">
        <f>표4[[#This Row],[공격성공횟수]]/(표4[[#This Row],[공격실패횟수]]+표4[[#This Row],[공격성공횟수]])</f>
        <v>0.33333333333333331</v>
      </c>
    </row>
    <row r="600" spans="1:8" x14ac:dyDescent="0.4">
      <c r="A600">
        <v>300</v>
      </c>
      <c r="B600" t="s">
        <v>3</v>
      </c>
      <c r="C600">
        <v>1</v>
      </c>
      <c r="D600">
        <v>4</v>
      </c>
      <c r="E600">
        <v>8</v>
      </c>
      <c r="F600">
        <v>0</v>
      </c>
      <c r="G600">
        <v>0</v>
      </c>
      <c r="H600">
        <f>표4[[#This Row],[공격성공횟수]]/(표4[[#This Row],[공격실패횟수]]+표4[[#This Row],[공격성공횟수]])</f>
        <v>0.33333333333333331</v>
      </c>
    </row>
    <row r="601" spans="1:8" hidden="1" x14ac:dyDescent="0.4">
      <c r="A601">
        <v>300</v>
      </c>
      <c r="B601" t="s">
        <v>2</v>
      </c>
      <c r="C601">
        <v>0</v>
      </c>
      <c r="D601">
        <v>0</v>
      </c>
      <c r="E601">
        <v>11</v>
      </c>
      <c r="F601">
        <v>4</v>
      </c>
      <c r="G601">
        <v>1</v>
      </c>
      <c r="H601">
        <f>표4[[#This Row],[공격성공횟수]]/(표4[[#This Row],[공격실패횟수]]+표4[[#This Row],[공격성공횟수]])</f>
        <v>0</v>
      </c>
    </row>
    <row r="602" spans="1:8" x14ac:dyDescent="0.4">
      <c r="A602">
        <v>301</v>
      </c>
      <c r="B602" t="s">
        <v>3</v>
      </c>
      <c r="C602">
        <v>1</v>
      </c>
      <c r="D602">
        <v>4</v>
      </c>
      <c r="E602">
        <v>14</v>
      </c>
      <c r="F602">
        <v>0</v>
      </c>
      <c r="G602">
        <v>0</v>
      </c>
      <c r="H602">
        <f>표4[[#This Row],[공격성공횟수]]/(표4[[#This Row],[공격실패횟수]]+표4[[#This Row],[공격성공횟수]])</f>
        <v>0.22222222222222221</v>
      </c>
    </row>
    <row r="603" spans="1:8" hidden="1" x14ac:dyDescent="0.4">
      <c r="A603">
        <v>301</v>
      </c>
      <c r="B603" t="s">
        <v>2</v>
      </c>
      <c r="C603">
        <v>0</v>
      </c>
      <c r="D603">
        <v>0</v>
      </c>
      <c r="E603">
        <v>21</v>
      </c>
      <c r="F603">
        <v>4</v>
      </c>
      <c r="G603">
        <v>1</v>
      </c>
      <c r="H603">
        <f>표4[[#This Row],[공격성공횟수]]/(표4[[#This Row],[공격실패횟수]]+표4[[#This Row],[공격성공횟수]])</f>
        <v>0</v>
      </c>
    </row>
    <row r="604" spans="1:8" x14ac:dyDescent="0.4">
      <c r="A604">
        <v>302</v>
      </c>
      <c r="B604" t="s">
        <v>3</v>
      </c>
      <c r="C604">
        <v>1</v>
      </c>
      <c r="D604">
        <v>4</v>
      </c>
      <c r="E604">
        <v>5</v>
      </c>
      <c r="F604">
        <v>2</v>
      </c>
      <c r="G604">
        <v>0</v>
      </c>
      <c r="H604">
        <f>표4[[#This Row],[공격성공횟수]]/(표4[[#This Row],[공격실패횟수]]+표4[[#This Row],[공격성공횟수]])</f>
        <v>0.44444444444444442</v>
      </c>
    </row>
    <row r="605" spans="1:8" hidden="1" x14ac:dyDescent="0.4">
      <c r="A605">
        <v>302</v>
      </c>
      <c r="B605" t="s">
        <v>2</v>
      </c>
      <c r="C605">
        <v>0</v>
      </c>
      <c r="D605">
        <v>2</v>
      </c>
      <c r="E605">
        <v>6</v>
      </c>
      <c r="F605">
        <v>4</v>
      </c>
      <c r="G605">
        <v>1</v>
      </c>
      <c r="H605">
        <f>표4[[#This Row],[공격성공횟수]]/(표4[[#This Row],[공격실패횟수]]+표4[[#This Row],[공격성공횟수]])</f>
        <v>0.25</v>
      </c>
    </row>
    <row r="606" spans="1:8" x14ac:dyDescent="0.4">
      <c r="A606">
        <v>303</v>
      </c>
      <c r="B606" t="s">
        <v>3</v>
      </c>
      <c r="C606">
        <v>1</v>
      </c>
      <c r="D606">
        <v>4</v>
      </c>
      <c r="E606">
        <v>5</v>
      </c>
      <c r="F606">
        <v>0</v>
      </c>
      <c r="G606">
        <v>0</v>
      </c>
      <c r="H606">
        <f>표4[[#This Row],[공격성공횟수]]/(표4[[#This Row],[공격실패횟수]]+표4[[#This Row],[공격성공횟수]])</f>
        <v>0.44444444444444442</v>
      </c>
    </row>
    <row r="607" spans="1:8" hidden="1" x14ac:dyDescent="0.4">
      <c r="A607">
        <v>303</v>
      </c>
      <c r="B607" t="s">
        <v>2</v>
      </c>
      <c r="C607">
        <v>0</v>
      </c>
      <c r="D607">
        <v>0</v>
      </c>
      <c r="E607">
        <v>9</v>
      </c>
      <c r="F607">
        <v>4</v>
      </c>
      <c r="G607">
        <v>1</v>
      </c>
      <c r="H607">
        <f>표4[[#This Row],[공격성공횟수]]/(표4[[#This Row],[공격실패횟수]]+표4[[#This Row],[공격성공횟수]])</f>
        <v>0</v>
      </c>
    </row>
    <row r="608" spans="1:8" x14ac:dyDescent="0.4">
      <c r="A608">
        <v>304</v>
      </c>
      <c r="B608" t="s">
        <v>3</v>
      </c>
      <c r="C608">
        <v>1</v>
      </c>
      <c r="D608">
        <v>4</v>
      </c>
      <c r="E608">
        <v>9</v>
      </c>
      <c r="F608">
        <v>1</v>
      </c>
      <c r="G608">
        <v>0</v>
      </c>
      <c r="H608">
        <f>표4[[#This Row],[공격성공횟수]]/(표4[[#This Row],[공격실패횟수]]+표4[[#This Row],[공격성공횟수]])</f>
        <v>0.30769230769230771</v>
      </c>
    </row>
    <row r="609" spans="1:8" hidden="1" x14ac:dyDescent="0.4">
      <c r="A609">
        <v>304</v>
      </c>
      <c r="B609" t="s">
        <v>2</v>
      </c>
      <c r="C609">
        <v>0</v>
      </c>
      <c r="D609">
        <v>1</v>
      </c>
      <c r="E609">
        <v>12</v>
      </c>
      <c r="F609">
        <v>4</v>
      </c>
      <c r="G609">
        <v>1</v>
      </c>
      <c r="H609">
        <f>표4[[#This Row],[공격성공횟수]]/(표4[[#This Row],[공격실패횟수]]+표4[[#This Row],[공격성공횟수]])</f>
        <v>7.6923076923076927E-2</v>
      </c>
    </row>
    <row r="610" spans="1:8" x14ac:dyDescent="0.4">
      <c r="A610">
        <v>305</v>
      </c>
      <c r="B610" t="s">
        <v>3</v>
      </c>
      <c r="C610">
        <v>1</v>
      </c>
      <c r="D610">
        <v>4</v>
      </c>
      <c r="E610">
        <v>8</v>
      </c>
      <c r="F610">
        <v>0</v>
      </c>
      <c r="G610">
        <v>0</v>
      </c>
      <c r="H610">
        <f>표4[[#This Row],[공격성공횟수]]/(표4[[#This Row],[공격실패횟수]]+표4[[#This Row],[공격성공횟수]])</f>
        <v>0.33333333333333331</v>
      </c>
    </row>
    <row r="611" spans="1:8" hidden="1" x14ac:dyDescent="0.4">
      <c r="A611">
        <v>305</v>
      </c>
      <c r="B611" t="s">
        <v>2</v>
      </c>
      <c r="C611">
        <v>0</v>
      </c>
      <c r="D611">
        <v>0</v>
      </c>
      <c r="E611">
        <v>11</v>
      </c>
      <c r="F611">
        <v>4</v>
      </c>
      <c r="G611">
        <v>1</v>
      </c>
      <c r="H611">
        <f>표4[[#This Row],[공격성공횟수]]/(표4[[#This Row],[공격실패횟수]]+표4[[#This Row],[공격성공횟수]])</f>
        <v>0</v>
      </c>
    </row>
    <row r="612" spans="1:8" x14ac:dyDescent="0.4">
      <c r="A612">
        <v>306</v>
      </c>
      <c r="B612" t="s">
        <v>3</v>
      </c>
      <c r="C612">
        <v>1</v>
      </c>
      <c r="D612">
        <v>4</v>
      </c>
      <c r="E612">
        <v>70</v>
      </c>
      <c r="F612">
        <v>3</v>
      </c>
      <c r="G612">
        <v>0</v>
      </c>
      <c r="H612">
        <f>표4[[#This Row],[공격성공횟수]]/(표4[[#This Row],[공격실패횟수]]+표4[[#This Row],[공격성공횟수]])</f>
        <v>5.4054054054054057E-2</v>
      </c>
    </row>
    <row r="613" spans="1:8" hidden="1" x14ac:dyDescent="0.4">
      <c r="A613">
        <v>306</v>
      </c>
      <c r="B613" t="s">
        <v>2</v>
      </c>
      <c r="C613">
        <v>0</v>
      </c>
      <c r="D613">
        <v>3</v>
      </c>
      <c r="E613">
        <v>97</v>
      </c>
      <c r="F613">
        <v>4</v>
      </c>
      <c r="G613">
        <v>1</v>
      </c>
      <c r="H613">
        <f>표4[[#This Row],[공격성공횟수]]/(표4[[#This Row],[공격실패횟수]]+표4[[#This Row],[공격성공횟수]])</f>
        <v>0.03</v>
      </c>
    </row>
    <row r="614" spans="1:8" x14ac:dyDescent="0.4">
      <c r="A614">
        <v>307</v>
      </c>
      <c r="B614" t="s">
        <v>3</v>
      </c>
      <c r="C614">
        <v>1</v>
      </c>
      <c r="D614">
        <v>4</v>
      </c>
      <c r="E614">
        <v>9</v>
      </c>
      <c r="F614">
        <v>2</v>
      </c>
      <c r="G614">
        <v>0</v>
      </c>
      <c r="H614">
        <f>표4[[#This Row],[공격성공횟수]]/(표4[[#This Row],[공격실패횟수]]+표4[[#This Row],[공격성공횟수]])</f>
        <v>0.30769230769230771</v>
      </c>
    </row>
    <row r="615" spans="1:8" hidden="1" x14ac:dyDescent="0.4">
      <c r="A615">
        <v>307</v>
      </c>
      <c r="B615" t="s">
        <v>2</v>
      </c>
      <c r="C615">
        <v>0</v>
      </c>
      <c r="D615">
        <v>2</v>
      </c>
      <c r="E615">
        <v>11</v>
      </c>
      <c r="F615">
        <v>4</v>
      </c>
      <c r="G615">
        <v>1</v>
      </c>
      <c r="H615">
        <f>표4[[#This Row],[공격성공횟수]]/(표4[[#This Row],[공격실패횟수]]+표4[[#This Row],[공격성공횟수]])</f>
        <v>0.15384615384615385</v>
      </c>
    </row>
    <row r="616" spans="1:8" x14ac:dyDescent="0.4">
      <c r="A616">
        <v>308</v>
      </c>
      <c r="B616" t="s">
        <v>3</v>
      </c>
      <c r="C616">
        <v>1</v>
      </c>
      <c r="D616">
        <v>4</v>
      </c>
      <c r="E616">
        <v>3</v>
      </c>
      <c r="F616">
        <v>1</v>
      </c>
      <c r="G616">
        <v>0</v>
      </c>
      <c r="H616">
        <f>표4[[#This Row],[공격성공횟수]]/(표4[[#This Row],[공격실패횟수]]+표4[[#This Row],[공격성공횟수]])</f>
        <v>0.5714285714285714</v>
      </c>
    </row>
    <row r="617" spans="1:8" hidden="1" x14ac:dyDescent="0.4">
      <c r="A617">
        <v>308</v>
      </c>
      <c r="B617" t="s">
        <v>2</v>
      </c>
      <c r="C617">
        <v>0</v>
      </c>
      <c r="D617">
        <v>1</v>
      </c>
      <c r="E617">
        <v>5</v>
      </c>
      <c r="F617">
        <v>4</v>
      </c>
      <c r="G617">
        <v>1</v>
      </c>
      <c r="H617">
        <f>표4[[#This Row],[공격성공횟수]]/(표4[[#This Row],[공격실패횟수]]+표4[[#This Row],[공격성공횟수]])</f>
        <v>0.16666666666666666</v>
      </c>
    </row>
    <row r="618" spans="1:8" x14ac:dyDescent="0.4">
      <c r="A618">
        <v>309</v>
      </c>
      <c r="B618" t="s">
        <v>3</v>
      </c>
      <c r="C618">
        <v>0</v>
      </c>
      <c r="D618">
        <v>3</v>
      </c>
      <c r="E618">
        <v>12</v>
      </c>
      <c r="F618">
        <v>4</v>
      </c>
      <c r="G618">
        <v>1</v>
      </c>
      <c r="H618">
        <f>표4[[#This Row],[공격성공횟수]]/(표4[[#This Row],[공격실패횟수]]+표4[[#This Row],[공격성공횟수]])</f>
        <v>0.2</v>
      </c>
    </row>
    <row r="619" spans="1:8" hidden="1" x14ac:dyDescent="0.4">
      <c r="A619">
        <v>309</v>
      </c>
      <c r="B619" t="s">
        <v>2</v>
      </c>
      <c r="C619">
        <v>1</v>
      </c>
      <c r="D619">
        <v>4</v>
      </c>
      <c r="E619">
        <v>25</v>
      </c>
      <c r="F619">
        <v>3</v>
      </c>
      <c r="G619">
        <v>0</v>
      </c>
      <c r="H619">
        <f>표4[[#This Row],[공격성공횟수]]/(표4[[#This Row],[공격실패횟수]]+표4[[#This Row],[공격성공횟수]])</f>
        <v>0.13793103448275862</v>
      </c>
    </row>
    <row r="620" spans="1:8" x14ac:dyDescent="0.4">
      <c r="A620">
        <v>310</v>
      </c>
      <c r="B620" t="s">
        <v>3</v>
      </c>
      <c r="C620">
        <v>0</v>
      </c>
      <c r="D620">
        <v>1</v>
      </c>
      <c r="E620">
        <v>50</v>
      </c>
      <c r="F620">
        <v>4</v>
      </c>
      <c r="G620">
        <v>1</v>
      </c>
      <c r="H620">
        <f>표4[[#This Row],[공격성공횟수]]/(표4[[#This Row],[공격실패횟수]]+표4[[#This Row],[공격성공횟수]])</f>
        <v>1.9607843137254902E-2</v>
      </c>
    </row>
    <row r="621" spans="1:8" hidden="1" x14ac:dyDescent="0.4">
      <c r="A621">
        <v>310</v>
      </c>
      <c r="B621" t="s">
        <v>2</v>
      </c>
      <c r="C621">
        <v>1</v>
      </c>
      <c r="D621">
        <v>4</v>
      </c>
      <c r="E621">
        <v>56</v>
      </c>
      <c r="F621">
        <v>1</v>
      </c>
      <c r="G621">
        <v>0</v>
      </c>
      <c r="H621">
        <f>표4[[#This Row],[공격성공횟수]]/(표4[[#This Row],[공격실패횟수]]+표4[[#This Row],[공격성공횟수]])</f>
        <v>6.6666666666666666E-2</v>
      </c>
    </row>
    <row r="622" spans="1:8" x14ac:dyDescent="0.4">
      <c r="A622">
        <v>311</v>
      </c>
      <c r="B622" t="s">
        <v>3</v>
      </c>
      <c r="C622">
        <v>1</v>
      </c>
      <c r="D622">
        <v>4</v>
      </c>
      <c r="E622">
        <v>13</v>
      </c>
      <c r="F622">
        <v>0</v>
      </c>
      <c r="G622">
        <v>0</v>
      </c>
      <c r="H622">
        <f>표4[[#This Row],[공격성공횟수]]/(표4[[#This Row],[공격실패횟수]]+표4[[#This Row],[공격성공횟수]])</f>
        <v>0.23529411764705882</v>
      </c>
    </row>
    <row r="623" spans="1:8" hidden="1" x14ac:dyDescent="0.4">
      <c r="A623">
        <v>311</v>
      </c>
      <c r="B623" t="s">
        <v>2</v>
      </c>
      <c r="C623">
        <v>0</v>
      </c>
      <c r="D623">
        <v>0</v>
      </c>
      <c r="E623">
        <v>15</v>
      </c>
      <c r="F623">
        <v>4</v>
      </c>
      <c r="G623">
        <v>1</v>
      </c>
      <c r="H623">
        <f>표4[[#This Row],[공격성공횟수]]/(표4[[#This Row],[공격실패횟수]]+표4[[#This Row],[공격성공횟수]])</f>
        <v>0</v>
      </c>
    </row>
    <row r="624" spans="1:8" x14ac:dyDescent="0.4">
      <c r="A624">
        <v>312</v>
      </c>
      <c r="B624" t="s">
        <v>3</v>
      </c>
      <c r="C624">
        <v>1</v>
      </c>
      <c r="D624">
        <v>4</v>
      </c>
      <c r="E624">
        <v>8</v>
      </c>
      <c r="F624">
        <v>1</v>
      </c>
      <c r="G624">
        <v>0</v>
      </c>
      <c r="H624">
        <f>표4[[#This Row],[공격성공횟수]]/(표4[[#This Row],[공격실패횟수]]+표4[[#This Row],[공격성공횟수]])</f>
        <v>0.33333333333333331</v>
      </c>
    </row>
    <row r="625" spans="1:8" hidden="1" x14ac:dyDescent="0.4">
      <c r="A625">
        <v>312</v>
      </c>
      <c r="B625" t="s">
        <v>2</v>
      </c>
      <c r="C625">
        <v>0</v>
      </c>
      <c r="D625">
        <v>1</v>
      </c>
      <c r="E625">
        <v>15</v>
      </c>
      <c r="F625">
        <v>4</v>
      </c>
      <c r="G625">
        <v>1</v>
      </c>
      <c r="H625">
        <f>표4[[#This Row],[공격성공횟수]]/(표4[[#This Row],[공격실패횟수]]+표4[[#This Row],[공격성공횟수]])</f>
        <v>6.25E-2</v>
      </c>
    </row>
    <row r="626" spans="1:8" x14ac:dyDescent="0.4">
      <c r="A626">
        <v>313</v>
      </c>
      <c r="B626" t="s">
        <v>3</v>
      </c>
      <c r="C626">
        <v>1</v>
      </c>
      <c r="D626">
        <v>4</v>
      </c>
      <c r="E626">
        <v>11</v>
      </c>
      <c r="F626">
        <v>2</v>
      </c>
      <c r="G626">
        <v>0</v>
      </c>
      <c r="H626">
        <f>표4[[#This Row],[공격성공횟수]]/(표4[[#This Row],[공격실패횟수]]+표4[[#This Row],[공격성공횟수]])</f>
        <v>0.26666666666666666</v>
      </c>
    </row>
    <row r="627" spans="1:8" hidden="1" x14ac:dyDescent="0.4">
      <c r="A627">
        <v>313</v>
      </c>
      <c r="B627" t="s">
        <v>2</v>
      </c>
      <c r="C627">
        <v>0</v>
      </c>
      <c r="D627">
        <v>2</v>
      </c>
      <c r="E627">
        <v>25</v>
      </c>
      <c r="F627">
        <v>4</v>
      </c>
      <c r="G627">
        <v>1</v>
      </c>
      <c r="H627">
        <f>표4[[#This Row],[공격성공횟수]]/(표4[[#This Row],[공격실패횟수]]+표4[[#This Row],[공격성공횟수]])</f>
        <v>7.407407407407407E-2</v>
      </c>
    </row>
    <row r="628" spans="1:8" x14ac:dyDescent="0.4">
      <c r="A628">
        <v>314</v>
      </c>
      <c r="B628" t="s">
        <v>3</v>
      </c>
      <c r="C628">
        <v>0</v>
      </c>
      <c r="D628">
        <v>1</v>
      </c>
      <c r="E628">
        <v>14</v>
      </c>
      <c r="F628">
        <v>4</v>
      </c>
      <c r="G628">
        <v>1</v>
      </c>
      <c r="H628">
        <f>표4[[#This Row],[공격성공횟수]]/(표4[[#This Row],[공격실패횟수]]+표4[[#This Row],[공격성공횟수]])</f>
        <v>6.6666666666666666E-2</v>
      </c>
    </row>
    <row r="629" spans="1:8" hidden="1" x14ac:dyDescent="0.4">
      <c r="A629">
        <v>314</v>
      </c>
      <c r="B629" t="s">
        <v>2</v>
      </c>
      <c r="C629">
        <v>1</v>
      </c>
      <c r="D629">
        <v>4</v>
      </c>
      <c r="E629">
        <v>15</v>
      </c>
      <c r="F629">
        <v>1</v>
      </c>
      <c r="G629">
        <v>0</v>
      </c>
      <c r="H629">
        <f>표4[[#This Row],[공격성공횟수]]/(표4[[#This Row],[공격실패횟수]]+표4[[#This Row],[공격성공횟수]])</f>
        <v>0.21052631578947367</v>
      </c>
    </row>
    <row r="630" spans="1:8" x14ac:dyDescent="0.4">
      <c r="A630">
        <v>315</v>
      </c>
      <c r="B630" t="s">
        <v>3</v>
      </c>
      <c r="C630">
        <v>1</v>
      </c>
      <c r="D630">
        <v>4</v>
      </c>
      <c r="E630">
        <v>9</v>
      </c>
      <c r="F630">
        <v>1</v>
      </c>
      <c r="G630">
        <v>0</v>
      </c>
      <c r="H630">
        <f>표4[[#This Row],[공격성공횟수]]/(표4[[#This Row],[공격실패횟수]]+표4[[#This Row],[공격성공횟수]])</f>
        <v>0.30769230769230771</v>
      </c>
    </row>
    <row r="631" spans="1:8" hidden="1" x14ac:dyDescent="0.4">
      <c r="A631">
        <v>315</v>
      </c>
      <c r="B631" t="s">
        <v>2</v>
      </c>
      <c r="C631">
        <v>0</v>
      </c>
      <c r="D631">
        <v>1</v>
      </c>
      <c r="E631">
        <v>14</v>
      </c>
      <c r="F631">
        <v>4</v>
      </c>
      <c r="G631">
        <v>1</v>
      </c>
      <c r="H631">
        <f>표4[[#This Row],[공격성공횟수]]/(표4[[#This Row],[공격실패횟수]]+표4[[#This Row],[공격성공횟수]])</f>
        <v>6.6666666666666666E-2</v>
      </c>
    </row>
    <row r="632" spans="1:8" x14ac:dyDescent="0.4">
      <c r="A632">
        <v>316</v>
      </c>
      <c r="B632" t="s">
        <v>3</v>
      </c>
      <c r="C632">
        <v>1</v>
      </c>
      <c r="D632">
        <v>4</v>
      </c>
      <c r="E632">
        <v>4</v>
      </c>
      <c r="F632">
        <v>1</v>
      </c>
      <c r="G632">
        <v>0</v>
      </c>
      <c r="H632">
        <f>표4[[#This Row],[공격성공횟수]]/(표4[[#This Row],[공격실패횟수]]+표4[[#This Row],[공격성공횟수]])</f>
        <v>0.5</v>
      </c>
    </row>
    <row r="633" spans="1:8" hidden="1" x14ac:dyDescent="0.4">
      <c r="A633">
        <v>316</v>
      </c>
      <c r="B633" t="s">
        <v>2</v>
      </c>
      <c r="C633">
        <v>0</v>
      </c>
      <c r="D633">
        <v>1</v>
      </c>
      <c r="E633">
        <v>7</v>
      </c>
      <c r="F633">
        <v>4</v>
      </c>
      <c r="G633">
        <v>1</v>
      </c>
      <c r="H633">
        <f>표4[[#This Row],[공격성공횟수]]/(표4[[#This Row],[공격실패횟수]]+표4[[#This Row],[공격성공횟수]])</f>
        <v>0.125</v>
      </c>
    </row>
    <row r="634" spans="1:8" x14ac:dyDescent="0.4">
      <c r="A634">
        <v>317</v>
      </c>
      <c r="B634" t="s">
        <v>3</v>
      </c>
      <c r="C634">
        <v>1</v>
      </c>
      <c r="D634">
        <v>4</v>
      </c>
      <c r="E634">
        <v>4</v>
      </c>
      <c r="F634">
        <v>1</v>
      </c>
      <c r="G634">
        <v>0</v>
      </c>
      <c r="H634">
        <f>표4[[#This Row],[공격성공횟수]]/(표4[[#This Row],[공격실패횟수]]+표4[[#This Row],[공격성공횟수]])</f>
        <v>0.5</v>
      </c>
    </row>
    <row r="635" spans="1:8" hidden="1" x14ac:dyDescent="0.4">
      <c r="A635">
        <v>317</v>
      </c>
      <c r="B635" t="s">
        <v>2</v>
      </c>
      <c r="C635">
        <v>0</v>
      </c>
      <c r="D635">
        <v>1</v>
      </c>
      <c r="E635">
        <v>11</v>
      </c>
      <c r="F635">
        <v>4</v>
      </c>
      <c r="G635">
        <v>1</v>
      </c>
      <c r="H635">
        <f>표4[[#This Row],[공격성공횟수]]/(표4[[#This Row],[공격실패횟수]]+표4[[#This Row],[공격성공횟수]])</f>
        <v>8.3333333333333329E-2</v>
      </c>
    </row>
    <row r="636" spans="1:8" x14ac:dyDescent="0.4">
      <c r="A636">
        <v>318</v>
      </c>
      <c r="B636" t="s">
        <v>3</v>
      </c>
      <c r="C636">
        <v>1</v>
      </c>
      <c r="D636">
        <v>4</v>
      </c>
      <c r="E636">
        <v>37</v>
      </c>
      <c r="F636">
        <v>0</v>
      </c>
      <c r="G636">
        <v>0</v>
      </c>
      <c r="H636">
        <f>표4[[#This Row],[공격성공횟수]]/(표4[[#This Row],[공격실패횟수]]+표4[[#This Row],[공격성공횟수]])</f>
        <v>9.7560975609756101E-2</v>
      </c>
    </row>
    <row r="637" spans="1:8" hidden="1" x14ac:dyDescent="0.4">
      <c r="A637">
        <v>318</v>
      </c>
      <c r="B637" t="s">
        <v>2</v>
      </c>
      <c r="C637">
        <v>0</v>
      </c>
      <c r="D637">
        <v>0</v>
      </c>
      <c r="E637">
        <v>58</v>
      </c>
      <c r="F637">
        <v>4</v>
      </c>
      <c r="G637">
        <v>1</v>
      </c>
      <c r="H637">
        <f>표4[[#This Row],[공격성공횟수]]/(표4[[#This Row],[공격실패횟수]]+표4[[#This Row],[공격성공횟수]])</f>
        <v>0</v>
      </c>
    </row>
    <row r="638" spans="1:8" x14ac:dyDescent="0.4">
      <c r="A638">
        <v>319</v>
      </c>
      <c r="B638" t="s">
        <v>3</v>
      </c>
      <c r="C638">
        <v>1</v>
      </c>
      <c r="D638">
        <v>4</v>
      </c>
      <c r="E638">
        <v>6</v>
      </c>
      <c r="F638">
        <v>2</v>
      </c>
      <c r="G638">
        <v>0</v>
      </c>
      <c r="H638">
        <f>표4[[#This Row],[공격성공횟수]]/(표4[[#This Row],[공격실패횟수]]+표4[[#This Row],[공격성공횟수]])</f>
        <v>0.4</v>
      </c>
    </row>
    <row r="639" spans="1:8" hidden="1" x14ac:dyDescent="0.4">
      <c r="A639">
        <v>319</v>
      </c>
      <c r="B639" t="s">
        <v>2</v>
      </c>
      <c r="C639">
        <v>0</v>
      </c>
      <c r="D639">
        <v>2</v>
      </c>
      <c r="E639">
        <v>8</v>
      </c>
      <c r="F639">
        <v>4</v>
      </c>
      <c r="G639">
        <v>1</v>
      </c>
      <c r="H639">
        <f>표4[[#This Row],[공격성공횟수]]/(표4[[#This Row],[공격실패횟수]]+표4[[#This Row],[공격성공횟수]])</f>
        <v>0.2</v>
      </c>
    </row>
    <row r="640" spans="1:8" x14ac:dyDescent="0.4">
      <c r="A640">
        <v>320</v>
      </c>
      <c r="B640" t="s">
        <v>3</v>
      </c>
      <c r="C640">
        <v>1</v>
      </c>
      <c r="D640">
        <v>4</v>
      </c>
      <c r="E640">
        <v>15</v>
      </c>
      <c r="F640">
        <v>1</v>
      </c>
      <c r="G640">
        <v>0</v>
      </c>
      <c r="H640">
        <f>표4[[#This Row],[공격성공횟수]]/(표4[[#This Row],[공격실패횟수]]+표4[[#This Row],[공격성공횟수]])</f>
        <v>0.21052631578947367</v>
      </c>
    </row>
    <row r="641" spans="1:8" hidden="1" x14ac:dyDescent="0.4">
      <c r="A641">
        <v>320</v>
      </c>
      <c r="B641" t="s">
        <v>2</v>
      </c>
      <c r="C641">
        <v>0</v>
      </c>
      <c r="D641">
        <v>1</v>
      </c>
      <c r="E641">
        <v>17</v>
      </c>
      <c r="F641">
        <v>4</v>
      </c>
      <c r="G641">
        <v>1</v>
      </c>
      <c r="H641">
        <f>표4[[#This Row],[공격성공횟수]]/(표4[[#This Row],[공격실패횟수]]+표4[[#This Row],[공격성공횟수]])</f>
        <v>5.5555555555555552E-2</v>
      </c>
    </row>
    <row r="642" spans="1:8" x14ac:dyDescent="0.4">
      <c r="A642">
        <v>321</v>
      </c>
      <c r="B642" t="s">
        <v>3</v>
      </c>
      <c r="C642">
        <v>1</v>
      </c>
      <c r="D642">
        <v>4</v>
      </c>
      <c r="E642">
        <v>18</v>
      </c>
      <c r="F642">
        <v>1</v>
      </c>
      <c r="G642">
        <v>0</v>
      </c>
      <c r="H642">
        <f>표4[[#This Row],[공격성공횟수]]/(표4[[#This Row],[공격실패횟수]]+표4[[#This Row],[공격성공횟수]])</f>
        <v>0.18181818181818182</v>
      </c>
    </row>
    <row r="643" spans="1:8" hidden="1" x14ac:dyDescent="0.4">
      <c r="A643">
        <v>321</v>
      </c>
      <c r="B643" t="s">
        <v>2</v>
      </c>
      <c r="C643">
        <v>0</v>
      </c>
      <c r="D643">
        <v>1</v>
      </c>
      <c r="E643">
        <v>21</v>
      </c>
      <c r="F643">
        <v>4</v>
      </c>
      <c r="G643">
        <v>1</v>
      </c>
      <c r="H643">
        <f>표4[[#This Row],[공격성공횟수]]/(표4[[#This Row],[공격실패횟수]]+표4[[#This Row],[공격성공횟수]])</f>
        <v>4.5454545454545456E-2</v>
      </c>
    </row>
    <row r="644" spans="1:8" x14ac:dyDescent="0.4">
      <c r="A644">
        <v>322</v>
      </c>
      <c r="B644" t="s">
        <v>3</v>
      </c>
      <c r="C644">
        <v>1</v>
      </c>
      <c r="D644">
        <v>4</v>
      </c>
      <c r="E644">
        <v>5</v>
      </c>
      <c r="F644">
        <v>1</v>
      </c>
      <c r="G644">
        <v>0</v>
      </c>
      <c r="H644">
        <f>표4[[#This Row],[공격성공횟수]]/(표4[[#This Row],[공격실패횟수]]+표4[[#This Row],[공격성공횟수]])</f>
        <v>0.44444444444444442</v>
      </c>
    </row>
    <row r="645" spans="1:8" hidden="1" x14ac:dyDescent="0.4">
      <c r="A645">
        <v>322</v>
      </c>
      <c r="B645" t="s">
        <v>2</v>
      </c>
      <c r="C645">
        <v>0</v>
      </c>
      <c r="D645">
        <v>1</v>
      </c>
      <c r="E645">
        <v>13</v>
      </c>
      <c r="F645">
        <v>4</v>
      </c>
      <c r="G645">
        <v>1</v>
      </c>
      <c r="H645">
        <f>표4[[#This Row],[공격성공횟수]]/(표4[[#This Row],[공격실패횟수]]+표4[[#This Row],[공격성공횟수]])</f>
        <v>7.1428571428571425E-2</v>
      </c>
    </row>
    <row r="646" spans="1:8" x14ac:dyDescent="0.4">
      <c r="A646">
        <v>323</v>
      </c>
      <c r="B646" t="s">
        <v>3</v>
      </c>
      <c r="C646">
        <v>1</v>
      </c>
      <c r="D646">
        <v>4</v>
      </c>
      <c r="E646">
        <v>92</v>
      </c>
      <c r="F646">
        <v>3</v>
      </c>
      <c r="G646">
        <v>0</v>
      </c>
      <c r="H646">
        <f>표4[[#This Row],[공격성공횟수]]/(표4[[#This Row],[공격실패횟수]]+표4[[#This Row],[공격성공횟수]])</f>
        <v>4.1666666666666664E-2</v>
      </c>
    </row>
    <row r="647" spans="1:8" hidden="1" x14ac:dyDescent="0.4">
      <c r="A647">
        <v>323</v>
      </c>
      <c r="B647" t="s">
        <v>2</v>
      </c>
      <c r="C647">
        <v>0</v>
      </c>
      <c r="D647">
        <v>3</v>
      </c>
      <c r="E647">
        <v>106</v>
      </c>
      <c r="F647">
        <v>4</v>
      </c>
      <c r="G647">
        <v>1</v>
      </c>
      <c r="H647">
        <f>표4[[#This Row],[공격성공횟수]]/(표4[[#This Row],[공격실패횟수]]+표4[[#This Row],[공격성공횟수]])</f>
        <v>2.7522935779816515E-2</v>
      </c>
    </row>
    <row r="648" spans="1:8" x14ac:dyDescent="0.4">
      <c r="A648">
        <v>324</v>
      </c>
      <c r="B648" t="s">
        <v>3</v>
      </c>
      <c r="C648">
        <v>1</v>
      </c>
      <c r="D648">
        <v>4</v>
      </c>
      <c r="E648">
        <v>72</v>
      </c>
      <c r="F648">
        <v>3</v>
      </c>
      <c r="G648">
        <v>0</v>
      </c>
      <c r="H648">
        <f>표4[[#This Row],[공격성공횟수]]/(표4[[#This Row],[공격실패횟수]]+표4[[#This Row],[공격성공횟수]])</f>
        <v>5.2631578947368418E-2</v>
      </c>
    </row>
    <row r="649" spans="1:8" hidden="1" x14ac:dyDescent="0.4">
      <c r="A649">
        <v>324</v>
      </c>
      <c r="B649" t="s">
        <v>2</v>
      </c>
      <c r="C649">
        <v>0</v>
      </c>
      <c r="D649">
        <v>3</v>
      </c>
      <c r="E649">
        <v>74</v>
      </c>
      <c r="F649">
        <v>4</v>
      </c>
      <c r="G649">
        <v>1</v>
      </c>
      <c r="H649">
        <f>표4[[#This Row],[공격성공횟수]]/(표4[[#This Row],[공격실패횟수]]+표4[[#This Row],[공격성공횟수]])</f>
        <v>3.896103896103896E-2</v>
      </c>
    </row>
    <row r="650" spans="1:8" x14ac:dyDescent="0.4">
      <c r="A650">
        <v>325</v>
      </c>
      <c r="B650" t="s">
        <v>3</v>
      </c>
      <c r="C650">
        <v>0</v>
      </c>
      <c r="D650">
        <v>1</v>
      </c>
      <c r="E650">
        <v>11</v>
      </c>
      <c r="F650">
        <v>4</v>
      </c>
      <c r="G650">
        <v>1</v>
      </c>
      <c r="H650">
        <f>표4[[#This Row],[공격성공횟수]]/(표4[[#This Row],[공격실패횟수]]+표4[[#This Row],[공격성공횟수]])</f>
        <v>8.3333333333333329E-2</v>
      </c>
    </row>
    <row r="651" spans="1:8" hidden="1" x14ac:dyDescent="0.4">
      <c r="A651">
        <v>325</v>
      </c>
      <c r="B651" t="s">
        <v>2</v>
      </c>
      <c r="C651">
        <v>1</v>
      </c>
      <c r="D651">
        <v>4</v>
      </c>
      <c r="E651">
        <v>13</v>
      </c>
      <c r="F651">
        <v>1</v>
      </c>
      <c r="G651">
        <v>0</v>
      </c>
      <c r="H651">
        <f>표4[[#This Row],[공격성공횟수]]/(표4[[#This Row],[공격실패횟수]]+표4[[#This Row],[공격성공횟수]])</f>
        <v>0.23529411764705882</v>
      </c>
    </row>
    <row r="652" spans="1:8" x14ac:dyDescent="0.4">
      <c r="A652">
        <v>326</v>
      </c>
      <c r="B652" t="s">
        <v>3</v>
      </c>
      <c r="C652">
        <v>1</v>
      </c>
      <c r="D652">
        <v>4</v>
      </c>
      <c r="E652">
        <v>7</v>
      </c>
      <c r="F652">
        <v>2</v>
      </c>
      <c r="G652">
        <v>0</v>
      </c>
      <c r="H652">
        <f>표4[[#This Row],[공격성공횟수]]/(표4[[#This Row],[공격실패횟수]]+표4[[#This Row],[공격성공횟수]])</f>
        <v>0.36363636363636365</v>
      </c>
    </row>
    <row r="653" spans="1:8" hidden="1" x14ac:dyDescent="0.4">
      <c r="A653">
        <v>326</v>
      </c>
      <c r="B653" t="s">
        <v>2</v>
      </c>
      <c r="C653">
        <v>0</v>
      </c>
      <c r="D653">
        <v>2</v>
      </c>
      <c r="E653">
        <v>8</v>
      </c>
      <c r="F653">
        <v>4</v>
      </c>
      <c r="G653">
        <v>1</v>
      </c>
      <c r="H653">
        <f>표4[[#This Row],[공격성공횟수]]/(표4[[#This Row],[공격실패횟수]]+표4[[#This Row],[공격성공횟수]])</f>
        <v>0.2</v>
      </c>
    </row>
    <row r="654" spans="1:8" x14ac:dyDescent="0.4">
      <c r="A654">
        <v>327</v>
      </c>
      <c r="B654" t="s">
        <v>3</v>
      </c>
      <c r="C654">
        <v>1</v>
      </c>
      <c r="D654">
        <v>4</v>
      </c>
      <c r="E654">
        <v>38</v>
      </c>
      <c r="F654">
        <v>0</v>
      </c>
      <c r="G654">
        <v>0</v>
      </c>
      <c r="H654">
        <f>표4[[#This Row],[공격성공횟수]]/(표4[[#This Row],[공격실패횟수]]+표4[[#This Row],[공격성공횟수]])</f>
        <v>9.5238095238095233E-2</v>
      </c>
    </row>
    <row r="655" spans="1:8" hidden="1" x14ac:dyDescent="0.4">
      <c r="A655">
        <v>327</v>
      </c>
      <c r="B655" t="s">
        <v>2</v>
      </c>
      <c r="C655">
        <v>0</v>
      </c>
      <c r="D655">
        <v>0</v>
      </c>
      <c r="E655">
        <v>44</v>
      </c>
      <c r="F655">
        <v>4</v>
      </c>
      <c r="G655">
        <v>1</v>
      </c>
      <c r="H655">
        <f>표4[[#This Row],[공격성공횟수]]/(표4[[#This Row],[공격실패횟수]]+표4[[#This Row],[공격성공횟수]])</f>
        <v>0</v>
      </c>
    </row>
    <row r="656" spans="1:8" x14ac:dyDescent="0.4">
      <c r="A656">
        <v>328</v>
      </c>
      <c r="B656" t="s">
        <v>3</v>
      </c>
      <c r="C656">
        <v>1</v>
      </c>
      <c r="D656">
        <v>4</v>
      </c>
      <c r="E656">
        <v>4</v>
      </c>
      <c r="F656">
        <v>0</v>
      </c>
      <c r="G656">
        <v>0</v>
      </c>
      <c r="H656">
        <f>표4[[#This Row],[공격성공횟수]]/(표4[[#This Row],[공격실패횟수]]+표4[[#This Row],[공격성공횟수]])</f>
        <v>0.5</v>
      </c>
    </row>
    <row r="657" spans="1:8" hidden="1" x14ac:dyDescent="0.4">
      <c r="A657">
        <v>328</v>
      </c>
      <c r="B657" t="s">
        <v>2</v>
      </c>
      <c r="C657">
        <v>0</v>
      </c>
      <c r="D657">
        <v>0</v>
      </c>
      <c r="E657">
        <v>8</v>
      </c>
      <c r="F657">
        <v>4</v>
      </c>
      <c r="G657">
        <v>1</v>
      </c>
      <c r="H657">
        <f>표4[[#This Row],[공격성공횟수]]/(표4[[#This Row],[공격실패횟수]]+표4[[#This Row],[공격성공횟수]])</f>
        <v>0</v>
      </c>
    </row>
    <row r="658" spans="1:8" x14ac:dyDescent="0.4">
      <c r="A658">
        <v>329</v>
      </c>
      <c r="B658" t="s">
        <v>3</v>
      </c>
      <c r="C658">
        <v>1</v>
      </c>
      <c r="D658">
        <v>4</v>
      </c>
      <c r="E658">
        <v>6</v>
      </c>
      <c r="F658">
        <v>2</v>
      </c>
      <c r="G658">
        <v>0</v>
      </c>
      <c r="H658">
        <f>표4[[#This Row],[공격성공횟수]]/(표4[[#This Row],[공격실패횟수]]+표4[[#This Row],[공격성공횟수]])</f>
        <v>0.4</v>
      </c>
    </row>
    <row r="659" spans="1:8" hidden="1" x14ac:dyDescent="0.4">
      <c r="A659">
        <v>329</v>
      </c>
      <c r="B659" t="s">
        <v>2</v>
      </c>
      <c r="C659">
        <v>0</v>
      </c>
      <c r="D659">
        <v>2</v>
      </c>
      <c r="E659">
        <v>8</v>
      </c>
      <c r="F659">
        <v>4</v>
      </c>
      <c r="G659">
        <v>1</v>
      </c>
      <c r="H659">
        <f>표4[[#This Row],[공격성공횟수]]/(표4[[#This Row],[공격실패횟수]]+표4[[#This Row],[공격성공횟수]])</f>
        <v>0.2</v>
      </c>
    </row>
    <row r="660" spans="1:8" x14ac:dyDescent="0.4">
      <c r="A660">
        <v>330</v>
      </c>
      <c r="B660" t="s">
        <v>3</v>
      </c>
      <c r="C660">
        <v>1</v>
      </c>
      <c r="D660">
        <v>4</v>
      </c>
      <c r="E660">
        <v>28</v>
      </c>
      <c r="F660">
        <v>1</v>
      </c>
      <c r="G660">
        <v>0</v>
      </c>
      <c r="H660">
        <f>표4[[#This Row],[공격성공횟수]]/(표4[[#This Row],[공격실패횟수]]+표4[[#This Row],[공격성공횟수]])</f>
        <v>0.125</v>
      </c>
    </row>
    <row r="661" spans="1:8" hidden="1" x14ac:dyDescent="0.4">
      <c r="A661">
        <v>330</v>
      </c>
      <c r="B661" t="s">
        <v>2</v>
      </c>
      <c r="C661">
        <v>0</v>
      </c>
      <c r="D661">
        <v>1</v>
      </c>
      <c r="E661">
        <v>36</v>
      </c>
      <c r="F661">
        <v>4</v>
      </c>
      <c r="G661">
        <v>1</v>
      </c>
      <c r="H661">
        <f>표4[[#This Row],[공격성공횟수]]/(표4[[#This Row],[공격실패횟수]]+표4[[#This Row],[공격성공횟수]])</f>
        <v>2.7027027027027029E-2</v>
      </c>
    </row>
    <row r="662" spans="1:8" x14ac:dyDescent="0.4">
      <c r="A662">
        <v>331</v>
      </c>
      <c r="B662" t="s">
        <v>3</v>
      </c>
      <c r="C662">
        <v>1</v>
      </c>
      <c r="D662">
        <v>4</v>
      </c>
      <c r="E662">
        <v>18</v>
      </c>
      <c r="F662">
        <v>1</v>
      </c>
      <c r="G662">
        <v>0</v>
      </c>
      <c r="H662">
        <f>표4[[#This Row],[공격성공횟수]]/(표4[[#This Row],[공격실패횟수]]+표4[[#This Row],[공격성공횟수]])</f>
        <v>0.18181818181818182</v>
      </c>
    </row>
    <row r="663" spans="1:8" hidden="1" x14ac:dyDescent="0.4">
      <c r="A663">
        <v>331</v>
      </c>
      <c r="B663" t="s">
        <v>2</v>
      </c>
      <c r="C663">
        <v>0</v>
      </c>
      <c r="D663">
        <v>1</v>
      </c>
      <c r="E663">
        <v>21</v>
      </c>
      <c r="F663">
        <v>4</v>
      </c>
      <c r="G663">
        <v>1</v>
      </c>
      <c r="H663">
        <f>표4[[#This Row],[공격성공횟수]]/(표4[[#This Row],[공격실패횟수]]+표4[[#This Row],[공격성공횟수]])</f>
        <v>4.5454545454545456E-2</v>
      </c>
    </row>
    <row r="664" spans="1:8" x14ac:dyDescent="0.4">
      <c r="A664">
        <v>332</v>
      </c>
      <c r="B664" t="s">
        <v>3</v>
      </c>
      <c r="C664">
        <v>1</v>
      </c>
      <c r="D664">
        <v>4</v>
      </c>
      <c r="E664">
        <v>5</v>
      </c>
      <c r="F664">
        <v>1</v>
      </c>
      <c r="G664">
        <v>0</v>
      </c>
      <c r="H664">
        <f>표4[[#This Row],[공격성공횟수]]/(표4[[#This Row],[공격실패횟수]]+표4[[#This Row],[공격성공횟수]])</f>
        <v>0.44444444444444442</v>
      </c>
    </row>
    <row r="665" spans="1:8" hidden="1" x14ac:dyDescent="0.4">
      <c r="A665">
        <v>332</v>
      </c>
      <c r="B665" t="s">
        <v>2</v>
      </c>
      <c r="C665">
        <v>0</v>
      </c>
      <c r="D665">
        <v>1</v>
      </c>
      <c r="E665">
        <v>8</v>
      </c>
      <c r="F665">
        <v>4</v>
      </c>
      <c r="G665">
        <v>1</v>
      </c>
      <c r="H665">
        <f>표4[[#This Row],[공격성공횟수]]/(표4[[#This Row],[공격실패횟수]]+표4[[#This Row],[공격성공횟수]])</f>
        <v>0.1111111111111111</v>
      </c>
    </row>
    <row r="666" spans="1:8" x14ac:dyDescent="0.4">
      <c r="A666">
        <v>333</v>
      </c>
      <c r="B666" t="s">
        <v>3</v>
      </c>
      <c r="C666">
        <v>0</v>
      </c>
      <c r="D666">
        <v>0</v>
      </c>
      <c r="E666">
        <v>15</v>
      </c>
      <c r="F666">
        <v>4</v>
      </c>
      <c r="G666">
        <v>1</v>
      </c>
      <c r="H666">
        <f>표4[[#This Row],[공격성공횟수]]/(표4[[#This Row],[공격실패횟수]]+표4[[#This Row],[공격성공횟수]])</f>
        <v>0</v>
      </c>
    </row>
    <row r="667" spans="1:8" hidden="1" x14ac:dyDescent="0.4">
      <c r="A667">
        <v>333</v>
      </c>
      <c r="B667" t="s">
        <v>2</v>
      </c>
      <c r="C667">
        <v>1</v>
      </c>
      <c r="D667">
        <v>4</v>
      </c>
      <c r="E667">
        <v>12</v>
      </c>
      <c r="F667">
        <v>0</v>
      </c>
      <c r="G667">
        <v>0</v>
      </c>
      <c r="H667">
        <f>표4[[#This Row],[공격성공횟수]]/(표4[[#This Row],[공격실패횟수]]+표4[[#This Row],[공격성공횟수]])</f>
        <v>0.25</v>
      </c>
    </row>
    <row r="668" spans="1:8" x14ac:dyDescent="0.4">
      <c r="A668">
        <v>334</v>
      </c>
      <c r="B668" t="s">
        <v>3</v>
      </c>
      <c r="C668">
        <v>1</v>
      </c>
      <c r="D668">
        <v>4</v>
      </c>
      <c r="E668">
        <v>5</v>
      </c>
      <c r="F668">
        <v>0</v>
      </c>
      <c r="G668">
        <v>0</v>
      </c>
      <c r="H668">
        <f>표4[[#This Row],[공격성공횟수]]/(표4[[#This Row],[공격실패횟수]]+표4[[#This Row],[공격성공횟수]])</f>
        <v>0.44444444444444442</v>
      </c>
    </row>
    <row r="669" spans="1:8" hidden="1" x14ac:dyDescent="0.4">
      <c r="A669">
        <v>334</v>
      </c>
      <c r="B669" t="s">
        <v>2</v>
      </c>
      <c r="C669">
        <v>0</v>
      </c>
      <c r="D669">
        <v>0</v>
      </c>
      <c r="E669">
        <v>8</v>
      </c>
      <c r="F669">
        <v>4</v>
      </c>
      <c r="G669">
        <v>1</v>
      </c>
      <c r="H669">
        <f>표4[[#This Row],[공격성공횟수]]/(표4[[#This Row],[공격실패횟수]]+표4[[#This Row],[공격성공횟수]])</f>
        <v>0</v>
      </c>
    </row>
    <row r="670" spans="1:8" x14ac:dyDescent="0.4">
      <c r="A670">
        <v>335</v>
      </c>
      <c r="B670" t="s">
        <v>3</v>
      </c>
      <c r="C670">
        <v>1</v>
      </c>
      <c r="D670">
        <v>4</v>
      </c>
      <c r="E670">
        <v>7</v>
      </c>
      <c r="F670">
        <v>0</v>
      </c>
      <c r="G670">
        <v>0</v>
      </c>
      <c r="H670">
        <f>표4[[#This Row],[공격성공횟수]]/(표4[[#This Row],[공격실패횟수]]+표4[[#This Row],[공격성공횟수]])</f>
        <v>0.36363636363636365</v>
      </c>
    </row>
    <row r="671" spans="1:8" hidden="1" x14ac:dyDescent="0.4">
      <c r="A671">
        <v>335</v>
      </c>
      <c r="B671" t="s">
        <v>2</v>
      </c>
      <c r="C671">
        <v>0</v>
      </c>
      <c r="D671">
        <v>0</v>
      </c>
      <c r="E671">
        <v>13</v>
      </c>
      <c r="F671">
        <v>4</v>
      </c>
      <c r="G671">
        <v>1</v>
      </c>
      <c r="H671">
        <f>표4[[#This Row],[공격성공횟수]]/(표4[[#This Row],[공격실패횟수]]+표4[[#This Row],[공격성공횟수]])</f>
        <v>0</v>
      </c>
    </row>
    <row r="672" spans="1:8" x14ac:dyDescent="0.4">
      <c r="A672">
        <v>336</v>
      </c>
      <c r="B672" t="s">
        <v>3</v>
      </c>
      <c r="C672">
        <v>1</v>
      </c>
      <c r="D672">
        <v>4</v>
      </c>
      <c r="E672">
        <v>21</v>
      </c>
      <c r="F672">
        <v>0</v>
      </c>
      <c r="G672">
        <v>0</v>
      </c>
      <c r="H672">
        <f>표4[[#This Row],[공격성공횟수]]/(표4[[#This Row],[공격실패횟수]]+표4[[#This Row],[공격성공횟수]])</f>
        <v>0.16</v>
      </c>
    </row>
    <row r="673" spans="1:8" hidden="1" x14ac:dyDescent="0.4">
      <c r="A673">
        <v>336</v>
      </c>
      <c r="B673" t="s">
        <v>2</v>
      </c>
      <c r="C673">
        <v>0</v>
      </c>
      <c r="D673">
        <v>0</v>
      </c>
      <c r="E673">
        <v>25</v>
      </c>
      <c r="F673">
        <v>4</v>
      </c>
      <c r="G673">
        <v>1</v>
      </c>
      <c r="H673">
        <f>표4[[#This Row],[공격성공횟수]]/(표4[[#This Row],[공격실패횟수]]+표4[[#This Row],[공격성공횟수]])</f>
        <v>0</v>
      </c>
    </row>
    <row r="674" spans="1:8" x14ac:dyDescent="0.4">
      <c r="A674">
        <v>337</v>
      </c>
      <c r="B674" t="s">
        <v>3</v>
      </c>
      <c r="C674">
        <v>0</v>
      </c>
      <c r="D674">
        <v>3</v>
      </c>
      <c r="E674">
        <v>7</v>
      </c>
      <c r="F674">
        <v>4</v>
      </c>
      <c r="G674">
        <v>1</v>
      </c>
      <c r="H674">
        <f>표4[[#This Row],[공격성공횟수]]/(표4[[#This Row],[공격실패횟수]]+표4[[#This Row],[공격성공횟수]])</f>
        <v>0.3</v>
      </c>
    </row>
    <row r="675" spans="1:8" hidden="1" x14ac:dyDescent="0.4">
      <c r="A675">
        <v>337</v>
      </c>
      <c r="B675" t="s">
        <v>2</v>
      </c>
      <c r="C675">
        <v>1</v>
      </c>
      <c r="D675">
        <v>4</v>
      </c>
      <c r="E675">
        <v>25</v>
      </c>
      <c r="F675">
        <v>3</v>
      </c>
      <c r="G675">
        <v>0</v>
      </c>
      <c r="H675">
        <f>표4[[#This Row],[공격성공횟수]]/(표4[[#This Row],[공격실패횟수]]+표4[[#This Row],[공격성공횟수]])</f>
        <v>0.13793103448275862</v>
      </c>
    </row>
    <row r="676" spans="1:8" x14ac:dyDescent="0.4">
      <c r="A676">
        <v>338</v>
      </c>
      <c r="B676" t="s">
        <v>3</v>
      </c>
      <c r="C676">
        <v>1</v>
      </c>
      <c r="D676">
        <v>4</v>
      </c>
      <c r="E676">
        <v>3</v>
      </c>
      <c r="F676">
        <v>3</v>
      </c>
      <c r="G676">
        <v>0</v>
      </c>
      <c r="H676">
        <f>표4[[#This Row],[공격성공횟수]]/(표4[[#This Row],[공격실패횟수]]+표4[[#This Row],[공격성공횟수]])</f>
        <v>0.5714285714285714</v>
      </c>
    </row>
    <row r="677" spans="1:8" hidden="1" x14ac:dyDescent="0.4">
      <c r="A677">
        <v>338</v>
      </c>
      <c r="B677" t="s">
        <v>2</v>
      </c>
      <c r="C677">
        <v>0</v>
      </c>
      <c r="D677">
        <v>3</v>
      </c>
      <c r="E677">
        <v>3</v>
      </c>
      <c r="F677">
        <v>4</v>
      </c>
      <c r="G677">
        <v>1</v>
      </c>
      <c r="H677">
        <f>표4[[#This Row],[공격성공횟수]]/(표4[[#This Row],[공격실패횟수]]+표4[[#This Row],[공격성공횟수]])</f>
        <v>0.5</v>
      </c>
    </row>
    <row r="678" spans="1:8" x14ac:dyDescent="0.4">
      <c r="A678">
        <v>339</v>
      </c>
      <c r="B678" t="s">
        <v>3</v>
      </c>
      <c r="C678">
        <v>0</v>
      </c>
      <c r="D678">
        <v>3</v>
      </c>
      <c r="E678">
        <v>7</v>
      </c>
      <c r="F678">
        <v>4</v>
      </c>
      <c r="G678">
        <v>1</v>
      </c>
      <c r="H678">
        <f>표4[[#This Row],[공격성공횟수]]/(표4[[#This Row],[공격실패횟수]]+표4[[#This Row],[공격성공횟수]])</f>
        <v>0.3</v>
      </c>
    </row>
    <row r="679" spans="1:8" hidden="1" x14ac:dyDescent="0.4">
      <c r="A679">
        <v>339</v>
      </c>
      <c r="B679" t="s">
        <v>2</v>
      </c>
      <c r="C679">
        <v>1</v>
      </c>
      <c r="D679">
        <v>4</v>
      </c>
      <c r="E679">
        <v>7</v>
      </c>
      <c r="F679">
        <v>3</v>
      </c>
      <c r="G679">
        <v>0</v>
      </c>
      <c r="H679">
        <f>표4[[#This Row],[공격성공횟수]]/(표4[[#This Row],[공격실패횟수]]+표4[[#This Row],[공격성공횟수]])</f>
        <v>0.36363636363636365</v>
      </c>
    </row>
    <row r="680" spans="1:8" x14ac:dyDescent="0.4">
      <c r="A680">
        <v>340</v>
      </c>
      <c r="B680" t="s">
        <v>3</v>
      </c>
      <c r="C680">
        <v>1</v>
      </c>
      <c r="D680">
        <v>4</v>
      </c>
      <c r="E680">
        <v>8</v>
      </c>
      <c r="F680">
        <v>0</v>
      </c>
      <c r="G680">
        <v>0</v>
      </c>
      <c r="H680">
        <f>표4[[#This Row],[공격성공횟수]]/(표4[[#This Row],[공격실패횟수]]+표4[[#This Row],[공격성공횟수]])</f>
        <v>0.33333333333333331</v>
      </c>
    </row>
    <row r="681" spans="1:8" hidden="1" x14ac:dyDescent="0.4">
      <c r="A681">
        <v>340</v>
      </c>
      <c r="B681" t="s">
        <v>2</v>
      </c>
      <c r="C681">
        <v>0</v>
      </c>
      <c r="D681">
        <v>0</v>
      </c>
      <c r="E681">
        <v>17</v>
      </c>
      <c r="F681">
        <v>4</v>
      </c>
      <c r="G681">
        <v>1</v>
      </c>
      <c r="H681">
        <f>표4[[#This Row],[공격성공횟수]]/(표4[[#This Row],[공격실패횟수]]+표4[[#This Row],[공격성공횟수]])</f>
        <v>0</v>
      </c>
    </row>
    <row r="682" spans="1:8" x14ac:dyDescent="0.4">
      <c r="A682">
        <v>341</v>
      </c>
      <c r="B682" t="s">
        <v>3</v>
      </c>
      <c r="C682">
        <v>0</v>
      </c>
      <c r="D682">
        <v>2</v>
      </c>
      <c r="E682">
        <v>40</v>
      </c>
      <c r="F682">
        <v>4</v>
      </c>
      <c r="G682">
        <v>1</v>
      </c>
      <c r="H682">
        <f>표4[[#This Row],[공격성공횟수]]/(표4[[#This Row],[공격실패횟수]]+표4[[#This Row],[공격성공횟수]])</f>
        <v>4.7619047619047616E-2</v>
      </c>
    </row>
    <row r="683" spans="1:8" hidden="1" x14ac:dyDescent="0.4">
      <c r="A683">
        <v>341</v>
      </c>
      <c r="B683" t="s">
        <v>2</v>
      </c>
      <c r="C683">
        <v>1</v>
      </c>
      <c r="D683">
        <v>4</v>
      </c>
      <c r="E683">
        <v>44</v>
      </c>
      <c r="F683">
        <v>2</v>
      </c>
      <c r="G683">
        <v>0</v>
      </c>
      <c r="H683">
        <f>표4[[#This Row],[공격성공횟수]]/(표4[[#This Row],[공격실패횟수]]+표4[[#This Row],[공격성공횟수]])</f>
        <v>8.3333333333333329E-2</v>
      </c>
    </row>
    <row r="684" spans="1:8" x14ac:dyDescent="0.4">
      <c r="A684">
        <v>342</v>
      </c>
      <c r="B684" t="s">
        <v>3</v>
      </c>
      <c r="C684">
        <v>0</v>
      </c>
      <c r="D684">
        <v>0</v>
      </c>
      <c r="E684">
        <v>9</v>
      </c>
      <c r="F684">
        <v>4</v>
      </c>
      <c r="G684">
        <v>1</v>
      </c>
      <c r="H684">
        <f>표4[[#This Row],[공격성공횟수]]/(표4[[#This Row],[공격실패횟수]]+표4[[#This Row],[공격성공횟수]])</f>
        <v>0</v>
      </c>
    </row>
    <row r="685" spans="1:8" hidden="1" x14ac:dyDescent="0.4">
      <c r="A685">
        <v>342</v>
      </c>
      <c r="B685" t="s">
        <v>2</v>
      </c>
      <c r="C685">
        <v>1</v>
      </c>
      <c r="D685">
        <v>4</v>
      </c>
      <c r="E685">
        <v>5</v>
      </c>
      <c r="F685">
        <v>0</v>
      </c>
      <c r="G685">
        <v>0</v>
      </c>
      <c r="H685">
        <f>표4[[#This Row],[공격성공횟수]]/(표4[[#This Row],[공격실패횟수]]+표4[[#This Row],[공격성공횟수]])</f>
        <v>0.44444444444444442</v>
      </c>
    </row>
    <row r="686" spans="1:8" x14ac:dyDescent="0.4">
      <c r="A686">
        <v>343</v>
      </c>
      <c r="B686" t="s">
        <v>3</v>
      </c>
      <c r="C686">
        <v>0</v>
      </c>
      <c r="D686">
        <v>2</v>
      </c>
      <c r="E686">
        <v>6</v>
      </c>
      <c r="F686">
        <v>4</v>
      </c>
      <c r="G686">
        <v>1</v>
      </c>
      <c r="H686">
        <f>표4[[#This Row],[공격성공횟수]]/(표4[[#This Row],[공격실패횟수]]+표4[[#This Row],[공격성공횟수]])</f>
        <v>0.25</v>
      </c>
    </row>
    <row r="687" spans="1:8" hidden="1" x14ac:dyDescent="0.4">
      <c r="A687">
        <v>343</v>
      </c>
      <c r="B687" t="s">
        <v>2</v>
      </c>
      <c r="C687">
        <v>1</v>
      </c>
      <c r="D687">
        <v>4</v>
      </c>
      <c r="E687">
        <v>4</v>
      </c>
      <c r="F687">
        <v>2</v>
      </c>
      <c r="G687">
        <v>0</v>
      </c>
      <c r="H687">
        <f>표4[[#This Row],[공격성공횟수]]/(표4[[#This Row],[공격실패횟수]]+표4[[#This Row],[공격성공횟수]])</f>
        <v>0.5</v>
      </c>
    </row>
    <row r="688" spans="1:8" x14ac:dyDescent="0.4">
      <c r="A688">
        <v>344</v>
      </c>
      <c r="B688" t="s">
        <v>3</v>
      </c>
      <c r="C688">
        <v>1</v>
      </c>
      <c r="D688">
        <v>4</v>
      </c>
      <c r="E688">
        <v>22</v>
      </c>
      <c r="F688">
        <v>2</v>
      </c>
      <c r="G688">
        <v>0</v>
      </c>
      <c r="H688">
        <f>표4[[#This Row],[공격성공횟수]]/(표4[[#This Row],[공격실패횟수]]+표4[[#This Row],[공격성공횟수]])</f>
        <v>0.15384615384615385</v>
      </c>
    </row>
    <row r="689" spans="1:8" hidden="1" x14ac:dyDescent="0.4">
      <c r="A689">
        <v>344</v>
      </c>
      <c r="B689" t="s">
        <v>2</v>
      </c>
      <c r="C689">
        <v>0</v>
      </c>
      <c r="D689">
        <v>2</v>
      </c>
      <c r="E689">
        <v>23</v>
      </c>
      <c r="F689">
        <v>4</v>
      </c>
      <c r="G689">
        <v>1</v>
      </c>
      <c r="H689">
        <f>표4[[#This Row],[공격성공횟수]]/(표4[[#This Row],[공격실패횟수]]+표4[[#This Row],[공격성공횟수]])</f>
        <v>0.08</v>
      </c>
    </row>
    <row r="690" spans="1:8" x14ac:dyDescent="0.4">
      <c r="A690">
        <v>345</v>
      </c>
      <c r="B690" t="s">
        <v>3</v>
      </c>
      <c r="C690">
        <v>1</v>
      </c>
      <c r="D690">
        <v>4</v>
      </c>
      <c r="E690">
        <v>16</v>
      </c>
      <c r="F690">
        <v>1</v>
      </c>
      <c r="G690">
        <v>0</v>
      </c>
      <c r="H690">
        <f>표4[[#This Row],[공격성공횟수]]/(표4[[#This Row],[공격실패횟수]]+표4[[#This Row],[공격성공횟수]])</f>
        <v>0.2</v>
      </c>
    </row>
    <row r="691" spans="1:8" hidden="1" x14ac:dyDescent="0.4">
      <c r="A691">
        <v>345</v>
      </c>
      <c r="B691" t="s">
        <v>2</v>
      </c>
      <c r="C691">
        <v>0</v>
      </c>
      <c r="D691">
        <v>1</v>
      </c>
      <c r="E691">
        <v>19</v>
      </c>
      <c r="F691">
        <v>4</v>
      </c>
      <c r="G691">
        <v>1</v>
      </c>
      <c r="H691">
        <f>표4[[#This Row],[공격성공횟수]]/(표4[[#This Row],[공격실패횟수]]+표4[[#This Row],[공격성공횟수]])</f>
        <v>0.05</v>
      </c>
    </row>
    <row r="692" spans="1:8" x14ac:dyDescent="0.4">
      <c r="A692">
        <v>346</v>
      </c>
      <c r="B692" t="s">
        <v>3</v>
      </c>
      <c r="C692">
        <v>1</v>
      </c>
      <c r="D692">
        <v>4</v>
      </c>
      <c r="E692">
        <v>4</v>
      </c>
      <c r="F692">
        <v>2</v>
      </c>
      <c r="G692">
        <v>0</v>
      </c>
      <c r="H692">
        <f>표4[[#This Row],[공격성공횟수]]/(표4[[#This Row],[공격실패횟수]]+표4[[#This Row],[공격성공횟수]])</f>
        <v>0.5</v>
      </c>
    </row>
    <row r="693" spans="1:8" hidden="1" x14ac:dyDescent="0.4">
      <c r="A693">
        <v>346</v>
      </c>
      <c r="B693" t="s">
        <v>2</v>
      </c>
      <c r="C693">
        <v>0</v>
      </c>
      <c r="D693">
        <v>2</v>
      </c>
      <c r="E693">
        <v>6</v>
      </c>
      <c r="F693">
        <v>4</v>
      </c>
      <c r="G693">
        <v>1</v>
      </c>
      <c r="H693">
        <f>표4[[#This Row],[공격성공횟수]]/(표4[[#This Row],[공격실패횟수]]+표4[[#This Row],[공격성공횟수]])</f>
        <v>0.25</v>
      </c>
    </row>
    <row r="694" spans="1:8" x14ac:dyDescent="0.4">
      <c r="A694">
        <v>347</v>
      </c>
      <c r="B694" t="s">
        <v>3</v>
      </c>
      <c r="C694">
        <v>1</v>
      </c>
      <c r="D694">
        <v>4</v>
      </c>
      <c r="E694">
        <v>28</v>
      </c>
      <c r="F694">
        <v>1</v>
      </c>
      <c r="G694">
        <v>0</v>
      </c>
      <c r="H694">
        <f>표4[[#This Row],[공격성공횟수]]/(표4[[#This Row],[공격실패횟수]]+표4[[#This Row],[공격성공횟수]])</f>
        <v>0.125</v>
      </c>
    </row>
    <row r="695" spans="1:8" hidden="1" x14ac:dyDescent="0.4">
      <c r="A695">
        <v>347</v>
      </c>
      <c r="B695" t="s">
        <v>2</v>
      </c>
      <c r="C695">
        <v>0</v>
      </c>
      <c r="D695">
        <v>1</v>
      </c>
      <c r="E695">
        <v>31</v>
      </c>
      <c r="F695">
        <v>4</v>
      </c>
      <c r="G695">
        <v>1</v>
      </c>
      <c r="H695">
        <f>표4[[#This Row],[공격성공횟수]]/(표4[[#This Row],[공격실패횟수]]+표4[[#This Row],[공격성공횟수]])</f>
        <v>3.125E-2</v>
      </c>
    </row>
    <row r="696" spans="1:8" x14ac:dyDescent="0.4">
      <c r="A696">
        <v>348</v>
      </c>
      <c r="B696" t="s">
        <v>3</v>
      </c>
      <c r="C696">
        <v>1</v>
      </c>
      <c r="D696">
        <v>4</v>
      </c>
      <c r="E696">
        <v>15</v>
      </c>
      <c r="F696">
        <v>0</v>
      </c>
      <c r="G696">
        <v>0</v>
      </c>
      <c r="H696">
        <f>표4[[#This Row],[공격성공횟수]]/(표4[[#This Row],[공격실패횟수]]+표4[[#This Row],[공격성공횟수]])</f>
        <v>0.21052631578947367</v>
      </c>
    </row>
    <row r="697" spans="1:8" hidden="1" x14ac:dyDescent="0.4">
      <c r="A697">
        <v>348</v>
      </c>
      <c r="B697" t="s">
        <v>2</v>
      </c>
      <c r="C697">
        <v>0</v>
      </c>
      <c r="D697">
        <v>0</v>
      </c>
      <c r="E697">
        <v>18</v>
      </c>
      <c r="F697">
        <v>4</v>
      </c>
      <c r="G697">
        <v>1</v>
      </c>
      <c r="H697">
        <f>표4[[#This Row],[공격성공횟수]]/(표4[[#This Row],[공격실패횟수]]+표4[[#This Row],[공격성공횟수]])</f>
        <v>0</v>
      </c>
    </row>
    <row r="698" spans="1:8" x14ac:dyDescent="0.4">
      <c r="A698">
        <v>349</v>
      </c>
      <c r="B698" t="s">
        <v>3</v>
      </c>
      <c r="C698">
        <v>0</v>
      </c>
      <c r="D698">
        <v>2</v>
      </c>
      <c r="E698">
        <v>10</v>
      </c>
      <c r="F698">
        <v>4</v>
      </c>
      <c r="G698">
        <v>1</v>
      </c>
      <c r="H698">
        <f>표4[[#This Row],[공격성공횟수]]/(표4[[#This Row],[공격실패횟수]]+표4[[#This Row],[공격성공횟수]])</f>
        <v>0.16666666666666666</v>
      </c>
    </row>
    <row r="699" spans="1:8" hidden="1" x14ac:dyDescent="0.4">
      <c r="A699">
        <v>349</v>
      </c>
      <c r="B699" t="s">
        <v>2</v>
      </c>
      <c r="C699">
        <v>1</v>
      </c>
      <c r="D699">
        <v>4</v>
      </c>
      <c r="E699">
        <v>14</v>
      </c>
      <c r="F699">
        <v>2</v>
      </c>
      <c r="G699">
        <v>0</v>
      </c>
      <c r="H699">
        <f>표4[[#This Row],[공격성공횟수]]/(표4[[#This Row],[공격실패횟수]]+표4[[#This Row],[공격성공횟수]])</f>
        <v>0.22222222222222221</v>
      </c>
    </row>
    <row r="700" spans="1:8" x14ac:dyDescent="0.4">
      <c r="A700">
        <v>350</v>
      </c>
      <c r="B700" t="s">
        <v>3</v>
      </c>
      <c r="C700">
        <v>0</v>
      </c>
      <c r="D700">
        <v>2</v>
      </c>
      <c r="E700">
        <v>44</v>
      </c>
      <c r="F700">
        <v>4</v>
      </c>
      <c r="G700">
        <v>1</v>
      </c>
      <c r="H700">
        <f>표4[[#This Row],[공격성공횟수]]/(표4[[#This Row],[공격실패횟수]]+표4[[#This Row],[공격성공횟수]])</f>
        <v>4.3478260869565216E-2</v>
      </c>
    </row>
    <row r="701" spans="1:8" hidden="1" x14ac:dyDescent="0.4">
      <c r="A701">
        <v>350</v>
      </c>
      <c r="B701" t="s">
        <v>2</v>
      </c>
      <c r="C701">
        <v>1</v>
      </c>
      <c r="D701">
        <v>4</v>
      </c>
      <c r="E701">
        <v>40</v>
      </c>
      <c r="F701">
        <v>2</v>
      </c>
      <c r="G701">
        <v>0</v>
      </c>
      <c r="H701">
        <f>표4[[#This Row],[공격성공횟수]]/(표4[[#This Row],[공격실패횟수]]+표4[[#This Row],[공격성공횟수]])</f>
        <v>9.0909090909090912E-2</v>
      </c>
    </row>
    <row r="702" spans="1:8" x14ac:dyDescent="0.4">
      <c r="A702">
        <v>351</v>
      </c>
      <c r="B702" t="s">
        <v>3</v>
      </c>
      <c r="C702">
        <v>0</v>
      </c>
      <c r="D702">
        <v>3</v>
      </c>
      <c r="E702">
        <v>4</v>
      </c>
      <c r="F702">
        <v>4</v>
      </c>
      <c r="G702">
        <v>1</v>
      </c>
      <c r="H702">
        <f>표4[[#This Row],[공격성공횟수]]/(표4[[#This Row],[공격실패횟수]]+표4[[#This Row],[공격성공횟수]])</f>
        <v>0.42857142857142855</v>
      </c>
    </row>
    <row r="703" spans="1:8" hidden="1" x14ac:dyDescent="0.4">
      <c r="A703">
        <v>351</v>
      </c>
      <c r="B703" t="s">
        <v>2</v>
      </c>
      <c r="C703">
        <v>1</v>
      </c>
      <c r="D703">
        <v>4</v>
      </c>
      <c r="E703">
        <v>13</v>
      </c>
      <c r="F703">
        <v>3</v>
      </c>
      <c r="G703">
        <v>0</v>
      </c>
      <c r="H703">
        <f>표4[[#This Row],[공격성공횟수]]/(표4[[#This Row],[공격실패횟수]]+표4[[#This Row],[공격성공횟수]])</f>
        <v>0.23529411764705882</v>
      </c>
    </row>
    <row r="704" spans="1:8" x14ac:dyDescent="0.4">
      <c r="A704">
        <v>352</v>
      </c>
      <c r="B704" t="s">
        <v>3</v>
      </c>
      <c r="C704">
        <v>1</v>
      </c>
      <c r="D704">
        <v>4</v>
      </c>
      <c r="E704">
        <v>17</v>
      </c>
      <c r="F704">
        <v>3</v>
      </c>
      <c r="G704">
        <v>0</v>
      </c>
      <c r="H704">
        <f>표4[[#This Row],[공격성공횟수]]/(표4[[#This Row],[공격실패횟수]]+표4[[#This Row],[공격성공횟수]])</f>
        <v>0.19047619047619047</v>
      </c>
    </row>
    <row r="705" spans="1:8" hidden="1" x14ac:dyDescent="0.4">
      <c r="A705">
        <v>352</v>
      </c>
      <c r="B705" t="s">
        <v>2</v>
      </c>
      <c r="C705">
        <v>0</v>
      </c>
      <c r="D705">
        <v>3</v>
      </c>
      <c r="E705">
        <v>30</v>
      </c>
      <c r="F705">
        <v>4</v>
      </c>
      <c r="G705">
        <v>1</v>
      </c>
      <c r="H705">
        <f>표4[[#This Row],[공격성공횟수]]/(표4[[#This Row],[공격실패횟수]]+표4[[#This Row],[공격성공횟수]])</f>
        <v>9.0909090909090912E-2</v>
      </c>
    </row>
    <row r="706" spans="1:8" x14ac:dyDescent="0.4">
      <c r="A706">
        <v>353</v>
      </c>
      <c r="B706" t="s">
        <v>3</v>
      </c>
      <c r="C706">
        <v>0</v>
      </c>
      <c r="D706">
        <v>2</v>
      </c>
      <c r="E706">
        <v>14</v>
      </c>
      <c r="F706">
        <v>4</v>
      </c>
      <c r="G706">
        <v>1</v>
      </c>
      <c r="H706">
        <f>표4[[#This Row],[공격성공횟수]]/(표4[[#This Row],[공격실패횟수]]+표4[[#This Row],[공격성공횟수]])</f>
        <v>0.125</v>
      </c>
    </row>
    <row r="707" spans="1:8" hidden="1" x14ac:dyDescent="0.4">
      <c r="A707">
        <v>353</v>
      </c>
      <c r="B707" t="s">
        <v>2</v>
      </c>
      <c r="C707">
        <v>1</v>
      </c>
      <c r="D707">
        <v>4</v>
      </c>
      <c r="E707">
        <v>14</v>
      </c>
      <c r="F707">
        <v>2</v>
      </c>
      <c r="G707">
        <v>0</v>
      </c>
      <c r="H707">
        <f>표4[[#This Row],[공격성공횟수]]/(표4[[#This Row],[공격실패횟수]]+표4[[#This Row],[공격성공횟수]])</f>
        <v>0.22222222222222221</v>
      </c>
    </row>
    <row r="708" spans="1:8" x14ac:dyDescent="0.4">
      <c r="A708">
        <v>354</v>
      </c>
      <c r="B708" t="s">
        <v>3</v>
      </c>
      <c r="C708">
        <v>1</v>
      </c>
      <c r="D708">
        <v>4</v>
      </c>
      <c r="E708">
        <v>80</v>
      </c>
      <c r="F708">
        <v>1</v>
      </c>
      <c r="G708">
        <v>0</v>
      </c>
      <c r="H708">
        <f>표4[[#This Row],[공격성공횟수]]/(표4[[#This Row],[공격실패횟수]]+표4[[#This Row],[공격성공횟수]])</f>
        <v>4.7619047619047616E-2</v>
      </c>
    </row>
    <row r="709" spans="1:8" hidden="1" x14ac:dyDescent="0.4">
      <c r="A709">
        <v>354</v>
      </c>
      <c r="B709" t="s">
        <v>2</v>
      </c>
      <c r="C709">
        <v>0</v>
      </c>
      <c r="D709">
        <v>1</v>
      </c>
      <c r="E709">
        <v>102</v>
      </c>
      <c r="F709">
        <v>4</v>
      </c>
      <c r="G709">
        <v>1</v>
      </c>
      <c r="H709">
        <f>표4[[#This Row],[공격성공횟수]]/(표4[[#This Row],[공격실패횟수]]+표4[[#This Row],[공격성공횟수]])</f>
        <v>9.7087378640776691E-3</v>
      </c>
    </row>
    <row r="710" spans="1:8" x14ac:dyDescent="0.4">
      <c r="A710">
        <v>355</v>
      </c>
      <c r="B710" t="s">
        <v>3</v>
      </c>
      <c r="C710">
        <v>0</v>
      </c>
      <c r="D710">
        <v>0</v>
      </c>
      <c r="E710">
        <v>42</v>
      </c>
      <c r="F710">
        <v>4</v>
      </c>
      <c r="G710">
        <v>1</v>
      </c>
      <c r="H710">
        <f>표4[[#This Row],[공격성공횟수]]/(표4[[#This Row],[공격실패횟수]]+표4[[#This Row],[공격성공횟수]])</f>
        <v>0</v>
      </c>
    </row>
    <row r="711" spans="1:8" hidden="1" x14ac:dyDescent="0.4">
      <c r="A711">
        <v>355</v>
      </c>
      <c r="B711" t="s">
        <v>2</v>
      </c>
      <c r="C711">
        <v>1</v>
      </c>
      <c r="D711">
        <v>4</v>
      </c>
      <c r="E711">
        <v>57</v>
      </c>
      <c r="F711">
        <v>0</v>
      </c>
      <c r="G711">
        <v>0</v>
      </c>
      <c r="H711">
        <f>표4[[#This Row],[공격성공횟수]]/(표4[[#This Row],[공격실패횟수]]+표4[[#This Row],[공격성공횟수]])</f>
        <v>6.5573770491803282E-2</v>
      </c>
    </row>
    <row r="712" spans="1:8" x14ac:dyDescent="0.4">
      <c r="A712">
        <v>356</v>
      </c>
      <c r="B712" t="s">
        <v>3</v>
      </c>
      <c r="C712">
        <v>1</v>
      </c>
      <c r="D712">
        <v>4</v>
      </c>
      <c r="E712">
        <v>5</v>
      </c>
      <c r="F712">
        <v>1</v>
      </c>
      <c r="G712">
        <v>0</v>
      </c>
      <c r="H712">
        <f>표4[[#This Row],[공격성공횟수]]/(표4[[#This Row],[공격실패횟수]]+표4[[#This Row],[공격성공횟수]])</f>
        <v>0.44444444444444442</v>
      </c>
    </row>
    <row r="713" spans="1:8" hidden="1" x14ac:dyDescent="0.4">
      <c r="A713">
        <v>356</v>
      </c>
      <c r="B713" t="s">
        <v>2</v>
      </c>
      <c r="C713">
        <v>0</v>
      </c>
      <c r="D713">
        <v>1</v>
      </c>
      <c r="E713">
        <v>6</v>
      </c>
      <c r="F713">
        <v>4</v>
      </c>
      <c r="G713">
        <v>1</v>
      </c>
      <c r="H713">
        <f>표4[[#This Row],[공격성공횟수]]/(표4[[#This Row],[공격실패횟수]]+표4[[#This Row],[공격성공횟수]])</f>
        <v>0.14285714285714285</v>
      </c>
    </row>
    <row r="714" spans="1:8" x14ac:dyDescent="0.4">
      <c r="A714">
        <v>357</v>
      </c>
      <c r="B714" t="s">
        <v>3</v>
      </c>
      <c r="C714">
        <v>0</v>
      </c>
      <c r="D714">
        <v>3</v>
      </c>
      <c r="E714">
        <v>12</v>
      </c>
      <c r="F714">
        <v>4</v>
      </c>
      <c r="G714">
        <v>1</v>
      </c>
      <c r="H714">
        <f>표4[[#This Row],[공격성공횟수]]/(표4[[#This Row],[공격실패횟수]]+표4[[#This Row],[공격성공횟수]])</f>
        <v>0.2</v>
      </c>
    </row>
    <row r="715" spans="1:8" hidden="1" x14ac:dyDescent="0.4">
      <c r="A715">
        <v>357</v>
      </c>
      <c r="B715" t="s">
        <v>2</v>
      </c>
      <c r="C715">
        <v>1</v>
      </c>
      <c r="D715">
        <v>4</v>
      </c>
      <c r="E715">
        <v>16</v>
      </c>
      <c r="F715">
        <v>3</v>
      </c>
      <c r="G715">
        <v>0</v>
      </c>
      <c r="H715">
        <f>표4[[#This Row],[공격성공횟수]]/(표4[[#This Row],[공격실패횟수]]+표4[[#This Row],[공격성공횟수]])</f>
        <v>0.2</v>
      </c>
    </row>
    <row r="716" spans="1:8" x14ac:dyDescent="0.4">
      <c r="A716">
        <v>358</v>
      </c>
      <c r="B716" t="s">
        <v>3</v>
      </c>
      <c r="C716">
        <v>1</v>
      </c>
      <c r="D716">
        <v>4</v>
      </c>
      <c r="E716">
        <v>8</v>
      </c>
      <c r="F716">
        <v>0</v>
      </c>
      <c r="G716">
        <v>0</v>
      </c>
      <c r="H716">
        <f>표4[[#This Row],[공격성공횟수]]/(표4[[#This Row],[공격실패횟수]]+표4[[#This Row],[공격성공횟수]])</f>
        <v>0.33333333333333331</v>
      </c>
    </row>
    <row r="717" spans="1:8" hidden="1" x14ac:dyDescent="0.4">
      <c r="A717">
        <v>358</v>
      </c>
      <c r="B717" t="s">
        <v>2</v>
      </c>
      <c r="C717">
        <v>0</v>
      </c>
      <c r="D717">
        <v>0</v>
      </c>
      <c r="E717">
        <v>11</v>
      </c>
      <c r="F717">
        <v>4</v>
      </c>
      <c r="G717">
        <v>1</v>
      </c>
      <c r="H717">
        <f>표4[[#This Row],[공격성공횟수]]/(표4[[#This Row],[공격실패횟수]]+표4[[#This Row],[공격성공횟수]])</f>
        <v>0</v>
      </c>
    </row>
    <row r="718" spans="1:8" x14ac:dyDescent="0.4">
      <c r="A718">
        <v>359</v>
      </c>
      <c r="B718" t="s">
        <v>3</v>
      </c>
      <c r="C718">
        <v>0</v>
      </c>
      <c r="D718">
        <v>2</v>
      </c>
      <c r="E718">
        <v>35</v>
      </c>
      <c r="F718">
        <v>4</v>
      </c>
      <c r="G718">
        <v>1</v>
      </c>
      <c r="H718">
        <f>표4[[#This Row],[공격성공횟수]]/(표4[[#This Row],[공격실패횟수]]+표4[[#This Row],[공격성공횟수]])</f>
        <v>5.4054054054054057E-2</v>
      </c>
    </row>
    <row r="719" spans="1:8" hidden="1" x14ac:dyDescent="0.4">
      <c r="A719">
        <v>359</v>
      </c>
      <c r="B719" t="s">
        <v>2</v>
      </c>
      <c r="C719">
        <v>1</v>
      </c>
      <c r="D719">
        <v>4</v>
      </c>
      <c r="E719">
        <v>34</v>
      </c>
      <c r="F719">
        <v>2</v>
      </c>
      <c r="G719">
        <v>0</v>
      </c>
      <c r="H719">
        <f>표4[[#This Row],[공격성공횟수]]/(표4[[#This Row],[공격실패횟수]]+표4[[#This Row],[공격성공횟수]])</f>
        <v>0.10526315789473684</v>
      </c>
    </row>
    <row r="720" spans="1:8" x14ac:dyDescent="0.4">
      <c r="A720">
        <v>360</v>
      </c>
      <c r="B720" t="s">
        <v>3</v>
      </c>
      <c r="C720">
        <v>1</v>
      </c>
      <c r="D720">
        <v>4</v>
      </c>
      <c r="E720">
        <v>3</v>
      </c>
      <c r="F720">
        <v>0</v>
      </c>
      <c r="G720">
        <v>0</v>
      </c>
      <c r="H720">
        <f>표4[[#This Row],[공격성공횟수]]/(표4[[#This Row],[공격실패횟수]]+표4[[#This Row],[공격성공횟수]])</f>
        <v>0.5714285714285714</v>
      </c>
    </row>
    <row r="721" spans="1:8" hidden="1" x14ac:dyDescent="0.4">
      <c r="A721">
        <v>360</v>
      </c>
      <c r="B721" t="s">
        <v>2</v>
      </c>
      <c r="C721">
        <v>0</v>
      </c>
      <c r="D721">
        <v>0</v>
      </c>
      <c r="E721">
        <v>6</v>
      </c>
      <c r="F721">
        <v>4</v>
      </c>
      <c r="G721">
        <v>1</v>
      </c>
      <c r="H721">
        <f>표4[[#This Row],[공격성공횟수]]/(표4[[#This Row],[공격실패횟수]]+표4[[#This Row],[공격성공횟수]])</f>
        <v>0</v>
      </c>
    </row>
    <row r="722" spans="1:8" x14ac:dyDescent="0.4">
      <c r="A722">
        <v>361</v>
      </c>
      <c r="B722" t="s">
        <v>3</v>
      </c>
      <c r="C722">
        <v>1</v>
      </c>
      <c r="D722">
        <v>4</v>
      </c>
      <c r="E722">
        <v>8</v>
      </c>
      <c r="F722">
        <v>1</v>
      </c>
      <c r="G722">
        <v>0</v>
      </c>
      <c r="H722">
        <f>표4[[#This Row],[공격성공횟수]]/(표4[[#This Row],[공격실패횟수]]+표4[[#This Row],[공격성공횟수]])</f>
        <v>0.33333333333333331</v>
      </c>
    </row>
    <row r="723" spans="1:8" hidden="1" x14ac:dyDescent="0.4">
      <c r="A723">
        <v>361</v>
      </c>
      <c r="B723" t="s">
        <v>2</v>
      </c>
      <c r="C723">
        <v>0</v>
      </c>
      <c r="D723">
        <v>1</v>
      </c>
      <c r="E723">
        <v>43</v>
      </c>
      <c r="F723">
        <v>4</v>
      </c>
      <c r="G723">
        <v>1</v>
      </c>
      <c r="H723">
        <f>표4[[#This Row],[공격성공횟수]]/(표4[[#This Row],[공격실패횟수]]+표4[[#This Row],[공격성공횟수]])</f>
        <v>2.2727272727272728E-2</v>
      </c>
    </row>
    <row r="724" spans="1:8" x14ac:dyDescent="0.4">
      <c r="A724">
        <v>362</v>
      </c>
      <c r="B724" t="s">
        <v>3</v>
      </c>
      <c r="C724">
        <v>0</v>
      </c>
      <c r="D724">
        <v>2</v>
      </c>
      <c r="E724">
        <v>2</v>
      </c>
      <c r="F724">
        <v>4</v>
      </c>
      <c r="G724">
        <v>1</v>
      </c>
      <c r="H724">
        <f>표4[[#This Row],[공격성공횟수]]/(표4[[#This Row],[공격실패횟수]]+표4[[#This Row],[공격성공횟수]])</f>
        <v>0.5</v>
      </c>
    </row>
    <row r="725" spans="1:8" hidden="1" x14ac:dyDescent="0.4">
      <c r="A725">
        <v>362</v>
      </c>
      <c r="B725" t="s">
        <v>2</v>
      </c>
      <c r="C725">
        <v>1</v>
      </c>
      <c r="D725">
        <v>4</v>
      </c>
      <c r="E725">
        <v>29</v>
      </c>
      <c r="F725">
        <v>2</v>
      </c>
      <c r="G725">
        <v>0</v>
      </c>
      <c r="H725">
        <f>표4[[#This Row],[공격성공횟수]]/(표4[[#This Row],[공격실패횟수]]+표4[[#This Row],[공격성공횟수]])</f>
        <v>0.12121212121212122</v>
      </c>
    </row>
    <row r="726" spans="1:8" x14ac:dyDescent="0.4">
      <c r="A726">
        <v>363</v>
      </c>
      <c r="B726" t="s">
        <v>3</v>
      </c>
      <c r="C726">
        <v>1</v>
      </c>
      <c r="D726">
        <v>4</v>
      </c>
      <c r="E726">
        <v>13</v>
      </c>
      <c r="F726">
        <v>0</v>
      </c>
      <c r="G726">
        <v>0</v>
      </c>
      <c r="H726">
        <f>표4[[#This Row],[공격성공횟수]]/(표4[[#This Row],[공격실패횟수]]+표4[[#This Row],[공격성공횟수]])</f>
        <v>0.23529411764705882</v>
      </c>
    </row>
    <row r="727" spans="1:8" hidden="1" x14ac:dyDescent="0.4">
      <c r="A727">
        <v>363</v>
      </c>
      <c r="B727" t="s">
        <v>2</v>
      </c>
      <c r="C727">
        <v>0</v>
      </c>
      <c r="D727">
        <v>0</v>
      </c>
      <c r="E727">
        <v>15</v>
      </c>
      <c r="F727">
        <v>4</v>
      </c>
      <c r="G727">
        <v>1</v>
      </c>
      <c r="H727">
        <f>표4[[#This Row],[공격성공횟수]]/(표4[[#This Row],[공격실패횟수]]+표4[[#This Row],[공격성공횟수]])</f>
        <v>0</v>
      </c>
    </row>
    <row r="728" spans="1:8" x14ac:dyDescent="0.4">
      <c r="A728">
        <v>364</v>
      </c>
      <c r="B728" t="s">
        <v>3</v>
      </c>
      <c r="C728">
        <v>0</v>
      </c>
      <c r="D728">
        <v>3</v>
      </c>
      <c r="E728">
        <v>17</v>
      </c>
      <c r="F728">
        <v>4</v>
      </c>
      <c r="G728">
        <v>1</v>
      </c>
      <c r="H728">
        <f>표4[[#This Row],[공격성공횟수]]/(표4[[#This Row],[공격실패횟수]]+표4[[#This Row],[공격성공횟수]])</f>
        <v>0.15</v>
      </c>
    </row>
    <row r="729" spans="1:8" hidden="1" x14ac:dyDescent="0.4">
      <c r="A729">
        <v>364</v>
      </c>
      <c r="B729" t="s">
        <v>2</v>
      </c>
      <c r="C729">
        <v>1</v>
      </c>
      <c r="D729">
        <v>4</v>
      </c>
      <c r="E729">
        <v>17</v>
      </c>
      <c r="F729">
        <v>3</v>
      </c>
      <c r="G729">
        <v>0</v>
      </c>
      <c r="H729">
        <f>표4[[#This Row],[공격성공횟수]]/(표4[[#This Row],[공격실패횟수]]+표4[[#This Row],[공격성공횟수]])</f>
        <v>0.19047619047619047</v>
      </c>
    </row>
    <row r="730" spans="1:8" x14ac:dyDescent="0.4">
      <c r="A730">
        <v>365</v>
      </c>
      <c r="B730" t="s">
        <v>3</v>
      </c>
      <c r="C730">
        <v>1</v>
      </c>
      <c r="D730">
        <v>4</v>
      </c>
      <c r="E730">
        <v>8</v>
      </c>
      <c r="F730">
        <v>3</v>
      </c>
      <c r="G730">
        <v>0</v>
      </c>
      <c r="H730">
        <f>표4[[#This Row],[공격성공횟수]]/(표4[[#This Row],[공격실패횟수]]+표4[[#This Row],[공격성공횟수]])</f>
        <v>0.33333333333333331</v>
      </c>
    </row>
    <row r="731" spans="1:8" hidden="1" x14ac:dyDescent="0.4">
      <c r="A731">
        <v>365</v>
      </c>
      <c r="B731" t="s">
        <v>2</v>
      </c>
      <c r="C731">
        <v>0</v>
      </c>
      <c r="D731">
        <v>3</v>
      </c>
      <c r="E731">
        <v>8</v>
      </c>
      <c r="F731">
        <v>4</v>
      </c>
      <c r="G731">
        <v>1</v>
      </c>
      <c r="H731">
        <f>표4[[#This Row],[공격성공횟수]]/(표4[[#This Row],[공격실패횟수]]+표4[[#This Row],[공격성공횟수]])</f>
        <v>0.27272727272727271</v>
      </c>
    </row>
    <row r="732" spans="1:8" x14ac:dyDescent="0.4">
      <c r="A732">
        <v>366</v>
      </c>
      <c r="B732" t="s">
        <v>3</v>
      </c>
      <c r="C732">
        <v>0</v>
      </c>
      <c r="D732">
        <v>3</v>
      </c>
      <c r="E732">
        <v>4</v>
      </c>
      <c r="F732">
        <v>4</v>
      </c>
      <c r="G732">
        <v>1</v>
      </c>
      <c r="H732">
        <f>표4[[#This Row],[공격성공횟수]]/(표4[[#This Row],[공격실패횟수]]+표4[[#This Row],[공격성공횟수]])</f>
        <v>0.42857142857142855</v>
      </c>
    </row>
    <row r="733" spans="1:8" hidden="1" x14ac:dyDescent="0.4">
      <c r="A733">
        <v>366</v>
      </c>
      <c r="B733" t="s">
        <v>2</v>
      </c>
      <c r="C733">
        <v>1</v>
      </c>
      <c r="D733">
        <v>4</v>
      </c>
      <c r="E733">
        <v>3</v>
      </c>
      <c r="F733">
        <v>3</v>
      </c>
      <c r="G733">
        <v>0</v>
      </c>
      <c r="H733">
        <f>표4[[#This Row],[공격성공횟수]]/(표4[[#This Row],[공격실패횟수]]+표4[[#This Row],[공격성공횟수]])</f>
        <v>0.5714285714285714</v>
      </c>
    </row>
    <row r="734" spans="1:8" x14ac:dyDescent="0.4">
      <c r="A734">
        <v>367</v>
      </c>
      <c r="B734" t="s">
        <v>3</v>
      </c>
      <c r="C734">
        <v>1</v>
      </c>
      <c r="D734">
        <v>4</v>
      </c>
      <c r="E734">
        <v>16</v>
      </c>
      <c r="F734">
        <v>0</v>
      </c>
      <c r="G734">
        <v>0</v>
      </c>
      <c r="H734">
        <f>표4[[#This Row],[공격성공횟수]]/(표4[[#This Row],[공격실패횟수]]+표4[[#This Row],[공격성공횟수]])</f>
        <v>0.2</v>
      </c>
    </row>
    <row r="735" spans="1:8" hidden="1" x14ac:dyDescent="0.4">
      <c r="A735">
        <v>367</v>
      </c>
      <c r="B735" t="s">
        <v>2</v>
      </c>
      <c r="C735">
        <v>0</v>
      </c>
      <c r="D735">
        <v>0</v>
      </c>
      <c r="E735">
        <v>19</v>
      </c>
      <c r="F735">
        <v>4</v>
      </c>
      <c r="G735">
        <v>1</v>
      </c>
      <c r="H735">
        <f>표4[[#This Row],[공격성공횟수]]/(표4[[#This Row],[공격실패횟수]]+표4[[#This Row],[공격성공횟수]])</f>
        <v>0</v>
      </c>
    </row>
    <row r="736" spans="1:8" x14ac:dyDescent="0.4">
      <c r="A736">
        <v>368</v>
      </c>
      <c r="B736" t="s">
        <v>3</v>
      </c>
      <c r="C736">
        <v>1</v>
      </c>
      <c r="D736">
        <v>4</v>
      </c>
      <c r="E736">
        <v>4</v>
      </c>
      <c r="F736">
        <v>0</v>
      </c>
      <c r="G736">
        <v>0</v>
      </c>
      <c r="H736">
        <f>표4[[#This Row],[공격성공횟수]]/(표4[[#This Row],[공격실패횟수]]+표4[[#This Row],[공격성공횟수]])</f>
        <v>0.5</v>
      </c>
    </row>
    <row r="737" spans="1:8" hidden="1" x14ac:dyDescent="0.4">
      <c r="A737">
        <v>368</v>
      </c>
      <c r="B737" t="s">
        <v>2</v>
      </c>
      <c r="C737">
        <v>0</v>
      </c>
      <c r="D737">
        <v>0</v>
      </c>
      <c r="E737">
        <v>8</v>
      </c>
      <c r="F737">
        <v>4</v>
      </c>
      <c r="G737">
        <v>1</v>
      </c>
      <c r="H737">
        <f>표4[[#This Row],[공격성공횟수]]/(표4[[#This Row],[공격실패횟수]]+표4[[#This Row],[공격성공횟수]])</f>
        <v>0</v>
      </c>
    </row>
    <row r="738" spans="1:8" x14ac:dyDescent="0.4">
      <c r="A738">
        <v>369</v>
      </c>
      <c r="B738" t="s">
        <v>3</v>
      </c>
      <c r="C738">
        <v>1</v>
      </c>
      <c r="D738">
        <v>4</v>
      </c>
      <c r="E738">
        <v>6</v>
      </c>
      <c r="F738">
        <v>3</v>
      </c>
      <c r="G738">
        <v>0</v>
      </c>
      <c r="H738">
        <f>표4[[#This Row],[공격성공횟수]]/(표4[[#This Row],[공격실패횟수]]+표4[[#This Row],[공격성공횟수]])</f>
        <v>0.4</v>
      </c>
    </row>
    <row r="739" spans="1:8" hidden="1" x14ac:dyDescent="0.4">
      <c r="A739">
        <v>369</v>
      </c>
      <c r="B739" t="s">
        <v>2</v>
      </c>
      <c r="C739">
        <v>0</v>
      </c>
      <c r="D739">
        <v>3</v>
      </c>
      <c r="E739">
        <v>6</v>
      </c>
      <c r="F739">
        <v>4</v>
      </c>
      <c r="G739">
        <v>1</v>
      </c>
      <c r="H739">
        <f>표4[[#This Row],[공격성공횟수]]/(표4[[#This Row],[공격실패횟수]]+표4[[#This Row],[공격성공횟수]])</f>
        <v>0.33333333333333331</v>
      </c>
    </row>
    <row r="740" spans="1:8" x14ac:dyDescent="0.4">
      <c r="A740">
        <v>370</v>
      </c>
      <c r="B740" t="s">
        <v>3</v>
      </c>
      <c r="C740">
        <v>1</v>
      </c>
      <c r="D740">
        <v>4</v>
      </c>
      <c r="E740">
        <v>5</v>
      </c>
      <c r="F740">
        <v>3</v>
      </c>
      <c r="G740">
        <v>0</v>
      </c>
      <c r="H740">
        <f>표4[[#This Row],[공격성공횟수]]/(표4[[#This Row],[공격실패횟수]]+표4[[#This Row],[공격성공횟수]])</f>
        <v>0.44444444444444442</v>
      </c>
    </row>
    <row r="741" spans="1:8" hidden="1" x14ac:dyDescent="0.4">
      <c r="A741">
        <v>370</v>
      </c>
      <c r="B741" t="s">
        <v>2</v>
      </c>
      <c r="C741">
        <v>0</v>
      </c>
      <c r="D741">
        <v>3</v>
      </c>
      <c r="E741">
        <v>7</v>
      </c>
      <c r="F741">
        <v>4</v>
      </c>
      <c r="G741">
        <v>1</v>
      </c>
      <c r="H741">
        <f>표4[[#This Row],[공격성공횟수]]/(표4[[#This Row],[공격실패횟수]]+표4[[#This Row],[공격성공횟수]])</f>
        <v>0.3</v>
      </c>
    </row>
    <row r="742" spans="1:8" x14ac:dyDescent="0.4">
      <c r="A742">
        <v>371</v>
      </c>
      <c r="B742" t="s">
        <v>3</v>
      </c>
      <c r="C742">
        <v>1</v>
      </c>
      <c r="D742">
        <v>4</v>
      </c>
      <c r="E742">
        <v>22</v>
      </c>
      <c r="F742">
        <v>3</v>
      </c>
      <c r="G742">
        <v>0</v>
      </c>
      <c r="H742">
        <f>표4[[#This Row],[공격성공횟수]]/(표4[[#This Row],[공격실패횟수]]+표4[[#This Row],[공격성공횟수]])</f>
        <v>0.15384615384615385</v>
      </c>
    </row>
    <row r="743" spans="1:8" hidden="1" x14ac:dyDescent="0.4">
      <c r="A743">
        <v>371</v>
      </c>
      <c r="B743" t="s">
        <v>2</v>
      </c>
      <c r="C743">
        <v>0</v>
      </c>
      <c r="D743">
        <v>3</v>
      </c>
      <c r="E743">
        <v>38</v>
      </c>
      <c r="F743">
        <v>4</v>
      </c>
      <c r="G743">
        <v>1</v>
      </c>
      <c r="H743">
        <f>표4[[#This Row],[공격성공횟수]]/(표4[[#This Row],[공격실패횟수]]+표4[[#This Row],[공격성공횟수]])</f>
        <v>7.3170731707317069E-2</v>
      </c>
    </row>
    <row r="744" spans="1:8" x14ac:dyDescent="0.4">
      <c r="A744">
        <v>372</v>
      </c>
      <c r="B744" t="s">
        <v>3</v>
      </c>
      <c r="C744">
        <v>1</v>
      </c>
      <c r="D744">
        <v>4</v>
      </c>
      <c r="E744">
        <v>11</v>
      </c>
      <c r="F744">
        <v>1</v>
      </c>
      <c r="G744">
        <v>0</v>
      </c>
      <c r="H744">
        <f>표4[[#This Row],[공격성공횟수]]/(표4[[#This Row],[공격실패횟수]]+표4[[#This Row],[공격성공횟수]])</f>
        <v>0.26666666666666666</v>
      </c>
    </row>
    <row r="745" spans="1:8" hidden="1" x14ac:dyDescent="0.4">
      <c r="A745">
        <v>372</v>
      </c>
      <c r="B745" t="s">
        <v>2</v>
      </c>
      <c r="C745">
        <v>0</v>
      </c>
      <c r="D745">
        <v>1</v>
      </c>
      <c r="E745">
        <v>29</v>
      </c>
      <c r="F745">
        <v>4</v>
      </c>
      <c r="G745">
        <v>1</v>
      </c>
      <c r="H745">
        <f>표4[[#This Row],[공격성공횟수]]/(표4[[#This Row],[공격실패횟수]]+표4[[#This Row],[공격성공횟수]])</f>
        <v>3.3333333333333333E-2</v>
      </c>
    </row>
    <row r="746" spans="1:8" x14ac:dyDescent="0.4">
      <c r="A746">
        <v>373</v>
      </c>
      <c r="B746" t="s">
        <v>3</v>
      </c>
      <c r="C746">
        <v>1</v>
      </c>
      <c r="D746">
        <v>4</v>
      </c>
      <c r="E746">
        <v>5</v>
      </c>
      <c r="F746">
        <v>1</v>
      </c>
      <c r="G746">
        <v>0</v>
      </c>
      <c r="H746">
        <f>표4[[#This Row],[공격성공횟수]]/(표4[[#This Row],[공격실패횟수]]+표4[[#This Row],[공격성공횟수]])</f>
        <v>0.44444444444444442</v>
      </c>
    </row>
    <row r="747" spans="1:8" hidden="1" x14ac:dyDescent="0.4">
      <c r="A747">
        <v>373</v>
      </c>
      <c r="B747" t="s">
        <v>2</v>
      </c>
      <c r="C747">
        <v>0</v>
      </c>
      <c r="D747">
        <v>1</v>
      </c>
      <c r="E747">
        <v>8</v>
      </c>
      <c r="F747">
        <v>4</v>
      </c>
      <c r="G747">
        <v>1</v>
      </c>
      <c r="H747">
        <f>표4[[#This Row],[공격성공횟수]]/(표4[[#This Row],[공격실패횟수]]+표4[[#This Row],[공격성공횟수]])</f>
        <v>0.1111111111111111</v>
      </c>
    </row>
    <row r="748" spans="1:8" x14ac:dyDescent="0.4">
      <c r="A748">
        <v>374</v>
      </c>
      <c r="B748" t="s">
        <v>3</v>
      </c>
      <c r="C748">
        <v>0</v>
      </c>
      <c r="D748">
        <v>3</v>
      </c>
      <c r="E748">
        <v>5</v>
      </c>
      <c r="F748">
        <v>4</v>
      </c>
      <c r="G748">
        <v>1</v>
      </c>
      <c r="H748">
        <f>표4[[#This Row],[공격성공횟수]]/(표4[[#This Row],[공격실패횟수]]+표4[[#This Row],[공격성공횟수]])</f>
        <v>0.375</v>
      </c>
    </row>
    <row r="749" spans="1:8" hidden="1" x14ac:dyDescent="0.4">
      <c r="A749">
        <v>374</v>
      </c>
      <c r="B749" t="s">
        <v>2</v>
      </c>
      <c r="C749">
        <v>1</v>
      </c>
      <c r="D749">
        <v>4</v>
      </c>
      <c r="E749">
        <v>5</v>
      </c>
      <c r="F749">
        <v>3</v>
      </c>
      <c r="G749">
        <v>0</v>
      </c>
      <c r="H749">
        <f>표4[[#This Row],[공격성공횟수]]/(표4[[#This Row],[공격실패횟수]]+표4[[#This Row],[공격성공횟수]])</f>
        <v>0.44444444444444442</v>
      </c>
    </row>
    <row r="750" spans="1:8" x14ac:dyDescent="0.4">
      <c r="A750">
        <v>375</v>
      </c>
      <c r="B750" t="s">
        <v>3</v>
      </c>
      <c r="C750">
        <v>1</v>
      </c>
      <c r="D750">
        <v>4</v>
      </c>
      <c r="E750">
        <v>5</v>
      </c>
      <c r="F750">
        <v>0</v>
      </c>
      <c r="G750">
        <v>0</v>
      </c>
      <c r="H750">
        <f>표4[[#This Row],[공격성공횟수]]/(표4[[#This Row],[공격실패횟수]]+표4[[#This Row],[공격성공횟수]])</f>
        <v>0.44444444444444442</v>
      </c>
    </row>
    <row r="751" spans="1:8" hidden="1" x14ac:dyDescent="0.4">
      <c r="A751">
        <v>375</v>
      </c>
      <c r="B751" t="s">
        <v>2</v>
      </c>
      <c r="C751">
        <v>0</v>
      </c>
      <c r="D751">
        <v>0</v>
      </c>
      <c r="E751">
        <v>8</v>
      </c>
      <c r="F751">
        <v>4</v>
      </c>
      <c r="G751">
        <v>1</v>
      </c>
      <c r="H751">
        <f>표4[[#This Row],[공격성공횟수]]/(표4[[#This Row],[공격실패횟수]]+표4[[#This Row],[공격성공횟수]])</f>
        <v>0</v>
      </c>
    </row>
    <row r="752" spans="1:8" x14ac:dyDescent="0.4">
      <c r="A752">
        <v>376</v>
      </c>
      <c r="B752" t="s">
        <v>3</v>
      </c>
      <c r="C752">
        <v>1</v>
      </c>
      <c r="D752">
        <v>4</v>
      </c>
      <c r="E752">
        <v>18</v>
      </c>
      <c r="F752">
        <v>2</v>
      </c>
      <c r="G752">
        <v>0</v>
      </c>
      <c r="H752">
        <f>표4[[#This Row],[공격성공횟수]]/(표4[[#This Row],[공격실패횟수]]+표4[[#This Row],[공격성공횟수]])</f>
        <v>0.18181818181818182</v>
      </c>
    </row>
    <row r="753" spans="1:8" hidden="1" x14ac:dyDescent="0.4">
      <c r="A753">
        <v>376</v>
      </c>
      <c r="B753" t="s">
        <v>2</v>
      </c>
      <c r="C753">
        <v>0</v>
      </c>
      <c r="D753">
        <v>2</v>
      </c>
      <c r="E753">
        <v>19</v>
      </c>
      <c r="F753">
        <v>4</v>
      </c>
      <c r="G753">
        <v>1</v>
      </c>
      <c r="H753">
        <f>표4[[#This Row],[공격성공횟수]]/(표4[[#This Row],[공격실패횟수]]+표4[[#This Row],[공격성공횟수]])</f>
        <v>9.5238095238095233E-2</v>
      </c>
    </row>
    <row r="754" spans="1:8" x14ac:dyDescent="0.4">
      <c r="A754">
        <v>377</v>
      </c>
      <c r="B754" t="s">
        <v>3</v>
      </c>
      <c r="C754">
        <v>1</v>
      </c>
      <c r="D754">
        <v>4</v>
      </c>
      <c r="E754">
        <v>14</v>
      </c>
      <c r="F754">
        <v>2</v>
      </c>
      <c r="G754">
        <v>0</v>
      </c>
      <c r="H754">
        <f>표4[[#This Row],[공격성공횟수]]/(표4[[#This Row],[공격실패횟수]]+표4[[#This Row],[공격성공횟수]])</f>
        <v>0.22222222222222221</v>
      </c>
    </row>
    <row r="755" spans="1:8" hidden="1" x14ac:dyDescent="0.4">
      <c r="A755">
        <v>377</v>
      </c>
      <c r="B755" t="s">
        <v>2</v>
      </c>
      <c r="C755">
        <v>0</v>
      </c>
      <c r="D755">
        <v>2</v>
      </c>
      <c r="E755">
        <v>26</v>
      </c>
      <c r="F755">
        <v>4</v>
      </c>
      <c r="G755">
        <v>1</v>
      </c>
      <c r="H755">
        <f>표4[[#This Row],[공격성공횟수]]/(표4[[#This Row],[공격실패횟수]]+표4[[#This Row],[공격성공횟수]])</f>
        <v>7.1428571428571425E-2</v>
      </c>
    </row>
    <row r="756" spans="1:8" x14ac:dyDescent="0.4">
      <c r="A756">
        <v>378</v>
      </c>
      <c r="B756" t="s">
        <v>3</v>
      </c>
      <c r="C756">
        <v>1</v>
      </c>
      <c r="D756">
        <v>4</v>
      </c>
      <c r="E756">
        <v>13</v>
      </c>
      <c r="F756">
        <v>1</v>
      </c>
      <c r="G756">
        <v>0</v>
      </c>
      <c r="H756">
        <f>표4[[#This Row],[공격성공횟수]]/(표4[[#This Row],[공격실패횟수]]+표4[[#This Row],[공격성공횟수]])</f>
        <v>0.23529411764705882</v>
      </c>
    </row>
    <row r="757" spans="1:8" hidden="1" x14ac:dyDescent="0.4">
      <c r="A757">
        <v>378</v>
      </c>
      <c r="B757" t="s">
        <v>2</v>
      </c>
      <c r="C757">
        <v>0</v>
      </c>
      <c r="D757">
        <v>1</v>
      </c>
      <c r="E757">
        <v>16</v>
      </c>
      <c r="F757">
        <v>4</v>
      </c>
      <c r="G757">
        <v>1</v>
      </c>
      <c r="H757">
        <f>표4[[#This Row],[공격성공횟수]]/(표4[[#This Row],[공격실패횟수]]+표4[[#This Row],[공격성공횟수]])</f>
        <v>5.8823529411764705E-2</v>
      </c>
    </row>
    <row r="758" spans="1:8" x14ac:dyDescent="0.4">
      <c r="A758">
        <v>379</v>
      </c>
      <c r="B758" t="s">
        <v>3</v>
      </c>
      <c r="C758">
        <v>1</v>
      </c>
      <c r="D758">
        <v>4</v>
      </c>
      <c r="E758">
        <v>30</v>
      </c>
      <c r="F758">
        <v>0</v>
      </c>
      <c r="G758">
        <v>0</v>
      </c>
      <c r="H758">
        <f>표4[[#This Row],[공격성공횟수]]/(표4[[#This Row],[공격실패횟수]]+표4[[#This Row],[공격성공횟수]])</f>
        <v>0.11764705882352941</v>
      </c>
    </row>
    <row r="759" spans="1:8" hidden="1" x14ac:dyDescent="0.4">
      <c r="A759">
        <v>379</v>
      </c>
      <c r="B759" t="s">
        <v>2</v>
      </c>
      <c r="C759">
        <v>0</v>
      </c>
      <c r="D759">
        <v>0</v>
      </c>
      <c r="E759">
        <v>34</v>
      </c>
      <c r="F759">
        <v>4</v>
      </c>
      <c r="G759">
        <v>1</v>
      </c>
      <c r="H759">
        <f>표4[[#This Row],[공격성공횟수]]/(표4[[#This Row],[공격실패횟수]]+표4[[#This Row],[공격성공횟수]])</f>
        <v>0</v>
      </c>
    </row>
    <row r="760" spans="1:8" x14ac:dyDescent="0.4">
      <c r="A760">
        <v>380</v>
      </c>
      <c r="B760" t="s">
        <v>3</v>
      </c>
      <c r="C760">
        <v>1</v>
      </c>
      <c r="D760">
        <v>4</v>
      </c>
      <c r="E760">
        <v>8</v>
      </c>
      <c r="F760">
        <v>2</v>
      </c>
      <c r="G760">
        <v>0</v>
      </c>
      <c r="H760">
        <f>표4[[#This Row],[공격성공횟수]]/(표4[[#This Row],[공격실패횟수]]+표4[[#This Row],[공격성공횟수]])</f>
        <v>0.33333333333333331</v>
      </c>
    </row>
    <row r="761" spans="1:8" hidden="1" x14ac:dyDescent="0.4">
      <c r="A761">
        <v>380</v>
      </c>
      <c r="B761" t="s">
        <v>2</v>
      </c>
      <c r="C761">
        <v>0</v>
      </c>
      <c r="D761">
        <v>2</v>
      </c>
      <c r="E761">
        <v>10</v>
      </c>
      <c r="F761">
        <v>4</v>
      </c>
      <c r="G761">
        <v>1</v>
      </c>
      <c r="H761">
        <f>표4[[#This Row],[공격성공횟수]]/(표4[[#This Row],[공격실패횟수]]+표4[[#This Row],[공격성공횟수]])</f>
        <v>0.16666666666666666</v>
      </c>
    </row>
    <row r="762" spans="1:8" x14ac:dyDescent="0.4">
      <c r="A762">
        <v>381</v>
      </c>
      <c r="B762" t="s">
        <v>3</v>
      </c>
      <c r="C762">
        <v>0</v>
      </c>
      <c r="D762">
        <v>3</v>
      </c>
      <c r="E762">
        <v>7</v>
      </c>
      <c r="F762">
        <v>4</v>
      </c>
      <c r="G762">
        <v>1</v>
      </c>
      <c r="H762">
        <f>표4[[#This Row],[공격성공횟수]]/(표4[[#This Row],[공격실패횟수]]+표4[[#This Row],[공격성공횟수]])</f>
        <v>0.3</v>
      </c>
    </row>
    <row r="763" spans="1:8" hidden="1" x14ac:dyDescent="0.4">
      <c r="A763">
        <v>381</v>
      </c>
      <c r="B763" t="s">
        <v>2</v>
      </c>
      <c r="C763">
        <v>1</v>
      </c>
      <c r="D763">
        <v>4</v>
      </c>
      <c r="E763">
        <v>7</v>
      </c>
      <c r="F763">
        <v>3</v>
      </c>
      <c r="G763">
        <v>0</v>
      </c>
      <c r="H763">
        <f>표4[[#This Row],[공격성공횟수]]/(표4[[#This Row],[공격실패횟수]]+표4[[#This Row],[공격성공횟수]])</f>
        <v>0.36363636363636365</v>
      </c>
    </row>
    <row r="764" spans="1:8" x14ac:dyDescent="0.4">
      <c r="A764">
        <v>382</v>
      </c>
      <c r="B764" t="s">
        <v>3</v>
      </c>
      <c r="C764">
        <v>1</v>
      </c>
      <c r="D764">
        <v>4</v>
      </c>
      <c r="E764">
        <v>16</v>
      </c>
      <c r="F764">
        <v>0</v>
      </c>
      <c r="G764">
        <v>0</v>
      </c>
      <c r="H764">
        <f>표4[[#This Row],[공격성공횟수]]/(표4[[#This Row],[공격실패횟수]]+표4[[#This Row],[공격성공횟수]])</f>
        <v>0.2</v>
      </c>
    </row>
    <row r="765" spans="1:8" hidden="1" x14ac:dyDescent="0.4">
      <c r="A765">
        <v>382</v>
      </c>
      <c r="B765" t="s">
        <v>2</v>
      </c>
      <c r="C765">
        <v>0</v>
      </c>
      <c r="D765">
        <v>0</v>
      </c>
      <c r="E765">
        <v>17</v>
      </c>
      <c r="F765">
        <v>4</v>
      </c>
      <c r="G765">
        <v>1</v>
      </c>
      <c r="H765">
        <f>표4[[#This Row],[공격성공횟수]]/(표4[[#This Row],[공격실패횟수]]+표4[[#This Row],[공격성공횟수]])</f>
        <v>0</v>
      </c>
    </row>
    <row r="766" spans="1:8" x14ac:dyDescent="0.4">
      <c r="A766">
        <v>383</v>
      </c>
      <c r="B766" t="s">
        <v>3</v>
      </c>
      <c r="C766">
        <v>1</v>
      </c>
      <c r="D766">
        <v>4</v>
      </c>
      <c r="E766">
        <v>8</v>
      </c>
      <c r="F766">
        <v>2</v>
      </c>
      <c r="G766">
        <v>0</v>
      </c>
      <c r="H766">
        <f>표4[[#This Row],[공격성공횟수]]/(표4[[#This Row],[공격실패횟수]]+표4[[#This Row],[공격성공횟수]])</f>
        <v>0.33333333333333331</v>
      </c>
    </row>
    <row r="767" spans="1:8" hidden="1" x14ac:dyDescent="0.4">
      <c r="A767">
        <v>383</v>
      </c>
      <c r="B767" t="s">
        <v>2</v>
      </c>
      <c r="C767">
        <v>0</v>
      </c>
      <c r="D767">
        <v>2</v>
      </c>
      <c r="E767">
        <v>10</v>
      </c>
      <c r="F767">
        <v>4</v>
      </c>
      <c r="G767">
        <v>1</v>
      </c>
      <c r="H767">
        <f>표4[[#This Row],[공격성공횟수]]/(표4[[#This Row],[공격실패횟수]]+표4[[#This Row],[공격성공횟수]])</f>
        <v>0.16666666666666666</v>
      </c>
    </row>
    <row r="768" spans="1:8" x14ac:dyDescent="0.4">
      <c r="A768">
        <v>384</v>
      </c>
      <c r="B768" t="s">
        <v>3</v>
      </c>
      <c r="C768">
        <v>0</v>
      </c>
      <c r="D768">
        <v>1</v>
      </c>
      <c r="E768">
        <v>24</v>
      </c>
      <c r="F768">
        <v>4</v>
      </c>
      <c r="G768">
        <v>1</v>
      </c>
      <c r="H768">
        <f>표4[[#This Row],[공격성공횟수]]/(표4[[#This Row],[공격실패횟수]]+표4[[#This Row],[공격성공횟수]])</f>
        <v>0.04</v>
      </c>
    </row>
    <row r="769" spans="1:8" hidden="1" x14ac:dyDescent="0.4">
      <c r="A769">
        <v>384</v>
      </c>
      <c r="B769" t="s">
        <v>2</v>
      </c>
      <c r="C769">
        <v>1</v>
      </c>
      <c r="D769">
        <v>4</v>
      </c>
      <c r="E769">
        <v>27</v>
      </c>
      <c r="F769">
        <v>1</v>
      </c>
      <c r="G769">
        <v>0</v>
      </c>
      <c r="H769">
        <f>표4[[#This Row],[공격성공횟수]]/(표4[[#This Row],[공격실패횟수]]+표4[[#This Row],[공격성공횟수]])</f>
        <v>0.12903225806451613</v>
      </c>
    </row>
    <row r="770" spans="1:8" x14ac:dyDescent="0.4">
      <c r="A770">
        <v>385</v>
      </c>
      <c r="B770" t="s">
        <v>3</v>
      </c>
      <c r="C770">
        <v>1</v>
      </c>
      <c r="D770">
        <v>4</v>
      </c>
      <c r="E770">
        <v>4</v>
      </c>
      <c r="F770">
        <v>0</v>
      </c>
      <c r="G770">
        <v>0</v>
      </c>
      <c r="H770">
        <f>표4[[#This Row],[공격성공횟수]]/(표4[[#This Row],[공격실패횟수]]+표4[[#This Row],[공격성공횟수]])</f>
        <v>0.5</v>
      </c>
    </row>
    <row r="771" spans="1:8" hidden="1" x14ac:dyDescent="0.4">
      <c r="A771">
        <v>385</v>
      </c>
      <c r="B771" t="s">
        <v>2</v>
      </c>
      <c r="C771">
        <v>0</v>
      </c>
      <c r="D771">
        <v>0</v>
      </c>
      <c r="E771">
        <v>17</v>
      </c>
      <c r="F771">
        <v>4</v>
      </c>
      <c r="G771">
        <v>1</v>
      </c>
      <c r="H771">
        <f>표4[[#This Row],[공격성공횟수]]/(표4[[#This Row],[공격실패횟수]]+표4[[#This Row],[공격성공횟수]])</f>
        <v>0</v>
      </c>
    </row>
    <row r="772" spans="1:8" x14ac:dyDescent="0.4">
      <c r="A772">
        <v>386</v>
      </c>
      <c r="B772" t="s">
        <v>3</v>
      </c>
      <c r="C772">
        <v>1</v>
      </c>
      <c r="D772">
        <v>4</v>
      </c>
      <c r="E772">
        <v>5</v>
      </c>
      <c r="F772">
        <v>3</v>
      </c>
      <c r="G772">
        <v>0</v>
      </c>
      <c r="H772">
        <f>표4[[#This Row],[공격성공횟수]]/(표4[[#This Row],[공격실패횟수]]+표4[[#This Row],[공격성공횟수]])</f>
        <v>0.44444444444444442</v>
      </c>
    </row>
    <row r="773" spans="1:8" hidden="1" x14ac:dyDescent="0.4">
      <c r="A773">
        <v>386</v>
      </c>
      <c r="B773" t="s">
        <v>2</v>
      </c>
      <c r="C773">
        <v>0</v>
      </c>
      <c r="D773">
        <v>3</v>
      </c>
      <c r="E773">
        <v>6</v>
      </c>
      <c r="F773">
        <v>4</v>
      </c>
      <c r="G773">
        <v>1</v>
      </c>
      <c r="H773">
        <f>표4[[#This Row],[공격성공횟수]]/(표4[[#This Row],[공격실패횟수]]+표4[[#This Row],[공격성공횟수]])</f>
        <v>0.33333333333333331</v>
      </c>
    </row>
    <row r="774" spans="1:8" x14ac:dyDescent="0.4">
      <c r="A774">
        <v>387</v>
      </c>
      <c r="B774" t="s">
        <v>3</v>
      </c>
      <c r="C774">
        <v>1</v>
      </c>
      <c r="D774">
        <v>4</v>
      </c>
      <c r="E774">
        <v>5</v>
      </c>
      <c r="F774">
        <v>0</v>
      </c>
      <c r="G774">
        <v>0</v>
      </c>
      <c r="H774">
        <f>표4[[#This Row],[공격성공횟수]]/(표4[[#This Row],[공격실패횟수]]+표4[[#This Row],[공격성공횟수]])</f>
        <v>0.44444444444444442</v>
      </c>
    </row>
    <row r="775" spans="1:8" hidden="1" x14ac:dyDescent="0.4">
      <c r="A775">
        <v>387</v>
      </c>
      <c r="B775" t="s">
        <v>2</v>
      </c>
      <c r="C775">
        <v>0</v>
      </c>
      <c r="D775">
        <v>0</v>
      </c>
      <c r="E775">
        <v>9</v>
      </c>
      <c r="F775">
        <v>4</v>
      </c>
      <c r="G775">
        <v>1</v>
      </c>
      <c r="H775">
        <f>표4[[#This Row],[공격성공횟수]]/(표4[[#This Row],[공격실패횟수]]+표4[[#This Row],[공격성공횟수]])</f>
        <v>0</v>
      </c>
    </row>
    <row r="776" spans="1:8" x14ac:dyDescent="0.4">
      <c r="A776">
        <v>388</v>
      </c>
      <c r="B776" t="s">
        <v>3</v>
      </c>
      <c r="C776">
        <v>1</v>
      </c>
      <c r="D776">
        <v>4</v>
      </c>
      <c r="E776">
        <v>48</v>
      </c>
      <c r="F776">
        <v>3</v>
      </c>
      <c r="G776">
        <v>0</v>
      </c>
      <c r="H776">
        <f>표4[[#This Row],[공격성공횟수]]/(표4[[#This Row],[공격실패횟수]]+표4[[#This Row],[공격성공횟수]])</f>
        <v>7.6923076923076927E-2</v>
      </c>
    </row>
    <row r="777" spans="1:8" hidden="1" x14ac:dyDescent="0.4">
      <c r="A777">
        <v>388</v>
      </c>
      <c r="B777" t="s">
        <v>2</v>
      </c>
      <c r="C777">
        <v>0</v>
      </c>
      <c r="D777">
        <v>3</v>
      </c>
      <c r="E777">
        <v>60</v>
      </c>
      <c r="F777">
        <v>4</v>
      </c>
      <c r="G777">
        <v>1</v>
      </c>
      <c r="H777">
        <f>표4[[#This Row],[공격성공횟수]]/(표4[[#This Row],[공격실패횟수]]+표4[[#This Row],[공격성공횟수]])</f>
        <v>4.7619047619047616E-2</v>
      </c>
    </row>
    <row r="778" spans="1:8" x14ac:dyDescent="0.4">
      <c r="A778">
        <v>389</v>
      </c>
      <c r="B778" t="s">
        <v>3</v>
      </c>
      <c r="C778">
        <v>1</v>
      </c>
      <c r="D778">
        <v>4</v>
      </c>
      <c r="E778">
        <v>10</v>
      </c>
      <c r="F778">
        <v>1</v>
      </c>
      <c r="G778">
        <v>0</v>
      </c>
      <c r="H778">
        <f>표4[[#This Row],[공격성공횟수]]/(표4[[#This Row],[공격실패횟수]]+표4[[#This Row],[공격성공횟수]])</f>
        <v>0.2857142857142857</v>
      </c>
    </row>
    <row r="779" spans="1:8" hidden="1" x14ac:dyDescent="0.4">
      <c r="A779">
        <v>389</v>
      </c>
      <c r="B779" t="s">
        <v>2</v>
      </c>
      <c r="C779">
        <v>0</v>
      </c>
      <c r="D779">
        <v>1</v>
      </c>
      <c r="E779">
        <v>19</v>
      </c>
      <c r="F779">
        <v>4</v>
      </c>
      <c r="G779">
        <v>1</v>
      </c>
      <c r="H779">
        <f>표4[[#This Row],[공격성공횟수]]/(표4[[#This Row],[공격실패횟수]]+표4[[#This Row],[공격성공횟수]])</f>
        <v>0.05</v>
      </c>
    </row>
    <row r="780" spans="1:8" x14ac:dyDescent="0.4">
      <c r="A780">
        <v>390</v>
      </c>
      <c r="B780" t="s">
        <v>3</v>
      </c>
      <c r="C780">
        <v>1</v>
      </c>
      <c r="D780">
        <v>4</v>
      </c>
      <c r="E780">
        <v>8</v>
      </c>
      <c r="F780">
        <v>0</v>
      </c>
      <c r="G780">
        <v>0</v>
      </c>
      <c r="H780">
        <f>표4[[#This Row],[공격성공횟수]]/(표4[[#This Row],[공격실패횟수]]+표4[[#This Row],[공격성공횟수]])</f>
        <v>0.33333333333333331</v>
      </c>
    </row>
    <row r="781" spans="1:8" hidden="1" x14ac:dyDescent="0.4">
      <c r="A781">
        <v>390</v>
      </c>
      <c r="B781" t="s">
        <v>2</v>
      </c>
      <c r="C781">
        <v>0</v>
      </c>
      <c r="D781">
        <v>0</v>
      </c>
      <c r="E781">
        <v>12</v>
      </c>
      <c r="F781">
        <v>4</v>
      </c>
      <c r="G781">
        <v>1</v>
      </c>
      <c r="H781">
        <f>표4[[#This Row],[공격성공횟수]]/(표4[[#This Row],[공격실패횟수]]+표4[[#This Row],[공격성공횟수]])</f>
        <v>0</v>
      </c>
    </row>
    <row r="782" spans="1:8" x14ac:dyDescent="0.4">
      <c r="A782">
        <v>391</v>
      </c>
      <c r="B782" t="s">
        <v>3</v>
      </c>
      <c r="C782">
        <v>1</v>
      </c>
      <c r="D782">
        <v>4</v>
      </c>
      <c r="E782">
        <v>49</v>
      </c>
      <c r="F782">
        <v>0</v>
      </c>
      <c r="G782">
        <v>0</v>
      </c>
      <c r="H782">
        <f>표4[[#This Row],[공격성공횟수]]/(표4[[#This Row],[공격실패횟수]]+표4[[#This Row],[공격성공횟수]])</f>
        <v>7.5471698113207544E-2</v>
      </c>
    </row>
    <row r="783" spans="1:8" hidden="1" x14ac:dyDescent="0.4">
      <c r="A783">
        <v>391</v>
      </c>
      <c r="B783" t="s">
        <v>2</v>
      </c>
      <c r="C783">
        <v>0</v>
      </c>
      <c r="D783">
        <v>0</v>
      </c>
      <c r="E783">
        <v>61</v>
      </c>
      <c r="F783">
        <v>4</v>
      </c>
      <c r="G783">
        <v>1</v>
      </c>
      <c r="H783">
        <f>표4[[#This Row],[공격성공횟수]]/(표4[[#This Row],[공격실패횟수]]+표4[[#This Row],[공격성공횟수]])</f>
        <v>0</v>
      </c>
    </row>
    <row r="784" spans="1:8" x14ac:dyDescent="0.4">
      <c r="A784">
        <v>392</v>
      </c>
      <c r="B784" t="s">
        <v>3</v>
      </c>
      <c r="C784">
        <v>0</v>
      </c>
      <c r="D784">
        <v>2</v>
      </c>
      <c r="E784">
        <v>7</v>
      </c>
      <c r="F784">
        <v>4</v>
      </c>
      <c r="G784">
        <v>1</v>
      </c>
      <c r="H784">
        <f>표4[[#This Row],[공격성공횟수]]/(표4[[#This Row],[공격실패횟수]]+표4[[#This Row],[공격성공횟수]])</f>
        <v>0.22222222222222221</v>
      </c>
    </row>
    <row r="785" spans="1:8" hidden="1" x14ac:dyDescent="0.4">
      <c r="A785">
        <v>392</v>
      </c>
      <c r="B785" t="s">
        <v>2</v>
      </c>
      <c r="C785">
        <v>1</v>
      </c>
      <c r="D785">
        <v>4</v>
      </c>
      <c r="E785">
        <v>11</v>
      </c>
      <c r="F785">
        <v>2</v>
      </c>
      <c r="G785">
        <v>0</v>
      </c>
      <c r="H785">
        <f>표4[[#This Row],[공격성공횟수]]/(표4[[#This Row],[공격실패횟수]]+표4[[#This Row],[공격성공횟수]])</f>
        <v>0.26666666666666666</v>
      </c>
    </row>
    <row r="786" spans="1:8" x14ac:dyDescent="0.4">
      <c r="A786">
        <v>393</v>
      </c>
      <c r="B786" t="s">
        <v>3</v>
      </c>
      <c r="C786">
        <v>1</v>
      </c>
      <c r="D786">
        <v>4</v>
      </c>
      <c r="E786">
        <v>24</v>
      </c>
      <c r="F786">
        <v>3</v>
      </c>
      <c r="G786">
        <v>0</v>
      </c>
      <c r="H786">
        <f>표4[[#This Row],[공격성공횟수]]/(표4[[#This Row],[공격실패횟수]]+표4[[#This Row],[공격성공횟수]])</f>
        <v>0.14285714285714285</v>
      </c>
    </row>
    <row r="787" spans="1:8" hidden="1" x14ac:dyDescent="0.4">
      <c r="A787">
        <v>393</v>
      </c>
      <c r="B787" t="s">
        <v>2</v>
      </c>
      <c r="C787">
        <v>0</v>
      </c>
      <c r="D787">
        <v>3</v>
      </c>
      <c r="E787">
        <v>23</v>
      </c>
      <c r="F787">
        <v>4</v>
      </c>
      <c r="G787">
        <v>1</v>
      </c>
      <c r="H787">
        <f>표4[[#This Row],[공격성공횟수]]/(표4[[#This Row],[공격실패횟수]]+표4[[#This Row],[공격성공횟수]])</f>
        <v>0.11538461538461539</v>
      </c>
    </row>
    <row r="788" spans="1:8" x14ac:dyDescent="0.4">
      <c r="A788">
        <v>394</v>
      </c>
      <c r="B788" t="s">
        <v>3</v>
      </c>
      <c r="C788">
        <v>1</v>
      </c>
      <c r="D788">
        <v>4</v>
      </c>
      <c r="E788">
        <v>4</v>
      </c>
      <c r="F788">
        <v>0</v>
      </c>
      <c r="G788">
        <v>0</v>
      </c>
      <c r="H788">
        <f>표4[[#This Row],[공격성공횟수]]/(표4[[#This Row],[공격실패횟수]]+표4[[#This Row],[공격성공횟수]])</f>
        <v>0.5</v>
      </c>
    </row>
    <row r="789" spans="1:8" hidden="1" x14ac:dyDescent="0.4">
      <c r="A789">
        <v>394</v>
      </c>
      <c r="B789" t="s">
        <v>2</v>
      </c>
      <c r="C789">
        <v>0</v>
      </c>
      <c r="D789">
        <v>0</v>
      </c>
      <c r="E789">
        <v>8</v>
      </c>
      <c r="F789">
        <v>4</v>
      </c>
      <c r="G789">
        <v>1</v>
      </c>
      <c r="H789">
        <f>표4[[#This Row],[공격성공횟수]]/(표4[[#This Row],[공격실패횟수]]+표4[[#This Row],[공격성공횟수]])</f>
        <v>0</v>
      </c>
    </row>
    <row r="790" spans="1:8" x14ac:dyDescent="0.4">
      <c r="A790">
        <v>395</v>
      </c>
      <c r="B790" t="s">
        <v>3</v>
      </c>
      <c r="C790">
        <v>1</v>
      </c>
      <c r="D790">
        <v>4</v>
      </c>
      <c r="E790">
        <v>7</v>
      </c>
      <c r="F790">
        <v>1</v>
      </c>
      <c r="G790">
        <v>0</v>
      </c>
      <c r="H790">
        <f>표4[[#This Row],[공격성공횟수]]/(표4[[#This Row],[공격실패횟수]]+표4[[#This Row],[공격성공횟수]])</f>
        <v>0.36363636363636365</v>
      </c>
    </row>
    <row r="791" spans="1:8" hidden="1" x14ac:dyDescent="0.4">
      <c r="A791">
        <v>395</v>
      </c>
      <c r="B791" t="s">
        <v>2</v>
      </c>
      <c r="C791">
        <v>0</v>
      </c>
      <c r="D791">
        <v>1</v>
      </c>
      <c r="E791">
        <v>10</v>
      </c>
      <c r="F791">
        <v>4</v>
      </c>
      <c r="G791">
        <v>1</v>
      </c>
      <c r="H791">
        <f>표4[[#This Row],[공격성공횟수]]/(표4[[#This Row],[공격실패횟수]]+표4[[#This Row],[공격성공횟수]])</f>
        <v>9.0909090909090912E-2</v>
      </c>
    </row>
    <row r="792" spans="1:8" x14ac:dyDescent="0.4">
      <c r="A792">
        <v>396</v>
      </c>
      <c r="B792" t="s">
        <v>3</v>
      </c>
      <c r="C792">
        <v>1</v>
      </c>
      <c r="D792">
        <v>4</v>
      </c>
      <c r="E792">
        <v>22</v>
      </c>
      <c r="F792">
        <v>0</v>
      </c>
      <c r="G792">
        <v>0</v>
      </c>
      <c r="H792">
        <f>표4[[#This Row],[공격성공횟수]]/(표4[[#This Row],[공격실패횟수]]+표4[[#This Row],[공격성공횟수]])</f>
        <v>0.15384615384615385</v>
      </c>
    </row>
    <row r="793" spans="1:8" hidden="1" x14ac:dyDescent="0.4">
      <c r="A793">
        <v>396</v>
      </c>
      <c r="B793" t="s">
        <v>2</v>
      </c>
      <c r="C793">
        <v>0</v>
      </c>
      <c r="D793">
        <v>0</v>
      </c>
      <c r="E793">
        <v>25</v>
      </c>
      <c r="F793">
        <v>4</v>
      </c>
      <c r="G793">
        <v>1</v>
      </c>
      <c r="H793">
        <f>표4[[#This Row],[공격성공횟수]]/(표4[[#This Row],[공격실패횟수]]+표4[[#This Row],[공격성공횟수]])</f>
        <v>0</v>
      </c>
    </row>
    <row r="794" spans="1:8" x14ac:dyDescent="0.4">
      <c r="A794">
        <v>397</v>
      </c>
      <c r="B794" t="s">
        <v>3</v>
      </c>
      <c r="C794">
        <v>1</v>
      </c>
      <c r="D794">
        <v>4</v>
      </c>
      <c r="E794">
        <v>5</v>
      </c>
      <c r="F794">
        <v>2</v>
      </c>
      <c r="G794">
        <v>0</v>
      </c>
      <c r="H794">
        <f>표4[[#This Row],[공격성공횟수]]/(표4[[#This Row],[공격실패횟수]]+표4[[#This Row],[공격성공횟수]])</f>
        <v>0.44444444444444442</v>
      </c>
    </row>
    <row r="795" spans="1:8" hidden="1" x14ac:dyDescent="0.4">
      <c r="A795">
        <v>397</v>
      </c>
      <c r="B795" t="s">
        <v>2</v>
      </c>
      <c r="C795">
        <v>0</v>
      </c>
      <c r="D795">
        <v>2</v>
      </c>
      <c r="E795">
        <v>7</v>
      </c>
      <c r="F795">
        <v>4</v>
      </c>
      <c r="G795">
        <v>1</v>
      </c>
      <c r="H795">
        <f>표4[[#This Row],[공격성공횟수]]/(표4[[#This Row],[공격실패횟수]]+표4[[#This Row],[공격성공횟수]])</f>
        <v>0.22222222222222221</v>
      </c>
    </row>
    <row r="796" spans="1:8" x14ac:dyDescent="0.4">
      <c r="A796">
        <v>398</v>
      </c>
      <c r="B796" t="s">
        <v>3</v>
      </c>
      <c r="C796">
        <v>1</v>
      </c>
      <c r="D796">
        <v>4</v>
      </c>
      <c r="E796">
        <v>44</v>
      </c>
      <c r="F796">
        <v>1</v>
      </c>
      <c r="G796">
        <v>0</v>
      </c>
      <c r="H796">
        <f>표4[[#This Row],[공격성공횟수]]/(표4[[#This Row],[공격실패횟수]]+표4[[#This Row],[공격성공횟수]])</f>
        <v>8.3333333333333329E-2</v>
      </c>
    </row>
    <row r="797" spans="1:8" hidden="1" x14ac:dyDescent="0.4">
      <c r="A797">
        <v>398</v>
      </c>
      <c r="B797" t="s">
        <v>2</v>
      </c>
      <c r="C797">
        <v>0</v>
      </c>
      <c r="D797">
        <v>1</v>
      </c>
      <c r="E797">
        <v>47</v>
      </c>
      <c r="F797">
        <v>4</v>
      </c>
      <c r="G797">
        <v>1</v>
      </c>
      <c r="H797">
        <f>표4[[#This Row],[공격성공횟수]]/(표4[[#This Row],[공격실패횟수]]+표4[[#This Row],[공격성공횟수]])</f>
        <v>2.0833333333333332E-2</v>
      </c>
    </row>
    <row r="798" spans="1:8" x14ac:dyDescent="0.4">
      <c r="A798">
        <v>399</v>
      </c>
      <c r="B798" t="s">
        <v>3</v>
      </c>
      <c r="C798">
        <v>0</v>
      </c>
      <c r="D798">
        <v>1</v>
      </c>
      <c r="E798">
        <v>16</v>
      </c>
      <c r="F798">
        <v>4</v>
      </c>
      <c r="G798">
        <v>1</v>
      </c>
      <c r="H798">
        <f>표4[[#This Row],[공격성공횟수]]/(표4[[#This Row],[공격실패횟수]]+표4[[#This Row],[공격성공횟수]])</f>
        <v>5.8823529411764705E-2</v>
      </c>
    </row>
    <row r="799" spans="1:8" hidden="1" x14ac:dyDescent="0.4">
      <c r="A799">
        <v>399</v>
      </c>
      <c r="B799" t="s">
        <v>2</v>
      </c>
      <c r="C799">
        <v>1</v>
      </c>
      <c r="D799">
        <v>4</v>
      </c>
      <c r="E799">
        <v>34</v>
      </c>
      <c r="F799">
        <v>1</v>
      </c>
      <c r="G799">
        <v>0</v>
      </c>
      <c r="H799">
        <f>표4[[#This Row],[공격성공횟수]]/(표4[[#This Row],[공격실패횟수]]+표4[[#This Row],[공격성공횟수]])</f>
        <v>0.10526315789473684</v>
      </c>
    </row>
    <row r="800" spans="1:8" x14ac:dyDescent="0.4">
      <c r="A800">
        <v>400</v>
      </c>
      <c r="B800" t="s">
        <v>3</v>
      </c>
      <c r="C800">
        <v>1</v>
      </c>
      <c r="D800">
        <v>4</v>
      </c>
      <c r="E800">
        <v>3</v>
      </c>
      <c r="F800">
        <v>0</v>
      </c>
      <c r="G800">
        <v>0</v>
      </c>
      <c r="H800">
        <f>표4[[#This Row],[공격성공횟수]]/(표4[[#This Row],[공격실패횟수]]+표4[[#This Row],[공격성공횟수]])</f>
        <v>0.5714285714285714</v>
      </c>
    </row>
    <row r="801" spans="1:8" hidden="1" x14ac:dyDescent="0.4">
      <c r="A801">
        <v>400</v>
      </c>
      <c r="B801" t="s">
        <v>2</v>
      </c>
      <c r="C801">
        <v>0</v>
      </c>
      <c r="D801">
        <v>0</v>
      </c>
      <c r="E801">
        <v>6</v>
      </c>
      <c r="F801">
        <v>4</v>
      </c>
      <c r="G801">
        <v>1</v>
      </c>
      <c r="H801">
        <f>표4[[#This Row],[공격성공횟수]]/(표4[[#This Row],[공격실패횟수]]+표4[[#This Row],[공격성공횟수]])</f>
        <v>0</v>
      </c>
    </row>
    <row r="802" spans="1:8" x14ac:dyDescent="0.4">
      <c r="A802">
        <v>401</v>
      </c>
      <c r="B802" t="s">
        <v>3</v>
      </c>
      <c r="C802">
        <v>1</v>
      </c>
      <c r="D802">
        <v>4</v>
      </c>
      <c r="E802">
        <v>4</v>
      </c>
      <c r="F802">
        <v>0</v>
      </c>
      <c r="G802">
        <v>0</v>
      </c>
      <c r="H802">
        <f>표4[[#This Row],[공격성공횟수]]/(표4[[#This Row],[공격실패횟수]]+표4[[#This Row],[공격성공횟수]])</f>
        <v>0.5</v>
      </c>
    </row>
    <row r="803" spans="1:8" hidden="1" x14ac:dyDescent="0.4">
      <c r="A803">
        <v>401</v>
      </c>
      <c r="B803" t="s">
        <v>2</v>
      </c>
      <c r="C803">
        <v>0</v>
      </c>
      <c r="D803">
        <v>0</v>
      </c>
      <c r="E803">
        <v>7</v>
      </c>
      <c r="F803">
        <v>4</v>
      </c>
      <c r="G803">
        <v>1</v>
      </c>
      <c r="H803">
        <f>표4[[#This Row],[공격성공횟수]]/(표4[[#This Row],[공격실패횟수]]+표4[[#This Row],[공격성공횟수]])</f>
        <v>0</v>
      </c>
    </row>
    <row r="804" spans="1:8" x14ac:dyDescent="0.4">
      <c r="A804">
        <v>402</v>
      </c>
      <c r="B804" t="s">
        <v>3</v>
      </c>
      <c r="C804">
        <v>1</v>
      </c>
      <c r="D804">
        <v>4</v>
      </c>
      <c r="E804">
        <v>14</v>
      </c>
      <c r="F804">
        <v>0</v>
      </c>
      <c r="G804">
        <v>0</v>
      </c>
      <c r="H804">
        <f>표4[[#This Row],[공격성공횟수]]/(표4[[#This Row],[공격실패횟수]]+표4[[#This Row],[공격성공횟수]])</f>
        <v>0.22222222222222221</v>
      </c>
    </row>
    <row r="805" spans="1:8" hidden="1" x14ac:dyDescent="0.4">
      <c r="A805">
        <v>402</v>
      </c>
      <c r="B805" t="s">
        <v>2</v>
      </c>
      <c r="C805">
        <v>0</v>
      </c>
      <c r="D805">
        <v>0</v>
      </c>
      <c r="E805">
        <v>18</v>
      </c>
      <c r="F805">
        <v>4</v>
      </c>
      <c r="G805">
        <v>1</v>
      </c>
      <c r="H805">
        <f>표4[[#This Row],[공격성공횟수]]/(표4[[#This Row],[공격실패횟수]]+표4[[#This Row],[공격성공횟수]])</f>
        <v>0</v>
      </c>
    </row>
    <row r="806" spans="1:8" x14ac:dyDescent="0.4">
      <c r="A806">
        <v>403</v>
      </c>
      <c r="B806" t="s">
        <v>3</v>
      </c>
      <c r="C806">
        <v>1</v>
      </c>
      <c r="D806">
        <v>4</v>
      </c>
      <c r="E806">
        <v>14</v>
      </c>
      <c r="F806">
        <v>3</v>
      </c>
      <c r="G806">
        <v>0</v>
      </c>
      <c r="H806">
        <f>표4[[#This Row],[공격성공횟수]]/(표4[[#This Row],[공격실패횟수]]+표4[[#This Row],[공격성공횟수]])</f>
        <v>0.22222222222222221</v>
      </c>
    </row>
    <row r="807" spans="1:8" hidden="1" x14ac:dyDescent="0.4">
      <c r="A807">
        <v>403</v>
      </c>
      <c r="B807" t="s">
        <v>2</v>
      </c>
      <c r="C807">
        <v>0</v>
      </c>
      <c r="D807">
        <v>3</v>
      </c>
      <c r="E807">
        <v>15</v>
      </c>
      <c r="F807">
        <v>4</v>
      </c>
      <c r="G807">
        <v>1</v>
      </c>
      <c r="H807">
        <f>표4[[#This Row],[공격성공횟수]]/(표4[[#This Row],[공격실패횟수]]+표4[[#This Row],[공격성공횟수]])</f>
        <v>0.16666666666666666</v>
      </c>
    </row>
    <row r="808" spans="1:8" x14ac:dyDescent="0.4">
      <c r="A808">
        <v>404</v>
      </c>
      <c r="B808" t="s">
        <v>3</v>
      </c>
      <c r="C808">
        <v>0</v>
      </c>
      <c r="D808">
        <v>3</v>
      </c>
      <c r="E808">
        <v>96</v>
      </c>
      <c r="F808">
        <v>2</v>
      </c>
      <c r="G808">
        <v>0</v>
      </c>
      <c r="H808">
        <f>표4[[#This Row],[공격성공횟수]]/(표4[[#This Row],[공격실패횟수]]+표4[[#This Row],[공격성공횟수]])</f>
        <v>3.0303030303030304E-2</v>
      </c>
    </row>
    <row r="809" spans="1:8" hidden="1" x14ac:dyDescent="0.4">
      <c r="A809">
        <v>404</v>
      </c>
      <c r="B809" t="s">
        <v>2</v>
      </c>
      <c r="C809">
        <v>0</v>
      </c>
      <c r="D809">
        <v>2</v>
      </c>
      <c r="E809">
        <v>114</v>
      </c>
      <c r="F809">
        <v>3</v>
      </c>
      <c r="G809">
        <v>0</v>
      </c>
      <c r="H809">
        <f>표4[[#This Row],[공격성공횟수]]/(표4[[#This Row],[공격실패횟수]]+표4[[#This Row],[공격성공횟수]])</f>
        <v>1.7241379310344827E-2</v>
      </c>
    </row>
    <row r="810" spans="1:8" x14ac:dyDescent="0.4">
      <c r="A810">
        <v>405</v>
      </c>
      <c r="B810" t="s">
        <v>3</v>
      </c>
      <c r="C810">
        <v>1</v>
      </c>
      <c r="D810">
        <v>4</v>
      </c>
      <c r="E810">
        <v>4</v>
      </c>
      <c r="F810">
        <v>1</v>
      </c>
      <c r="G810">
        <v>0</v>
      </c>
      <c r="H810">
        <f>표4[[#This Row],[공격성공횟수]]/(표4[[#This Row],[공격실패횟수]]+표4[[#This Row],[공격성공횟수]])</f>
        <v>0.5</v>
      </c>
    </row>
    <row r="811" spans="1:8" hidden="1" x14ac:dyDescent="0.4">
      <c r="A811">
        <v>405</v>
      </c>
      <c r="B811" t="s">
        <v>2</v>
      </c>
      <c r="C811">
        <v>0</v>
      </c>
      <c r="D811">
        <v>1</v>
      </c>
      <c r="E811">
        <v>6</v>
      </c>
      <c r="F811">
        <v>4</v>
      </c>
      <c r="G811">
        <v>1</v>
      </c>
      <c r="H811">
        <f>표4[[#This Row],[공격성공횟수]]/(표4[[#This Row],[공격실패횟수]]+표4[[#This Row],[공격성공횟수]])</f>
        <v>0.14285714285714285</v>
      </c>
    </row>
    <row r="812" spans="1:8" x14ac:dyDescent="0.4">
      <c r="A812">
        <v>406</v>
      </c>
      <c r="B812" t="s">
        <v>3</v>
      </c>
      <c r="C812">
        <v>1</v>
      </c>
      <c r="D812">
        <v>4</v>
      </c>
      <c r="E812">
        <v>25</v>
      </c>
      <c r="F812">
        <v>0</v>
      </c>
      <c r="G812">
        <v>0</v>
      </c>
      <c r="H812">
        <f>표4[[#This Row],[공격성공횟수]]/(표4[[#This Row],[공격실패횟수]]+표4[[#This Row],[공격성공횟수]])</f>
        <v>0.13793103448275862</v>
      </c>
    </row>
    <row r="813" spans="1:8" hidden="1" x14ac:dyDescent="0.4">
      <c r="A813">
        <v>406</v>
      </c>
      <c r="B813" t="s">
        <v>2</v>
      </c>
      <c r="C813">
        <v>0</v>
      </c>
      <c r="D813">
        <v>0</v>
      </c>
      <c r="E813">
        <v>28</v>
      </c>
      <c r="F813">
        <v>4</v>
      </c>
      <c r="G813">
        <v>1</v>
      </c>
      <c r="H813">
        <f>표4[[#This Row],[공격성공횟수]]/(표4[[#This Row],[공격실패횟수]]+표4[[#This Row],[공격성공횟수]])</f>
        <v>0</v>
      </c>
    </row>
    <row r="814" spans="1:8" x14ac:dyDescent="0.4">
      <c r="A814">
        <v>407</v>
      </c>
      <c r="B814" t="s">
        <v>3</v>
      </c>
      <c r="C814">
        <v>1</v>
      </c>
      <c r="D814">
        <v>4</v>
      </c>
      <c r="E814">
        <v>6</v>
      </c>
      <c r="F814">
        <v>1</v>
      </c>
      <c r="G814">
        <v>0</v>
      </c>
      <c r="H814">
        <f>표4[[#This Row],[공격성공횟수]]/(표4[[#This Row],[공격실패횟수]]+표4[[#This Row],[공격성공횟수]])</f>
        <v>0.4</v>
      </c>
    </row>
    <row r="815" spans="1:8" hidden="1" x14ac:dyDescent="0.4">
      <c r="A815">
        <v>407</v>
      </c>
      <c r="B815" t="s">
        <v>2</v>
      </c>
      <c r="C815">
        <v>0</v>
      </c>
      <c r="D815">
        <v>1</v>
      </c>
      <c r="E815">
        <v>14</v>
      </c>
      <c r="F815">
        <v>4</v>
      </c>
      <c r="G815">
        <v>1</v>
      </c>
      <c r="H815">
        <f>표4[[#This Row],[공격성공횟수]]/(표4[[#This Row],[공격실패횟수]]+표4[[#This Row],[공격성공횟수]])</f>
        <v>6.6666666666666666E-2</v>
      </c>
    </row>
    <row r="816" spans="1:8" x14ac:dyDescent="0.4">
      <c r="A816">
        <v>408</v>
      </c>
      <c r="B816" t="s">
        <v>3</v>
      </c>
      <c r="C816">
        <v>0</v>
      </c>
      <c r="D816">
        <v>3</v>
      </c>
      <c r="E816">
        <v>5</v>
      </c>
      <c r="F816">
        <v>4</v>
      </c>
      <c r="G816">
        <v>1</v>
      </c>
      <c r="H816">
        <f>표4[[#This Row],[공격성공횟수]]/(표4[[#This Row],[공격실패횟수]]+표4[[#This Row],[공격성공횟수]])</f>
        <v>0.375</v>
      </c>
    </row>
    <row r="817" spans="1:8" hidden="1" x14ac:dyDescent="0.4">
      <c r="A817">
        <v>408</v>
      </c>
      <c r="B817" t="s">
        <v>2</v>
      </c>
      <c r="C817">
        <v>1</v>
      </c>
      <c r="D817">
        <v>4</v>
      </c>
      <c r="E817">
        <v>5</v>
      </c>
      <c r="F817">
        <v>3</v>
      </c>
      <c r="G817">
        <v>0</v>
      </c>
      <c r="H817">
        <f>표4[[#This Row],[공격성공횟수]]/(표4[[#This Row],[공격실패횟수]]+표4[[#This Row],[공격성공횟수]])</f>
        <v>0.44444444444444442</v>
      </c>
    </row>
    <row r="818" spans="1:8" x14ac:dyDescent="0.4">
      <c r="A818">
        <v>409</v>
      </c>
      <c r="B818" t="s">
        <v>3</v>
      </c>
      <c r="C818">
        <v>1</v>
      </c>
      <c r="D818">
        <v>4</v>
      </c>
      <c r="E818">
        <v>10</v>
      </c>
      <c r="F818">
        <v>2</v>
      </c>
      <c r="G818">
        <v>0</v>
      </c>
      <c r="H818">
        <f>표4[[#This Row],[공격성공횟수]]/(표4[[#This Row],[공격실패횟수]]+표4[[#This Row],[공격성공횟수]])</f>
        <v>0.2857142857142857</v>
      </c>
    </row>
    <row r="819" spans="1:8" hidden="1" x14ac:dyDescent="0.4">
      <c r="A819">
        <v>409</v>
      </c>
      <c r="B819" t="s">
        <v>2</v>
      </c>
      <c r="C819">
        <v>0</v>
      </c>
      <c r="D819">
        <v>2</v>
      </c>
      <c r="E819">
        <v>10</v>
      </c>
      <c r="F819">
        <v>4</v>
      </c>
      <c r="G819">
        <v>1</v>
      </c>
      <c r="H819">
        <f>표4[[#This Row],[공격성공횟수]]/(표4[[#This Row],[공격실패횟수]]+표4[[#This Row],[공격성공횟수]])</f>
        <v>0.16666666666666666</v>
      </c>
    </row>
    <row r="820" spans="1:8" x14ac:dyDescent="0.4">
      <c r="A820">
        <v>410</v>
      </c>
      <c r="B820" t="s">
        <v>3</v>
      </c>
      <c r="C820">
        <v>1</v>
      </c>
      <c r="D820">
        <v>4</v>
      </c>
      <c r="E820">
        <v>5</v>
      </c>
      <c r="F820">
        <v>3</v>
      </c>
      <c r="G820">
        <v>0</v>
      </c>
      <c r="H820">
        <f>표4[[#This Row],[공격성공횟수]]/(표4[[#This Row],[공격실패횟수]]+표4[[#This Row],[공격성공횟수]])</f>
        <v>0.44444444444444442</v>
      </c>
    </row>
    <row r="821" spans="1:8" hidden="1" x14ac:dyDescent="0.4">
      <c r="A821">
        <v>410</v>
      </c>
      <c r="B821" t="s">
        <v>2</v>
      </c>
      <c r="C821">
        <v>0</v>
      </c>
      <c r="D821">
        <v>3</v>
      </c>
      <c r="E821">
        <v>6</v>
      </c>
      <c r="F821">
        <v>4</v>
      </c>
      <c r="G821">
        <v>1</v>
      </c>
      <c r="H821">
        <f>표4[[#This Row],[공격성공횟수]]/(표4[[#This Row],[공격실패횟수]]+표4[[#This Row],[공격성공횟수]])</f>
        <v>0.33333333333333331</v>
      </c>
    </row>
    <row r="822" spans="1:8" x14ac:dyDescent="0.4">
      <c r="A822">
        <v>411</v>
      </c>
      <c r="B822" t="s">
        <v>3</v>
      </c>
      <c r="C822">
        <v>1</v>
      </c>
      <c r="D822">
        <v>4</v>
      </c>
      <c r="E822">
        <v>8</v>
      </c>
      <c r="F822">
        <v>1</v>
      </c>
      <c r="G822">
        <v>0</v>
      </c>
      <c r="H822">
        <f>표4[[#This Row],[공격성공횟수]]/(표4[[#This Row],[공격실패횟수]]+표4[[#This Row],[공격성공횟수]])</f>
        <v>0.33333333333333331</v>
      </c>
    </row>
    <row r="823" spans="1:8" hidden="1" x14ac:dyDescent="0.4">
      <c r="A823">
        <v>411</v>
      </c>
      <c r="B823" t="s">
        <v>2</v>
      </c>
      <c r="C823">
        <v>0</v>
      </c>
      <c r="D823">
        <v>1</v>
      </c>
      <c r="E823">
        <v>10</v>
      </c>
      <c r="F823">
        <v>4</v>
      </c>
      <c r="G823">
        <v>1</v>
      </c>
      <c r="H823">
        <f>표4[[#This Row],[공격성공횟수]]/(표4[[#This Row],[공격실패횟수]]+표4[[#This Row],[공격성공횟수]])</f>
        <v>9.0909090909090912E-2</v>
      </c>
    </row>
    <row r="824" spans="1:8" x14ac:dyDescent="0.4">
      <c r="A824">
        <v>412</v>
      </c>
      <c r="B824" t="s">
        <v>3</v>
      </c>
      <c r="C824">
        <v>0</v>
      </c>
      <c r="D824">
        <v>0</v>
      </c>
      <c r="E824">
        <v>4</v>
      </c>
      <c r="F824">
        <v>4</v>
      </c>
      <c r="G824">
        <v>1</v>
      </c>
      <c r="H824">
        <f>표4[[#This Row],[공격성공횟수]]/(표4[[#This Row],[공격실패횟수]]+표4[[#This Row],[공격성공횟수]])</f>
        <v>0</v>
      </c>
    </row>
    <row r="825" spans="1:8" hidden="1" x14ac:dyDescent="0.4">
      <c r="A825">
        <v>412</v>
      </c>
      <c r="B825" t="s">
        <v>2</v>
      </c>
      <c r="C825">
        <v>1</v>
      </c>
      <c r="D825">
        <v>4</v>
      </c>
      <c r="E825">
        <v>17</v>
      </c>
      <c r="F825">
        <v>0</v>
      </c>
      <c r="G825">
        <v>0</v>
      </c>
      <c r="H825">
        <f>표4[[#This Row],[공격성공횟수]]/(표4[[#This Row],[공격실패횟수]]+표4[[#This Row],[공격성공횟수]])</f>
        <v>0.19047619047619047</v>
      </c>
    </row>
    <row r="826" spans="1:8" x14ac:dyDescent="0.4">
      <c r="A826">
        <v>413</v>
      </c>
      <c r="B826" t="s">
        <v>3</v>
      </c>
      <c r="C826">
        <v>1</v>
      </c>
      <c r="D826">
        <v>4</v>
      </c>
      <c r="E826">
        <v>14</v>
      </c>
      <c r="F826">
        <v>3</v>
      </c>
      <c r="G826">
        <v>0</v>
      </c>
      <c r="H826">
        <f>표4[[#This Row],[공격성공횟수]]/(표4[[#This Row],[공격실패횟수]]+표4[[#This Row],[공격성공횟수]])</f>
        <v>0.22222222222222221</v>
      </c>
    </row>
    <row r="827" spans="1:8" hidden="1" x14ac:dyDescent="0.4">
      <c r="A827">
        <v>413</v>
      </c>
      <c r="B827" t="s">
        <v>2</v>
      </c>
      <c r="C827">
        <v>0</v>
      </c>
      <c r="D827">
        <v>3</v>
      </c>
      <c r="E827">
        <v>15</v>
      </c>
      <c r="F827">
        <v>4</v>
      </c>
      <c r="G827">
        <v>1</v>
      </c>
      <c r="H827">
        <f>표4[[#This Row],[공격성공횟수]]/(표4[[#This Row],[공격실패횟수]]+표4[[#This Row],[공격성공횟수]])</f>
        <v>0.16666666666666666</v>
      </c>
    </row>
    <row r="828" spans="1:8" x14ac:dyDescent="0.4">
      <c r="A828">
        <v>414</v>
      </c>
      <c r="B828" t="s">
        <v>3</v>
      </c>
      <c r="C828">
        <v>0</v>
      </c>
      <c r="D828">
        <v>3</v>
      </c>
      <c r="E828">
        <v>50</v>
      </c>
      <c r="F828">
        <v>4</v>
      </c>
      <c r="G828">
        <v>1</v>
      </c>
      <c r="H828">
        <f>표4[[#This Row],[공격성공횟수]]/(표4[[#This Row],[공격실패횟수]]+표4[[#This Row],[공격성공횟수]])</f>
        <v>5.6603773584905662E-2</v>
      </c>
    </row>
    <row r="829" spans="1:8" hidden="1" x14ac:dyDescent="0.4">
      <c r="A829">
        <v>414</v>
      </c>
      <c r="B829" t="s">
        <v>2</v>
      </c>
      <c r="C829">
        <v>1</v>
      </c>
      <c r="D829">
        <v>4</v>
      </c>
      <c r="E829">
        <v>50</v>
      </c>
      <c r="F829">
        <v>3</v>
      </c>
      <c r="G829">
        <v>0</v>
      </c>
      <c r="H829">
        <f>표4[[#This Row],[공격성공횟수]]/(표4[[#This Row],[공격실패횟수]]+표4[[#This Row],[공격성공횟수]])</f>
        <v>7.407407407407407E-2</v>
      </c>
    </row>
    <row r="830" spans="1:8" x14ac:dyDescent="0.4">
      <c r="A830">
        <v>415</v>
      </c>
      <c r="B830" t="s">
        <v>3</v>
      </c>
      <c r="C830">
        <v>1</v>
      </c>
      <c r="D830">
        <v>4</v>
      </c>
      <c r="E830">
        <v>11</v>
      </c>
      <c r="F830">
        <v>2</v>
      </c>
      <c r="G830">
        <v>0</v>
      </c>
      <c r="H830">
        <f>표4[[#This Row],[공격성공횟수]]/(표4[[#This Row],[공격실패횟수]]+표4[[#This Row],[공격성공횟수]])</f>
        <v>0.26666666666666666</v>
      </c>
    </row>
    <row r="831" spans="1:8" hidden="1" x14ac:dyDescent="0.4">
      <c r="A831">
        <v>415</v>
      </c>
      <c r="B831" t="s">
        <v>2</v>
      </c>
      <c r="C831">
        <v>0</v>
      </c>
      <c r="D831">
        <v>2</v>
      </c>
      <c r="E831">
        <v>16</v>
      </c>
      <c r="F831">
        <v>4</v>
      </c>
      <c r="G831">
        <v>1</v>
      </c>
      <c r="H831">
        <f>표4[[#This Row],[공격성공횟수]]/(표4[[#This Row],[공격실패횟수]]+표4[[#This Row],[공격성공횟수]])</f>
        <v>0.1111111111111111</v>
      </c>
    </row>
    <row r="832" spans="1:8" x14ac:dyDescent="0.4">
      <c r="A832">
        <v>416</v>
      </c>
      <c r="B832" t="s">
        <v>3</v>
      </c>
      <c r="C832">
        <v>1</v>
      </c>
      <c r="D832">
        <v>4</v>
      </c>
      <c r="E832">
        <v>14</v>
      </c>
      <c r="F832">
        <v>1</v>
      </c>
      <c r="G832">
        <v>0</v>
      </c>
      <c r="H832">
        <f>표4[[#This Row],[공격성공횟수]]/(표4[[#This Row],[공격실패횟수]]+표4[[#This Row],[공격성공횟수]])</f>
        <v>0.22222222222222221</v>
      </c>
    </row>
    <row r="833" spans="1:8" hidden="1" x14ac:dyDescent="0.4">
      <c r="A833">
        <v>416</v>
      </c>
      <c r="B833" t="s">
        <v>2</v>
      </c>
      <c r="C833">
        <v>0</v>
      </c>
      <c r="D833">
        <v>1</v>
      </c>
      <c r="E833">
        <v>17</v>
      </c>
      <c r="F833">
        <v>4</v>
      </c>
      <c r="G833">
        <v>1</v>
      </c>
      <c r="H833">
        <f>표4[[#This Row],[공격성공횟수]]/(표4[[#This Row],[공격실패횟수]]+표4[[#This Row],[공격성공횟수]])</f>
        <v>5.5555555555555552E-2</v>
      </c>
    </row>
    <row r="834" spans="1:8" x14ac:dyDescent="0.4">
      <c r="A834">
        <v>417</v>
      </c>
      <c r="B834" t="s">
        <v>3</v>
      </c>
      <c r="C834">
        <v>1</v>
      </c>
      <c r="D834">
        <v>4</v>
      </c>
      <c r="E834">
        <v>40</v>
      </c>
      <c r="F834">
        <v>3</v>
      </c>
      <c r="G834">
        <v>0</v>
      </c>
      <c r="H834">
        <f>표4[[#This Row],[공격성공횟수]]/(표4[[#This Row],[공격실패횟수]]+표4[[#This Row],[공격성공횟수]])</f>
        <v>9.0909090909090912E-2</v>
      </c>
    </row>
    <row r="835" spans="1:8" hidden="1" x14ac:dyDescent="0.4">
      <c r="A835">
        <v>417</v>
      </c>
      <c r="B835" t="s">
        <v>2</v>
      </c>
      <c r="C835">
        <v>0</v>
      </c>
      <c r="D835">
        <v>3</v>
      </c>
      <c r="E835">
        <v>63</v>
      </c>
      <c r="F835">
        <v>4</v>
      </c>
      <c r="G835">
        <v>1</v>
      </c>
      <c r="H835">
        <f>표4[[#This Row],[공격성공횟수]]/(표4[[#This Row],[공격실패횟수]]+표4[[#This Row],[공격성공횟수]])</f>
        <v>4.5454545454545456E-2</v>
      </c>
    </row>
    <row r="836" spans="1:8" x14ac:dyDescent="0.4">
      <c r="A836">
        <v>418</v>
      </c>
      <c r="B836" t="s">
        <v>3</v>
      </c>
      <c r="C836">
        <v>0</v>
      </c>
      <c r="D836">
        <v>1</v>
      </c>
      <c r="E836">
        <v>5</v>
      </c>
      <c r="F836">
        <v>4</v>
      </c>
      <c r="G836">
        <v>1</v>
      </c>
      <c r="H836">
        <f>표4[[#This Row],[공격성공횟수]]/(표4[[#This Row],[공격실패횟수]]+표4[[#This Row],[공격성공횟수]])</f>
        <v>0.16666666666666666</v>
      </c>
    </row>
    <row r="837" spans="1:8" hidden="1" x14ac:dyDescent="0.4">
      <c r="A837">
        <v>418</v>
      </c>
      <c r="B837" t="s">
        <v>2</v>
      </c>
      <c r="C837">
        <v>1</v>
      </c>
      <c r="D837">
        <v>4</v>
      </c>
      <c r="E837">
        <v>9</v>
      </c>
      <c r="F837">
        <v>1</v>
      </c>
      <c r="G837">
        <v>0</v>
      </c>
      <c r="H837">
        <f>표4[[#This Row],[공격성공횟수]]/(표4[[#This Row],[공격실패횟수]]+표4[[#This Row],[공격성공횟수]])</f>
        <v>0.30769230769230771</v>
      </c>
    </row>
    <row r="838" spans="1:8" x14ac:dyDescent="0.4">
      <c r="A838">
        <v>419</v>
      </c>
      <c r="B838" t="s">
        <v>3</v>
      </c>
      <c r="C838">
        <v>1</v>
      </c>
      <c r="D838">
        <v>4</v>
      </c>
      <c r="E838">
        <v>54</v>
      </c>
      <c r="F838">
        <v>0</v>
      </c>
      <c r="G838">
        <v>0</v>
      </c>
      <c r="H838">
        <f>표4[[#This Row],[공격성공횟수]]/(표4[[#This Row],[공격실패횟수]]+표4[[#This Row],[공격성공횟수]])</f>
        <v>6.8965517241379309E-2</v>
      </c>
    </row>
    <row r="839" spans="1:8" hidden="1" x14ac:dyDescent="0.4">
      <c r="A839">
        <v>419</v>
      </c>
      <c r="B839" t="s">
        <v>2</v>
      </c>
      <c r="C839">
        <v>0</v>
      </c>
      <c r="D839">
        <v>0</v>
      </c>
      <c r="E839">
        <v>64</v>
      </c>
      <c r="F839">
        <v>4</v>
      </c>
      <c r="G839">
        <v>1</v>
      </c>
      <c r="H839">
        <f>표4[[#This Row],[공격성공횟수]]/(표4[[#This Row],[공격실패횟수]]+표4[[#This Row],[공격성공횟수]])</f>
        <v>0</v>
      </c>
    </row>
    <row r="840" spans="1:8" x14ac:dyDescent="0.4">
      <c r="A840">
        <v>420</v>
      </c>
      <c r="B840" t="s">
        <v>3</v>
      </c>
      <c r="C840">
        <v>1</v>
      </c>
      <c r="D840">
        <v>4</v>
      </c>
      <c r="E840">
        <v>22</v>
      </c>
      <c r="F840">
        <v>2</v>
      </c>
      <c r="G840">
        <v>0</v>
      </c>
      <c r="H840">
        <f>표4[[#This Row],[공격성공횟수]]/(표4[[#This Row],[공격실패횟수]]+표4[[#This Row],[공격성공횟수]])</f>
        <v>0.15384615384615385</v>
      </c>
    </row>
    <row r="841" spans="1:8" hidden="1" x14ac:dyDescent="0.4">
      <c r="A841">
        <v>420</v>
      </c>
      <c r="B841" t="s">
        <v>2</v>
      </c>
      <c r="C841">
        <v>0</v>
      </c>
      <c r="D841">
        <v>2</v>
      </c>
      <c r="E841">
        <v>25</v>
      </c>
      <c r="F841">
        <v>4</v>
      </c>
      <c r="G841">
        <v>1</v>
      </c>
      <c r="H841">
        <f>표4[[#This Row],[공격성공횟수]]/(표4[[#This Row],[공격실패횟수]]+표4[[#This Row],[공격성공횟수]])</f>
        <v>7.407407407407407E-2</v>
      </c>
    </row>
    <row r="842" spans="1:8" x14ac:dyDescent="0.4">
      <c r="A842">
        <v>421</v>
      </c>
      <c r="B842" t="s">
        <v>3</v>
      </c>
      <c r="C842">
        <v>1</v>
      </c>
      <c r="D842">
        <v>4</v>
      </c>
      <c r="E842">
        <v>31</v>
      </c>
      <c r="F842">
        <v>2</v>
      </c>
      <c r="G842">
        <v>0</v>
      </c>
      <c r="H842">
        <f>표4[[#This Row],[공격성공횟수]]/(표4[[#This Row],[공격실패횟수]]+표4[[#This Row],[공격성공횟수]])</f>
        <v>0.11428571428571428</v>
      </c>
    </row>
    <row r="843" spans="1:8" hidden="1" x14ac:dyDescent="0.4">
      <c r="A843">
        <v>421</v>
      </c>
      <c r="B843" t="s">
        <v>2</v>
      </c>
      <c r="C843">
        <v>0</v>
      </c>
      <c r="D843">
        <v>2</v>
      </c>
      <c r="E843">
        <v>33</v>
      </c>
      <c r="F843">
        <v>4</v>
      </c>
      <c r="G843">
        <v>1</v>
      </c>
      <c r="H843">
        <f>표4[[#This Row],[공격성공횟수]]/(표4[[#This Row],[공격실패횟수]]+표4[[#This Row],[공격성공횟수]])</f>
        <v>5.7142857142857141E-2</v>
      </c>
    </row>
    <row r="844" spans="1:8" x14ac:dyDescent="0.4">
      <c r="A844">
        <v>422</v>
      </c>
      <c r="B844" t="s">
        <v>3</v>
      </c>
      <c r="C844">
        <v>1</v>
      </c>
      <c r="D844">
        <v>4</v>
      </c>
      <c r="E844">
        <v>5</v>
      </c>
      <c r="F844">
        <v>1</v>
      </c>
      <c r="G844">
        <v>0</v>
      </c>
      <c r="H844">
        <f>표4[[#This Row],[공격성공횟수]]/(표4[[#This Row],[공격실패횟수]]+표4[[#This Row],[공격성공횟수]])</f>
        <v>0.44444444444444442</v>
      </c>
    </row>
    <row r="845" spans="1:8" hidden="1" x14ac:dyDescent="0.4">
      <c r="A845">
        <v>422</v>
      </c>
      <c r="B845" t="s">
        <v>2</v>
      </c>
      <c r="C845">
        <v>0</v>
      </c>
      <c r="D845">
        <v>1</v>
      </c>
      <c r="E845">
        <v>7</v>
      </c>
      <c r="F845">
        <v>4</v>
      </c>
      <c r="G845">
        <v>1</v>
      </c>
      <c r="H845">
        <f>표4[[#This Row],[공격성공횟수]]/(표4[[#This Row],[공격실패횟수]]+표4[[#This Row],[공격성공횟수]])</f>
        <v>0.125</v>
      </c>
    </row>
    <row r="846" spans="1:8" x14ac:dyDescent="0.4">
      <c r="A846">
        <v>423</v>
      </c>
      <c r="B846" t="s">
        <v>3</v>
      </c>
      <c r="C846">
        <v>1</v>
      </c>
      <c r="D846">
        <v>4</v>
      </c>
      <c r="E846">
        <v>5</v>
      </c>
      <c r="F846">
        <v>0</v>
      </c>
      <c r="G846">
        <v>0</v>
      </c>
      <c r="H846">
        <f>표4[[#This Row],[공격성공횟수]]/(표4[[#This Row],[공격실패횟수]]+표4[[#This Row],[공격성공횟수]])</f>
        <v>0.44444444444444442</v>
      </c>
    </row>
    <row r="847" spans="1:8" hidden="1" x14ac:dyDescent="0.4">
      <c r="A847">
        <v>423</v>
      </c>
      <c r="B847" t="s">
        <v>2</v>
      </c>
      <c r="C847">
        <v>0</v>
      </c>
      <c r="D847">
        <v>0</v>
      </c>
      <c r="E847">
        <v>9</v>
      </c>
      <c r="F847">
        <v>4</v>
      </c>
      <c r="G847">
        <v>1</v>
      </c>
      <c r="H847">
        <f>표4[[#This Row],[공격성공횟수]]/(표4[[#This Row],[공격실패횟수]]+표4[[#This Row],[공격성공횟수]])</f>
        <v>0</v>
      </c>
    </row>
    <row r="848" spans="1:8" x14ac:dyDescent="0.4">
      <c r="A848">
        <v>424</v>
      </c>
      <c r="B848" t="s">
        <v>3</v>
      </c>
      <c r="C848">
        <v>1</v>
      </c>
      <c r="D848">
        <v>4</v>
      </c>
      <c r="E848">
        <v>18</v>
      </c>
      <c r="F848">
        <v>3</v>
      </c>
      <c r="G848">
        <v>0</v>
      </c>
      <c r="H848">
        <f>표4[[#This Row],[공격성공횟수]]/(표4[[#This Row],[공격실패횟수]]+표4[[#This Row],[공격성공횟수]])</f>
        <v>0.18181818181818182</v>
      </c>
    </row>
    <row r="849" spans="1:8" hidden="1" x14ac:dyDescent="0.4">
      <c r="A849">
        <v>424</v>
      </c>
      <c r="B849" t="s">
        <v>2</v>
      </c>
      <c r="C849">
        <v>0</v>
      </c>
      <c r="D849">
        <v>3</v>
      </c>
      <c r="E849">
        <v>18</v>
      </c>
      <c r="F849">
        <v>4</v>
      </c>
      <c r="G849">
        <v>1</v>
      </c>
      <c r="H849">
        <f>표4[[#This Row],[공격성공횟수]]/(표4[[#This Row],[공격실패횟수]]+표4[[#This Row],[공격성공횟수]])</f>
        <v>0.14285714285714285</v>
      </c>
    </row>
    <row r="850" spans="1:8" x14ac:dyDescent="0.4">
      <c r="A850">
        <v>425</v>
      </c>
      <c r="B850" t="s">
        <v>3</v>
      </c>
      <c r="C850">
        <v>1</v>
      </c>
      <c r="D850">
        <v>4</v>
      </c>
      <c r="E850">
        <v>6</v>
      </c>
      <c r="F850">
        <v>2</v>
      </c>
      <c r="G850">
        <v>0</v>
      </c>
      <c r="H850">
        <f>표4[[#This Row],[공격성공횟수]]/(표4[[#This Row],[공격실패횟수]]+표4[[#This Row],[공격성공횟수]])</f>
        <v>0.4</v>
      </c>
    </row>
    <row r="851" spans="1:8" hidden="1" x14ac:dyDescent="0.4">
      <c r="A851">
        <v>425</v>
      </c>
      <c r="B851" t="s">
        <v>2</v>
      </c>
      <c r="C851">
        <v>0</v>
      </c>
      <c r="D851">
        <v>2</v>
      </c>
      <c r="E851">
        <v>8</v>
      </c>
      <c r="F851">
        <v>4</v>
      </c>
      <c r="G851">
        <v>1</v>
      </c>
      <c r="H851">
        <f>표4[[#This Row],[공격성공횟수]]/(표4[[#This Row],[공격실패횟수]]+표4[[#This Row],[공격성공횟수]])</f>
        <v>0.2</v>
      </c>
    </row>
    <row r="852" spans="1:8" x14ac:dyDescent="0.4">
      <c r="A852">
        <v>426</v>
      </c>
      <c r="B852" t="s">
        <v>3</v>
      </c>
      <c r="C852">
        <v>1</v>
      </c>
      <c r="D852">
        <v>4</v>
      </c>
      <c r="E852">
        <v>4</v>
      </c>
      <c r="F852">
        <v>1</v>
      </c>
      <c r="G852">
        <v>0</v>
      </c>
      <c r="H852">
        <f>표4[[#This Row],[공격성공횟수]]/(표4[[#This Row],[공격실패횟수]]+표4[[#This Row],[공격성공횟수]])</f>
        <v>0.5</v>
      </c>
    </row>
    <row r="853" spans="1:8" hidden="1" x14ac:dyDescent="0.4">
      <c r="A853">
        <v>426</v>
      </c>
      <c r="B853" t="s">
        <v>2</v>
      </c>
      <c r="C853">
        <v>0</v>
      </c>
      <c r="D853">
        <v>1</v>
      </c>
      <c r="E853">
        <v>7</v>
      </c>
      <c r="F853">
        <v>4</v>
      </c>
      <c r="G853">
        <v>1</v>
      </c>
      <c r="H853">
        <f>표4[[#This Row],[공격성공횟수]]/(표4[[#This Row],[공격실패횟수]]+표4[[#This Row],[공격성공횟수]])</f>
        <v>0.125</v>
      </c>
    </row>
    <row r="854" spans="1:8" x14ac:dyDescent="0.4">
      <c r="A854">
        <v>427</v>
      </c>
      <c r="B854" t="s">
        <v>3</v>
      </c>
      <c r="C854">
        <v>1</v>
      </c>
      <c r="D854">
        <v>4</v>
      </c>
      <c r="E854">
        <v>5</v>
      </c>
      <c r="F854">
        <v>0</v>
      </c>
      <c r="G854">
        <v>0</v>
      </c>
      <c r="H854">
        <f>표4[[#This Row],[공격성공횟수]]/(표4[[#This Row],[공격실패횟수]]+표4[[#This Row],[공격성공횟수]])</f>
        <v>0.44444444444444442</v>
      </c>
    </row>
    <row r="855" spans="1:8" hidden="1" x14ac:dyDescent="0.4">
      <c r="A855">
        <v>427</v>
      </c>
      <c r="B855" t="s">
        <v>2</v>
      </c>
      <c r="C855">
        <v>0</v>
      </c>
      <c r="D855">
        <v>0</v>
      </c>
      <c r="E855">
        <v>9</v>
      </c>
      <c r="F855">
        <v>4</v>
      </c>
      <c r="G855">
        <v>1</v>
      </c>
      <c r="H855">
        <f>표4[[#This Row],[공격성공횟수]]/(표4[[#This Row],[공격실패횟수]]+표4[[#This Row],[공격성공횟수]])</f>
        <v>0</v>
      </c>
    </row>
    <row r="856" spans="1:8" x14ac:dyDescent="0.4">
      <c r="A856">
        <v>428</v>
      </c>
      <c r="B856" t="s">
        <v>3</v>
      </c>
      <c r="C856">
        <v>1</v>
      </c>
      <c r="D856">
        <v>4</v>
      </c>
      <c r="E856">
        <v>14</v>
      </c>
      <c r="F856">
        <v>2</v>
      </c>
      <c r="G856">
        <v>0</v>
      </c>
      <c r="H856">
        <f>표4[[#This Row],[공격성공횟수]]/(표4[[#This Row],[공격실패횟수]]+표4[[#This Row],[공격성공횟수]])</f>
        <v>0.22222222222222221</v>
      </c>
    </row>
    <row r="857" spans="1:8" hidden="1" x14ac:dyDescent="0.4">
      <c r="A857">
        <v>428</v>
      </c>
      <c r="B857" t="s">
        <v>2</v>
      </c>
      <c r="C857">
        <v>0</v>
      </c>
      <c r="D857">
        <v>2</v>
      </c>
      <c r="E857">
        <v>15</v>
      </c>
      <c r="F857">
        <v>4</v>
      </c>
      <c r="G857">
        <v>1</v>
      </c>
      <c r="H857">
        <f>표4[[#This Row],[공격성공횟수]]/(표4[[#This Row],[공격실패횟수]]+표4[[#This Row],[공격성공횟수]])</f>
        <v>0.11764705882352941</v>
      </c>
    </row>
    <row r="858" spans="1:8" x14ac:dyDescent="0.4">
      <c r="A858">
        <v>429</v>
      </c>
      <c r="B858" t="s">
        <v>3</v>
      </c>
      <c r="C858">
        <v>0</v>
      </c>
      <c r="D858">
        <v>3</v>
      </c>
      <c r="E858">
        <v>13</v>
      </c>
      <c r="F858">
        <v>4</v>
      </c>
      <c r="G858">
        <v>1</v>
      </c>
      <c r="H858">
        <f>표4[[#This Row],[공격성공횟수]]/(표4[[#This Row],[공격실패횟수]]+표4[[#This Row],[공격성공횟수]])</f>
        <v>0.1875</v>
      </c>
    </row>
    <row r="859" spans="1:8" hidden="1" x14ac:dyDescent="0.4">
      <c r="A859">
        <v>429</v>
      </c>
      <c r="B859" t="s">
        <v>2</v>
      </c>
      <c r="C859">
        <v>1</v>
      </c>
      <c r="D859">
        <v>4</v>
      </c>
      <c r="E859">
        <v>13</v>
      </c>
      <c r="F859">
        <v>3</v>
      </c>
      <c r="G859">
        <v>0</v>
      </c>
      <c r="H859">
        <f>표4[[#This Row],[공격성공횟수]]/(표4[[#This Row],[공격실패횟수]]+표4[[#This Row],[공격성공횟수]])</f>
        <v>0.23529411764705882</v>
      </c>
    </row>
    <row r="860" spans="1:8" x14ac:dyDescent="0.4">
      <c r="A860">
        <v>430</v>
      </c>
      <c r="B860" t="s">
        <v>3</v>
      </c>
      <c r="C860">
        <v>1</v>
      </c>
      <c r="D860">
        <v>4</v>
      </c>
      <c r="E860">
        <v>9</v>
      </c>
      <c r="F860">
        <v>1</v>
      </c>
      <c r="G860">
        <v>0</v>
      </c>
      <c r="H860">
        <f>표4[[#This Row],[공격성공횟수]]/(표4[[#This Row],[공격실패횟수]]+표4[[#This Row],[공격성공횟수]])</f>
        <v>0.30769230769230771</v>
      </c>
    </row>
    <row r="861" spans="1:8" hidden="1" x14ac:dyDescent="0.4">
      <c r="A861">
        <v>430</v>
      </c>
      <c r="B861" t="s">
        <v>2</v>
      </c>
      <c r="C861">
        <v>0</v>
      </c>
      <c r="D861">
        <v>1</v>
      </c>
      <c r="E861">
        <v>11</v>
      </c>
      <c r="F861">
        <v>4</v>
      </c>
      <c r="G861">
        <v>1</v>
      </c>
      <c r="H861">
        <f>표4[[#This Row],[공격성공횟수]]/(표4[[#This Row],[공격실패횟수]]+표4[[#This Row],[공격성공횟수]])</f>
        <v>8.3333333333333329E-2</v>
      </c>
    </row>
    <row r="862" spans="1:8" x14ac:dyDescent="0.4">
      <c r="A862">
        <v>431</v>
      </c>
      <c r="B862" t="s">
        <v>3</v>
      </c>
      <c r="C862">
        <v>1</v>
      </c>
      <c r="D862">
        <v>4</v>
      </c>
      <c r="E862">
        <v>9</v>
      </c>
      <c r="F862">
        <v>2</v>
      </c>
      <c r="G862">
        <v>0</v>
      </c>
      <c r="H862">
        <f>표4[[#This Row],[공격성공횟수]]/(표4[[#This Row],[공격실패횟수]]+표4[[#This Row],[공격성공횟수]])</f>
        <v>0.30769230769230771</v>
      </c>
    </row>
    <row r="863" spans="1:8" hidden="1" x14ac:dyDescent="0.4">
      <c r="A863">
        <v>431</v>
      </c>
      <c r="B863" t="s">
        <v>2</v>
      </c>
      <c r="C863">
        <v>0</v>
      </c>
      <c r="D863">
        <v>2</v>
      </c>
      <c r="E863">
        <v>10</v>
      </c>
      <c r="F863">
        <v>4</v>
      </c>
      <c r="G863">
        <v>1</v>
      </c>
      <c r="H863">
        <f>표4[[#This Row],[공격성공횟수]]/(표4[[#This Row],[공격실패횟수]]+표4[[#This Row],[공격성공횟수]])</f>
        <v>0.16666666666666666</v>
      </c>
    </row>
    <row r="864" spans="1:8" x14ac:dyDescent="0.4">
      <c r="A864">
        <v>432</v>
      </c>
      <c r="B864" t="s">
        <v>3</v>
      </c>
      <c r="C864">
        <v>1</v>
      </c>
      <c r="D864">
        <v>4</v>
      </c>
      <c r="E864">
        <v>6</v>
      </c>
      <c r="F864">
        <v>2</v>
      </c>
      <c r="G864">
        <v>0</v>
      </c>
      <c r="H864">
        <f>표4[[#This Row],[공격성공횟수]]/(표4[[#This Row],[공격실패횟수]]+표4[[#This Row],[공격성공횟수]])</f>
        <v>0.4</v>
      </c>
    </row>
    <row r="865" spans="1:8" hidden="1" x14ac:dyDescent="0.4">
      <c r="A865">
        <v>432</v>
      </c>
      <c r="B865" t="s">
        <v>2</v>
      </c>
      <c r="C865">
        <v>0</v>
      </c>
      <c r="D865">
        <v>2</v>
      </c>
      <c r="E865">
        <v>15</v>
      </c>
      <c r="F865">
        <v>4</v>
      </c>
      <c r="G865">
        <v>1</v>
      </c>
      <c r="H865">
        <f>표4[[#This Row],[공격성공횟수]]/(표4[[#This Row],[공격실패횟수]]+표4[[#This Row],[공격성공횟수]])</f>
        <v>0.11764705882352941</v>
      </c>
    </row>
    <row r="866" spans="1:8" x14ac:dyDescent="0.4">
      <c r="A866">
        <v>433</v>
      </c>
      <c r="B866" t="s">
        <v>3</v>
      </c>
      <c r="C866">
        <v>0</v>
      </c>
      <c r="D866">
        <v>0</v>
      </c>
      <c r="E866">
        <v>2</v>
      </c>
      <c r="F866">
        <v>4</v>
      </c>
      <c r="G866">
        <v>1</v>
      </c>
      <c r="H866">
        <f>표4[[#This Row],[공격성공횟수]]/(표4[[#This Row],[공격실패횟수]]+표4[[#This Row],[공격성공횟수]])</f>
        <v>0</v>
      </c>
    </row>
    <row r="867" spans="1:8" hidden="1" x14ac:dyDescent="0.4">
      <c r="A867">
        <v>433</v>
      </c>
      <c r="B867" t="s">
        <v>2</v>
      </c>
      <c r="C867">
        <v>1</v>
      </c>
      <c r="D867">
        <v>4</v>
      </c>
      <c r="E867">
        <v>10</v>
      </c>
      <c r="F867">
        <v>0</v>
      </c>
      <c r="G867">
        <v>0</v>
      </c>
      <c r="H867">
        <f>표4[[#This Row],[공격성공횟수]]/(표4[[#This Row],[공격실패횟수]]+표4[[#This Row],[공격성공횟수]])</f>
        <v>0.2857142857142857</v>
      </c>
    </row>
    <row r="868" spans="1:8" x14ac:dyDescent="0.4">
      <c r="A868">
        <v>434</v>
      </c>
      <c r="B868" t="s">
        <v>3</v>
      </c>
      <c r="C868">
        <v>1</v>
      </c>
      <c r="D868">
        <v>4</v>
      </c>
      <c r="E868">
        <v>10</v>
      </c>
      <c r="F868">
        <v>0</v>
      </c>
      <c r="G868">
        <v>0</v>
      </c>
      <c r="H868">
        <f>표4[[#This Row],[공격성공횟수]]/(표4[[#This Row],[공격실패횟수]]+표4[[#This Row],[공격성공횟수]])</f>
        <v>0.2857142857142857</v>
      </c>
    </row>
    <row r="869" spans="1:8" hidden="1" x14ac:dyDescent="0.4">
      <c r="A869">
        <v>434</v>
      </c>
      <c r="B869" t="s">
        <v>2</v>
      </c>
      <c r="C869">
        <v>0</v>
      </c>
      <c r="D869">
        <v>0</v>
      </c>
      <c r="E869">
        <v>12</v>
      </c>
      <c r="F869">
        <v>4</v>
      </c>
      <c r="G869">
        <v>1</v>
      </c>
      <c r="H869">
        <f>표4[[#This Row],[공격성공횟수]]/(표4[[#This Row],[공격실패횟수]]+표4[[#This Row],[공격성공횟수]])</f>
        <v>0</v>
      </c>
    </row>
    <row r="870" spans="1:8" x14ac:dyDescent="0.4">
      <c r="A870">
        <v>435</v>
      </c>
      <c r="B870" t="s">
        <v>3</v>
      </c>
      <c r="C870">
        <v>1</v>
      </c>
      <c r="D870">
        <v>4</v>
      </c>
      <c r="E870">
        <v>13</v>
      </c>
      <c r="F870">
        <v>2</v>
      </c>
      <c r="G870">
        <v>0</v>
      </c>
      <c r="H870">
        <f>표4[[#This Row],[공격성공횟수]]/(표4[[#This Row],[공격실패횟수]]+표4[[#This Row],[공격성공횟수]])</f>
        <v>0.23529411764705882</v>
      </c>
    </row>
    <row r="871" spans="1:8" hidden="1" x14ac:dyDescent="0.4">
      <c r="A871">
        <v>435</v>
      </c>
      <c r="B871" t="s">
        <v>2</v>
      </c>
      <c r="C871">
        <v>0</v>
      </c>
      <c r="D871">
        <v>2</v>
      </c>
      <c r="E871">
        <v>15</v>
      </c>
      <c r="F871">
        <v>4</v>
      </c>
      <c r="G871">
        <v>1</v>
      </c>
      <c r="H871">
        <f>표4[[#This Row],[공격성공횟수]]/(표4[[#This Row],[공격실패횟수]]+표4[[#This Row],[공격성공횟수]])</f>
        <v>0.11764705882352941</v>
      </c>
    </row>
    <row r="872" spans="1:8" x14ac:dyDescent="0.4">
      <c r="A872">
        <v>436</v>
      </c>
      <c r="B872" t="s">
        <v>3</v>
      </c>
      <c r="C872">
        <v>0</v>
      </c>
      <c r="D872">
        <v>3</v>
      </c>
      <c r="E872">
        <v>8</v>
      </c>
      <c r="F872">
        <v>4</v>
      </c>
      <c r="G872">
        <v>1</v>
      </c>
      <c r="H872">
        <f>표4[[#This Row],[공격성공횟수]]/(표4[[#This Row],[공격실패횟수]]+표4[[#This Row],[공격성공횟수]])</f>
        <v>0.27272727272727271</v>
      </c>
    </row>
    <row r="873" spans="1:8" hidden="1" x14ac:dyDescent="0.4">
      <c r="A873">
        <v>436</v>
      </c>
      <c r="B873" t="s">
        <v>2</v>
      </c>
      <c r="C873">
        <v>1</v>
      </c>
      <c r="D873">
        <v>4</v>
      </c>
      <c r="E873">
        <v>13</v>
      </c>
      <c r="F873">
        <v>3</v>
      </c>
      <c r="G873">
        <v>0</v>
      </c>
      <c r="H873">
        <f>표4[[#This Row],[공격성공횟수]]/(표4[[#This Row],[공격실패횟수]]+표4[[#This Row],[공격성공횟수]])</f>
        <v>0.23529411764705882</v>
      </c>
    </row>
    <row r="874" spans="1:8" x14ac:dyDescent="0.4">
      <c r="A874">
        <v>437</v>
      </c>
      <c r="B874" t="s">
        <v>3</v>
      </c>
      <c r="C874">
        <v>1</v>
      </c>
      <c r="D874">
        <v>4</v>
      </c>
      <c r="E874">
        <v>12</v>
      </c>
      <c r="F874">
        <v>0</v>
      </c>
      <c r="G874">
        <v>0</v>
      </c>
      <c r="H874">
        <f>표4[[#This Row],[공격성공횟수]]/(표4[[#This Row],[공격실패횟수]]+표4[[#This Row],[공격성공횟수]])</f>
        <v>0.25</v>
      </c>
    </row>
    <row r="875" spans="1:8" hidden="1" x14ac:dyDescent="0.4">
      <c r="A875">
        <v>437</v>
      </c>
      <c r="B875" t="s">
        <v>2</v>
      </c>
      <c r="C875">
        <v>0</v>
      </c>
      <c r="D875">
        <v>0</v>
      </c>
      <c r="E875">
        <v>15</v>
      </c>
      <c r="F875">
        <v>4</v>
      </c>
      <c r="G875">
        <v>1</v>
      </c>
      <c r="H875">
        <f>표4[[#This Row],[공격성공횟수]]/(표4[[#This Row],[공격실패횟수]]+표4[[#This Row],[공격성공횟수]])</f>
        <v>0</v>
      </c>
    </row>
    <row r="876" spans="1:8" x14ac:dyDescent="0.4">
      <c r="A876">
        <v>438</v>
      </c>
      <c r="B876" t="s">
        <v>3</v>
      </c>
      <c r="C876">
        <v>1</v>
      </c>
      <c r="D876">
        <v>4</v>
      </c>
      <c r="E876">
        <v>16</v>
      </c>
      <c r="F876">
        <v>2</v>
      </c>
      <c r="G876">
        <v>0</v>
      </c>
      <c r="H876">
        <f>표4[[#This Row],[공격성공횟수]]/(표4[[#This Row],[공격실패횟수]]+표4[[#This Row],[공격성공횟수]])</f>
        <v>0.2</v>
      </c>
    </row>
    <row r="877" spans="1:8" hidden="1" x14ac:dyDescent="0.4">
      <c r="A877">
        <v>438</v>
      </c>
      <c r="B877" t="s">
        <v>2</v>
      </c>
      <c r="C877">
        <v>0</v>
      </c>
      <c r="D877">
        <v>2</v>
      </c>
      <c r="E877">
        <v>17</v>
      </c>
      <c r="F877">
        <v>4</v>
      </c>
      <c r="G877">
        <v>1</v>
      </c>
      <c r="H877">
        <f>표4[[#This Row],[공격성공횟수]]/(표4[[#This Row],[공격실패횟수]]+표4[[#This Row],[공격성공횟수]])</f>
        <v>0.10526315789473684</v>
      </c>
    </row>
    <row r="878" spans="1:8" x14ac:dyDescent="0.4">
      <c r="A878">
        <v>439</v>
      </c>
      <c r="B878" t="s">
        <v>3</v>
      </c>
      <c r="C878">
        <v>1</v>
      </c>
      <c r="D878">
        <v>4</v>
      </c>
      <c r="E878">
        <v>5</v>
      </c>
      <c r="F878">
        <v>0</v>
      </c>
      <c r="G878">
        <v>0</v>
      </c>
      <c r="H878">
        <f>표4[[#This Row],[공격성공횟수]]/(표4[[#This Row],[공격실패횟수]]+표4[[#This Row],[공격성공횟수]])</f>
        <v>0.44444444444444442</v>
      </c>
    </row>
    <row r="879" spans="1:8" hidden="1" x14ac:dyDescent="0.4">
      <c r="A879">
        <v>439</v>
      </c>
      <c r="B879" t="s">
        <v>2</v>
      </c>
      <c r="C879">
        <v>0</v>
      </c>
      <c r="D879">
        <v>0</v>
      </c>
      <c r="E879">
        <v>9</v>
      </c>
      <c r="F879">
        <v>4</v>
      </c>
      <c r="G879">
        <v>1</v>
      </c>
      <c r="H879">
        <f>표4[[#This Row],[공격성공횟수]]/(표4[[#This Row],[공격실패횟수]]+표4[[#This Row],[공격성공횟수]])</f>
        <v>0</v>
      </c>
    </row>
    <row r="880" spans="1:8" x14ac:dyDescent="0.4">
      <c r="A880">
        <v>440</v>
      </c>
      <c r="B880" t="s">
        <v>3</v>
      </c>
      <c r="C880">
        <v>0</v>
      </c>
      <c r="D880">
        <v>0</v>
      </c>
      <c r="E880">
        <v>10</v>
      </c>
      <c r="F880">
        <v>4</v>
      </c>
      <c r="G880">
        <v>1</v>
      </c>
      <c r="H880">
        <f>표4[[#This Row],[공격성공횟수]]/(표4[[#This Row],[공격실패횟수]]+표4[[#This Row],[공격성공횟수]])</f>
        <v>0</v>
      </c>
    </row>
    <row r="881" spans="1:8" hidden="1" x14ac:dyDescent="0.4">
      <c r="A881">
        <v>440</v>
      </c>
      <c r="B881" t="s">
        <v>2</v>
      </c>
      <c r="C881">
        <v>1</v>
      </c>
      <c r="D881">
        <v>4</v>
      </c>
      <c r="E881">
        <v>16</v>
      </c>
      <c r="F881">
        <v>0</v>
      </c>
      <c r="G881">
        <v>0</v>
      </c>
      <c r="H881">
        <f>표4[[#This Row],[공격성공횟수]]/(표4[[#This Row],[공격실패횟수]]+표4[[#This Row],[공격성공횟수]])</f>
        <v>0.2</v>
      </c>
    </row>
    <row r="882" spans="1:8" x14ac:dyDescent="0.4">
      <c r="A882">
        <v>441</v>
      </c>
      <c r="B882" t="s">
        <v>3</v>
      </c>
      <c r="C882">
        <v>1</v>
      </c>
      <c r="D882">
        <v>4</v>
      </c>
      <c r="E882">
        <v>4</v>
      </c>
      <c r="F882">
        <v>1</v>
      </c>
      <c r="G882">
        <v>0</v>
      </c>
      <c r="H882">
        <f>표4[[#This Row],[공격성공횟수]]/(표4[[#This Row],[공격실패횟수]]+표4[[#This Row],[공격성공횟수]])</f>
        <v>0.5</v>
      </c>
    </row>
    <row r="883" spans="1:8" hidden="1" x14ac:dyDescent="0.4">
      <c r="A883">
        <v>441</v>
      </c>
      <c r="B883" t="s">
        <v>2</v>
      </c>
      <c r="C883">
        <v>0</v>
      </c>
      <c r="D883">
        <v>1</v>
      </c>
      <c r="E883">
        <v>6</v>
      </c>
      <c r="F883">
        <v>4</v>
      </c>
      <c r="G883">
        <v>1</v>
      </c>
      <c r="H883">
        <f>표4[[#This Row],[공격성공횟수]]/(표4[[#This Row],[공격실패횟수]]+표4[[#This Row],[공격성공횟수]])</f>
        <v>0.14285714285714285</v>
      </c>
    </row>
    <row r="884" spans="1:8" x14ac:dyDescent="0.4">
      <c r="A884">
        <v>442</v>
      </c>
      <c r="B884" t="s">
        <v>3</v>
      </c>
      <c r="C884">
        <v>0</v>
      </c>
      <c r="D884">
        <v>2</v>
      </c>
      <c r="E884">
        <v>28</v>
      </c>
      <c r="F884">
        <v>4</v>
      </c>
      <c r="G884">
        <v>1</v>
      </c>
      <c r="H884">
        <f>표4[[#This Row],[공격성공횟수]]/(표4[[#This Row],[공격실패횟수]]+표4[[#This Row],[공격성공횟수]])</f>
        <v>6.6666666666666666E-2</v>
      </c>
    </row>
    <row r="885" spans="1:8" hidden="1" x14ac:dyDescent="0.4">
      <c r="A885">
        <v>442</v>
      </c>
      <c r="B885" t="s">
        <v>2</v>
      </c>
      <c r="C885">
        <v>1</v>
      </c>
      <c r="D885">
        <v>4</v>
      </c>
      <c r="E885">
        <v>45</v>
      </c>
      <c r="F885">
        <v>2</v>
      </c>
      <c r="G885">
        <v>0</v>
      </c>
      <c r="H885">
        <f>표4[[#This Row],[공격성공횟수]]/(표4[[#This Row],[공격실패횟수]]+표4[[#This Row],[공격성공횟수]])</f>
        <v>8.1632653061224483E-2</v>
      </c>
    </row>
    <row r="886" spans="1:8" x14ac:dyDescent="0.4">
      <c r="A886">
        <v>443</v>
      </c>
      <c r="B886" t="s">
        <v>3</v>
      </c>
      <c r="C886">
        <v>1</v>
      </c>
      <c r="D886">
        <v>4</v>
      </c>
      <c r="E886">
        <v>21</v>
      </c>
      <c r="F886">
        <v>2</v>
      </c>
      <c r="G886">
        <v>0</v>
      </c>
      <c r="H886">
        <f>표4[[#This Row],[공격성공횟수]]/(표4[[#This Row],[공격실패횟수]]+표4[[#This Row],[공격성공횟수]])</f>
        <v>0.16</v>
      </c>
    </row>
    <row r="887" spans="1:8" hidden="1" x14ac:dyDescent="0.4">
      <c r="A887">
        <v>443</v>
      </c>
      <c r="B887" t="s">
        <v>2</v>
      </c>
      <c r="C887">
        <v>0</v>
      </c>
      <c r="D887">
        <v>2</v>
      </c>
      <c r="E887">
        <v>22</v>
      </c>
      <c r="F887">
        <v>4</v>
      </c>
      <c r="G887">
        <v>1</v>
      </c>
      <c r="H887">
        <f>표4[[#This Row],[공격성공횟수]]/(표4[[#This Row],[공격실패횟수]]+표4[[#This Row],[공격성공횟수]])</f>
        <v>8.3333333333333329E-2</v>
      </c>
    </row>
    <row r="888" spans="1:8" x14ac:dyDescent="0.4">
      <c r="A888">
        <v>444</v>
      </c>
      <c r="B888" t="s">
        <v>3</v>
      </c>
      <c r="C888">
        <v>0</v>
      </c>
      <c r="D888">
        <v>3</v>
      </c>
      <c r="E888">
        <v>6</v>
      </c>
      <c r="F888">
        <v>4</v>
      </c>
      <c r="G888">
        <v>1</v>
      </c>
      <c r="H888">
        <f>표4[[#This Row],[공격성공횟수]]/(표4[[#This Row],[공격실패횟수]]+표4[[#This Row],[공격성공횟수]])</f>
        <v>0.33333333333333331</v>
      </c>
    </row>
    <row r="889" spans="1:8" hidden="1" x14ac:dyDescent="0.4">
      <c r="A889">
        <v>444</v>
      </c>
      <c r="B889" t="s">
        <v>2</v>
      </c>
      <c r="C889">
        <v>1</v>
      </c>
      <c r="D889">
        <v>4</v>
      </c>
      <c r="E889">
        <v>6</v>
      </c>
      <c r="F889">
        <v>3</v>
      </c>
      <c r="G889">
        <v>0</v>
      </c>
      <c r="H889">
        <f>표4[[#This Row],[공격성공횟수]]/(표4[[#This Row],[공격실패횟수]]+표4[[#This Row],[공격성공횟수]])</f>
        <v>0.4</v>
      </c>
    </row>
    <row r="890" spans="1:8" x14ac:dyDescent="0.4">
      <c r="A890">
        <v>445</v>
      </c>
      <c r="B890" t="s">
        <v>3</v>
      </c>
      <c r="C890">
        <v>0</v>
      </c>
      <c r="D890">
        <v>1</v>
      </c>
      <c r="E890">
        <v>11</v>
      </c>
      <c r="F890">
        <v>4</v>
      </c>
      <c r="G890">
        <v>1</v>
      </c>
      <c r="H890">
        <f>표4[[#This Row],[공격성공횟수]]/(표4[[#This Row],[공격실패횟수]]+표4[[#This Row],[공격성공횟수]])</f>
        <v>8.3333333333333329E-2</v>
      </c>
    </row>
    <row r="891" spans="1:8" hidden="1" x14ac:dyDescent="0.4">
      <c r="A891">
        <v>445</v>
      </c>
      <c r="B891" t="s">
        <v>2</v>
      </c>
      <c r="C891">
        <v>1</v>
      </c>
      <c r="D891">
        <v>4</v>
      </c>
      <c r="E891">
        <v>8</v>
      </c>
      <c r="F891">
        <v>1</v>
      </c>
      <c r="G891">
        <v>0</v>
      </c>
      <c r="H891">
        <f>표4[[#This Row],[공격성공횟수]]/(표4[[#This Row],[공격실패횟수]]+표4[[#This Row],[공격성공횟수]])</f>
        <v>0.33333333333333331</v>
      </c>
    </row>
    <row r="892" spans="1:8" x14ac:dyDescent="0.4">
      <c r="A892">
        <v>446</v>
      </c>
      <c r="B892" t="s">
        <v>3</v>
      </c>
      <c r="C892">
        <v>1</v>
      </c>
      <c r="D892">
        <v>4</v>
      </c>
      <c r="E892">
        <v>26</v>
      </c>
      <c r="F892">
        <v>0</v>
      </c>
      <c r="G892">
        <v>0</v>
      </c>
      <c r="H892">
        <f>표4[[#This Row],[공격성공횟수]]/(표4[[#This Row],[공격실패횟수]]+표4[[#This Row],[공격성공횟수]])</f>
        <v>0.13333333333333333</v>
      </c>
    </row>
    <row r="893" spans="1:8" hidden="1" x14ac:dyDescent="0.4">
      <c r="A893">
        <v>446</v>
      </c>
      <c r="B893" t="s">
        <v>2</v>
      </c>
      <c r="C893">
        <v>0</v>
      </c>
      <c r="D893">
        <v>0</v>
      </c>
      <c r="E893">
        <v>30</v>
      </c>
      <c r="F893">
        <v>4</v>
      </c>
      <c r="G893">
        <v>1</v>
      </c>
      <c r="H893">
        <f>표4[[#This Row],[공격성공횟수]]/(표4[[#This Row],[공격실패횟수]]+표4[[#This Row],[공격성공횟수]])</f>
        <v>0</v>
      </c>
    </row>
    <row r="894" spans="1:8" x14ac:dyDescent="0.4">
      <c r="A894">
        <v>447</v>
      </c>
      <c r="B894" t="s">
        <v>3</v>
      </c>
      <c r="C894">
        <v>1</v>
      </c>
      <c r="D894">
        <v>4</v>
      </c>
      <c r="E894">
        <v>5</v>
      </c>
      <c r="F894">
        <v>0</v>
      </c>
      <c r="G894">
        <v>0</v>
      </c>
      <c r="H894">
        <f>표4[[#This Row],[공격성공횟수]]/(표4[[#This Row],[공격실패횟수]]+표4[[#This Row],[공격성공횟수]])</f>
        <v>0.44444444444444442</v>
      </c>
    </row>
    <row r="895" spans="1:8" hidden="1" x14ac:dyDescent="0.4">
      <c r="A895">
        <v>447</v>
      </c>
      <c r="B895" t="s">
        <v>2</v>
      </c>
      <c r="C895">
        <v>0</v>
      </c>
      <c r="D895">
        <v>0</v>
      </c>
      <c r="E895">
        <v>10</v>
      </c>
      <c r="F895">
        <v>4</v>
      </c>
      <c r="G895">
        <v>1</v>
      </c>
      <c r="H895">
        <f>표4[[#This Row],[공격성공횟수]]/(표4[[#This Row],[공격실패횟수]]+표4[[#This Row],[공격성공횟수]])</f>
        <v>0</v>
      </c>
    </row>
    <row r="896" spans="1:8" x14ac:dyDescent="0.4">
      <c r="A896">
        <v>448</v>
      </c>
      <c r="B896" t="s">
        <v>3</v>
      </c>
      <c r="C896">
        <v>1</v>
      </c>
      <c r="D896">
        <v>4</v>
      </c>
      <c r="E896">
        <v>6</v>
      </c>
      <c r="F896">
        <v>3</v>
      </c>
      <c r="G896">
        <v>0</v>
      </c>
      <c r="H896">
        <f>표4[[#This Row],[공격성공횟수]]/(표4[[#This Row],[공격실패횟수]]+표4[[#This Row],[공격성공횟수]])</f>
        <v>0.4</v>
      </c>
    </row>
    <row r="897" spans="1:8" hidden="1" x14ac:dyDescent="0.4">
      <c r="A897">
        <v>448</v>
      </c>
      <c r="B897" t="s">
        <v>2</v>
      </c>
      <c r="C897">
        <v>0</v>
      </c>
      <c r="D897">
        <v>3</v>
      </c>
      <c r="E897">
        <v>8</v>
      </c>
      <c r="F897">
        <v>4</v>
      </c>
      <c r="G897">
        <v>1</v>
      </c>
      <c r="H897">
        <f>표4[[#This Row],[공격성공횟수]]/(표4[[#This Row],[공격실패횟수]]+표4[[#This Row],[공격성공횟수]])</f>
        <v>0.27272727272727271</v>
      </c>
    </row>
    <row r="898" spans="1:8" x14ac:dyDescent="0.4">
      <c r="A898">
        <v>449</v>
      </c>
      <c r="B898" t="s">
        <v>3</v>
      </c>
      <c r="C898">
        <v>1</v>
      </c>
      <c r="D898">
        <v>4</v>
      </c>
      <c r="E898">
        <v>7</v>
      </c>
      <c r="F898">
        <v>2</v>
      </c>
      <c r="G898">
        <v>0</v>
      </c>
      <c r="H898">
        <f>표4[[#This Row],[공격성공횟수]]/(표4[[#This Row],[공격실패횟수]]+표4[[#This Row],[공격성공횟수]])</f>
        <v>0.36363636363636365</v>
      </c>
    </row>
    <row r="899" spans="1:8" hidden="1" x14ac:dyDescent="0.4">
      <c r="A899">
        <v>449</v>
      </c>
      <c r="B899" t="s">
        <v>2</v>
      </c>
      <c r="C899">
        <v>0</v>
      </c>
      <c r="D899">
        <v>2</v>
      </c>
      <c r="E899">
        <v>8</v>
      </c>
      <c r="F899">
        <v>4</v>
      </c>
      <c r="G899">
        <v>1</v>
      </c>
      <c r="H899">
        <f>표4[[#This Row],[공격성공횟수]]/(표4[[#This Row],[공격실패횟수]]+표4[[#This Row],[공격성공횟수]])</f>
        <v>0.2</v>
      </c>
    </row>
    <row r="900" spans="1:8" x14ac:dyDescent="0.4">
      <c r="A900">
        <v>450</v>
      </c>
      <c r="B900" t="s">
        <v>3</v>
      </c>
      <c r="C900">
        <v>0</v>
      </c>
      <c r="D900">
        <v>2</v>
      </c>
      <c r="E900">
        <v>78</v>
      </c>
      <c r="F900">
        <v>4</v>
      </c>
      <c r="G900">
        <v>1</v>
      </c>
      <c r="H900">
        <f>표4[[#This Row],[공격성공횟수]]/(표4[[#This Row],[공격실패횟수]]+표4[[#This Row],[공격성공횟수]])</f>
        <v>2.5000000000000001E-2</v>
      </c>
    </row>
    <row r="901" spans="1:8" hidden="1" x14ac:dyDescent="0.4">
      <c r="A901">
        <v>450</v>
      </c>
      <c r="B901" t="s">
        <v>2</v>
      </c>
      <c r="C901">
        <v>1</v>
      </c>
      <c r="D901">
        <v>4</v>
      </c>
      <c r="E901">
        <v>99</v>
      </c>
      <c r="F901">
        <v>2</v>
      </c>
      <c r="G901">
        <v>0</v>
      </c>
      <c r="H901">
        <f>표4[[#This Row],[공격성공횟수]]/(표4[[#This Row],[공격실패횟수]]+표4[[#This Row],[공격성공횟수]])</f>
        <v>3.8834951456310676E-2</v>
      </c>
    </row>
    <row r="902" spans="1:8" x14ac:dyDescent="0.4">
      <c r="A902">
        <v>451</v>
      </c>
      <c r="B902" t="s">
        <v>3</v>
      </c>
      <c r="C902">
        <v>1</v>
      </c>
      <c r="D902">
        <v>4</v>
      </c>
      <c r="E902">
        <v>49</v>
      </c>
      <c r="F902">
        <v>0</v>
      </c>
      <c r="G902">
        <v>0</v>
      </c>
      <c r="H902">
        <f>표4[[#This Row],[공격성공횟수]]/(표4[[#This Row],[공격실패횟수]]+표4[[#This Row],[공격성공횟수]])</f>
        <v>7.5471698113207544E-2</v>
      </c>
    </row>
    <row r="903" spans="1:8" hidden="1" x14ac:dyDescent="0.4">
      <c r="A903">
        <v>451</v>
      </c>
      <c r="B903" t="s">
        <v>2</v>
      </c>
      <c r="C903">
        <v>0</v>
      </c>
      <c r="D903">
        <v>0</v>
      </c>
      <c r="E903">
        <v>53</v>
      </c>
      <c r="F903">
        <v>4</v>
      </c>
      <c r="G903">
        <v>1</v>
      </c>
      <c r="H903">
        <f>표4[[#This Row],[공격성공횟수]]/(표4[[#This Row],[공격실패횟수]]+표4[[#This Row],[공격성공횟수]])</f>
        <v>0</v>
      </c>
    </row>
    <row r="904" spans="1:8" x14ac:dyDescent="0.4">
      <c r="A904">
        <v>452</v>
      </c>
      <c r="B904" t="s">
        <v>3</v>
      </c>
      <c r="C904">
        <v>1</v>
      </c>
      <c r="D904">
        <v>4</v>
      </c>
      <c r="E904">
        <v>4</v>
      </c>
      <c r="F904">
        <v>1</v>
      </c>
      <c r="G904">
        <v>0</v>
      </c>
      <c r="H904">
        <f>표4[[#This Row],[공격성공횟수]]/(표4[[#This Row],[공격실패횟수]]+표4[[#This Row],[공격성공횟수]])</f>
        <v>0.5</v>
      </c>
    </row>
    <row r="905" spans="1:8" hidden="1" x14ac:dyDescent="0.4">
      <c r="A905">
        <v>452</v>
      </c>
      <c r="B905" t="s">
        <v>2</v>
      </c>
      <c r="C905">
        <v>0</v>
      </c>
      <c r="D905">
        <v>1</v>
      </c>
      <c r="E905">
        <v>7</v>
      </c>
      <c r="F905">
        <v>4</v>
      </c>
      <c r="G905">
        <v>1</v>
      </c>
      <c r="H905">
        <f>표4[[#This Row],[공격성공횟수]]/(표4[[#This Row],[공격실패횟수]]+표4[[#This Row],[공격성공횟수]])</f>
        <v>0.125</v>
      </c>
    </row>
    <row r="906" spans="1:8" x14ac:dyDescent="0.4">
      <c r="A906">
        <v>453</v>
      </c>
      <c r="B906" t="s">
        <v>3</v>
      </c>
      <c r="C906">
        <v>0</v>
      </c>
      <c r="D906">
        <v>3</v>
      </c>
      <c r="E906">
        <v>18</v>
      </c>
      <c r="F906">
        <v>4</v>
      </c>
      <c r="G906">
        <v>1</v>
      </c>
      <c r="H906">
        <f>표4[[#This Row],[공격성공횟수]]/(표4[[#This Row],[공격실패횟수]]+표4[[#This Row],[공격성공횟수]])</f>
        <v>0.14285714285714285</v>
      </c>
    </row>
    <row r="907" spans="1:8" hidden="1" x14ac:dyDescent="0.4">
      <c r="A907">
        <v>453</v>
      </c>
      <c r="B907" t="s">
        <v>2</v>
      </c>
      <c r="C907">
        <v>1</v>
      </c>
      <c r="D907">
        <v>4</v>
      </c>
      <c r="E907">
        <v>18</v>
      </c>
      <c r="F907">
        <v>3</v>
      </c>
      <c r="G907">
        <v>0</v>
      </c>
      <c r="H907">
        <f>표4[[#This Row],[공격성공횟수]]/(표4[[#This Row],[공격실패횟수]]+표4[[#This Row],[공격성공횟수]])</f>
        <v>0.18181818181818182</v>
      </c>
    </row>
    <row r="908" spans="1:8" x14ac:dyDescent="0.4">
      <c r="A908">
        <v>454</v>
      </c>
      <c r="B908" t="s">
        <v>3</v>
      </c>
      <c r="C908">
        <v>1</v>
      </c>
      <c r="D908">
        <v>4</v>
      </c>
      <c r="E908">
        <v>85</v>
      </c>
      <c r="F908">
        <v>2</v>
      </c>
      <c r="G908">
        <v>0</v>
      </c>
      <c r="H908">
        <f>표4[[#This Row],[공격성공횟수]]/(표4[[#This Row],[공격실패횟수]]+표4[[#This Row],[공격성공횟수]])</f>
        <v>4.49438202247191E-2</v>
      </c>
    </row>
    <row r="909" spans="1:8" hidden="1" x14ac:dyDescent="0.4">
      <c r="A909">
        <v>454</v>
      </c>
      <c r="B909" t="s">
        <v>2</v>
      </c>
      <c r="C909">
        <v>0</v>
      </c>
      <c r="D909">
        <v>2</v>
      </c>
      <c r="E909">
        <v>93</v>
      </c>
      <c r="F909">
        <v>4</v>
      </c>
      <c r="G909">
        <v>1</v>
      </c>
      <c r="H909">
        <f>표4[[#This Row],[공격성공횟수]]/(표4[[#This Row],[공격실패횟수]]+표4[[#This Row],[공격성공횟수]])</f>
        <v>2.1052631578947368E-2</v>
      </c>
    </row>
    <row r="910" spans="1:8" x14ac:dyDescent="0.4">
      <c r="A910">
        <v>455</v>
      </c>
      <c r="B910" t="s">
        <v>3</v>
      </c>
      <c r="C910">
        <v>1</v>
      </c>
      <c r="D910">
        <v>4</v>
      </c>
      <c r="E910">
        <v>8</v>
      </c>
      <c r="F910">
        <v>1</v>
      </c>
      <c r="G910">
        <v>0</v>
      </c>
      <c r="H910">
        <f>표4[[#This Row],[공격성공횟수]]/(표4[[#This Row],[공격실패횟수]]+표4[[#This Row],[공격성공횟수]])</f>
        <v>0.33333333333333331</v>
      </c>
    </row>
    <row r="911" spans="1:8" hidden="1" x14ac:dyDescent="0.4">
      <c r="A911">
        <v>455</v>
      </c>
      <c r="B911" t="s">
        <v>2</v>
      </c>
      <c r="C911">
        <v>0</v>
      </c>
      <c r="D911">
        <v>1</v>
      </c>
      <c r="E911">
        <v>11</v>
      </c>
      <c r="F911">
        <v>4</v>
      </c>
      <c r="G911">
        <v>1</v>
      </c>
      <c r="H911">
        <f>표4[[#This Row],[공격성공횟수]]/(표4[[#This Row],[공격실패횟수]]+표4[[#This Row],[공격성공횟수]])</f>
        <v>8.3333333333333329E-2</v>
      </c>
    </row>
    <row r="912" spans="1:8" x14ac:dyDescent="0.4">
      <c r="A912">
        <v>456</v>
      </c>
      <c r="B912" t="s">
        <v>3</v>
      </c>
      <c r="C912">
        <v>1</v>
      </c>
      <c r="D912">
        <v>4</v>
      </c>
      <c r="E912">
        <v>14</v>
      </c>
      <c r="F912">
        <v>2</v>
      </c>
      <c r="G912">
        <v>0</v>
      </c>
      <c r="H912">
        <f>표4[[#This Row],[공격성공횟수]]/(표4[[#This Row],[공격실패횟수]]+표4[[#This Row],[공격성공횟수]])</f>
        <v>0.22222222222222221</v>
      </c>
    </row>
    <row r="913" spans="1:8" hidden="1" x14ac:dyDescent="0.4">
      <c r="A913">
        <v>456</v>
      </c>
      <c r="B913" t="s">
        <v>2</v>
      </c>
      <c r="C913">
        <v>0</v>
      </c>
      <c r="D913">
        <v>2</v>
      </c>
      <c r="E913">
        <v>16</v>
      </c>
      <c r="F913">
        <v>4</v>
      </c>
      <c r="G913">
        <v>1</v>
      </c>
      <c r="H913">
        <f>표4[[#This Row],[공격성공횟수]]/(표4[[#This Row],[공격실패횟수]]+표4[[#This Row],[공격성공횟수]])</f>
        <v>0.1111111111111111</v>
      </c>
    </row>
    <row r="914" spans="1:8" x14ac:dyDescent="0.4">
      <c r="A914">
        <v>457</v>
      </c>
      <c r="B914" t="s">
        <v>3</v>
      </c>
      <c r="C914">
        <v>1</v>
      </c>
      <c r="D914">
        <v>4</v>
      </c>
      <c r="E914">
        <v>6</v>
      </c>
      <c r="F914">
        <v>1</v>
      </c>
      <c r="G914">
        <v>0</v>
      </c>
      <c r="H914">
        <f>표4[[#This Row],[공격성공횟수]]/(표4[[#This Row],[공격실패횟수]]+표4[[#This Row],[공격성공횟수]])</f>
        <v>0.4</v>
      </c>
    </row>
    <row r="915" spans="1:8" hidden="1" x14ac:dyDescent="0.4">
      <c r="A915">
        <v>457</v>
      </c>
      <c r="B915" t="s">
        <v>2</v>
      </c>
      <c r="C915">
        <v>0</v>
      </c>
      <c r="D915">
        <v>1</v>
      </c>
      <c r="E915">
        <v>9</v>
      </c>
      <c r="F915">
        <v>4</v>
      </c>
      <c r="G915">
        <v>1</v>
      </c>
      <c r="H915">
        <f>표4[[#This Row],[공격성공횟수]]/(표4[[#This Row],[공격실패횟수]]+표4[[#This Row],[공격성공횟수]])</f>
        <v>0.1</v>
      </c>
    </row>
    <row r="916" spans="1:8" x14ac:dyDescent="0.4">
      <c r="A916">
        <v>458</v>
      </c>
      <c r="B916" t="s">
        <v>3</v>
      </c>
      <c r="C916">
        <v>0</v>
      </c>
      <c r="D916">
        <v>2</v>
      </c>
      <c r="E916">
        <v>53</v>
      </c>
      <c r="F916">
        <v>4</v>
      </c>
      <c r="G916">
        <v>1</v>
      </c>
      <c r="H916">
        <f>표4[[#This Row],[공격성공횟수]]/(표4[[#This Row],[공격실패횟수]]+표4[[#This Row],[공격성공횟수]])</f>
        <v>3.6363636363636362E-2</v>
      </c>
    </row>
    <row r="917" spans="1:8" hidden="1" x14ac:dyDescent="0.4">
      <c r="A917">
        <v>458</v>
      </c>
      <c r="B917" t="s">
        <v>2</v>
      </c>
      <c r="C917">
        <v>1</v>
      </c>
      <c r="D917">
        <v>4</v>
      </c>
      <c r="E917">
        <v>54</v>
      </c>
      <c r="F917">
        <v>2</v>
      </c>
      <c r="G917">
        <v>0</v>
      </c>
      <c r="H917">
        <f>표4[[#This Row],[공격성공횟수]]/(표4[[#This Row],[공격실패횟수]]+표4[[#This Row],[공격성공횟수]])</f>
        <v>6.8965517241379309E-2</v>
      </c>
    </row>
    <row r="918" spans="1:8" x14ac:dyDescent="0.4">
      <c r="A918">
        <v>459</v>
      </c>
      <c r="B918" t="s">
        <v>3</v>
      </c>
      <c r="C918">
        <v>1</v>
      </c>
      <c r="D918">
        <v>4</v>
      </c>
      <c r="E918">
        <v>6</v>
      </c>
      <c r="F918">
        <v>1</v>
      </c>
      <c r="G918">
        <v>0</v>
      </c>
      <c r="H918">
        <f>표4[[#This Row],[공격성공횟수]]/(표4[[#This Row],[공격실패횟수]]+표4[[#This Row],[공격성공횟수]])</f>
        <v>0.4</v>
      </c>
    </row>
    <row r="919" spans="1:8" hidden="1" x14ac:dyDescent="0.4">
      <c r="A919">
        <v>459</v>
      </c>
      <c r="B919" t="s">
        <v>2</v>
      </c>
      <c r="C919">
        <v>0</v>
      </c>
      <c r="D919">
        <v>1</v>
      </c>
      <c r="E919">
        <v>8</v>
      </c>
      <c r="F919">
        <v>4</v>
      </c>
      <c r="G919">
        <v>1</v>
      </c>
      <c r="H919">
        <f>표4[[#This Row],[공격성공횟수]]/(표4[[#This Row],[공격실패횟수]]+표4[[#This Row],[공격성공횟수]])</f>
        <v>0.1111111111111111</v>
      </c>
    </row>
    <row r="920" spans="1:8" x14ac:dyDescent="0.4">
      <c r="A920">
        <v>460</v>
      </c>
      <c r="B920" t="s">
        <v>3</v>
      </c>
      <c r="C920">
        <v>1</v>
      </c>
      <c r="D920">
        <v>4</v>
      </c>
      <c r="E920">
        <v>5</v>
      </c>
      <c r="F920">
        <v>0</v>
      </c>
      <c r="G920">
        <v>0</v>
      </c>
      <c r="H920">
        <f>표4[[#This Row],[공격성공횟수]]/(표4[[#This Row],[공격실패횟수]]+표4[[#This Row],[공격성공횟수]])</f>
        <v>0.44444444444444442</v>
      </c>
    </row>
    <row r="921" spans="1:8" hidden="1" x14ac:dyDescent="0.4">
      <c r="A921">
        <v>460</v>
      </c>
      <c r="B921" t="s">
        <v>2</v>
      </c>
      <c r="C921">
        <v>0</v>
      </c>
      <c r="D921">
        <v>0</v>
      </c>
      <c r="E921">
        <v>9</v>
      </c>
      <c r="F921">
        <v>4</v>
      </c>
      <c r="G921">
        <v>1</v>
      </c>
      <c r="H921">
        <f>표4[[#This Row],[공격성공횟수]]/(표4[[#This Row],[공격실패횟수]]+표4[[#This Row],[공격성공횟수]])</f>
        <v>0</v>
      </c>
    </row>
    <row r="922" spans="1:8" x14ac:dyDescent="0.4">
      <c r="A922">
        <v>461</v>
      </c>
      <c r="B922" t="s">
        <v>3</v>
      </c>
      <c r="C922">
        <v>1</v>
      </c>
      <c r="D922">
        <v>4</v>
      </c>
      <c r="E922">
        <v>12</v>
      </c>
      <c r="F922">
        <v>3</v>
      </c>
      <c r="G922">
        <v>0</v>
      </c>
      <c r="H922">
        <f>표4[[#This Row],[공격성공횟수]]/(표4[[#This Row],[공격실패횟수]]+표4[[#This Row],[공격성공횟수]])</f>
        <v>0.25</v>
      </c>
    </row>
    <row r="923" spans="1:8" hidden="1" x14ac:dyDescent="0.4">
      <c r="A923">
        <v>461</v>
      </c>
      <c r="B923" t="s">
        <v>2</v>
      </c>
      <c r="C923">
        <v>0</v>
      </c>
      <c r="D923">
        <v>3</v>
      </c>
      <c r="E923">
        <v>19</v>
      </c>
      <c r="F923">
        <v>4</v>
      </c>
      <c r="G923">
        <v>1</v>
      </c>
      <c r="H923">
        <f>표4[[#This Row],[공격성공횟수]]/(표4[[#This Row],[공격실패횟수]]+표4[[#This Row],[공격성공횟수]])</f>
        <v>0.13636363636363635</v>
      </c>
    </row>
    <row r="924" spans="1:8" x14ac:dyDescent="0.4">
      <c r="A924">
        <v>462</v>
      </c>
      <c r="B924" t="s">
        <v>3</v>
      </c>
      <c r="C924">
        <v>0</v>
      </c>
      <c r="D924">
        <v>2</v>
      </c>
      <c r="E924">
        <v>2</v>
      </c>
      <c r="F924">
        <v>4</v>
      </c>
      <c r="G924">
        <v>1</v>
      </c>
      <c r="H924">
        <f>표4[[#This Row],[공격성공횟수]]/(표4[[#This Row],[공격실패횟수]]+표4[[#This Row],[공격성공횟수]])</f>
        <v>0.5</v>
      </c>
    </row>
    <row r="925" spans="1:8" hidden="1" x14ac:dyDescent="0.4">
      <c r="A925">
        <v>462</v>
      </c>
      <c r="B925" t="s">
        <v>2</v>
      </c>
      <c r="C925">
        <v>1</v>
      </c>
      <c r="D925">
        <v>4</v>
      </c>
      <c r="E925">
        <v>16</v>
      </c>
      <c r="F925">
        <v>2</v>
      </c>
      <c r="G925">
        <v>0</v>
      </c>
      <c r="H925">
        <f>표4[[#This Row],[공격성공횟수]]/(표4[[#This Row],[공격실패횟수]]+표4[[#This Row],[공격성공횟수]])</f>
        <v>0.2</v>
      </c>
    </row>
    <row r="926" spans="1:8" x14ac:dyDescent="0.4">
      <c r="A926">
        <v>463</v>
      </c>
      <c r="B926" t="s">
        <v>3</v>
      </c>
      <c r="C926">
        <v>0</v>
      </c>
      <c r="D926">
        <v>2</v>
      </c>
      <c r="E926">
        <v>72</v>
      </c>
      <c r="F926">
        <v>2</v>
      </c>
      <c r="G926">
        <v>0</v>
      </c>
      <c r="H926">
        <f>표4[[#This Row],[공격성공횟수]]/(표4[[#This Row],[공격실패횟수]]+표4[[#This Row],[공격성공횟수]])</f>
        <v>2.7027027027027029E-2</v>
      </c>
    </row>
    <row r="927" spans="1:8" hidden="1" x14ac:dyDescent="0.4">
      <c r="A927">
        <v>463</v>
      </c>
      <c r="B927" t="s">
        <v>2</v>
      </c>
      <c r="C927">
        <v>0</v>
      </c>
      <c r="D927">
        <v>2</v>
      </c>
      <c r="E927">
        <v>113</v>
      </c>
      <c r="F927">
        <v>2</v>
      </c>
      <c r="G927">
        <v>0</v>
      </c>
      <c r="H927">
        <f>표4[[#This Row],[공격성공횟수]]/(표4[[#This Row],[공격실패횟수]]+표4[[#This Row],[공격성공횟수]])</f>
        <v>1.7391304347826087E-2</v>
      </c>
    </row>
    <row r="928" spans="1:8" x14ac:dyDescent="0.4">
      <c r="A928">
        <v>464</v>
      </c>
      <c r="B928" t="s">
        <v>3</v>
      </c>
      <c r="C928">
        <v>1</v>
      </c>
      <c r="D928">
        <v>4</v>
      </c>
      <c r="E928">
        <v>46</v>
      </c>
      <c r="F928">
        <v>1</v>
      </c>
      <c r="G928">
        <v>0</v>
      </c>
      <c r="H928">
        <f>표4[[#This Row],[공격성공횟수]]/(표4[[#This Row],[공격실패횟수]]+표4[[#This Row],[공격성공횟수]])</f>
        <v>0.08</v>
      </c>
    </row>
    <row r="929" spans="1:8" hidden="1" x14ac:dyDescent="0.4">
      <c r="A929">
        <v>464</v>
      </c>
      <c r="B929" t="s">
        <v>2</v>
      </c>
      <c r="C929">
        <v>0</v>
      </c>
      <c r="D929">
        <v>1</v>
      </c>
      <c r="E929">
        <v>49</v>
      </c>
      <c r="F929">
        <v>4</v>
      </c>
      <c r="G929">
        <v>1</v>
      </c>
      <c r="H929">
        <f>표4[[#This Row],[공격성공횟수]]/(표4[[#This Row],[공격실패횟수]]+표4[[#This Row],[공격성공횟수]])</f>
        <v>0.02</v>
      </c>
    </row>
    <row r="930" spans="1:8" x14ac:dyDescent="0.4">
      <c r="A930">
        <v>465</v>
      </c>
      <c r="B930" t="s">
        <v>3</v>
      </c>
      <c r="C930">
        <v>1</v>
      </c>
      <c r="D930">
        <v>4</v>
      </c>
      <c r="E930">
        <v>12</v>
      </c>
      <c r="F930">
        <v>2</v>
      </c>
      <c r="G930">
        <v>0</v>
      </c>
      <c r="H930">
        <f>표4[[#This Row],[공격성공횟수]]/(표4[[#This Row],[공격실패횟수]]+표4[[#This Row],[공격성공횟수]])</f>
        <v>0.25</v>
      </c>
    </row>
    <row r="931" spans="1:8" hidden="1" x14ac:dyDescent="0.4">
      <c r="A931">
        <v>465</v>
      </c>
      <c r="B931" t="s">
        <v>2</v>
      </c>
      <c r="C931">
        <v>0</v>
      </c>
      <c r="D931">
        <v>2</v>
      </c>
      <c r="E931">
        <v>14</v>
      </c>
      <c r="F931">
        <v>4</v>
      </c>
      <c r="G931">
        <v>1</v>
      </c>
      <c r="H931">
        <f>표4[[#This Row],[공격성공횟수]]/(표4[[#This Row],[공격실패횟수]]+표4[[#This Row],[공격성공횟수]])</f>
        <v>0.125</v>
      </c>
    </row>
    <row r="932" spans="1:8" x14ac:dyDescent="0.4">
      <c r="A932">
        <v>466</v>
      </c>
      <c r="B932" t="s">
        <v>3</v>
      </c>
      <c r="C932">
        <v>1</v>
      </c>
      <c r="D932">
        <v>4</v>
      </c>
      <c r="E932">
        <v>14</v>
      </c>
      <c r="F932">
        <v>1</v>
      </c>
      <c r="G932">
        <v>0</v>
      </c>
      <c r="H932">
        <f>표4[[#This Row],[공격성공횟수]]/(표4[[#This Row],[공격실패횟수]]+표4[[#This Row],[공격성공횟수]])</f>
        <v>0.22222222222222221</v>
      </c>
    </row>
    <row r="933" spans="1:8" hidden="1" x14ac:dyDescent="0.4">
      <c r="A933">
        <v>466</v>
      </c>
      <c r="B933" t="s">
        <v>2</v>
      </c>
      <c r="C933">
        <v>0</v>
      </c>
      <c r="D933">
        <v>1</v>
      </c>
      <c r="E933">
        <v>29</v>
      </c>
      <c r="F933">
        <v>4</v>
      </c>
      <c r="G933">
        <v>1</v>
      </c>
      <c r="H933">
        <f>표4[[#This Row],[공격성공횟수]]/(표4[[#This Row],[공격실패횟수]]+표4[[#This Row],[공격성공횟수]])</f>
        <v>3.3333333333333333E-2</v>
      </c>
    </row>
    <row r="934" spans="1:8" x14ac:dyDescent="0.4">
      <c r="A934">
        <v>467</v>
      </c>
      <c r="B934" t="s">
        <v>3</v>
      </c>
      <c r="C934">
        <v>1</v>
      </c>
      <c r="D934">
        <v>4</v>
      </c>
      <c r="E934">
        <v>2</v>
      </c>
      <c r="F934">
        <v>2</v>
      </c>
      <c r="G934">
        <v>0</v>
      </c>
      <c r="H934">
        <f>표4[[#This Row],[공격성공횟수]]/(표4[[#This Row],[공격실패횟수]]+표4[[#This Row],[공격성공횟수]])</f>
        <v>0.66666666666666663</v>
      </c>
    </row>
    <row r="935" spans="1:8" hidden="1" x14ac:dyDescent="0.4">
      <c r="A935">
        <v>467</v>
      </c>
      <c r="B935" t="s">
        <v>2</v>
      </c>
      <c r="C935">
        <v>0</v>
      </c>
      <c r="D935">
        <v>2</v>
      </c>
      <c r="E935">
        <v>4</v>
      </c>
      <c r="F935">
        <v>4</v>
      </c>
      <c r="G935">
        <v>1</v>
      </c>
      <c r="H935">
        <f>표4[[#This Row],[공격성공횟수]]/(표4[[#This Row],[공격실패횟수]]+표4[[#This Row],[공격성공횟수]])</f>
        <v>0.33333333333333331</v>
      </c>
    </row>
    <row r="936" spans="1:8" x14ac:dyDescent="0.4">
      <c r="A936">
        <v>468</v>
      </c>
      <c r="B936" t="s">
        <v>3</v>
      </c>
      <c r="C936">
        <v>1</v>
      </c>
      <c r="D936">
        <v>4</v>
      </c>
      <c r="E936">
        <v>15</v>
      </c>
      <c r="F936">
        <v>1</v>
      </c>
      <c r="G936">
        <v>0</v>
      </c>
      <c r="H936">
        <f>표4[[#This Row],[공격성공횟수]]/(표4[[#This Row],[공격실패횟수]]+표4[[#This Row],[공격성공횟수]])</f>
        <v>0.21052631578947367</v>
      </c>
    </row>
    <row r="937" spans="1:8" hidden="1" x14ac:dyDescent="0.4">
      <c r="A937">
        <v>468</v>
      </c>
      <c r="B937" t="s">
        <v>2</v>
      </c>
      <c r="C937">
        <v>0</v>
      </c>
      <c r="D937">
        <v>1</v>
      </c>
      <c r="E937">
        <v>17</v>
      </c>
      <c r="F937">
        <v>4</v>
      </c>
      <c r="G937">
        <v>1</v>
      </c>
      <c r="H937">
        <f>표4[[#This Row],[공격성공횟수]]/(표4[[#This Row],[공격실패횟수]]+표4[[#This Row],[공격성공횟수]])</f>
        <v>5.5555555555555552E-2</v>
      </c>
    </row>
    <row r="938" spans="1:8" x14ac:dyDescent="0.4">
      <c r="A938">
        <v>469</v>
      </c>
      <c r="B938" t="s">
        <v>3</v>
      </c>
      <c r="C938">
        <v>1</v>
      </c>
      <c r="D938">
        <v>4</v>
      </c>
      <c r="E938">
        <v>8</v>
      </c>
      <c r="F938">
        <v>2</v>
      </c>
      <c r="G938">
        <v>0</v>
      </c>
      <c r="H938">
        <f>표4[[#This Row],[공격성공횟수]]/(표4[[#This Row],[공격실패횟수]]+표4[[#This Row],[공격성공횟수]])</f>
        <v>0.33333333333333331</v>
      </c>
    </row>
    <row r="939" spans="1:8" hidden="1" x14ac:dyDescent="0.4">
      <c r="A939">
        <v>469</v>
      </c>
      <c r="B939" t="s">
        <v>2</v>
      </c>
      <c r="C939">
        <v>0</v>
      </c>
      <c r="D939">
        <v>2</v>
      </c>
      <c r="E939">
        <v>10</v>
      </c>
      <c r="F939">
        <v>4</v>
      </c>
      <c r="G939">
        <v>1</v>
      </c>
      <c r="H939">
        <f>표4[[#This Row],[공격성공횟수]]/(표4[[#This Row],[공격실패횟수]]+표4[[#This Row],[공격성공횟수]])</f>
        <v>0.16666666666666666</v>
      </c>
    </row>
    <row r="940" spans="1:8" x14ac:dyDescent="0.4">
      <c r="A940">
        <v>470</v>
      </c>
      <c r="B940" t="s">
        <v>3</v>
      </c>
      <c r="C940">
        <v>1</v>
      </c>
      <c r="D940">
        <v>4</v>
      </c>
      <c r="E940">
        <v>5</v>
      </c>
      <c r="F940">
        <v>0</v>
      </c>
      <c r="G940">
        <v>0</v>
      </c>
      <c r="H940">
        <f>표4[[#This Row],[공격성공횟수]]/(표4[[#This Row],[공격실패횟수]]+표4[[#This Row],[공격성공횟수]])</f>
        <v>0.44444444444444442</v>
      </c>
    </row>
    <row r="941" spans="1:8" hidden="1" x14ac:dyDescent="0.4">
      <c r="A941">
        <v>470</v>
      </c>
      <c r="B941" t="s">
        <v>2</v>
      </c>
      <c r="C941">
        <v>0</v>
      </c>
      <c r="D941">
        <v>0</v>
      </c>
      <c r="E941">
        <v>9</v>
      </c>
      <c r="F941">
        <v>4</v>
      </c>
      <c r="G941">
        <v>1</v>
      </c>
      <c r="H941">
        <f>표4[[#This Row],[공격성공횟수]]/(표4[[#This Row],[공격실패횟수]]+표4[[#This Row],[공격성공횟수]])</f>
        <v>0</v>
      </c>
    </row>
    <row r="942" spans="1:8" x14ac:dyDescent="0.4">
      <c r="A942">
        <v>471</v>
      </c>
      <c r="B942" t="s">
        <v>3</v>
      </c>
      <c r="C942">
        <v>0</v>
      </c>
      <c r="D942">
        <v>0</v>
      </c>
      <c r="E942">
        <v>10</v>
      </c>
      <c r="F942">
        <v>4</v>
      </c>
      <c r="G942">
        <v>1</v>
      </c>
      <c r="H942">
        <f>표4[[#This Row],[공격성공횟수]]/(표4[[#This Row],[공격실패횟수]]+표4[[#This Row],[공격성공횟수]])</f>
        <v>0</v>
      </c>
    </row>
    <row r="943" spans="1:8" hidden="1" x14ac:dyDescent="0.4">
      <c r="A943">
        <v>471</v>
      </c>
      <c r="B943" t="s">
        <v>2</v>
      </c>
      <c r="C943">
        <v>1</v>
      </c>
      <c r="D943">
        <v>4</v>
      </c>
      <c r="E943">
        <v>7</v>
      </c>
      <c r="F943">
        <v>0</v>
      </c>
      <c r="G943">
        <v>0</v>
      </c>
      <c r="H943">
        <f>표4[[#This Row],[공격성공횟수]]/(표4[[#This Row],[공격실패횟수]]+표4[[#This Row],[공격성공횟수]])</f>
        <v>0.36363636363636365</v>
      </c>
    </row>
    <row r="944" spans="1:8" x14ac:dyDescent="0.4">
      <c r="A944">
        <v>472</v>
      </c>
      <c r="B944" t="s">
        <v>3</v>
      </c>
      <c r="C944">
        <v>1</v>
      </c>
      <c r="D944">
        <v>4</v>
      </c>
      <c r="E944">
        <v>12</v>
      </c>
      <c r="F944">
        <v>3</v>
      </c>
      <c r="G944">
        <v>0</v>
      </c>
      <c r="H944">
        <f>표4[[#This Row],[공격성공횟수]]/(표4[[#This Row],[공격실패횟수]]+표4[[#This Row],[공격성공횟수]])</f>
        <v>0.25</v>
      </c>
    </row>
    <row r="945" spans="1:8" hidden="1" x14ac:dyDescent="0.4">
      <c r="A945">
        <v>472</v>
      </c>
      <c r="B945" t="s">
        <v>2</v>
      </c>
      <c r="C945">
        <v>0</v>
      </c>
      <c r="D945">
        <v>3</v>
      </c>
      <c r="E945">
        <v>11</v>
      </c>
      <c r="F945">
        <v>4</v>
      </c>
      <c r="G945">
        <v>1</v>
      </c>
      <c r="H945">
        <f>표4[[#This Row],[공격성공횟수]]/(표4[[#This Row],[공격실패횟수]]+표4[[#This Row],[공격성공횟수]])</f>
        <v>0.21428571428571427</v>
      </c>
    </row>
    <row r="946" spans="1:8" x14ac:dyDescent="0.4">
      <c r="A946">
        <v>473</v>
      </c>
      <c r="B946" t="s">
        <v>3</v>
      </c>
      <c r="C946">
        <v>1</v>
      </c>
      <c r="D946">
        <v>4</v>
      </c>
      <c r="E946">
        <v>10</v>
      </c>
      <c r="F946">
        <v>1</v>
      </c>
      <c r="G946">
        <v>0</v>
      </c>
      <c r="H946">
        <f>표4[[#This Row],[공격성공횟수]]/(표4[[#This Row],[공격실패횟수]]+표4[[#This Row],[공격성공횟수]])</f>
        <v>0.2857142857142857</v>
      </c>
    </row>
    <row r="947" spans="1:8" hidden="1" x14ac:dyDescent="0.4">
      <c r="A947">
        <v>473</v>
      </c>
      <c r="B947" t="s">
        <v>2</v>
      </c>
      <c r="C947">
        <v>0</v>
      </c>
      <c r="D947">
        <v>1</v>
      </c>
      <c r="E947">
        <v>13</v>
      </c>
      <c r="F947">
        <v>4</v>
      </c>
      <c r="G947">
        <v>1</v>
      </c>
      <c r="H947">
        <f>표4[[#This Row],[공격성공횟수]]/(표4[[#This Row],[공격실패횟수]]+표4[[#This Row],[공격성공횟수]])</f>
        <v>7.1428571428571425E-2</v>
      </c>
    </row>
    <row r="948" spans="1:8" x14ac:dyDescent="0.4">
      <c r="A948">
        <v>474</v>
      </c>
      <c r="B948" t="s">
        <v>3</v>
      </c>
      <c r="C948">
        <v>1</v>
      </c>
      <c r="D948">
        <v>4</v>
      </c>
      <c r="E948">
        <v>7</v>
      </c>
      <c r="F948">
        <v>1</v>
      </c>
      <c r="G948">
        <v>0</v>
      </c>
      <c r="H948">
        <f>표4[[#This Row],[공격성공횟수]]/(표4[[#This Row],[공격실패횟수]]+표4[[#This Row],[공격성공횟수]])</f>
        <v>0.36363636363636365</v>
      </c>
    </row>
    <row r="949" spans="1:8" hidden="1" x14ac:dyDescent="0.4">
      <c r="A949">
        <v>474</v>
      </c>
      <c r="B949" t="s">
        <v>2</v>
      </c>
      <c r="C949">
        <v>0</v>
      </c>
      <c r="D949">
        <v>1</v>
      </c>
      <c r="E949">
        <v>10</v>
      </c>
      <c r="F949">
        <v>4</v>
      </c>
      <c r="G949">
        <v>1</v>
      </c>
      <c r="H949">
        <f>표4[[#This Row],[공격성공횟수]]/(표4[[#This Row],[공격실패횟수]]+표4[[#This Row],[공격성공횟수]])</f>
        <v>9.0909090909090912E-2</v>
      </c>
    </row>
    <row r="950" spans="1:8" x14ac:dyDescent="0.4">
      <c r="A950">
        <v>475</v>
      </c>
      <c r="B950" t="s">
        <v>3</v>
      </c>
      <c r="C950">
        <v>1</v>
      </c>
      <c r="D950">
        <v>4</v>
      </c>
      <c r="E950">
        <v>9</v>
      </c>
      <c r="F950">
        <v>0</v>
      </c>
      <c r="G950">
        <v>0</v>
      </c>
      <c r="H950">
        <f>표4[[#This Row],[공격성공횟수]]/(표4[[#This Row],[공격실패횟수]]+표4[[#This Row],[공격성공횟수]])</f>
        <v>0.30769230769230771</v>
      </c>
    </row>
    <row r="951" spans="1:8" hidden="1" x14ac:dyDescent="0.4">
      <c r="A951">
        <v>475</v>
      </c>
      <c r="B951" t="s">
        <v>2</v>
      </c>
      <c r="C951">
        <v>0</v>
      </c>
      <c r="D951">
        <v>0</v>
      </c>
      <c r="E951">
        <v>14</v>
      </c>
      <c r="F951">
        <v>4</v>
      </c>
      <c r="G951">
        <v>1</v>
      </c>
      <c r="H951">
        <f>표4[[#This Row],[공격성공횟수]]/(표4[[#This Row],[공격실패횟수]]+표4[[#This Row],[공격성공횟수]])</f>
        <v>0</v>
      </c>
    </row>
    <row r="952" spans="1:8" x14ac:dyDescent="0.4">
      <c r="A952">
        <v>476</v>
      </c>
      <c r="B952" t="s">
        <v>3</v>
      </c>
      <c r="C952">
        <v>1</v>
      </c>
      <c r="D952">
        <v>4</v>
      </c>
      <c r="E952">
        <v>2</v>
      </c>
      <c r="F952">
        <v>0</v>
      </c>
      <c r="G952">
        <v>0</v>
      </c>
      <c r="H952">
        <f>표4[[#This Row],[공격성공횟수]]/(표4[[#This Row],[공격실패횟수]]+표4[[#This Row],[공격성공횟수]])</f>
        <v>0.66666666666666663</v>
      </c>
    </row>
    <row r="953" spans="1:8" hidden="1" x14ac:dyDescent="0.4">
      <c r="A953">
        <v>476</v>
      </c>
      <c r="B953" t="s">
        <v>2</v>
      </c>
      <c r="C953">
        <v>0</v>
      </c>
      <c r="D953">
        <v>0</v>
      </c>
      <c r="E953">
        <v>5</v>
      </c>
      <c r="F953">
        <v>4</v>
      </c>
      <c r="G953">
        <v>1</v>
      </c>
      <c r="H953">
        <f>표4[[#This Row],[공격성공횟수]]/(표4[[#This Row],[공격실패횟수]]+표4[[#This Row],[공격성공횟수]])</f>
        <v>0</v>
      </c>
    </row>
    <row r="954" spans="1:8" x14ac:dyDescent="0.4">
      <c r="A954">
        <v>477</v>
      </c>
      <c r="B954" t="s">
        <v>3</v>
      </c>
      <c r="C954">
        <v>1</v>
      </c>
      <c r="D954">
        <v>4</v>
      </c>
      <c r="E954">
        <v>19</v>
      </c>
      <c r="F954">
        <v>2</v>
      </c>
      <c r="G954">
        <v>0</v>
      </c>
      <c r="H954">
        <f>표4[[#This Row],[공격성공횟수]]/(표4[[#This Row],[공격실패횟수]]+표4[[#This Row],[공격성공횟수]])</f>
        <v>0.17391304347826086</v>
      </c>
    </row>
    <row r="955" spans="1:8" hidden="1" x14ac:dyDescent="0.4">
      <c r="A955">
        <v>477</v>
      </c>
      <c r="B955" t="s">
        <v>2</v>
      </c>
      <c r="C955">
        <v>0</v>
      </c>
      <c r="D955">
        <v>2</v>
      </c>
      <c r="E955">
        <v>21</v>
      </c>
      <c r="F955">
        <v>4</v>
      </c>
      <c r="G955">
        <v>1</v>
      </c>
      <c r="H955">
        <f>표4[[#This Row],[공격성공횟수]]/(표4[[#This Row],[공격실패횟수]]+표4[[#This Row],[공격성공횟수]])</f>
        <v>8.6956521739130432E-2</v>
      </c>
    </row>
    <row r="956" spans="1:8" x14ac:dyDescent="0.4">
      <c r="A956">
        <v>478</v>
      </c>
      <c r="B956" t="s">
        <v>3</v>
      </c>
      <c r="C956">
        <v>1</v>
      </c>
      <c r="D956">
        <v>4</v>
      </c>
      <c r="E956">
        <v>6</v>
      </c>
      <c r="F956">
        <v>3</v>
      </c>
      <c r="G956">
        <v>0</v>
      </c>
      <c r="H956">
        <f>표4[[#This Row],[공격성공횟수]]/(표4[[#This Row],[공격실패횟수]]+표4[[#This Row],[공격성공횟수]])</f>
        <v>0.4</v>
      </c>
    </row>
    <row r="957" spans="1:8" hidden="1" x14ac:dyDescent="0.4">
      <c r="A957">
        <v>478</v>
      </c>
      <c r="B957" t="s">
        <v>2</v>
      </c>
      <c r="C957">
        <v>0</v>
      </c>
      <c r="D957">
        <v>3</v>
      </c>
      <c r="E957">
        <v>7</v>
      </c>
      <c r="F957">
        <v>4</v>
      </c>
      <c r="G957">
        <v>1</v>
      </c>
      <c r="H957">
        <f>표4[[#This Row],[공격성공횟수]]/(표4[[#This Row],[공격실패횟수]]+표4[[#This Row],[공격성공횟수]])</f>
        <v>0.3</v>
      </c>
    </row>
    <row r="958" spans="1:8" x14ac:dyDescent="0.4">
      <c r="A958">
        <v>479</v>
      </c>
      <c r="B958" t="s">
        <v>3</v>
      </c>
      <c r="C958">
        <v>0</v>
      </c>
      <c r="D958">
        <v>0</v>
      </c>
      <c r="E958">
        <v>12</v>
      </c>
      <c r="F958">
        <v>4</v>
      </c>
      <c r="G958">
        <v>1</v>
      </c>
      <c r="H958">
        <f>표4[[#This Row],[공격성공횟수]]/(표4[[#This Row],[공격실패횟수]]+표4[[#This Row],[공격성공횟수]])</f>
        <v>0</v>
      </c>
    </row>
    <row r="959" spans="1:8" hidden="1" x14ac:dyDescent="0.4">
      <c r="A959">
        <v>479</v>
      </c>
      <c r="B959" t="s">
        <v>2</v>
      </c>
      <c r="C959">
        <v>1</v>
      </c>
      <c r="D959">
        <v>4</v>
      </c>
      <c r="E959">
        <v>9</v>
      </c>
      <c r="F959">
        <v>0</v>
      </c>
      <c r="G959">
        <v>0</v>
      </c>
      <c r="H959">
        <f>표4[[#This Row],[공격성공횟수]]/(표4[[#This Row],[공격실패횟수]]+표4[[#This Row],[공격성공횟수]])</f>
        <v>0.30769230769230771</v>
      </c>
    </row>
    <row r="960" spans="1:8" x14ac:dyDescent="0.4">
      <c r="A960">
        <v>480</v>
      </c>
      <c r="B960" t="s">
        <v>3</v>
      </c>
      <c r="C960">
        <v>1</v>
      </c>
      <c r="D960">
        <v>4</v>
      </c>
      <c r="E960">
        <v>29</v>
      </c>
      <c r="F960">
        <v>2</v>
      </c>
      <c r="G960">
        <v>0</v>
      </c>
      <c r="H960">
        <f>표4[[#This Row],[공격성공횟수]]/(표4[[#This Row],[공격실패횟수]]+표4[[#This Row],[공격성공횟수]])</f>
        <v>0.12121212121212122</v>
      </c>
    </row>
    <row r="961" spans="1:8" hidden="1" x14ac:dyDescent="0.4">
      <c r="A961">
        <v>480</v>
      </c>
      <c r="B961" t="s">
        <v>2</v>
      </c>
      <c r="C961">
        <v>0</v>
      </c>
      <c r="D961">
        <v>2</v>
      </c>
      <c r="E961">
        <v>30</v>
      </c>
      <c r="F961">
        <v>4</v>
      </c>
      <c r="G961">
        <v>1</v>
      </c>
      <c r="H961">
        <f>표4[[#This Row],[공격성공횟수]]/(표4[[#This Row],[공격실패횟수]]+표4[[#This Row],[공격성공횟수]])</f>
        <v>6.25E-2</v>
      </c>
    </row>
    <row r="962" spans="1:8" x14ac:dyDescent="0.4">
      <c r="A962">
        <v>481</v>
      </c>
      <c r="B962" t="s">
        <v>3</v>
      </c>
      <c r="C962">
        <v>0</v>
      </c>
      <c r="D962">
        <v>3</v>
      </c>
      <c r="E962">
        <v>96</v>
      </c>
      <c r="F962">
        <v>3</v>
      </c>
      <c r="G962">
        <v>0</v>
      </c>
      <c r="H962">
        <f>표4[[#This Row],[공격성공횟수]]/(표4[[#This Row],[공격실패횟수]]+표4[[#This Row],[공격성공횟수]])</f>
        <v>3.0303030303030304E-2</v>
      </c>
    </row>
    <row r="963" spans="1:8" hidden="1" x14ac:dyDescent="0.4">
      <c r="A963">
        <v>481</v>
      </c>
      <c r="B963" t="s">
        <v>2</v>
      </c>
      <c r="C963">
        <v>0</v>
      </c>
      <c r="D963">
        <v>3</v>
      </c>
      <c r="E963">
        <v>112</v>
      </c>
      <c r="F963">
        <v>3</v>
      </c>
      <c r="G963">
        <v>0</v>
      </c>
      <c r="H963">
        <f>표4[[#This Row],[공격성공횟수]]/(표4[[#This Row],[공격실패횟수]]+표4[[#This Row],[공격성공횟수]])</f>
        <v>2.6086956521739129E-2</v>
      </c>
    </row>
    <row r="964" spans="1:8" x14ac:dyDescent="0.4">
      <c r="A964">
        <v>482</v>
      </c>
      <c r="B964" t="s">
        <v>3</v>
      </c>
      <c r="C964">
        <v>1</v>
      </c>
      <c r="D964">
        <v>4</v>
      </c>
      <c r="E964">
        <v>7</v>
      </c>
      <c r="F964">
        <v>3</v>
      </c>
      <c r="G964">
        <v>0</v>
      </c>
      <c r="H964">
        <f>표4[[#This Row],[공격성공횟수]]/(표4[[#This Row],[공격실패횟수]]+표4[[#This Row],[공격성공횟수]])</f>
        <v>0.36363636363636365</v>
      </c>
    </row>
    <row r="965" spans="1:8" hidden="1" x14ac:dyDescent="0.4">
      <c r="A965">
        <v>482</v>
      </c>
      <c r="B965" t="s">
        <v>2</v>
      </c>
      <c r="C965">
        <v>0</v>
      </c>
      <c r="D965">
        <v>3</v>
      </c>
      <c r="E965">
        <v>6</v>
      </c>
      <c r="F965">
        <v>4</v>
      </c>
      <c r="G965">
        <v>1</v>
      </c>
      <c r="H965">
        <f>표4[[#This Row],[공격성공횟수]]/(표4[[#This Row],[공격실패횟수]]+표4[[#This Row],[공격성공횟수]])</f>
        <v>0.33333333333333331</v>
      </c>
    </row>
    <row r="966" spans="1:8" x14ac:dyDescent="0.4">
      <c r="A966">
        <v>483</v>
      </c>
      <c r="B966" t="s">
        <v>3</v>
      </c>
      <c r="C966">
        <v>1</v>
      </c>
      <c r="D966">
        <v>4</v>
      </c>
      <c r="E966">
        <v>22</v>
      </c>
      <c r="F966">
        <v>0</v>
      </c>
      <c r="G966">
        <v>0</v>
      </c>
      <c r="H966">
        <f>표4[[#This Row],[공격성공횟수]]/(표4[[#This Row],[공격실패횟수]]+표4[[#This Row],[공격성공횟수]])</f>
        <v>0.15384615384615385</v>
      </c>
    </row>
    <row r="967" spans="1:8" hidden="1" x14ac:dyDescent="0.4">
      <c r="A967">
        <v>483</v>
      </c>
      <c r="B967" t="s">
        <v>2</v>
      </c>
      <c r="C967">
        <v>0</v>
      </c>
      <c r="D967">
        <v>0</v>
      </c>
      <c r="E967">
        <v>30</v>
      </c>
      <c r="F967">
        <v>4</v>
      </c>
      <c r="G967">
        <v>1</v>
      </c>
      <c r="H967">
        <f>표4[[#This Row],[공격성공횟수]]/(표4[[#This Row],[공격실패횟수]]+표4[[#This Row],[공격성공횟수]])</f>
        <v>0</v>
      </c>
    </row>
    <row r="968" spans="1:8" x14ac:dyDescent="0.4">
      <c r="A968">
        <v>484</v>
      </c>
      <c r="B968" t="s">
        <v>3</v>
      </c>
      <c r="C968">
        <v>1</v>
      </c>
      <c r="D968">
        <v>4</v>
      </c>
      <c r="E968">
        <v>12</v>
      </c>
      <c r="F968">
        <v>0</v>
      </c>
      <c r="G968">
        <v>0</v>
      </c>
      <c r="H968">
        <f>표4[[#This Row],[공격성공횟수]]/(표4[[#This Row],[공격실패횟수]]+표4[[#This Row],[공격성공횟수]])</f>
        <v>0.25</v>
      </c>
    </row>
    <row r="969" spans="1:8" hidden="1" x14ac:dyDescent="0.4">
      <c r="A969">
        <v>484</v>
      </c>
      <c r="B969" t="s">
        <v>2</v>
      </c>
      <c r="C969">
        <v>0</v>
      </c>
      <c r="D969">
        <v>0</v>
      </c>
      <c r="E969">
        <v>16</v>
      </c>
      <c r="F969">
        <v>4</v>
      </c>
      <c r="G969">
        <v>1</v>
      </c>
      <c r="H969">
        <f>표4[[#This Row],[공격성공횟수]]/(표4[[#This Row],[공격실패횟수]]+표4[[#This Row],[공격성공횟수]])</f>
        <v>0</v>
      </c>
    </row>
    <row r="970" spans="1:8" x14ac:dyDescent="0.4">
      <c r="A970">
        <v>485</v>
      </c>
      <c r="B970" t="s">
        <v>3</v>
      </c>
      <c r="C970">
        <v>0</v>
      </c>
      <c r="D970">
        <v>2</v>
      </c>
      <c r="E970">
        <v>18</v>
      </c>
      <c r="F970">
        <v>4</v>
      </c>
      <c r="G970">
        <v>1</v>
      </c>
      <c r="H970">
        <f>표4[[#This Row],[공격성공횟수]]/(표4[[#This Row],[공격실패횟수]]+표4[[#This Row],[공격성공횟수]])</f>
        <v>0.1</v>
      </c>
    </row>
    <row r="971" spans="1:8" hidden="1" x14ac:dyDescent="0.4">
      <c r="A971">
        <v>485</v>
      </c>
      <c r="B971" t="s">
        <v>2</v>
      </c>
      <c r="C971">
        <v>1</v>
      </c>
      <c r="D971">
        <v>4</v>
      </c>
      <c r="E971">
        <v>21</v>
      </c>
      <c r="F971">
        <v>2</v>
      </c>
      <c r="G971">
        <v>0</v>
      </c>
      <c r="H971">
        <f>표4[[#This Row],[공격성공횟수]]/(표4[[#This Row],[공격실패횟수]]+표4[[#This Row],[공격성공횟수]])</f>
        <v>0.16</v>
      </c>
    </row>
    <row r="972" spans="1:8" x14ac:dyDescent="0.4">
      <c r="A972">
        <v>486</v>
      </c>
      <c r="B972" t="s">
        <v>3</v>
      </c>
      <c r="C972">
        <v>1</v>
      </c>
      <c r="D972">
        <v>4</v>
      </c>
      <c r="E972">
        <v>13</v>
      </c>
      <c r="F972">
        <v>3</v>
      </c>
      <c r="G972">
        <v>0</v>
      </c>
      <c r="H972">
        <f>표4[[#This Row],[공격성공횟수]]/(표4[[#This Row],[공격실패횟수]]+표4[[#This Row],[공격성공횟수]])</f>
        <v>0.23529411764705882</v>
      </c>
    </row>
    <row r="973" spans="1:8" hidden="1" x14ac:dyDescent="0.4">
      <c r="A973">
        <v>486</v>
      </c>
      <c r="B973" t="s">
        <v>2</v>
      </c>
      <c r="C973">
        <v>0</v>
      </c>
      <c r="D973">
        <v>3</v>
      </c>
      <c r="E973">
        <v>12</v>
      </c>
      <c r="F973">
        <v>4</v>
      </c>
      <c r="G973">
        <v>1</v>
      </c>
      <c r="H973">
        <f>표4[[#This Row],[공격성공횟수]]/(표4[[#This Row],[공격실패횟수]]+표4[[#This Row],[공격성공횟수]])</f>
        <v>0.2</v>
      </c>
    </row>
    <row r="974" spans="1:8" x14ac:dyDescent="0.4">
      <c r="A974">
        <v>487</v>
      </c>
      <c r="B974" t="s">
        <v>3</v>
      </c>
      <c r="C974">
        <v>1</v>
      </c>
      <c r="D974">
        <v>4</v>
      </c>
      <c r="E974">
        <v>4</v>
      </c>
      <c r="F974">
        <v>3</v>
      </c>
      <c r="G974">
        <v>0</v>
      </c>
      <c r="H974">
        <f>표4[[#This Row],[공격성공횟수]]/(표4[[#This Row],[공격실패횟수]]+표4[[#This Row],[공격성공횟수]])</f>
        <v>0.5</v>
      </c>
    </row>
    <row r="975" spans="1:8" hidden="1" x14ac:dyDescent="0.4">
      <c r="A975">
        <v>487</v>
      </c>
      <c r="B975" t="s">
        <v>2</v>
      </c>
      <c r="C975">
        <v>0</v>
      </c>
      <c r="D975">
        <v>3</v>
      </c>
      <c r="E975">
        <v>5</v>
      </c>
      <c r="F975">
        <v>4</v>
      </c>
      <c r="G975">
        <v>1</v>
      </c>
      <c r="H975">
        <f>표4[[#This Row],[공격성공횟수]]/(표4[[#This Row],[공격실패횟수]]+표4[[#This Row],[공격성공횟수]])</f>
        <v>0.375</v>
      </c>
    </row>
    <row r="976" spans="1:8" x14ac:dyDescent="0.4">
      <c r="A976">
        <v>488</v>
      </c>
      <c r="B976" t="s">
        <v>3</v>
      </c>
      <c r="C976">
        <v>1</v>
      </c>
      <c r="D976">
        <v>4</v>
      </c>
      <c r="E976">
        <v>6</v>
      </c>
      <c r="F976">
        <v>2</v>
      </c>
      <c r="G976">
        <v>0</v>
      </c>
      <c r="H976">
        <f>표4[[#This Row],[공격성공횟수]]/(표4[[#This Row],[공격실패횟수]]+표4[[#This Row],[공격성공횟수]])</f>
        <v>0.4</v>
      </c>
    </row>
    <row r="977" spans="1:8" hidden="1" x14ac:dyDescent="0.4">
      <c r="A977">
        <v>488</v>
      </c>
      <c r="B977" t="s">
        <v>2</v>
      </c>
      <c r="C977">
        <v>0</v>
      </c>
      <c r="D977">
        <v>2</v>
      </c>
      <c r="E977">
        <v>7</v>
      </c>
      <c r="F977">
        <v>4</v>
      </c>
      <c r="G977">
        <v>1</v>
      </c>
      <c r="H977">
        <f>표4[[#This Row],[공격성공횟수]]/(표4[[#This Row],[공격실패횟수]]+표4[[#This Row],[공격성공횟수]])</f>
        <v>0.22222222222222221</v>
      </c>
    </row>
    <row r="978" spans="1:8" x14ac:dyDescent="0.4">
      <c r="A978">
        <v>489</v>
      </c>
      <c r="B978" t="s">
        <v>3</v>
      </c>
      <c r="C978">
        <v>1</v>
      </c>
      <c r="D978">
        <v>4</v>
      </c>
      <c r="E978">
        <v>5</v>
      </c>
      <c r="F978">
        <v>1</v>
      </c>
      <c r="G978">
        <v>0</v>
      </c>
      <c r="H978">
        <f>표4[[#This Row],[공격성공횟수]]/(표4[[#This Row],[공격실패횟수]]+표4[[#This Row],[공격성공횟수]])</f>
        <v>0.44444444444444442</v>
      </c>
    </row>
    <row r="979" spans="1:8" hidden="1" x14ac:dyDescent="0.4">
      <c r="A979">
        <v>489</v>
      </c>
      <c r="B979" t="s">
        <v>2</v>
      </c>
      <c r="C979">
        <v>0</v>
      </c>
      <c r="D979">
        <v>1</v>
      </c>
      <c r="E979">
        <v>8</v>
      </c>
      <c r="F979">
        <v>4</v>
      </c>
      <c r="G979">
        <v>1</v>
      </c>
      <c r="H979">
        <f>표4[[#This Row],[공격성공횟수]]/(표4[[#This Row],[공격실패횟수]]+표4[[#This Row],[공격성공횟수]])</f>
        <v>0.1111111111111111</v>
      </c>
    </row>
    <row r="980" spans="1:8" x14ac:dyDescent="0.4">
      <c r="A980">
        <v>490</v>
      </c>
      <c r="B980" t="s">
        <v>3</v>
      </c>
      <c r="C980">
        <v>0</v>
      </c>
      <c r="D980">
        <v>2</v>
      </c>
      <c r="E980">
        <v>8</v>
      </c>
      <c r="F980">
        <v>4</v>
      </c>
      <c r="G980">
        <v>1</v>
      </c>
      <c r="H980">
        <f>표4[[#This Row],[공격성공횟수]]/(표4[[#This Row],[공격실패횟수]]+표4[[#This Row],[공격성공횟수]])</f>
        <v>0.2</v>
      </c>
    </row>
    <row r="981" spans="1:8" hidden="1" x14ac:dyDescent="0.4">
      <c r="A981">
        <v>490</v>
      </c>
      <c r="B981" t="s">
        <v>2</v>
      </c>
      <c r="C981">
        <v>1</v>
      </c>
      <c r="D981">
        <v>4</v>
      </c>
      <c r="E981">
        <v>20</v>
      </c>
      <c r="F981">
        <v>2</v>
      </c>
      <c r="G981">
        <v>0</v>
      </c>
      <c r="H981">
        <f>표4[[#This Row],[공격성공횟수]]/(표4[[#This Row],[공격실패횟수]]+표4[[#This Row],[공격성공횟수]])</f>
        <v>0.16666666666666666</v>
      </c>
    </row>
    <row r="982" spans="1:8" x14ac:dyDescent="0.4">
      <c r="A982">
        <v>491</v>
      </c>
      <c r="B982" t="s">
        <v>3</v>
      </c>
      <c r="C982">
        <v>1</v>
      </c>
      <c r="D982">
        <v>4</v>
      </c>
      <c r="E982">
        <v>13</v>
      </c>
      <c r="F982">
        <v>2</v>
      </c>
      <c r="G982">
        <v>0</v>
      </c>
      <c r="H982">
        <f>표4[[#This Row],[공격성공횟수]]/(표4[[#This Row],[공격실패횟수]]+표4[[#This Row],[공격성공횟수]])</f>
        <v>0.23529411764705882</v>
      </c>
    </row>
    <row r="983" spans="1:8" hidden="1" x14ac:dyDescent="0.4">
      <c r="A983">
        <v>491</v>
      </c>
      <c r="B983" t="s">
        <v>2</v>
      </c>
      <c r="C983">
        <v>0</v>
      </c>
      <c r="D983">
        <v>2</v>
      </c>
      <c r="E983">
        <v>14</v>
      </c>
      <c r="F983">
        <v>4</v>
      </c>
      <c r="G983">
        <v>1</v>
      </c>
      <c r="H983">
        <f>표4[[#This Row],[공격성공횟수]]/(표4[[#This Row],[공격실패횟수]]+표4[[#This Row],[공격성공횟수]])</f>
        <v>0.125</v>
      </c>
    </row>
    <row r="984" spans="1:8" x14ac:dyDescent="0.4">
      <c r="A984">
        <v>492</v>
      </c>
      <c r="B984" t="s">
        <v>3</v>
      </c>
      <c r="C984">
        <v>0</v>
      </c>
      <c r="D984">
        <v>3</v>
      </c>
      <c r="E984">
        <v>53</v>
      </c>
      <c r="F984">
        <v>4</v>
      </c>
      <c r="G984">
        <v>1</v>
      </c>
      <c r="H984">
        <f>표4[[#This Row],[공격성공횟수]]/(표4[[#This Row],[공격실패횟수]]+표4[[#This Row],[공격성공횟수]])</f>
        <v>5.3571428571428568E-2</v>
      </c>
    </row>
    <row r="985" spans="1:8" hidden="1" x14ac:dyDescent="0.4">
      <c r="A985">
        <v>492</v>
      </c>
      <c r="B985" t="s">
        <v>2</v>
      </c>
      <c r="C985">
        <v>1</v>
      </c>
      <c r="D985">
        <v>4</v>
      </c>
      <c r="E985">
        <v>58</v>
      </c>
      <c r="F985">
        <v>3</v>
      </c>
      <c r="G985">
        <v>0</v>
      </c>
      <c r="H985">
        <f>표4[[#This Row],[공격성공횟수]]/(표4[[#This Row],[공격실패횟수]]+표4[[#This Row],[공격성공횟수]])</f>
        <v>6.4516129032258063E-2</v>
      </c>
    </row>
    <row r="986" spans="1:8" x14ac:dyDescent="0.4">
      <c r="A986">
        <v>493</v>
      </c>
      <c r="B986" t="s">
        <v>3</v>
      </c>
      <c r="C986">
        <v>1</v>
      </c>
      <c r="D986">
        <v>4</v>
      </c>
      <c r="E986">
        <v>2</v>
      </c>
      <c r="F986">
        <v>0</v>
      </c>
      <c r="G986">
        <v>0</v>
      </c>
      <c r="H986">
        <f>표4[[#This Row],[공격성공횟수]]/(표4[[#This Row],[공격실패횟수]]+표4[[#This Row],[공격성공횟수]])</f>
        <v>0.66666666666666663</v>
      </c>
    </row>
    <row r="987" spans="1:8" hidden="1" x14ac:dyDescent="0.4">
      <c r="A987">
        <v>493</v>
      </c>
      <c r="B987" t="s">
        <v>2</v>
      </c>
      <c r="C987">
        <v>0</v>
      </c>
      <c r="D987">
        <v>0</v>
      </c>
      <c r="E987">
        <v>10</v>
      </c>
      <c r="F987">
        <v>4</v>
      </c>
      <c r="G987">
        <v>1</v>
      </c>
      <c r="H987">
        <f>표4[[#This Row],[공격성공횟수]]/(표4[[#This Row],[공격실패횟수]]+표4[[#This Row],[공격성공횟수]])</f>
        <v>0</v>
      </c>
    </row>
    <row r="988" spans="1:8" x14ac:dyDescent="0.4">
      <c r="A988">
        <v>494</v>
      </c>
      <c r="B988" t="s">
        <v>3</v>
      </c>
      <c r="C988">
        <v>1</v>
      </c>
      <c r="D988">
        <v>4</v>
      </c>
      <c r="E988">
        <v>5</v>
      </c>
      <c r="F988">
        <v>2</v>
      </c>
      <c r="G988">
        <v>0</v>
      </c>
      <c r="H988">
        <f>표4[[#This Row],[공격성공횟수]]/(표4[[#This Row],[공격실패횟수]]+표4[[#This Row],[공격성공횟수]])</f>
        <v>0.44444444444444442</v>
      </c>
    </row>
    <row r="989" spans="1:8" hidden="1" x14ac:dyDescent="0.4">
      <c r="A989">
        <v>494</v>
      </c>
      <c r="B989" t="s">
        <v>2</v>
      </c>
      <c r="C989">
        <v>0</v>
      </c>
      <c r="D989">
        <v>2</v>
      </c>
      <c r="E989">
        <v>7</v>
      </c>
      <c r="F989">
        <v>4</v>
      </c>
      <c r="G989">
        <v>1</v>
      </c>
      <c r="H989">
        <f>표4[[#This Row],[공격성공횟수]]/(표4[[#This Row],[공격실패횟수]]+표4[[#This Row],[공격성공횟수]])</f>
        <v>0.22222222222222221</v>
      </c>
    </row>
    <row r="990" spans="1:8" x14ac:dyDescent="0.4">
      <c r="A990">
        <v>495</v>
      </c>
      <c r="B990" t="s">
        <v>3</v>
      </c>
      <c r="C990">
        <v>1</v>
      </c>
      <c r="D990">
        <v>4</v>
      </c>
      <c r="E990">
        <v>50</v>
      </c>
      <c r="F990">
        <v>2</v>
      </c>
      <c r="G990">
        <v>0</v>
      </c>
      <c r="H990">
        <f>표4[[#This Row],[공격성공횟수]]/(표4[[#This Row],[공격실패횟수]]+표4[[#This Row],[공격성공횟수]])</f>
        <v>7.407407407407407E-2</v>
      </c>
    </row>
    <row r="991" spans="1:8" hidden="1" x14ac:dyDescent="0.4">
      <c r="A991">
        <v>495</v>
      </c>
      <c r="B991" t="s">
        <v>2</v>
      </c>
      <c r="C991">
        <v>0</v>
      </c>
      <c r="D991">
        <v>2</v>
      </c>
      <c r="E991">
        <v>52</v>
      </c>
      <c r="F991">
        <v>4</v>
      </c>
      <c r="G991">
        <v>1</v>
      </c>
      <c r="H991">
        <f>표4[[#This Row],[공격성공횟수]]/(표4[[#This Row],[공격실패횟수]]+표4[[#This Row],[공격성공횟수]])</f>
        <v>3.7037037037037035E-2</v>
      </c>
    </row>
    <row r="992" spans="1:8" x14ac:dyDescent="0.4">
      <c r="A992">
        <v>496</v>
      </c>
      <c r="B992" t="s">
        <v>3</v>
      </c>
      <c r="C992">
        <v>0</v>
      </c>
      <c r="D992">
        <v>1</v>
      </c>
      <c r="E992">
        <v>6</v>
      </c>
      <c r="F992">
        <v>4</v>
      </c>
      <c r="G992">
        <v>1</v>
      </c>
      <c r="H992">
        <f>표4[[#This Row],[공격성공횟수]]/(표4[[#This Row],[공격실패횟수]]+표4[[#This Row],[공격성공횟수]])</f>
        <v>0.14285714285714285</v>
      </c>
    </row>
    <row r="993" spans="1:8" hidden="1" x14ac:dyDescent="0.4">
      <c r="A993">
        <v>496</v>
      </c>
      <c r="B993" t="s">
        <v>2</v>
      </c>
      <c r="C993">
        <v>1</v>
      </c>
      <c r="D993">
        <v>4</v>
      </c>
      <c r="E993">
        <v>10</v>
      </c>
      <c r="F993">
        <v>1</v>
      </c>
      <c r="G993">
        <v>0</v>
      </c>
      <c r="H993">
        <f>표4[[#This Row],[공격성공횟수]]/(표4[[#This Row],[공격실패횟수]]+표4[[#This Row],[공격성공횟수]])</f>
        <v>0.2857142857142857</v>
      </c>
    </row>
    <row r="994" spans="1:8" x14ac:dyDescent="0.4">
      <c r="A994">
        <v>497</v>
      </c>
      <c r="B994" t="s">
        <v>3</v>
      </c>
      <c r="C994">
        <v>0</v>
      </c>
      <c r="D994">
        <v>2</v>
      </c>
      <c r="E994">
        <v>22</v>
      </c>
      <c r="F994">
        <v>4</v>
      </c>
      <c r="G994">
        <v>1</v>
      </c>
      <c r="H994">
        <f>표4[[#This Row],[공격성공횟수]]/(표4[[#This Row],[공격실패횟수]]+표4[[#This Row],[공격성공횟수]])</f>
        <v>8.3333333333333329E-2</v>
      </c>
    </row>
    <row r="995" spans="1:8" hidden="1" x14ac:dyDescent="0.4">
      <c r="A995">
        <v>497</v>
      </c>
      <c r="B995" t="s">
        <v>2</v>
      </c>
      <c r="C995">
        <v>1</v>
      </c>
      <c r="D995">
        <v>4</v>
      </c>
      <c r="E995">
        <v>33</v>
      </c>
      <c r="F995">
        <v>2</v>
      </c>
      <c r="G995">
        <v>0</v>
      </c>
      <c r="H995">
        <f>표4[[#This Row],[공격성공횟수]]/(표4[[#This Row],[공격실패횟수]]+표4[[#This Row],[공격성공횟수]])</f>
        <v>0.10810810810810811</v>
      </c>
    </row>
    <row r="996" spans="1:8" x14ac:dyDescent="0.4">
      <c r="A996">
        <v>498</v>
      </c>
      <c r="B996" t="s">
        <v>3</v>
      </c>
      <c r="C996">
        <v>0</v>
      </c>
      <c r="D996">
        <v>0</v>
      </c>
      <c r="E996">
        <v>11</v>
      </c>
      <c r="F996">
        <v>4</v>
      </c>
      <c r="G996">
        <v>1</v>
      </c>
      <c r="H996">
        <f>표4[[#This Row],[공격성공횟수]]/(표4[[#This Row],[공격실패횟수]]+표4[[#This Row],[공격성공횟수]])</f>
        <v>0</v>
      </c>
    </row>
    <row r="997" spans="1:8" hidden="1" x14ac:dyDescent="0.4">
      <c r="A997">
        <v>498</v>
      </c>
      <c r="B997" t="s">
        <v>2</v>
      </c>
      <c r="C997">
        <v>1</v>
      </c>
      <c r="D997">
        <v>4</v>
      </c>
      <c r="E997">
        <v>7</v>
      </c>
      <c r="F997">
        <v>0</v>
      </c>
      <c r="G997">
        <v>0</v>
      </c>
      <c r="H997">
        <f>표4[[#This Row],[공격성공횟수]]/(표4[[#This Row],[공격실패횟수]]+표4[[#This Row],[공격성공횟수]])</f>
        <v>0.36363636363636365</v>
      </c>
    </row>
    <row r="998" spans="1:8" x14ac:dyDescent="0.4">
      <c r="A998">
        <v>499</v>
      </c>
      <c r="B998" t="s">
        <v>3</v>
      </c>
      <c r="C998">
        <v>1</v>
      </c>
      <c r="D998">
        <v>4</v>
      </c>
      <c r="E998">
        <v>10</v>
      </c>
      <c r="F998">
        <v>0</v>
      </c>
      <c r="G998">
        <v>0</v>
      </c>
      <c r="H998">
        <f>표4[[#This Row],[공격성공횟수]]/(표4[[#This Row],[공격실패횟수]]+표4[[#This Row],[공격성공횟수]])</f>
        <v>0.2857142857142857</v>
      </c>
    </row>
    <row r="999" spans="1:8" hidden="1" x14ac:dyDescent="0.4">
      <c r="A999">
        <v>499</v>
      </c>
      <c r="B999" t="s">
        <v>2</v>
      </c>
      <c r="C999">
        <v>0</v>
      </c>
      <c r="D999">
        <v>0</v>
      </c>
      <c r="E999">
        <v>13</v>
      </c>
      <c r="F999">
        <v>4</v>
      </c>
      <c r="G999">
        <v>1</v>
      </c>
      <c r="H999">
        <f>표4[[#This Row],[공격성공횟수]]/(표4[[#This Row],[공격실패횟수]]+표4[[#This Row],[공격성공횟수]])</f>
        <v>0</v>
      </c>
    </row>
    <row r="1000" spans="1:8" x14ac:dyDescent="0.4">
      <c r="A1000">
        <v>500</v>
      </c>
      <c r="B1000" t="s">
        <v>3</v>
      </c>
      <c r="C1000">
        <v>0</v>
      </c>
      <c r="D1000">
        <v>1</v>
      </c>
      <c r="E1000">
        <v>20</v>
      </c>
      <c r="F1000">
        <v>4</v>
      </c>
      <c r="G1000">
        <v>1</v>
      </c>
      <c r="H1000">
        <f>표4[[#This Row],[공격성공횟수]]/(표4[[#This Row],[공격실패횟수]]+표4[[#This Row],[공격성공횟수]])</f>
        <v>4.7619047619047616E-2</v>
      </c>
    </row>
    <row r="1001" spans="1:8" hidden="1" x14ac:dyDescent="0.4">
      <c r="A1001">
        <v>500</v>
      </c>
      <c r="B1001" t="s">
        <v>2</v>
      </c>
      <c r="C1001">
        <v>1</v>
      </c>
      <c r="D1001">
        <v>4</v>
      </c>
      <c r="E1001">
        <v>17</v>
      </c>
      <c r="F1001">
        <v>1</v>
      </c>
      <c r="G1001">
        <v>0</v>
      </c>
      <c r="H1001">
        <f>표4[[#This Row],[공격성공횟수]]/(표4[[#This Row],[공격실패횟수]]+표4[[#This Row],[공격성공횟수]])</f>
        <v>0.19047619047619047</v>
      </c>
    </row>
    <row r="1002" spans="1:8" x14ac:dyDescent="0.4">
      <c r="A1002">
        <v>501</v>
      </c>
      <c r="B1002" t="s">
        <v>3</v>
      </c>
      <c r="C1002">
        <v>1</v>
      </c>
      <c r="D1002">
        <v>4</v>
      </c>
      <c r="E1002">
        <v>15</v>
      </c>
      <c r="F1002">
        <v>1</v>
      </c>
      <c r="G1002">
        <v>0</v>
      </c>
      <c r="H1002">
        <f>표4[[#This Row],[공격성공횟수]]/(표4[[#This Row],[공격실패횟수]]+표4[[#This Row],[공격성공횟수]])</f>
        <v>0.21052631578947367</v>
      </c>
    </row>
    <row r="1003" spans="1:8" hidden="1" x14ac:dyDescent="0.4">
      <c r="A1003">
        <v>501</v>
      </c>
      <c r="B1003" t="s">
        <v>2</v>
      </c>
      <c r="C1003">
        <v>0</v>
      </c>
      <c r="D1003">
        <v>1</v>
      </c>
      <c r="E1003">
        <v>16</v>
      </c>
      <c r="F1003">
        <v>4</v>
      </c>
      <c r="G1003">
        <v>1</v>
      </c>
      <c r="H1003">
        <f>표4[[#This Row],[공격성공횟수]]/(표4[[#This Row],[공격실패횟수]]+표4[[#This Row],[공격성공횟수]])</f>
        <v>5.8823529411764705E-2</v>
      </c>
    </row>
    <row r="1004" spans="1:8" x14ac:dyDescent="0.4">
      <c r="A1004">
        <v>502</v>
      </c>
      <c r="B1004" t="s">
        <v>3</v>
      </c>
      <c r="C1004">
        <v>0</v>
      </c>
      <c r="D1004">
        <v>0</v>
      </c>
      <c r="E1004">
        <v>23</v>
      </c>
      <c r="F1004">
        <v>4</v>
      </c>
      <c r="G1004">
        <v>1</v>
      </c>
      <c r="H1004">
        <f>표4[[#This Row],[공격성공횟수]]/(표4[[#This Row],[공격실패횟수]]+표4[[#This Row],[공격성공횟수]])</f>
        <v>0</v>
      </c>
    </row>
    <row r="1005" spans="1:8" hidden="1" x14ac:dyDescent="0.4">
      <c r="A1005">
        <v>502</v>
      </c>
      <c r="B1005" t="s">
        <v>2</v>
      </c>
      <c r="C1005">
        <v>1</v>
      </c>
      <c r="D1005">
        <v>4</v>
      </c>
      <c r="E1005">
        <v>36</v>
      </c>
      <c r="F1005">
        <v>0</v>
      </c>
      <c r="G1005">
        <v>0</v>
      </c>
      <c r="H1005">
        <f>표4[[#This Row],[공격성공횟수]]/(표4[[#This Row],[공격실패횟수]]+표4[[#This Row],[공격성공횟수]])</f>
        <v>0.1</v>
      </c>
    </row>
    <row r="1006" spans="1:8" x14ac:dyDescent="0.4">
      <c r="A1006">
        <v>503</v>
      </c>
      <c r="B1006" t="s">
        <v>3</v>
      </c>
      <c r="C1006">
        <v>1</v>
      </c>
      <c r="D1006">
        <v>4</v>
      </c>
      <c r="E1006">
        <v>20</v>
      </c>
      <c r="F1006">
        <v>1</v>
      </c>
      <c r="G1006">
        <v>0</v>
      </c>
      <c r="H1006">
        <f>표4[[#This Row],[공격성공횟수]]/(표4[[#This Row],[공격실패횟수]]+표4[[#This Row],[공격성공횟수]])</f>
        <v>0.16666666666666666</v>
      </c>
    </row>
    <row r="1007" spans="1:8" hidden="1" x14ac:dyDescent="0.4">
      <c r="A1007">
        <v>503</v>
      </c>
      <c r="B1007" t="s">
        <v>2</v>
      </c>
      <c r="C1007">
        <v>0</v>
      </c>
      <c r="D1007">
        <v>1</v>
      </c>
      <c r="E1007">
        <v>23</v>
      </c>
      <c r="F1007">
        <v>4</v>
      </c>
      <c r="G1007">
        <v>1</v>
      </c>
      <c r="H1007">
        <f>표4[[#This Row],[공격성공횟수]]/(표4[[#This Row],[공격실패횟수]]+표4[[#This Row],[공격성공횟수]])</f>
        <v>4.1666666666666664E-2</v>
      </c>
    </row>
    <row r="1008" spans="1:8" x14ac:dyDescent="0.4">
      <c r="A1008">
        <v>504</v>
      </c>
      <c r="B1008" t="s">
        <v>3</v>
      </c>
      <c r="C1008">
        <v>0</v>
      </c>
      <c r="D1008">
        <v>1</v>
      </c>
      <c r="E1008">
        <v>6</v>
      </c>
      <c r="F1008">
        <v>4</v>
      </c>
      <c r="G1008">
        <v>1</v>
      </c>
      <c r="H1008">
        <f>표4[[#This Row],[공격성공횟수]]/(표4[[#This Row],[공격실패횟수]]+표4[[#This Row],[공격성공횟수]])</f>
        <v>0.14285714285714285</v>
      </c>
    </row>
    <row r="1009" spans="1:8" hidden="1" x14ac:dyDescent="0.4">
      <c r="A1009">
        <v>504</v>
      </c>
      <c r="B1009" t="s">
        <v>2</v>
      </c>
      <c r="C1009">
        <v>1</v>
      </c>
      <c r="D1009">
        <v>4</v>
      </c>
      <c r="E1009">
        <v>14</v>
      </c>
      <c r="F1009">
        <v>1</v>
      </c>
      <c r="G1009">
        <v>0</v>
      </c>
      <c r="H1009">
        <f>표4[[#This Row],[공격성공횟수]]/(표4[[#This Row],[공격실패횟수]]+표4[[#This Row],[공격성공횟수]])</f>
        <v>0.22222222222222221</v>
      </c>
    </row>
    <row r="1010" spans="1:8" x14ac:dyDescent="0.4">
      <c r="A1010">
        <v>505</v>
      </c>
      <c r="B1010" t="s">
        <v>3</v>
      </c>
      <c r="C1010">
        <v>1</v>
      </c>
      <c r="D1010">
        <v>4</v>
      </c>
      <c r="E1010">
        <v>2</v>
      </c>
      <c r="F1010">
        <v>0</v>
      </c>
      <c r="G1010">
        <v>0</v>
      </c>
      <c r="H1010">
        <f>표4[[#This Row],[공격성공횟수]]/(표4[[#This Row],[공격실패횟수]]+표4[[#This Row],[공격성공횟수]])</f>
        <v>0.66666666666666663</v>
      </c>
    </row>
    <row r="1011" spans="1:8" hidden="1" x14ac:dyDescent="0.4">
      <c r="A1011">
        <v>505</v>
      </c>
      <c r="B1011" t="s">
        <v>2</v>
      </c>
      <c r="C1011">
        <v>0</v>
      </c>
      <c r="D1011">
        <v>0</v>
      </c>
      <c r="E1011">
        <v>6</v>
      </c>
      <c r="F1011">
        <v>4</v>
      </c>
      <c r="G1011">
        <v>1</v>
      </c>
      <c r="H1011">
        <f>표4[[#This Row],[공격성공횟수]]/(표4[[#This Row],[공격실패횟수]]+표4[[#This Row],[공격성공횟수]])</f>
        <v>0</v>
      </c>
    </row>
    <row r="1012" spans="1:8" x14ac:dyDescent="0.4">
      <c r="A1012">
        <v>506</v>
      </c>
      <c r="B1012" t="s">
        <v>3</v>
      </c>
      <c r="C1012">
        <v>0</v>
      </c>
      <c r="D1012">
        <v>0</v>
      </c>
      <c r="E1012">
        <v>5</v>
      </c>
      <c r="F1012">
        <v>4</v>
      </c>
      <c r="G1012">
        <v>1</v>
      </c>
      <c r="H1012">
        <f>표4[[#This Row],[공격성공횟수]]/(표4[[#This Row],[공격실패횟수]]+표4[[#This Row],[공격성공횟수]])</f>
        <v>0</v>
      </c>
    </row>
    <row r="1013" spans="1:8" hidden="1" x14ac:dyDescent="0.4">
      <c r="A1013">
        <v>506</v>
      </c>
      <c r="B1013" t="s">
        <v>2</v>
      </c>
      <c r="C1013">
        <v>1</v>
      </c>
      <c r="D1013">
        <v>4</v>
      </c>
      <c r="E1013">
        <v>2</v>
      </c>
      <c r="F1013">
        <v>0</v>
      </c>
      <c r="G1013">
        <v>0</v>
      </c>
      <c r="H1013">
        <f>표4[[#This Row],[공격성공횟수]]/(표4[[#This Row],[공격실패횟수]]+표4[[#This Row],[공격성공횟수]])</f>
        <v>0.66666666666666663</v>
      </c>
    </row>
    <row r="1014" spans="1:8" x14ac:dyDescent="0.4">
      <c r="A1014">
        <v>507</v>
      </c>
      <c r="B1014" t="s">
        <v>3</v>
      </c>
      <c r="C1014">
        <v>1</v>
      </c>
      <c r="D1014">
        <v>4</v>
      </c>
      <c r="E1014">
        <v>11</v>
      </c>
      <c r="F1014">
        <v>1</v>
      </c>
      <c r="G1014">
        <v>0</v>
      </c>
      <c r="H1014">
        <f>표4[[#This Row],[공격성공횟수]]/(표4[[#This Row],[공격실패횟수]]+표4[[#This Row],[공격성공횟수]])</f>
        <v>0.26666666666666666</v>
      </c>
    </row>
    <row r="1015" spans="1:8" hidden="1" x14ac:dyDescent="0.4">
      <c r="A1015">
        <v>507</v>
      </c>
      <c r="B1015" t="s">
        <v>2</v>
      </c>
      <c r="C1015">
        <v>0</v>
      </c>
      <c r="D1015">
        <v>1</v>
      </c>
      <c r="E1015">
        <v>13</v>
      </c>
      <c r="F1015">
        <v>4</v>
      </c>
      <c r="G1015">
        <v>1</v>
      </c>
      <c r="H1015">
        <f>표4[[#This Row],[공격성공횟수]]/(표4[[#This Row],[공격실패횟수]]+표4[[#This Row],[공격성공횟수]])</f>
        <v>7.1428571428571425E-2</v>
      </c>
    </row>
    <row r="1016" spans="1:8" x14ac:dyDescent="0.4">
      <c r="A1016">
        <v>508</v>
      </c>
      <c r="B1016" t="s">
        <v>3</v>
      </c>
      <c r="C1016">
        <v>0</v>
      </c>
      <c r="D1016">
        <v>2</v>
      </c>
      <c r="E1016">
        <v>8</v>
      </c>
      <c r="F1016">
        <v>4</v>
      </c>
      <c r="G1016">
        <v>1</v>
      </c>
      <c r="H1016">
        <f>표4[[#This Row],[공격성공횟수]]/(표4[[#This Row],[공격실패횟수]]+표4[[#This Row],[공격성공횟수]])</f>
        <v>0.2</v>
      </c>
    </row>
    <row r="1017" spans="1:8" hidden="1" x14ac:dyDescent="0.4">
      <c r="A1017">
        <v>508</v>
      </c>
      <c r="B1017" t="s">
        <v>2</v>
      </c>
      <c r="C1017">
        <v>1</v>
      </c>
      <c r="D1017">
        <v>4</v>
      </c>
      <c r="E1017">
        <v>11</v>
      </c>
      <c r="F1017">
        <v>2</v>
      </c>
      <c r="G1017">
        <v>0</v>
      </c>
      <c r="H1017">
        <f>표4[[#This Row],[공격성공횟수]]/(표4[[#This Row],[공격실패횟수]]+표4[[#This Row],[공격성공횟수]])</f>
        <v>0.26666666666666666</v>
      </c>
    </row>
    <row r="1018" spans="1:8" x14ac:dyDescent="0.4">
      <c r="A1018">
        <v>509</v>
      </c>
      <c r="B1018" t="s">
        <v>3</v>
      </c>
      <c r="C1018">
        <v>1</v>
      </c>
      <c r="D1018">
        <v>4</v>
      </c>
      <c r="E1018">
        <v>4</v>
      </c>
      <c r="F1018">
        <v>1</v>
      </c>
      <c r="G1018">
        <v>0</v>
      </c>
      <c r="H1018">
        <f>표4[[#This Row],[공격성공횟수]]/(표4[[#This Row],[공격실패횟수]]+표4[[#This Row],[공격성공횟수]])</f>
        <v>0.5</v>
      </c>
    </row>
    <row r="1019" spans="1:8" hidden="1" x14ac:dyDescent="0.4">
      <c r="A1019">
        <v>509</v>
      </c>
      <c r="B1019" t="s">
        <v>2</v>
      </c>
      <c r="C1019">
        <v>0</v>
      </c>
      <c r="D1019">
        <v>1</v>
      </c>
      <c r="E1019">
        <v>6</v>
      </c>
      <c r="F1019">
        <v>4</v>
      </c>
      <c r="G1019">
        <v>1</v>
      </c>
      <c r="H1019">
        <f>표4[[#This Row],[공격성공횟수]]/(표4[[#This Row],[공격실패횟수]]+표4[[#This Row],[공격성공횟수]])</f>
        <v>0.14285714285714285</v>
      </c>
    </row>
    <row r="1020" spans="1:8" x14ac:dyDescent="0.4">
      <c r="A1020">
        <v>510</v>
      </c>
      <c r="B1020" t="s">
        <v>3</v>
      </c>
      <c r="C1020">
        <v>1</v>
      </c>
      <c r="D1020">
        <v>4</v>
      </c>
      <c r="E1020">
        <v>2</v>
      </c>
      <c r="F1020">
        <v>3</v>
      </c>
      <c r="G1020">
        <v>0</v>
      </c>
      <c r="H1020">
        <f>표4[[#This Row],[공격성공횟수]]/(표4[[#This Row],[공격실패횟수]]+표4[[#This Row],[공격성공횟수]])</f>
        <v>0.66666666666666663</v>
      </c>
    </row>
    <row r="1021" spans="1:8" hidden="1" x14ac:dyDescent="0.4">
      <c r="A1021">
        <v>510</v>
      </c>
      <c r="B1021" t="s">
        <v>2</v>
      </c>
      <c r="C1021">
        <v>0</v>
      </c>
      <c r="D1021">
        <v>3</v>
      </c>
      <c r="E1021">
        <v>2</v>
      </c>
      <c r="F1021">
        <v>4</v>
      </c>
      <c r="G1021">
        <v>1</v>
      </c>
      <c r="H1021">
        <f>표4[[#This Row],[공격성공횟수]]/(표4[[#This Row],[공격실패횟수]]+표4[[#This Row],[공격성공횟수]])</f>
        <v>0.6</v>
      </c>
    </row>
    <row r="1022" spans="1:8" x14ac:dyDescent="0.4">
      <c r="A1022">
        <v>511</v>
      </c>
      <c r="B1022" t="s">
        <v>3</v>
      </c>
      <c r="C1022">
        <v>1</v>
      </c>
      <c r="D1022">
        <v>4</v>
      </c>
      <c r="E1022">
        <v>14</v>
      </c>
      <c r="F1022">
        <v>1</v>
      </c>
      <c r="G1022">
        <v>0</v>
      </c>
      <c r="H1022">
        <f>표4[[#This Row],[공격성공횟수]]/(표4[[#This Row],[공격실패횟수]]+표4[[#This Row],[공격성공횟수]])</f>
        <v>0.22222222222222221</v>
      </c>
    </row>
    <row r="1023" spans="1:8" hidden="1" x14ac:dyDescent="0.4">
      <c r="A1023">
        <v>511</v>
      </c>
      <c r="B1023" t="s">
        <v>2</v>
      </c>
      <c r="C1023">
        <v>0</v>
      </c>
      <c r="D1023">
        <v>1</v>
      </c>
      <c r="E1023">
        <v>16</v>
      </c>
      <c r="F1023">
        <v>4</v>
      </c>
      <c r="G1023">
        <v>1</v>
      </c>
      <c r="H1023">
        <f>표4[[#This Row],[공격성공횟수]]/(표4[[#This Row],[공격실패횟수]]+표4[[#This Row],[공격성공횟수]])</f>
        <v>5.8823529411764705E-2</v>
      </c>
    </row>
    <row r="1024" spans="1:8" x14ac:dyDescent="0.4">
      <c r="A1024">
        <v>512</v>
      </c>
      <c r="B1024" t="s">
        <v>3</v>
      </c>
      <c r="C1024">
        <v>1</v>
      </c>
      <c r="D1024">
        <v>4</v>
      </c>
      <c r="E1024">
        <v>3</v>
      </c>
      <c r="F1024">
        <v>0</v>
      </c>
      <c r="G1024">
        <v>0</v>
      </c>
      <c r="H1024">
        <f>표4[[#This Row],[공격성공횟수]]/(표4[[#This Row],[공격실패횟수]]+표4[[#This Row],[공격성공횟수]])</f>
        <v>0.5714285714285714</v>
      </c>
    </row>
    <row r="1025" spans="1:8" hidden="1" x14ac:dyDescent="0.4">
      <c r="A1025">
        <v>512</v>
      </c>
      <c r="B1025" t="s">
        <v>2</v>
      </c>
      <c r="C1025">
        <v>0</v>
      </c>
      <c r="D1025">
        <v>0</v>
      </c>
      <c r="E1025">
        <v>7</v>
      </c>
      <c r="F1025">
        <v>4</v>
      </c>
      <c r="G1025">
        <v>1</v>
      </c>
      <c r="H1025">
        <f>표4[[#This Row],[공격성공횟수]]/(표4[[#This Row],[공격실패횟수]]+표4[[#This Row],[공격성공횟수]])</f>
        <v>0</v>
      </c>
    </row>
    <row r="1026" spans="1:8" x14ac:dyDescent="0.4">
      <c r="A1026">
        <v>513</v>
      </c>
      <c r="B1026" t="s">
        <v>3</v>
      </c>
      <c r="C1026">
        <v>0</v>
      </c>
      <c r="D1026">
        <v>1</v>
      </c>
      <c r="E1026">
        <v>70</v>
      </c>
      <c r="F1026">
        <v>4</v>
      </c>
      <c r="G1026">
        <v>1</v>
      </c>
      <c r="H1026">
        <f>표4[[#This Row],[공격성공횟수]]/(표4[[#This Row],[공격실패횟수]]+표4[[#This Row],[공격성공횟수]])</f>
        <v>1.4084507042253521E-2</v>
      </c>
    </row>
    <row r="1027" spans="1:8" hidden="1" x14ac:dyDescent="0.4">
      <c r="A1027">
        <v>513</v>
      </c>
      <c r="B1027" t="s">
        <v>2</v>
      </c>
      <c r="C1027">
        <v>1</v>
      </c>
      <c r="D1027">
        <v>4</v>
      </c>
      <c r="E1027">
        <v>92</v>
      </c>
      <c r="F1027">
        <v>1</v>
      </c>
      <c r="G1027">
        <v>0</v>
      </c>
      <c r="H1027">
        <f>표4[[#This Row],[공격성공횟수]]/(표4[[#This Row],[공격실패횟수]]+표4[[#This Row],[공격성공횟수]])</f>
        <v>4.1666666666666664E-2</v>
      </c>
    </row>
    <row r="1028" spans="1:8" x14ac:dyDescent="0.4">
      <c r="A1028">
        <v>514</v>
      </c>
      <c r="B1028" t="s">
        <v>3</v>
      </c>
      <c r="C1028">
        <v>1</v>
      </c>
      <c r="D1028">
        <v>4</v>
      </c>
      <c r="E1028">
        <v>13</v>
      </c>
      <c r="F1028">
        <v>2</v>
      </c>
      <c r="G1028">
        <v>0</v>
      </c>
      <c r="H1028">
        <f>표4[[#This Row],[공격성공횟수]]/(표4[[#This Row],[공격실패횟수]]+표4[[#This Row],[공격성공횟수]])</f>
        <v>0.23529411764705882</v>
      </c>
    </row>
    <row r="1029" spans="1:8" hidden="1" x14ac:dyDescent="0.4">
      <c r="A1029">
        <v>514</v>
      </c>
      <c r="B1029" t="s">
        <v>2</v>
      </c>
      <c r="C1029">
        <v>0</v>
      </c>
      <c r="D1029">
        <v>2</v>
      </c>
      <c r="E1029">
        <v>14</v>
      </c>
      <c r="F1029">
        <v>4</v>
      </c>
      <c r="G1029">
        <v>1</v>
      </c>
      <c r="H1029">
        <f>표4[[#This Row],[공격성공횟수]]/(표4[[#This Row],[공격실패횟수]]+표4[[#This Row],[공격성공횟수]])</f>
        <v>0.125</v>
      </c>
    </row>
    <row r="1030" spans="1:8" x14ac:dyDescent="0.4">
      <c r="A1030">
        <v>515</v>
      </c>
      <c r="B1030" t="s">
        <v>3</v>
      </c>
      <c r="C1030">
        <v>1</v>
      </c>
      <c r="D1030">
        <v>4</v>
      </c>
      <c r="E1030">
        <v>12</v>
      </c>
      <c r="F1030">
        <v>0</v>
      </c>
      <c r="G1030">
        <v>0</v>
      </c>
      <c r="H1030">
        <f>표4[[#This Row],[공격성공횟수]]/(표4[[#This Row],[공격실패횟수]]+표4[[#This Row],[공격성공횟수]])</f>
        <v>0.25</v>
      </c>
    </row>
    <row r="1031" spans="1:8" hidden="1" x14ac:dyDescent="0.4">
      <c r="A1031">
        <v>515</v>
      </c>
      <c r="B1031" t="s">
        <v>2</v>
      </c>
      <c r="C1031">
        <v>0</v>
      </c>
      <c r="D1031">
        <v>0</v>
      </c>
      <c r="E1031">
        <v>16</v>
      </c>
      <c r="F1031">
        <v>4</v>
      </c>
      <c r="G1031">
        <v>1</v>
      </c>
      <c r="H1031">
        <f>표4[[#This Row],[공격성공횟수]]/(표4[[#This Row],[공격실패횟수]]+표4[[#This Row],[공격성공횟수]])</f>
        <v>0</v>
      </c>
    </row>
    <row r="1032" spans="1:8" x14ac:dyDescent="0.4">
      <c r="A1032">
        <v>516</v>
      </c>
      <c r="B1032" t="s">
        <v>3</v>
      </c>
      <c r="C1032">
        <v>0</v>
      </c>
      <c r="D1032">
        <v>1</v>
      </c>
      <c r="E1032">
        <v>7</v>
      </c>
      <c r="F1032">
        <v>4</v>
      </c>
      <c r="G1032">
        <v>1</v>
      </c>
      <c r="H1032">
        <f>표4[[#This Row],[공격성공횟수]]/(표4[[#This Row],[공격실패횟수]]+표4[[#This Row],[공격성공횟수]])</f>
        <v>0.125</v>
      </c>
    </row>
    <row r="1033" spans="1:8" hidden="1" x14ac:dyDescent="0.4">
      <c r="A1033">
        <v>516</v>
      </c>
      <c r="B1033" t="s">
        <v>2</v>
      </c>
      <c r="C1033">
        <v>1</v>
      </c>
      <c r="D1033">
        <v>4</v>
      </c>
      <c r="E1033">
        <v>37</v>
      </c>
      <c r="F1033">
        <v>1</v>
      </c>
      <c r="G1033">
        <v>0</v>
      </c>
      <c r="H1033">
        <f>표4[[#This Row],[공격성공횟수]]/(표4[[#This Row],[공격실패횟수]]+표4[[#This Row],[공격성공횟수]])</f>
        <v>9.7560975609756101E-2</v>
      </c>
    </row>
    <row r="1034" spans="1:8" x14ac:dyDescent="0.4">
      <c r="A1034">
        <v>517</v>
      </c>
      <c r="B1034" t="s">
        <v>3</v>
      </c>
      <c r="C1034">
        <v>1</v>
      </c>
      <c r="D1034">
        <v>4</v>
      </c>
      <c r="E1034">
        <v>3</v>
      </c>
      <c r="F1034">
        <v>1</v>
      </c>
      <c r="G1034">
        <v>0</v>
      </c>
      <c r="H1034">
        <f>표4[[#This Row],[공격성공횟수]]/(표4[[#This Row],[공격실패횟수]]+표4[[#This Row],[공격성공횟수]])</f>
        <v>0.5714285714285714</v>
      </c>
    </row>
    <row r="1035" spans="1:8" hidden="1" x14ac:dyDescent="0.4">
      <c r="A1035">
        <v>517</v>
      </c>
      <c r="B1035" t="s">
        <v>2</v>
      </c>
      <c r="C1035">
        <v>0</v>
      </c>
      <c r="D1035">
        <v>1</v>
      </c>
      <c r="E1035">
        <v>6</v>
      </c>
      <c r="F1035">
        <v>4</v>
      </c>
      <c r="G1035">
        <v>1</v>
      </c>
      <c r="H1035">
        <f>표4[[#This Row],[공격성공횟수]]/(표4[[#This Row],[공격실패횟수]]+표4[[#This Row],[공격성공횟수]])</f>
        <v>0.14285714285714285</v>
      </c>
    </row>
    <row r="1036" spans="1:8" x14ac:dyDescent="0.4">
      <c r="A1036">
        <v>518</v>
      </c>
      <c r="B1036" t="s">
        <v>3</v>
      </c>
      <c r="C1036">
        <v>1</v>
      </c>
      <c r="D1036">
        <v>4</v>
      </c>
      <c r="E1036">
        <v>13</v>
      </c>
      <c r="F1036">
        <v>1</v>
      </c>
      <c r="G1036">
        <v>0</v>
      </c>
      <c r="H1036">
        <f>표4[[#This Row],[공격성공횟수]]/(표4[[#This Row],[공격실패횟수]]+표4[[#This Row],[공격성공횟수]])</f>
        <v>0.23529411764705882</v>
      </c>
    </row>
    <row r="1037" spans="1:8" hidden="1" x14ac:dyDescent="0.4">
      <c r="A1037">
        <v>518</v>
      </c>
      <c r="B1037" t="s">
        <v>2</v>
      </c>
      <c r="C1037">
        <v>0</v>
      </c>
      <c r="D1037">
        <v>1</v>
      </c>
      <c r="E1037">
        <v>16</v>
      </c>
      <c r="F1037">
        <v>4</v>
      </c>
      <c r="G1037">
        <v>1</v>
      </c>
      <c r="H1037">
        <f>표4[[#This Row],[공격성공횟수]]/(표4[[#This Row],[공격실패횟수]]+표4[[#This Row],[공격성공횟수]])</f>
        <v>5.8823529411764705E-2</v>
      </c>
    </row>
    <row r="1038" spans="1:8" x14ac:dyDescent="0.4">
      <c r="A1038">
        <v>519</v>
      </c>
      <c r="B1038" t="s">
        <v>3</v>
      </c>
      <c r="C1038">
        <v>1</v>
      </c>
      <c r="D1038">
        <v>4</v>
      </c>
      <c r="E1038">
        <v>9</v>
      </c>
      <c r="F1038">
        <v>2</v>
      </c>
      <c r="G1038">
        <v>0</v>
      </c>
      <c r="H1038">
        <f>표4[[#This Row],[공격성공횟수]]/(표4[[#This Row],[공격실패횟수]]+표4[[#This Row],[공격성공횟수]])</f>
        <v>0.30769230769230771</v>
      </c>
    </row>
    <row r="1039" spans="1:8" hidden="1" x14ac:dyDescent="0.4">
      <c r="A1039">
        <v>519</v>
      </c>
      <c r="B1039" t="s">
        <v>2</v>
      </c>
      <c r="C1039">
        <v>0</v>
      </c>
      <c r="D1039">
        <v>2</v>
      </c>
      <c r="E1039">
        <v>10</v>
      </c>
      <c r="F1039">
        <v>4</v>
      </c>
      <c r="G1039">
        <v>1</v>
      </c>
      <c r="H1039">
        <f>표4[[#This Row],[공격성공횟수]]/(표4[[#This Row],[공격실패횟수]]+표4[[#This Row],[공격성공횟수]])</f>
        <v>0.16666666666666666</v>
      </c>
    </row>
    <row r="1040" spans="1:8" x14ac:dyDescent="0.4">
      <c r="A1040">
        <v>520</v>
      </c>
      <c r="B1040" t="s">
        <v>3</v>
      </c>
      <c r="C1040">
        <v>1</v>
      </c>
      <c r="D1040">
        <v>4</v>
      </c>
      <c r="E1040">
        <v>8</v>
      </c>
      <c r="F1040">
        <v>2</v>
      </c>
      <c r="G1040">
        <v>0</v>
      </c>
      <c r="H1040">
        <f>표4[[#This Row],[공격성공횟수]]/(표4[[#This Row],[공격실패횟수]]+표4[[#This Row],[공격성공횟수]])</f>
        <v>0.33333333333333331</v>
      </c>
    </row>
    <row r="1041" spans="1:8" hidden="1" x14ac:dyDescent="0.4">
      <c r="A1041">
        <v>520</v>
      </c>
      <c r="B1041" t="s">
        <v>2</v>
      </c>
      <c r="C1041">
        <v>0</v>
      </c>
      <c r="D1041">
        <v>2</v>
      </c>
      <c r="E1041">
        <v>11</v>
      </c>
      <c r="F1041">
        <v>4</v>
      </c>
      <c r="G1041">
        <v>1</v>
      </c>
      <c r="H1041">
        <f>표4[[#This Row],[공격성공횟수]]/(표4[[#This Row],[공격실패횟수]]+표4[[#This Row],[공격성공횟수]])</f>
        <v>0.15384615384615385</v>
      </c>
    </row>
    <row r="1042" spans="1:8" x14ac:dyDescent="0.4">
      <c r="A1042">
        <v>521</v>
      </c>
      <c r="B1042" t="s">
        <v>3</v>
      </c>
      <c r="C1042">
        <v>0</v>
      </c>
      <c r="D1042">
        <v>0</v>
      </c>
      <c r="E1042">
        <v>6</v>
      </c>
      <c r="F1042">
        <v>4</v>
      </c>
      <c r="G1042">
        <v>1</v>
      </c>
      <c r="H1042">
        <f>표4[[#This Row],[공격성공횟수]]/(표4[[#This Row],[공격실패횟수]]+표4[[#This Row],[공격성공횟수]])</f>
        <v>0</v>
      </c>
    </row>
    <row r="1043" spans="1:8" hidden="1" x14ac:dyDescent="0.4">
      <c r="A1043">
        <v>521</v>
      </c>
      <c r="B1043" t="s">
        <v>2</v>
      </c>
      <c r="C1043">
        <v>1</v>
      </c>
      <c r="D1043">
        <v>4</v>
      </c>
      <c r="E1043">
        <v>3</v>
      </c>
      <c r="F1043">
        <v>0</v>
      </c>
      <c r="G1043">
        <v>0</v>
      </c>
      <c r="H1043">
        <f>표4[[#This Row],[공격성공횟수]]/(표4[[#This Row],[공격실패횟수]]+표4[[#This Row],[공격성공횟수]])</f>
        <v>0.5714285714285714</v>
      </c>
    </row>
    <row r="1044" spans="1:8" x14ac:dyDescent="0.4">
      <c r="A1044">
        <v>522</v>
      </c>
      <c r="B1044" t="s">
        <v>3</v>
      </c>
      <c r="C1044">
        <v>1</v>
      </c>
      <c r="D1044">
        <v>4</v>
      </c>
      <c r="E1044">
        <v>5</v>
      </c>
      <c r="F1044">
        <v>3</v>
      </c>
      <c r="G1044">
        <v>0</v>
      </c>
      <c r="H1044">
        <f>표4[[#This Row],[공격성공횟수]]/(표4[[#This Row],[공격실패횟수]]+표4[[#This Row],[공격성공횟수]])</f>
        <v>0.44444444444444442</v>
      </c>
    </row>
    <row r="1045" spans="1:8" hidden="1" x14ac:dyDescent="0.4">
      <c r="A1045">
        <v>522</v>
      </c>
      <c r="B1045" t="s">
        <v>2</v>
      </c>
      <c r="C1045">
        <v>0</v>
      </c>
      <c r="D1045">
        <v>3</v>
      </c>
      <c r="E1045">
        <v>5</v>
      </c>
      <c r="F1045">
        <v>4</v>
      </c>
      <c r="G1045">
        <v>1</v>
      </c>
      <c r="H1045">
        <f>표4[[#This Row],[공격성공횟수]]/(표4[[#This Row],[공격실패횟수]]+표4[[#This Row],[공격성공횟수]])</f>
        <v>0.375</v>
      </c>
    </row>
    <row r="1046" spans="1:8" x14ac:dyDescent="0.4">
      <c r="A1046">
        <v>523</v>
      </c>
      <c r="B1046" t="s">
        <v>3</v>
      </c>
      <c r="C1046">
        <v>0</v>
      </c>
      <c r="D1046">
        <v>3</v>
      </c>
      <c r="E1046">
        <v>46</v>
      </c>
      <c r="F1046">
        <v>4</v>
      </c>
      <c r="G1046">
        <v>1</v>
      </c>
      <c r="H1046">
        <f>표4[[#This Row],[공격성공횟수]]/(표4[[#This Row],[공격실패횟수]]+표4[[#This Row],[공격성공횟수]])</f>
        <v>6.1224489795918366E-2</v>
      </c>
    </row>
    <row r="1047" spans="1:8" hidden="1" x14ac:dyDescent="0.4">
      <c r="A1047">
        <v>523</v>
      </c>
      <c r="B1047" t="s">
        <v>2</v>
      </c>
      <c r="C1047">
        <v>1</v>
      </c>
      <c r="D1047">
        <v>4</v>
      </c>
      <c r="E1047">
        <v>46</v>
      </c>
      <c r="F1047">
        <v>3</v>
      </c>
      <c r="G1047">
        <v>0</v>
      </c>
      <c r="H1047">
        <f>표4[[#This Row],[공격성공횟수]]/(표4[[#This Row],[공격실패횟수]]+표4[[#This Row],[공격성공횟수]])</f>
        <v>0.08</v>
      </c>
    </row>
    <row r="1048" spans="1:8" x14ac:dyDescent="0.4">
      <c r="A1048">
        <v>524</v>
      </c>
      <c r="B1048" t="s">
        <v>3</v>
      </c>
      <c r="C1048">
        <v>0</v>
      </c>
      <c r="D1048">
        <v>1</v>
      </c>
      <c r="E1048">
        <v>11</v>
      </c>
      <c r="F1048">
        <v>4</v>
      </c>
      <c r="G1048">
        <v>1</v>
      </c>
      <c r="H1048">
        <f>표4[[#This Row],[공격성공횟수]]/(표4[[#This Row],[공격실패횟수]]+표4[[#This Row],[공격성공횟수]])</f>
        <v>8.3333333333333329E-2</v>
      </c>
    </row>
    <row r="1049" spans="1:8" hidden="1" x14ac:dyDescent="0.4">
      <c r="A1049">
        <v>524</v>
      </c>
      <c r="B1049" t="s">
        <v>2</v>
      </c>
      <c r="C1049">
        <v>1</v>
      </c>
      <c r="D1049">
        <v>4</v>
      </c>
      <c r="E1049">
        <v>19</v>
      </c>
      <c r="F1049">
        <v>1</v>
      </c>
      <c r="G1049">
        <v>0</v>
      </c>
      <c r="H1049">
        <f>표4[[#This Row],[공격성공횟수]]/(표4[[#This Row],[공격실패횟수]]+표4[[#This Row],[공격성공횟수]])</f>
        <v>0.17391304347826086</v>
      </c>
    </row>
    <row r="1050" spans="1:8" x14ac:dyDescent="0.4">
      <c r="A1050">
        <v>525</v>
      </c>
      <c r="B1050" t="s">
        <v>3</v>
      </c>
      <c r="C1050">
        <v>1</v>
      </c>
      <c r="D1050">
        <v>4</v>
      </c>
      <c r="E1050">
        <v>16</v>
      </c>
      <c r="F1050">
        <v>1</v>
      </c>
      <c r="G1050">
        <v>0</v>
      </c>
      <c r="H1050">
        <f>표4[[#This Row],[공격성공횟수]]/(표4[[#This Row],[공격실패횟수]]+표4[[#This Row],[공격성공횟수]])</f>
        <v>0.2</v>
      </c>
    </row>
    <row r="1051" spans="1:8" hidden="1" x14ac:dyDescent="0.4">
      <c r="A1051">
        <v>525</v>
      </c>
      <c r="B1051" t="s">
        <v>2</v>
      </c>
      <c r="C1051">
        <v>0</v>
      </c>
      <c r="D1051">
        <v>1</v>
      </c>
      <c r="E1051">
        <v>17</v>
      </c>
      <c r="F1051">
        <v>4</v>
      </c>
      <c r="G1051">
        <v>1</v>
      </c>
      <c r="H1051">
        <f>표4[[#This Row],[공격성공횟수]]/(표4[[#This Row],[공격실패횟수]]+표4[[#This Row],[공격성공횟수]])</f>
        <v>5.5555555555555552E-2</v>
      </c>
    </row>
    <row r="1052" spans="1:8" x14ac:dyDescent="0.4">
      <c r="A1052">
        <v>526</v>
      </c>
      <c r="B1052" t="s">
        <v>3</v>
      </c>
      <c r="C1052">
        <v>1</v>
      </c>
      <c r="D1052">
        <v>4</v>
      </c>
      <c r="E1052">
        <v>13</v>
      </c>
      <c r="F1052">
        <v>1</v>
      </c>
      <c r="G1052">
        <v>0</v>
      </c>
      <c r="H1052">
        <f>표4[[#This Row],[공격성공횟수]]/(표4[[#This Row],[공격실패횟수]]+표4[[#This Row],[공격성공횟수]])</f>
        <v>0.23529411764705882</v>
      </c>
    </row>
    <row r="1053" spans="1:8" hidden="1" x14ac:dyDescent="0.4">
      <c r="A1053">
        <v>526</v>
      </c>
      <c r="B1053" t="s">
        <v>2</v>
      </c>
      <c r="C1053">
        <v>0</v>
      </c>
      <c r="D1053">
        <v>1</v>
      </c>
      <c r="E1053">
        <v>16</v>
      </c>
      <c r="F1053">
        <v>4</v>
      </c>
      <c r="G1053">
        <v>1</v>
      </c>
      <c r="H1053">
        <f>표4[[#This Row],[공격성공횟수]]/(표4[[#This Row],[공격실패횟수]]+표4[[#This Row],[공격성공횟수]])</f>
        <v>5.8823529411764705E-2</v>
      </c>
    </row>
    <row r="1054" spans="1:8" x14ac:dyDescent="0.4">
      <c r="A1054">
        <v>527</v>
      </c>
      <c r="B1054" t="s">
        <v>3</v>
      </c>
      <c r="C1054">
        <v>0</v>
      </c>
      <c r="D1054">
        <v>2</v>
      </c>
      <c r="E1054">
        <v>87</v>
      </c>
      <c r="F1054">
        <v>3</v>
      </c>
      <c r="G1054">
        <v>0</v>
      </c>
      <c r="H1054">
        <f>표4[[#This Row],[공격성공횟수]]/(표4[[#This Row],[공격실패횟수]]+표4[[#This Row],[공격성공횟수]])</f>
        <v>2.247191011235955E-2</v>
      </c>
    </row>
    <row r="1055" spans="1:8" hidden="1" x14ac:dyDescent="0.4">
      <c r="A1055">
        <v>527</v>
      </c>
      <c r="B1055" t="s">
        <v>2</v>
      </c>
      <c r="C1055">
        <v>0</v>
      </c>
      <c r="D1055">
        <v>3</v>
      </c>
      <c r="E1055">
        <v>112</v>
      </c>
      <c r="F1055">
        <v>2</v>
      </c>
      <c r="G1055">
        <v>0</v>
      </c>
      <c r="H1055">
        <f>표4[[#This Row],[공격성공횟수]]/(표4[[#This Row],[공격실패횟수]]+표4[[#This Row],[공격성공횟수]])</f>
        <v>2.6086956521739129E-2</v>
      </c>
    </row>
    <row r="1056" spans="1:8" x14ac:dyDescent="0.4">
      <c r="A1056">
        <v>528</v>
      </c>
      <c r="B1056" t="s">
        <v>3</v>
      </c>
      <c r="C1056">
        <v>0</v>
      </c>
      <c r="D1056">
        <v>2</v>
      </c>
      <c r="E1056">
        <v>10</v>
      </c>
      <c r="F1056">
        <v>4</v>
      </c>
      <c r="G1056">
        <v>1</v>
      </c>
      <c r="H1056">
        <f>표4[[#This Row],[공격성공횟수]]/(표4[[#This Row],[공격실패횟수]]+표4[[#This Row],[공격성공횟수]])</f>
        <v>0.16666666666666666</v>
      </c>
    </row>
    <row r="1057" spans="1:8" hidden="1" x14ac:dyDescent="0.4">
      <c r="A1057">
        <v>528</v>
      </c>
      <c r="B1057" t="s">
        <v>2</v>
      </c>
      <c r="C1057">
        <v>1</v>
      </c>
      <c r="D1057">
        <v>4</v>
      </c>
      <c r="E1057">
        <v>13</v>
      </c>
      <c r="F1057">
        <v>2</v>
      </c>
      <c r="G1057">
        <v>0</v>
      </c>
      <c r="H1057">
        <f>표4[[#This Row],[공격성공횟수]]/(표4[[#This Row],[공격실패횟수]]+표4[[#This Row],[공격성공횟수]])</f>
        <v>0.23529411764705882</v>
      </c>
    </row>
    <row r="1058" spans="1:8" x14ac:dyDescent="0.4">
      <c r="A1058">
        <v>529</v>
      </c>
      <c r="B1058" t="s">
        <v>3</v>
      </c>
      <c r="C1058">
        <v>0</v>
      </c>
      <c r="D1058">
        <v>1</v>
      </c>
      <c r="E1058">
        <v>70</v>
      </c>
      <c r="F1058">
        <v>4</v>
      </c>
      <c r="G1058">
        <v>1</v>
      </c>
      <c r="H1058">
        <f>표4[[#This Row],[공격성공횟수]]/(표4[[#This Row],[공격실패횟수]]+표4[[#This Row],[공격성공횟수]])</f>
        <v>1.4084507042253521E-2</v>
      </c>
    </row>
    <row r="1059" spans="1:8" hidden="1" x14ac:dyDescent="0.4">
      <c r="A1059">
        <v>529</v>
      </c>
      <c r="B1059" t="s">
        <v>2</v>
      </c>
      <c r="C1059">
        <v>1</v>
      </c>
      <c r="D1059">
        <v>4</v>
      </c>
      <c r="E1059">
        <v>66</v>
      </c>
      <c r="F1059">
        <v>1</v>
      </c>
      <c r="G1059">
        <v>0</v>
      </c>
      <c r="H1059">
        <f>표4[[#This Row],[공격성공횟수]]/(표4[[#This Row],[공격실패횟수]]+표4[[#This Row],[공격성공횟수]])</f>
        <v>5.7142857142857141E-2</v>
      </c>
    </row>
    <row r="1060" spans="1:8" x14ac:dyDescent="0.4">
      <c r="A1060">
        <v>530</v>
      </c>
      <c r="B1060" t="s">
        <v>3</v>
      </c>
      <c r="C1060">
        <v>1</v>
      </c>
      <c r="D1060">
        <v>4</v>
      </c>
      <c r="E1060">
        <v>27</v>
      </c>
      <c r="F1060">
        <v>1</v>
      </c>
      <c r="G1060">
        <v>0</v>
      </c>
      <c r="H1060">
        <f>표4[[#This Row],[공격성공횟수]]/(표4[[#This Row],[공격실패횟수]]+표4[[#This Row],[공격성공횟수]])</f>
        <v>0.12903225806451613</v>
      </c>
    </row>
    <row r="1061" spans="1:8" hidden="1" x14ac:dyDescent="0.4">
      <c r="A1061">
        <v>530</v>
      </c>
      <c r="B1061" t="s">
        <v>2</v>
      </c>
      <c r="C1061">
        <v>0</v>
      </c>
      <c r="D1061">
        <v>1</v>
      </c>
      <c r="E1061">
        <v>42</v>
      </c>
      <c r="F1061">
        <v>4</v>
      </c>
      <c r="G1061">
        <v>1</v>
      </c>
      <c r="H1061">
        <f>표4[[#This Row],[공격성공횟수]]/(표4[[#This Row],[공격실패횟수]]+표4[[#This Row],[공격성공횟수]])</f>
        <v>2.3255813953488372E-2</v>
      </c>
    </row>
    <row r="1062" spans="1:8" x14ac:dyDescent="0.4">
      <c r="A1062">
        <v>531</v>
      </c>
      <c r="B1062" t="s">
        <v>3</v>
      </c>
      <c r="C1062">
        <v>1</v>
      </c>
      <c r="D1062">
        <v>4</v>
      </c>
      <c r="E1062">
        <v>17</v>
      </c>
      <c r="F1062">
        <v>1</v>
      </c>
      <c r="G1062">
        <v>0</v>
      </c>
      <c r="H1062">
        <f>표4[[#This Row],[공격성공횟수]]/(표4[[#This Row],[공격실패횟수]]+표4[[#This Row],[공격성공횟수]])</f>
        <v>0.19047619047619047</v>
      </c>
    </row>
    <row r="1063" spans="1:8" hidden="1" x14ac:dyDescent="0.4">
      <c r="A1063">
        <v>531</v>
      </c>
      <c r="B1063" t="s">
        <v>2</v>
      </c>
      <c r="C1063">
        <v>0</v>
      </c>
      <c r="D1063">
        <v>1</v>
      </c>
      <c r="E1063">
        <v>19</v>
      </c>
      <c r="F1063">
        <v>4</v>
      </c>
      <c r="G1063">
        <v>1</v>
      </c>
      <c r="H1063">
        <f>표4[[#This Row],[공격성공횟수]]/(표4[[#This Row],[공격실패횟수]]+표4[[#This Row],[공격성공횟수]])</f>
        <v>0.05</v>
      </c>
    </row>
    <row r="1064" spans="1:8" x14ac:dyDescent="0.4">
      <c r="A1064">
        <v>532</v>
      </c>
      <c r="B1064" t="s">
        <v>3</v>
      </c>
      <c r="C1064">
        <v>0</v>
      </c>
      <c r="D1064">
        <v>3</v>
      </c>
      <c r="E1064">
        <v>8</v>
      </c>
      <c r="F1064">
        <v>4</v>
      </c>
      <c r="G1064">
        <v>1</v>
      </c>
      <c r="H1064">
        <f>표4[[#This Row],[공격성공횟수]]/(표4[[#This Row],[공격실패횟수]]+표4[[#This Row],[공격성공횟수]])</f>
        <v>0.27272727272727271</v>
      </c>
    </row>
    <row r="1065" spans="1:8" hidden="1" x14ac:dyDescent="0.4">
      <c r="A1065">
        <v>532</v>
      </c>
      <c r="B1065" t="s">
        <v>2</v>
      </c>
      <c r="C1065">
        <v>1</v>
      </c>
      <c r="D1065">
        <v>4</v>
      </c>
      <c r="E1065">
        <v>12</v>
      </c>
      <c r="F1065">
        <v>3</v>
      </c>
      <c r="G1065">
        <v>0</v>
      </c>
      <c r="H1065">
        <f>표4[[#This Row],[공격성공횟수]]/(표4[[#This Row],[공격실패횟수]]+표4[[#This Row],[공격성공횟수]])</f>
        <v>0.25</v>
      </c>
    </row>
    <row r="1066" spans="1:8" x14ac:dyDescent="0.4">
      <c r="A1066">
        <v>533</v>
      </c>
      <c r="B1066" t="s">
        <v>3</v>
      </c>
      <c r="C1066">
        <v>1</v>
      </c>
      <c r="D1066">
        <v>4</v>
      </c>
      <c r="E1066">
        <v>20</v>
      </c>
      <c r="F1066">
        <v>3</v>
      </c>
      <c r="G1066">
        <v>0</v>
      </c>
      <c r="H1066">
        <f>표4[[#This Row],[공격성공횟수]]/(표4[[#This Row],[공격실패횟수]]+표4[[#This Row],[공격성공횟수]])</f>
        <v>0.16666666666666666</v>
      </c>
    </row>
    <row r="1067" spans="1:8" hidden="1" x14ac:dyDescent="0.4">
      <c r="A1067">
        <v>533</v>
      </c>
      <c r="B1067" t="s">
        <v>2</v>
      </c>
      <c r="C1067">
        <v>0</v>
      </c>
      <c r="D1067">
        <v>3</v>
      </c>
      <c r="E1067">
        <v>20</v>
      </c>
      <c r="F1067">
        <v>4</v>
      </c>
      <c r="G1067">
        <v>1</v>
      </c>
      <c r="H1067">
        <f>표4[[#This Row],[공격성공횟수]]/(표4[[#This Row],[공격실패횟수]]+표4[[#This Row],[공격성공횟수]])</f>
        <v>0.13043478260869565</v>
      </c>
    </row>
    <row r="1068" spans="1:8" x14ac:dyDescent="0.4">
      <c r="A1068">
        <v>534</v>
      </c>
      <c r="B1068" t="s">
        <v>3</v>
      </c>
      <c r="C1068">
        <v>1</v>
      </c>
      <c r="D1068">
        <v>4</v>
      </c>
      <c r="E1068">
        <v>3</v>
      </c>
      <c r="F1068">
        <v>3</v>
      </c>
      <c r="G1068">
        <v>0</v>
      </c>
      <c r="H1068">
        <f>표4[[#This Row],[공격성공횟수]]/(표4[[#This Row],[공격실패횟수]]+표4[[#This Row],[공격성공횟수]])</f>
        <v>0.5714285714285714</v>
      </c>
    </row>
    <row r="1069" spans="1:8" hidden="1" x14ac:dyDescent="0.4">
      <c r="A1069">
        <v>534</v>
      </c>
      <c r="B1069" t="s">
        <v>2</v>
      </c>
      <c r="C1069">
        <v>0</v>
      </c>
      <c r="D1069">
        <v>3</v>
      </c>
      <c r="E1069">
        <v>4</v>
      </c>
      <c r="F1069">
        <v>4</v>
      </c>
      <c r="G1069">
        <v>1</v>
      </c>
      <c r="H1069">
        <f>표4[[#This Row],[공격성공횟수]]/(표4[[#This Row],[공격실패횟수]]+표4[[#This Row],[공격성공횟수]])</f>
        <v>0.42857142857142855</v>
      </c>
    </row>
    <row r="1070" spans="1:8" x14ac:dyDescent="0.4">
      <c r="A1070">
        <v>535</v>
      </c>
      <c r="B1070" t="s">
        <v>3</v>
      </c>
      <c r="C1070">
        <v>0</v>
      </c>
      <c r="D1070">
        <v>1</v>
      </c>
      <c r="E1070">
        <v>13</v>
      </c>
      <c r="F1070">
        <v>4</v>
      </c>
      <c r="G1070">
        <v>1</v>
      </c>
      <c r="H1070">
        <f>표4[[#This Row],[공격성공횟수]]/(표4[[#This Row],[공격실패횟수]]+표4[[#This Row],[공격성공횟수]])</f>
        <v>7.1428571428571425E-2</v>
      </c>
    </row>
    <row r="1071" spans="1:8" hidden="1" x14ac:dyDescent="0.4">
      <c r="A1071">
        <v>535</v>
      </c>
      <c r="B1071" t="s">
        <v>2</v>
      </c>
      <c r="C1071">
        <v>1</v>
      </c>
      <c r="D1071">
        <v>4</v>
      </c>
      <c r="E1071">
        <v>11</v>
      </c>
      <c r="F1071">
        <v>1</v>
      </c>
      <c r="G1071">
        <v>0</v>
      </c>
      <c r="H1071">
        <f>표4[[#This Row],[공격성공횟수]]/(표4[[#This Row],[공격실패횟수]]+표4[[#This Row],[공격성공횟수]])</f>
        <v>0.26666666666666666</v>
      </c>
    </row>
    <row r="1072" spans="1:8" x14ac:dyDescent="0.4">
      <c r="A1072">
        <v>536</v>
      </c>
      <c r="B1072" t="s">
        <v>3</v>
      </c>
      <c r="C1072">
        <v>1</v>
      </c>
      <c r="D1072">
        <v>4</v>
      </c>
      <c r="E1072">
        <v>9</v>
      </c>
      <c r="F1072">
        <v>1</v>
      </c>
      <c r="G1072">
        <v>0</v>
      </c>
      <c r="H1072">
        <f>표4[[#This Row],[공격성공횟수]]/(표4[[#This Row],[공격실패횟수]]+표4[[#This Row],[공격성공횟수]])</f>
        <v>0.30769230769230771</v>
      </c>
    </row>
    <row r="1073" spans="1:8" hidden="1" x14ac:dyDescent="0.4">
      <c r="A1073">
        <v>536</v>
      </c>
      <c r="B1073" t="s">
        <v>2</v>
      </c>
      <c r="C1073">
        <v>0</v>
      </c>
      <c r="D1073">
        <v>1</v>
      </c>
      <c r="E1073">
        <v>25</v>
      </c>
      <c r="F1073">
        <v>4</v>
      </c>
      <c r="G1073">
        <v>1</v>
      </c>
      <c r="H1073">
        <f>표4[[#This Row],[공격성공횟수]]/(표4[[#This Row],[공격실패횟수]]+표4[[#This Row],[공격성공횟수]])</f>
        <v>3.8461538461538464E-2</v>
      </c>
    </row>
    <row r="1074" spans="1:8" x14ac:dyDescent="0.4">
      <c r="A1074">
        <v>537</v>
      </c>
      <c r="B1074" t="s">
        <v>3</v>
      </c>
      <c r="C1074">
        <v>1</v>
      </c>
      <c r="D1074">
        <v>4</v>
      </c>
      <c r="E1074">
        <v>9</v>
      </c>
      <c r="F1074">
        <v>2</v>
      </c>
      <c r="G1074">
        <v>0</v>
      </c>
      <c r="H1074">
        <f>표4[[#This Row],[공격성공횟수]]/(표4[[#This Row],[공격실패횟수]]+표4[[#This Row],[공격성공횟수]])</f>
        <v>0.30769230769230771</v>
      </c>
    </row>
    <row r="1075" spans="1:8" hidden="1" x14ac:dyDescent="0.4">
      <c r="A1075">
        <v>537</v>
      </c>
      <c r="B1075" t="s">
        <v>2</v>
      </c>
      <c r="C1075">
        <v>0</v>
      </c>
      <c r="D1075">
        <v>2</v>
      </c>
      <c r="E1075">
        <v>26</v>
      </c>
      <c r="F1075">
        <v>4</v>
      </c>
      <c r="G1075">
        <v>1</v>
      </c>
      <c r="H1075">
        <f>표4[[#This Row],[공격성공횟수]]/(표4[[#This Row],[공격실패횟수]]+표4[[#This Row],[공격성공횟수]])</f>
        <v>7.1428571428571425E-2</v>
      </c>
    </row>
    <row r="1076" spans="1:8" x14ac:dyDescent="0.4">
      <c r="A1076">
        <v>538</v>
      </c>
      <c r="B1076" t="s">
        <v>3</v>
      </c>
      <c r="C1076">
        <v>1</v>
      </c>
      <c r="D1076">
        <v>4</v>
      </c>
      <c r="E1076">
        <v>7</v>
      </c>
      <c r="F1076">
        <v>1</v>
      </c>
      <c r="G1076">
        <v>0</v>
      </c>
      <c r="H1076">
        <f>표4[[#This Row],[공격성공횟수]]/(표4[[#This Row],[공격실패횟수]]+표4[[#This Row],[공격성공횟수]])</f>
        <v>0.36363636363636365</v>
      </c>
    </row>
    <row r="1077" spans="1:8" hidden="1" x14ac:dyDescent="0.4">
      <c r="A1077">
        <v>538</v>
      </c>
      <c r="B1077" t="s">
        <v>2</v>
      </c>
      <c r="C1077">
        <v>0</v>
      </c>
      <c r="D1077">
        <v>1</v>
      </c>
      <c r="E1077">
        <v>10</v>
      </c>
      <c r="F1077">
        <v>4</v>
      </c>
      <c r="G1077">
        <v>1</v>
      </c>
      <c r="H1077">
        <f>표4[[#This Row],[공격성공횟수]]/(표4[[#This Row],[공격실패횟수]]+표4[[#This Row],[공격성공횟수]])</f>
        <v>9.0909090909090912E-2</v>
      </c>
    </row>
    <row r="1078" spans="1:8" x14ac:dyDescent="0.4">
      <c r="A1078">
        <v>539</v>
      </c>
      <c r="B1078" t="s">
        <v>3</v>
      </c>
      <c r="C1078">
        <v>1</v>
      </c>
      <c r="D1078">
        <v>4</v>
      </c>
      <c r="E1078">
        <v>5</v>
      </c>
      <c r="F1078">
        <v>0</v>
      </c>
      <c r="G1078">
        <v>0</v>
      </c>
      <c r="H1078">
        <f>표4[[#This Row],[공격성공횟수]]/(표4[[#This Row],[공격실패횟수]]+표4[[#This Row],[공격성공횟수]])</f>
        <v>0.44444444444444442</v>
      </c>
    </row>
    <row r="1079" spans="1:8" hidden="1" x14ac:dyDescent="0.4">
      <c r="A1079">
        <v>539</v>
      </c>
      <c r="B1079" t="s">
        <v>2</v>
      </c>
      <c r="C1079">
        <v>0</v>
      </c>
      <c r="D1079">
        <v>0</v>
      </c>
      <c r="E1079">
        <v>12</v>
      </c>
      <c r="F1079">
        <v>4</v>
      </c>
      <c r="G1079">
        <v>1</v>
      </c>
      <c r="H1079">
        <f>표4[[#This Row],[공격성공횟수]]/(표4[[#This Row],[공격실패횟수]]+표4[[#This Row],[공격성공횟수]])</f>
        <v>0</v>
      </c>
    </row>
    <row r="1080" spans="1:8" x14ac:dyDescent="0.4">
      <c r="A1080">
        <v>540</v>
      </c>
      <c r="B1080" t="s">
        <v>3</v>
      </c>
      <c r="C1080">
        <v>0</v>
      </c>
      <c r="D1080">
        <v>2</v>
      </c>
      <c r="E1080">
        <v>5</v>
      </c>
      <c r="F1080">
        <v>4</v>
      </c>
      <c r="G1080">
        <v>1</v>
      </c>
      <c r="H1080">
        <f>표4[[#This Row],[공격성공횟수]]/(표4[[#This Row],[공격실패횟수]]+표4[[#This Row],[공격성공횟수]])</f>
        <v>0.2857142857142857</v>
      </c>
    </row>
    <row r="1081" spans="1:8" hidden="1" x14ac:dyDescent="0.4">
      <c r="A1081">
        <v>540</v>
      </c>
      <c r="B1081" t="s">
        <v>2</v>
      </c>
      <c r="C1081">
        <v>1</v>
      </c>
      <c r="D1081">
        <v>4</v>
      </c>
      <c r="E1081">
        <v>4</v>
      </c>
      <c r="F1081">
        <v>2</v>
      </c>
      <c r="G1081">
        <v>0</v>
      </c>
      <c r="H1081">
        <f>표4[[#This Row],[공격성공횟수]]/(표4[[#This Row],[공격실패횟수]]+표4[[#This Row],[공격성공횟수]])</f>
        <v>0.5</v>
      </c>
    </row>
    <row r="1082" spans="1:8" x14ac:dyDescent="0.4">
      <c r="A1082">
        <v>541</v>
      </c>
      <c r="B1082" t="s">
        <v>3</v>
      </c>
      <c r="C1082">
        <v>1</v>
      </c>
      <c r="D1082">
        <v>4</v>
      </c>
      <c r="E1082">
        <v>4</v>
      </c>
      <c r="F1082">
        <v>0</v>
      </c>
      <c r="G1082">
        <v>0</v>
      </c>
      <c r="H1082">
        <f>표4[[#This Row],[공격성공횟수]]/(표4[[#This Row],[공격실패횟수]]+표4[[#This Row],[공격성공횟수]])</f>
        <v>0.5</v>
      </c>
    </row>
    <row r="1083" spans="1:8" hidden="1" x14ac:dyDescent="0.4">
      <c r="A1083">
        <v>541</v>
      </c>
      <c r="B1083" t="s">
        <v>2</v>
      </c>
      <c r="C1083">
        <v>0</v>
      </c>
      <c r="D1083">
        <v>0</v>
      </c>
      <c r="E1083">
        <v>7</v>
      </c>
      <c r="F1083">
        <v>4</v>
      </c>
      <c r="G1083">
        <v>1</v>
      </c>
      <c r="H1083">
        <f>표4[[#This Row],[공격성공횟수]]/(표4[[#This Row],[공격실패횟수]]+표4[[#This Row],[공격성공횟수]])</f>
        <v>0</v>
      </c>
    </row>
    <row r="1084" spans="1:8" x14ac:dyDescent="0.4">
      <c r="A1084">
        <v>542</v>
      </c>
      <c r="B1084" t="s">
        <v>3</v>
      </c>
      <c r="C1084">
        <v>0</v>
      </c>
      <c r="D1084">
        <v>1</v>
      </c>
      <c r="E1084">
        <v>2</v>
      </c>
      <c r="F1084">
        <v>4</v>
      </c>
      <c r="G1084">
        <v>1</v>
      </c>
      <c r="H1084">
        <f>표4[[#This Row],[공격성공횟수]]/(표4[[#This Row],[공격실패횟수]]+표4[[#This Row],[공격성공횟수]])</f>
        <v>0.33333333333333331</v>
      </c>
    </row>
    <row r="1085" spans="1:8" hidden="1" x14ac:dyDescent="0.4">
      <c r="A1085">
        <v>542</v>
      </c>
      <c r="B1085" t="s">
        <v>2</v>
      </c>
      <c r="C1085">
        <v>1</v>
      </c>
      <c r="D1085">
        <v>4</v>
      </c>
      <c r="E1085">
        <v>11</v>
      </c>
      <c r="F1085">
        <v>1</v>
      </c>
      <c r="G1085">
        <v>0</v>
      </c>
      <c r="H1085">
        <f>표4[[#This Row],[공격성공횟수]]/(표4[[#This Row],[공격실패횟수]]+표4[[#This Row],[공격성공횟수]])</f>
        <v>0.26666666666666666</v>
      </c>
    </row>
    <row r="1086" spans="1:8" x14ac:dyDescent="0.4">
      <c r="A1086">
        <v>543</v>
      </c>
      <c r="B1086" t="s">
        <v>3</v>
      </c>
      <c r="C1086">
        <v>1</v>
      </c>
      <c r="D1086">
        <v>4</v>
      </c>
      <c r="E1086">
        <v>18</v>
      </c>
      <c r="F1086">
        <v>2</v>
      </c>
      <c r="G1086">
        <v>0</v>
      </c>
      <c r="H1086">
        <f>표4[[#This Row],[공격성공횟수]]/(표4[[#This Row],[공격실패횟수]]+표4[[#This Row],[공격성공횟수]])</f>
        <v>0.18181818181818182</v>
      </c>
    </row>
    <row r="1087" spans="1:8" hidden="1" x14ac:dyDescent="0.4">
      <c r="A1087">
        <v>543</v>
      </c>
      <c r="B1087" t="s">
        <v>2</v>
      </c>
      <c r="C1087">
        <v>0</v>
      </c>
      <c r="D1087">
        <v>2</v>
      </c>
      <c r="E1087">
        <v>18</v>
      </c>
      <c r="F1087">
        <v>4</v>
      </c>
      <c r="G1087">
        <v>1</v>
      </c>
      <c r="H1087">
        <f>표4[[#This Row],[공격성공횟수]]/(표4[[#This Row],[공격실패횟수]]+표4[[#This Row],[공격성공횟수]])</f>
        <v>0.1</v>
      </c>
    </row>
    <row r="1088" spans="1:8" x14ac:dyDescent="0.4">
      <c r="A1088">
        <v>544</v>
      </c>
      <c r="B1088" t="s">
        <v>3</v>
      </c>
      <c r="C1088">
        <v>0</v>
      </c>
      <c r="D1088">
        <v>3</v>
      </c>
      <c r="E1088">
        <v>7</v>
      </c>
      <c r="F1088">
        <v>4</v>
      </c>
      <c r="G1088">
        <v>1</v>
      </c>
      <c r="H1088">
        <f>표4[[#This Row],[공격성공횟수]]/(표4[[#This Row],[공격실패횟수]]+표4[[#This Row],[공격성공횟수]])</f>
        <v>0.3</v>
      </c>
    </row>
    <row r="1089" spans="1:8" hidden="1" x14ac:dyDescent="0.4">
      <c r="A1089">
        <v>544</v>
      </c>
      <c r="B1089" t="s">
        <v>2</v>
      </c>
      <c r="C1089">
        <v>1</v>
      </c>
      <c r="D1089">
        <v>4</v>
      </c>
      <c r="E1089">
        <v>29</v>
      </c>
      <c r="F1089">
        <v>3</v>
      </c>
      <c r="G1089">
        <v>0</v>
      </c>
      <c r="H1089">
        <f>표4[[#This Row],[공격성공횟수]]/(표4[[#This Row],[공격실패횟수]]+표4[[#This Row],[공격성공횟수]])</f>
        <v>0.12121212121212122</v>
      </c>
    </row>
    <row r="1090" spans="1:8" x14ac:dyDescent="0.4">
      <c r="A1090">
        <v>545</v>
      </c>
      <c r="B1090" t="s">
        <v>3</v>
      </c>
      <c r="C1090">
        <v>1</v>
      </c>
      <c r="D1090">
        <v>4</v>
      </c>
      <c r="E1090">
        <v>12</v>
      </c>
      <c r="F1090">
        <v>3</v>
      </c>
      <c r="G1090">
        <v>0</v>
      </c>
      <c r="H1090">
        <f>표4[[#This Row],[공격성공횟수]]/(표4[[#This Row],[공격실패횟수]]+표4[[#This Row],[공격성공횟수]])</f>
        <v>0.25</v>
      </c>
    </row>
    <row r="1091" spans="1:8" hidden="1" x14ac:dyDescent="0.4">
      <c r="A1091">
        <v>545</v>
      </c>
      <c r="B1091" t="s">
        <v>2</v>
      </c>
      <c r="C1091">
        <v>0</v>
      </c>
      <c r="D1091">
        <v>3</v>
      </c>
      <c r="E1091">
        <v>12</v>
      </c>
      <c r="F1091">
        <v>4</v>
      </c>
      <c r="G1091">
        <v>1</v>
      </c>
      <c r="H1091">
        <f>표4[[#This Row],[공격성공횟수]]/(표4[[#This Row],[공격실패횟수]]+표4[[#This Row],[공격성공횟수]])</f>
        <v>0.2</v>
      </c>
    </row>
    <row r="1092" spans="1:8" x14ac:dyDescent="0.4">
      <c r="A1092">
        <v>546</v>
      </c>
      <c r="B1092" t="s">
        <v>3</v>
      </c>
      <c r="C1092">
        <v>1</v>
      </c>
      <c r="D1092">
        <v>4</v>
      </c>
      <c r="E1092">
        <v>12</v>
      </c>
      <c r="F1092">
        <v>2</v>
      </c>
      <c r="G1092">
        <v>0</v>
      </c>
      <c r="H1092">
        <f>표4[[#This Row],[공격성공횟수]]/(표4[[#This Row],[공격실패횟수]]+표4[[#This Row],[공격성공횟수]])</f>
        <v>0.25</v>
      </c>
    </row>
    <row r="1093" spans="1:8" hidden="1" x14ac:dyDescent="0.4">
      <c r="A1093">
        <v>546</v>
      </c>
      <c r="B1093" t="s">
        <v>2</v>
      </c>
      <c r="C1093">
        <v>0</v>
      </c>
      <c r="D1093">
        <v>2</v>
      </c>
      <c r="E1093">
        <v>41</v>
      </c>
      <c r="F1093">
        <v>4</v>
      </c>
      <c r="G1093">
        <v>1</v>
      </c>
      <c r="H1093">
        <f>표4[[#This Row],[공격성공횟수]]/(표4[[#This Row],[공격실패횟수]]+표4[[#This Row],[공격성공횟수]])</f>
        <v>4.6511627906976744E-2</v>
      </c>
    </row>
    <row r="1094" spans="1:8" x14ac:dyDescent="0.4">
      <c r="A1094">
        <v>547</v>
      </c>
      <c r="B1094" t="s">
        <v>3</v>
      </c>
      <c r="C1094">
        <v>1</v>
      </c>
      <c r="D1094">
        <v>4</v>
      </c>
      <c r="E1094">
        <v>12</v>
      </c>
      <c r="F1094">
        <v>0</v>
      </c>
      <c r="G1094">
        <v>0</v>
      </c>
      <c r="H1094">
        <f>표4[[#This Row],[공격성공횟수]]/(표4[[#This Row],[공격실패횟수]]+표4[[#This Row],[공격성공횟수]])</f>
        <v>0.25</v>
      </c>
    </row>
    <row r="1095" spans="1:8" hidden="1" x14ac:dyDescent="0.4">
      <c r="A1095">
        <v>547</v>
      </c>
      <c r="B1095" t="s">
        <v>2</v>
      </c>
      <c r="C1095">
        <v>0</v>
      </c>
      <c r="D1095">
        <v>0</v>
      </c>
      <c r="E1095">
        <v>18</v>
      </c>
      <c r="F1095">
        <v>4</v>
      </c>
      <c r="G1095">
        <v>1</v>
      </c>
      <c r="H1095">
        <f>표4[[#This Row],[공격성공횟수]]/(표4[[#This Row],[공격실패횟수]]+표4[[#This Row],[공격성공횟수]])</f>
        <v>0</v>
      </c>
    </row>
    <row r="1096" spans="1:8" x14ac:dyDescent="0.4">
      <c r="A1096">
        <v>548</v>
      </c>
      <c r="B1096" t="s">
        <v>3</v>
      </c>
      <c r="C1096">
        <v>1</v>
      </c>
      <c r="D1096">
        <v>4</v>
      </c>
      <c r="E1096">
        <v>41</v>
      </c>
      <c r="F1096">
        <v>1</v>
      </c>
      <c r="G1096">
        <v>0</v>
      </c>
      <c r="H1096">
        <f>표4[[#This Row],[공격성공횟수]]/(표4[[#This Row],[공격실패횟수]]+표4[[#This Row],[공격성공횟수]])</f>
        <v>8.8888888888888892E-2</v>
      </c>
    </row>
    <row r="1097" spans="1:8" hidden="1" x14ac:dyDescent="0.4">
      <c r="A1097">
        <v>548</v>
      </c>
      <c r="B1097" t="s">
        <v>2</v>
      </c>
      <c r="C1097">
        <v>0</v>
      </c>
      <c r="D1097">
        <v>1</v>
      </c>
      <c r="E1097">
        <v>51</v>
      </c>
      <c r="F1097">
        <v>4</v>
      </c>
      <c r="G1097">
        <v>1</v>
      </c>
      <c r="H1097">
        <f>표4[[#This Row],[공격성공횟수]]/(표4[[#This Row],[공격실패횟수]]+표4[[#This Row],[공격성공횟수]])</f>
        <v>1.9230769230769232E-2</v>
      </c>
    </row>
    <row r="1098" spans="1:8" x14ac:dyDescent="0.4">
      <c r="A1098">
        <v>549</v>
      </c>
      <c r="B1098" t="s">
        <v>3</v>
      </c>
      <c r="C1098">
        <v>1</v>
      </c>
      <c r="D1098">
        <v>4</v>
      </c>
      <c r="E1098">
        <v>5</v>
      </c>
      <c r="F1098">
        <v>2</v>
      </c>
      <c r="G1098">
        <v>0</v>
      </c>
      <c r="H1098">
        <f>표4[[#This Row],[공격성공횟수]]/(표4[[#This Row],[공격실패횟수]]+표4[[#This Row],[공격성공횟수]])</f>
        <v>0.44444444444444442</v>
      </c>
    </row>
    <row r="1099" spans="1:8" hidden="1" x14ac:dyDescent="0.4">
      <c r="A1099">
        <v>549</v>
      </c>
      <c r="B1099" t="s">
        <v>2</v>
      </c>
      <c r="C1099">
        <v>0</v>
      </c>
      <c r="D1099">
        <v>2</v>
      </c>
      <c r="E1099">
        <v>9</v>
      </c>
      <c r="F1099">
        <v>4</v>
      </c>
      <c r="G1099">
        <v>1</v>
      </c>
      <c r="H1099">
        <f>표4[[#This Row],[공격성공횟수]]/(표4[[#This Row],[공격실패횟수]]+표4[[#This Row],[공격성공횟수]])</f>
        <v>0.18181818181818182</v>
      </c>
    </row>
    <row r="1100" spans="1:8" x14ac:dyDescent="0.4">
      <c r="A1100">
        <v>550</v>
      </c>
      <c r="B1100" t="s">
        <v>3</v>
      </c>
      <c r="C1100">
        <v>0</v>
      </c>
      <c r="D1100">
        <v>0</v>
      </c>
      <c r="E1100">
        <v>5</v>
      </c>
      <c r="F1100">
        <v>4</v>
      </c>
      <c r="G1100">
        <v>1</v>
      </c>
      <c r="H1100">
        <f>표4[[#This Row],[공격성공횟수]]/(표4[[#This Row],[공격실패횟수]]+표4[[#This Row],[공격성공횟수]])</f>
        <v>0</v>
      </c>
    </row>
    <row r="1101" spans="1:8" hidden="1" x14ac:dyDescent="0.4">
      <c r="A1101">
        <v>550</v>
      </c>
      <c r="B1101" t="s">
        <v>2</v>
      </c>
      <c r="C1101">
        <v>1</v>
      </c>
      <c r="D1101">
        <v>4</v>
      </c>
      <c r="E1101">
        <v>20</v>
      </c>
      <c r="F1101">
        <v>0</v>
      </c>
      <c r="G1101">
        <v>0</v>
      </c>
      <c r="H1101">
        <f>표4[[#This Row],[공격성공횟수]]/(표4[[#This Row],[공격실패횟수]]+표4[[#This Row],[공격성공횟수]])</f>
        <v>0.16666666666666666</v>
      </c>
    </row>
    <row r="1102" spans="1:8" x14ac:dyDescent="0.4">
      <c r="A1102">
        <v>551</v>
      </c>
      <c r="B1102" t="s">
        <v>3</v>
      </c>
      <c r="C1102">
        <v>1</v>
      </c>
      <c r="D1102">
        <v>4</v>
      </c>
      <c r="E1102">
        <v>12</v>
      </c>
      <c r="F1102">
        <v>0</v>
      </c>
      <c r="G1102">
        <v>0</v>
      </c>
      <c r="H1102">
        <f>표4[[#This Row],[공격성공횟수]]/(표4[[#This Row],[공격실패횟수]]+표4[[#This Row],[공격성공횟수]])</f>
        <v>0.25</v>
      </c>
    </row>
    <row r="1103" spans="1:8" hidden="1" x14ac:dyDescent="0.4">
      <c r="A1103">
        <v>551</v>
      </c>
      <c r="B1103" t="s">
        <v>2</v>
      </c>
      <c r="C1103">
        <v>0</v>
      </c>
      <c r="D1103">
        <v>0</v>
      </c>
      <c r="E1103">
        <v>14</v>
      </c>
      <c r="F1103">
        <v>4</v>
      </c>
      <c r="G1103">
        <v>1</v>
      </c>
      <c r="H1103">
        <f>표4[[#This Row],[공격성공횟수]]/(표4[[#This Row],[공격실패횟수]]+표4[[#This Row],[공격성공횟수]])</f>
        <v>0</v>
      </c>
    </row>
    <row r="1104" spans="1:8" x14ac:dyDescent="0.4">
      <c r="A1104">
        <v>552</v>
      </c>
      <c r="B1104" t="s">
        <v>3</v>
      </c>
      <c r="C1104">
        <v>1</v>
      </c>
      <c r="D1104">
        <v>4</v>
      </c>
      <c r="E1104">
        <v>3</v>
      </c>
      <c r="F1104">
        <v>0</v>
      </c>
      <c r="G1104">
        <v>0</v>
      </c>
      <c r="H1104">
        <f>표4[[#This Row],[공격성공횟수]]/(표4[[#This Row],[공격실패횟수]]+표4[[#This Row],[공격성공횟수]])</f>
        <v>0.5714285714285714</v>
      </c>
    </row>
    <row r="1105" spans="1:8" hidden="1" x14ac:dyDescent="0.4">
      <c r="A1105">
        <v>552</v>
      </c>
      <c r="B1105" t="s">
        <v>2</v>
      </c>
      <c r="C1105">
        <v>0</v>
      </c>
      <c r="D1105">
        <v>0</v>
      </c>
      <c r="E1105">
        <v>7</v>
      </c>
      <c r="F1105">
        <v>4</v>
      </c>
      <c r="G1105">
        <v>1</v>
      </c>
      <c r="H1105">
        <f>표4[[#This Row],[공격성공횟수]]/(표4[[#This Row],[공격실패횟수]]+표4[[#This Row],[공격성공횟수]])</f>
        <v>0</v>
      </c>
    </row>
    <row r="1106" spans="1:8" x14ac:dyDescent="0.4">
      <c r="A1106">
        <v>553</v>
      </c>
      <c r="B1106" t="s">
        <v>3</v>
      </c>
      <c r="C1106">
        <v>0</v>
      </c>
      <c r="D1106">
        <v>1</v>
      </c>
      <c r="E1106">
        <v>93</v>
      </c>
      <c r="F1106">
        <v>1</v>
      </c>
      <c r="G1106">
        <v>0</v>
      </c>
      <c r="H1106">
        <f>표4[[#This Row],[공격성공횟수]]/(표4[[#This Row],[공격실패횟수]]+표4[[#This Row],[공격성공횟수]])</f>
        <v>1.0638297872340425E-2</v>
      </c>
    </row>
    <row r="1107" spans="1:8" hidden="1" x14ac:dyDescent="0.4">
      <c r="A1107">
        <v>553</v>
      </c>
      <c r="B1107" t="s">
        <v>2</v>
      </c>
      <c r="C1107">
        <v>0</v>
      </c>
      <c r="D1107">
        <v>1</v>
      </c>
      <c r="E1107">
        <v>114</v>
      </c>
      <c r="F1107">
        <v>1</v>
      </c>
      <c r="G1107">
        <v>0</v>
      </c>
      <c r="H1107">
        <f>표4[[#This Row],[공격성공횟수]]/(표4[[#This Row],[공격실패횟수]]+표4[[#This Row],[공격성공횟수]])</f>
        <v>8.6956521739130436E-3</v>
      </c>
    </row>
    <row r="1108" spans="1:8" x14ac:dyDescent="0.4">
      <c r="A1108">
        <v>554</v>
      </c>
      <c r="B1108" t="s">
        <v>3</v>
      </c>
      <c r="C1108">
        <v>1</v>
      </c>
      <c r="D1108">
        <v>4</v>
      </c>
      <c r="E1108">
        <v>4</v>
      </c>
      <c r="F1108">
        <v>1</v>
      </c>
      <c r="G1108">
        <v>0</v>
      </c>
      <c r="H1108">
        <f>표4[[#This Row],[공격성공횟수]]/(표4[[#This Row],[공격실패횟수]]+표4[[#This Row],[공격성공횟수]])</f>
        <v>0.5</v>
      </c>
    </row>
    <row r="1109" spans="1:8" hidden="1" x14ac:dyDescent="0.4">
      <c r="A1109">
        <v>554</v>
      </c>
      <c r="B1109" t="s">
        <v>2</v>
      </c>
      <c r="C1109">
        <v>0</v>
      </c>
      <c r="D1109">
        <v>1</v>
      </c>
      <c r="E1109">
        <v>6</v>
      </c>
      <c r="F1109">
        <v>4</v>
      </c>
      <c r="G1109">
        <v>1</v>
      </c>
      <c r="H1109">
        <f>표4[[#This Row],[공격성공횟수]]/(표4[[#This Row],[공격실패횟수]]+표4[[#This Row],[공격성공횟수]])</f>
        <v>0.14285714285714285</v>
      </c>
    </row>
    <row r="1110" spans="1:8" x14ac:dyDescent="0.4">
      <c r="A1110">
        <v>555</v>
      </c>
      <c r="B1110" t="s">
        <v>3</v>
      </c>
      <c r="C1110">
        <v>0</v>
      </c>
      <c r="D1110">
        <v>3</v>
      </c>
      <c r="E1110">
        <v>75</v>
      </c>
      <c r="F1110">
        <v>4</v>
      </c>
      <c r="G1110">
        <v>1</v>
      </c>
      <c r="H1110">
        <f>표4[[#This Row],[공격성공횟수]]/(표4[[#This Row],[공격실패횟수]]+표4[[#This Row],[공격성공횟수]])</f>
        <v>3.8461538461538464E-2</v>
      </c>
    </row>
    <row r="1111" spans="1:8" hidden="1" x14ac:dyDescent="0.4">
      <c r="A1111">
        <v>555</v>
      </c>
      <c r="B1111" t="s">
        <v>2</v>
      </c>
      <c r="C1111">
        <v>1</v>
      </c>
      <c r="D1111">
        <v>4</v>
      </c>
      <c r="E1111">
        <v>89</v>
      </c>
      <c r="F1111">
        <v>3</v>
      </c>
      <c r="G1111">
        <v>0</v>
      </c>
      <c r="H1111">
        <f>표4[[#This Row],[공격성공횟수]]/(표4[[#This Row],[공격실패횟수]]+표4[[#This Row],[공격성공횟수]])</f>
        <v>4.3010752688172046E-2</v>
      </c>
    </row>
    <row r="1112" spans="1:8" x14ac:dyDescent="0.4">
      <c r="A1112">
        <v>556</v>
      </c>
      <c r="B1112" t="s">
        <v>3</v>
      </c>
      <c r="C1112">
        <v>1</v>
      </c>
      <c r="D1112">
        <v>4</v>
      </c>
      <c r="E1112">
        <v>2</v>
      </c>
      <c r="F1112">
        <v>2</v>
      </c>
      <c r="G1112">
        <v>0</v>
      </c>
      <c r="H1112">
        <f>표4[[#This Row],[공격성공횟수]]/(표4[[#This Row],[공격실패횟수]]+표4[[#This Row],[공격성공횟수]])</f>
        <v>0.66666666666666663</v>
      </c>
    </row>
    <row r="1113" spans="1:8" hidden="1" x14ac:dyDescent="0.4">
      <c r="A1113">
        <v>556</v>
      </c>
      <c r="B1113" t="s">
        <v>2</v>
      </c>
      <c r="C1113">
        <v>0</v>
      </c>
      <c r="D1113">
        <v>2</v>
      </c>
      <c r="E1113">
        <v>7</v>
      </c>
      <c r="F1113">
        <v>4</v>
      </c>
      <c r="G1113">
        <v>1</v>
      </c>
      <c r="H1113">
        <f>표4[[#This Row],[공격성공횟수]]/(표4[[#This Row],[공격실패횟수]]+표4[[#This Row],[공격성공횟수]])</f>
        <v>0.22222222222222221</v>
      </c>
    </row>
    <row r="1114" spans="1:8" x14ac:dyDescent="0.4">
      <c r="A1114">
        <v>557</v>
      </c>
      <c r="B1114" t="s">
        <v>3</v>
      </c>
      <c r="C1114">
        <v>1</v>
      </c>
      <c r="D1114">
        <v>4</v>
      </c>
      <c r="E1114">
        <v>9</v>
      </c>
      <c r="F1114">
        <v>1</v>
      </c>
      <c r="G1114">
        <v>0</v>
      </c>
      <c r="H1114">
        <f>표4[[#This Row],[공격성공횟수]]/(표4[[#This Row],[공격실패횟수]]+표4[[#This Row],[공격성공횟수]])</f>
        <v>0.30769230769230771</v>
      </c>
    </row>
    <row r="1115" spans="1:8" hidden="1" x14ac:dyDescent="0.4">
      <c r="A1115">
        <v>557</v>
      </c>
      <c r="B1115" t="s">
        <v>2</v>
      </c>
      <c r="C1115">
        <v>0</v>
      </c>
      <c r="D1115">
        <v>1</v>
      </c>
      <c r="E1115">
        <v>12</v>
      </c>
      <c r="F1115">
        <v>4</v>
      </c>
      <c r="G1115">
        <v>1</v>
      </c>
      <c r="H1115">
        <f>표4[[#This Row],[공격성공횟수]]/(표4[[#This Row],[공격실패횟수]]+표4[[#This Row],[공격성공횟수]])</f>
        <v>7.6923076923076927E-2</v>
      </c>
    </row>
    <row r="1116" spans="1:8" x14ac:dyDescent="0.4">
      <c r="A1116">
        <v>558</v>
      </c>
      <c r="B1116" t="s">
        <v>3</v>
      </c>
      <c r="C1116">
        <v>0</v>
      </c>
      <c r="D1116">
        <v>3</v>
      </c>
      <c r="E1116">
        <v>3</v>
      </c>
      <c r="F1116">
        <v>4</v>
      </c>
      <c r="G1116">
        <v>1</v>
      </c>
      <c r="H1116">
        <f>표4[[#This Row],[공격성공횟수]]/(표4[[#This Row],[공격실패횟수]]+표4[[#This Row],[공격성공횟수]])</f>
        <v>0.5</v>
      </c>
    </row>
    <row r="1117" spans="1:8" hidden="1" x14ac:dyDescent="0.4">
      <c r="A1117">
        <v>558</v>
      </c>
      <c r="B1117" t="s">
        <v>2</v>
      </c>
      <c r="C1117">
        <v>1</v>
      </c>
      <c r="D1117">
        <v>4</v>
      </c>
      <c r="E1117">
        <v>3</v>
      </c>
      <c r="F1117">
        <v>3</v>
      </c>
      <c r="G1117">
        <v>0</v>
      </c>
      <c r="H1117">
        <f>표4[[#This Row],[공격성공횟수]]/(표4[[#This Row],[공격실패횟수]]+표4[[#This Row],[공격성공횟수]])</f>
        <v>0.5714285714285714</v>
      </c>
    </row>
    <row r="1118" spans="1:8" x14ac:dyDescent="0.4">
      <c r="A1118">
        <v>559</v>
      </c>
      <c r="B1118" t="s">
        <v>3</v>
      </c>
      <c r="C1118">
        <v>1</v>
      </c>
      <c r="D1118">
        <v>4</v>
      </c>
      <c r="E1118">
        <v>11</v>
      </c>
      <c r="F1118">
        <v>2</v>
      </c>
      <c r="G1118">
        <v>0</v>
      </c>
      <c r="H1118">
        <f>표4[[#This Row],[공격성공횟수]]/(표4[[#This Row],[공격실패횟수]]+표4[[#This Row],[공격성공횟수]])</f>
        <v>0.26666666666666666</v>
      </c>
    </row>
    <row r="1119" spans="1:8" hidden="1" x14ac:dyDescent="0.4">
      <c r="A1119">
        <v>559</v>
      </c>
      <c r="B1119" t="s">
        <v>2</v>
      </c>
      <c r="C1119">
        <v>0</v>
      </c>
      <c r="D1119">
        <v>2</v>
      </c>
      <c r="E1119">
        <v>11</v>
      </c>
      <c r="F1119">
        <v>4</v>
      </c>
      <c r="G1119">
        <v>1</v>
      </c>
      <c r="H1119">
        <f>표4[[#This Row],[공격성공횟수]]/(표4[[#This Row],[공격실패횟수]]+표4[[#This Row],[공격성공횟수]])</f>
        <v>0.15384615384615385</v>
      </c>
    </row>
    <row r="1120" spans="1:8" x14ac:dyDescent="0.4">
      <c r="A1120">
        <v>560</v>
      </c>
      <c r="B1120" t="s">
        <v>3</v>
      </c>
      <c r="C1120">
        <v>1</v>
      </c>
      <c r="D1120">
        <v>4</v>
      </c>
      <c r="E1120">
        <v>25</v>
      </c>
      <c r="F1120">
        <v>0</v>
      </c>
      <c r="G1120">
        <v>0</v>
      </c>
      <c r="H1120">
        <f>표4[[#This Row],[공격성공횟수]]/(표4[[#This Row],[공격실패횟수]]+표4[[#This Row],[공격성공횟수]])</f>
        <v>0.13793103448275862</v>
      </c>
    </row>
    <row r="1121" spans="1:8" hidden="1" x14ac:dyDescent="0.4">
      <c r="A1121">
        <v>560</v>
      </c>
      <c r="B1121" t="s">
        <v>2</v>
      </c>
      <c r="C1121">
        <v>0</v>
      </c>
      <c r="D1121">
        <v>0</v>
      </c>
      <c r="E1121">
        <v>36</v>
      </c>
      <c r="F1121">
        <v>4</v>
      </c>
      <c r="G1121">
        <v>1</v>
      </c>
      <c r="H1121">
        <f>표4[[#This Row],[공격성공횟수]]/(표4[[#This Row],[공격실패횟수]]+표4[[#This Row],[공격성공횟수]])</f>
        <v>0</v>
      </c>
    </row>
    <row r="1122" spans="1:8" x14ac:dyDescent="0.4">
      <c r="A1122">
        <v>561</v>
      </c>
      <c r="B1122" t="s">
        <v>3</v>
      </c>
      <c r="C1122">
        <v>0</v>
      </c>
      <c r="D1122">
        <v>0</v>
      </c>
      <c r="E1122">
        <v>11</v>
      </c>
      <c r="F1122">
        <v>4</v>
      </c>
      <c r="G1122">
        <v>1</v>
      </c>
      <c r="H1122">
        <f>표4[[#This Row],[공격성공횟수]]/(표4[[#This Row],[공격실패횟수]]+표4[[#This Row],[공격성공횟수]])</f>
        <v>0</v>
      </c>
    </row>
    <row r="1123" spans="1:8" hidden="1" x14ac:dyDescent="0.4">
      <c r="A1123">
        <v>561</v>
      </c>
      <c r="B1123" t="s">
        <v>2</v>
      </c>
      <c r="C1123">
        <v>1</v>
      </c>
      <c r="D1123">
        <v>4</v>
      </c>
      <c r="E1123">
        <v>17</v>
      </c>
      <c r="F1123">
        <v>0</v>
      </c>
      <c r="G1123">
        <v>0</v>
      </c>
      <c r="H1123">
        <f>표4[[#This Row],[공격성공횟수]]/(표4[[#This Row],[공격실패횟수]]+표4[[#This Row],[공격성공횟수]])</f>
        <v>0.19047619047619047</v>
      </c>
    </row>
    <row r="1124" spans="1:8" x14ac:dyDescent="0.4">
      <c r="A1124">
        <v>562</v>
      </c>
      <c r="B1124" t="s">
        <v>3</v>
      </c>
      <c r="C1124">
        <v>1</v>
      </c>
      <c r="D1124">
        <v>4</v>
      </c>
      <c r="E1124">
        <v>8</v>
      </c>
      <c r="F1124">
        <v>1</v>
      </c>
      <c r="G1124">
        <v>0</v>
      </c>
      <c r="H1124">
        <f>표4[[#This Row],[공격성공횟수]]/(표4[[#This Row],[공격실패횟수]]+표4[[#This Row],[공격성공횟수]])</f>
        <v>0.33333333333333331</v>
      </c>
    </row>
    <row r="1125" spans="1:8" hidden="1" x14ac:dyDescent="0.4">
      <c r="A1125">
        <v>562</v>
      </c>
      <c r="B1125" t="s">
        <v>2</v>
      </c>
      <c r="C1125">
        <v>0</v>
      </c>
      <c r="D1125">
        <v>1</v>
      </c>
      <c r="E1125">
        <v>9</v>
      </c>
      <c r="F1125">
        <v>4</v>
      </c>
      <c r="G1125">
        <v>1</v>
      </c>
      <c r="H1125">
        <f>표4[[#This Row],[공격성공횟수]]/(표4[[#This Row],[공격실패횟수]]+표4[[#This Row],[공격성공횟수]])</f>
        <v>0.1</v>
      </c>
    </row>
    <row r="1126" spans="1:8" x14ac:dyDescent="0.4">
      <c r="A1126">
        <v>563</v>
      </c>
      <c r="B1126" t="s">
        <v>3</v>
      </c>
      <c r="C1126">
        <v>1</v>
      </c>
      <c r="D1126">
        <v>4</v>
      </c>
      <c r="E1126">
        <v>12</v>
      </c>
      <c r="F1126">
        <v>0</v>
      </c>
      <c r="G1126">
        <v>0</v>
      </c>
      <c r="H1126">
        <f>표4[[#This Row],[공격성공횟수]]/(표4[[#This Row],[공격실패횟수]]+표4[[#This Row],[공격성공횟수]])</f>
        <v>0.25</v>
      </c>
    </row>
    <row r="1127" spans="1:8" hidden="1" x14ac:dyDescent="0.4">
      <c r="A1127">
        <v>563</v>
      </c>
      <c r="B1127" t="s">
        <v>2</v>
      </c>
      <c r="C1127">
        <v>0</v>
      </c>
      <c r="D1127">
        <v>0</v>
      </c>
      <c r="E1127">
        <v>16</v>
      </c>
      <c r="F1127">
        <v>4</v>
      </c>
      <c r="G1127">
        <v>1</v>
      </c>
      <c r="H1127">
        <f>표4[[#This Row],[공격성공횟수]]/(표4[[#This Row],[공격실패횟수]]+표4[[#This Row],[공격성공횟수]])</f>
        <v>0</v>
      </c>
    </row>
    <row r="1128" spans="1:8" x14ac:dyDescent="0.4">
      <c r="A1128">
        <v>564</v>
      </c>
      <c r="B1128" t="s">
        <v>3</v>
      </c>
      <c r="C1128">
        <v>1</v>
      </c>
      <c r="D1128">
        <v>4</v>
      </c>
      <c r="E1128">
        <v>23</v>
      </c>
      <c r="F1128">
        <v>2</v>
      </c>
      <c r="G1128">
        <v>0</v>
      </c>
      <c r="H1128">
        <f>표4[[#This Row],[공격성공횟수]]/(표4[[#This Row],[공격실패횟수]]+표4[[#This Row],[공격성공횟수]])</f>
        <v>0.14814814814814814</v>
      </c>
    </row>
    <row r="1129" spans="1:8" hidden="1" x14ac:dyDescent="0.4">
      <c r="A1129">
        <v>564</v>
      </c>
      <c r="B1129" t="s">
        <v>2</v>
      </c>
      <c r="C1129">
        <v>0</v>
      </c>
      <c r="D1129">
        <v>2</v>
      </c>
      <c r="E1129">
        <v>24</v>
      </c>
      <c r="F1129">
        <v>4</v>
      </c>
      <c r="G1129">
        <v>1</v>
      </c>
      <c r="H1129">
        <f>표4[[#This Row],[공격성공횟수]]/(표4[[#This Row],[공격실패횟수]]+표4[[#This Row],[공격성공횟수]])</f>
        <v>7.6923076923076927E-2</v>
      </c>
    </row>
    <row r="1130" spans="1:8" x14ac:dyDescent="0.4">
      <c r="A1130">
        <v>565</v>
      </c>
      <c r="B1130" t="s">
        <v>3</v>
      </c>
      <c r="C1130">
        <v>0</v>
      </c>
      <c r="D1130">
        <v>0</v>
      </c>
      <c r="E1130">
        <v>13</v>
      </c>
      <c r="F1130">
        <v>4</v>
      </c>
      <c r="G1130">
        <v>1</v>
      </c>
      <c r="H1130">
        <f>표4[[#This Row],[공격성공횟수]]/(표4[[#This Row],[공격실패횟수]]+표4[[#This Row],[공격성공횟수]])</f>
        <v>0</v>
      </c>
    </row>
    <row r="1131" spans="1:8" hidden="1" x14ac:dyDescent="0.4">
      <c r="A1131">
        <v>565</v>
      </c>
      <c r="B1131" t="s">
        <v>2</v>
      </c>
      <c r="C1131">
        <v>1</v>
      </c>
      <c r="D1131">
        <v>4</v>
      </c>
      <c r="E1131">
        <v>18</v>
      </c>
      <c r="F1131">
        <v>0</v>
      </c>
      <c r="G1131">
        <v>0</v>
      </c>
      <c r="H1131">
        <f>표4[[#This Row],[공격성공횟수]]/(표4[[#This Row],[공격실패횟수]]+표4[[#This Row],[공격성공횟수]])</f>
        <v>0.18181818181818182</v>
      </c>
    </row>
    <row r="1132" spans="1:8" x14ac:dyDescent="0.4">
      <c r="A1132">
        <v>566</v>
      </c>
      <c r="B1132" t="s">
        <v>3</v>
      </c>
      <c r="C1132">
        <v>1</v>
      </c>
      <c r="D1132">
        <v>4</v>
      </c>
      <c r="E1132">
        <v>8</v>
      </c>
      <c r="F1132">
        <v>0</v>
      </c>
      <c r="G1132">
        <v>0</v>
      </c>
      <c r="H1132">
        <f>표4[[#This Row],[공격성공횟수]]/(표4[[#This Row],[공격실패횟수]]+표4[[#This Row],[공격성공횟수]])</f>
        <v>0.33333333333333331</v>
      </c>
    </row>
    <row r="1133" spans="1:8" hidden="1" x14ac:dyDescent="0.4">
      <c r="A1133">
        <v>566</v>
      </c>
      <c r="B1133" t="s">
        <v>2</v>
      </c>
      <c r="C1133">
        <v>0</v>
      </c>
      <c r="D1133">
        <v>0</v>
      </c>
      <c r="E1133">
        <v>13</v>
      </c>
      <c r="F1133">
        <v>4</v>
      </c>
      <c r="G1133">
        <v>1</v>
      </c>
      <c r="H1133">
        <f>표4[[#This Row],[공격성공횟수]]/(표4[[#This Row],[공격실패횟수]]+표4[[#This Row],[공격성공횟수]])</f>
        <v>0</v>
      </c>
    </row>
    <row r="1134" spans="1:8" x14ac:dyDescent="0.4">
      <c r="A1134">
        <v>567</v>
      </c>
      <c r="B1134" t="s">
        <v>3</v>
      </c>
      <c r="C1134">
        <v>1</v>
      </c>
      <c r="D1134">
        <v>4</v>
      </c>
      <c r="E1134">
        <v>11</v>
      </c>
      <c r="F1134">
        <v>0</v>
      </c>
      <c r="G1134">
        <v>0</v>
      </c>
      <c r="H1134">
        <f>표4[[#This Row],[공격성공횟수]]/(표4[[#This Row],[공격실패횟수]]+표4[[#This Row],[공격성공횟수]])</f>
        <v>0.26666666666666666</v>
      </c>
    </row>
    <row r="1135" spans="1:8" hidden="1" x14ac:dyDescent="0.4">
      <c r="A1135">
        <v>567</v>
      </c>
      <c r="B1135" t="s">
        <v>2</v>
      </c>
      <c r="C1135">
        <v>0</v>
      </c>
      <c r="D1135">
        <v>0</v>
      </c>
      <c r="E1135">
        <v>15</v>
      </c>
      <c r="F1135">
        <v>4</v>
      </c>
      <c r="G1135">
        <v>1</v>
      </c>
      <c r="H1135">
        <f>표4[[#This Row],[공격성공횟수]]/(표4[[#This Row],[공격실패횟수]]+표4[[#This Row],[공격성공횟수]])</f>
        <v>0</v>
      </c>
    </row>
    <row r="1136" spans="1:8" x14ac:dyDescent="0.4">
      <c r="A1136">
        <v>568</v>
      </c>
      <c r="B1136" t="s">
        <v>3</v>
      </c>
      <c r="C1136">
        <v>1</v>
      </c>
      <c r="D1136">
        <v>4</v>
      </c>
      <c r="E1136">
        <v>3</v>
      </c>
      <c r="F1136">
        <v>1</v>
      </c>
      <c r="G1136">
        <v>0</v>
      </c>
      <c r="H1136">
        <f>표4[[#This Row],[공격성공횟수]]/(표4[[#This Row],[공격실패횟수]]+표4[[#This Row],[공격성공횟수]])</f>
        <v>0.5714285714285714</v>
      </c>
    </row>
    <row r="1137" spans="1:8" hidden="1" x14ac:dyDescent="0.4">
      <c r="A1137">
        <v>568</v>
      </c>
      <c r="B1137" t="s">
        <v>2</v>
      </c>
      <c r="C1137">
        <v>0</v>
      </c>
      <c r="D1137">
        <v>1</v>
      </c>
      <c r="E1137">
        <v>6</v>
      </c>
      <c r="F1137">
        <v>4</v>
      </c>
      <c r="G1137">
        <v>1</v>
      </c>
      <c r="H1137">
        <f>표4[[#This Row],[공격성공횟수]]/(표4[[#This Row],[공격실패횟수]]+표4[[#This Row],[공격성공횟수]])</f>
        <v>0.14285714285714285</v>
      </c>
    </row>
    <row r="1138" spans="1:8" x14ac:dyDescent="0.4">
      <c r="A1138">
        <v>569</v>
      </c>
      <c r="B1138" t="s">
        <v>3</v>
      </c>
      <c r="C1138">
        <v>1</v>
      </c>
      <c r="D1138">
        <v>4</v>
      </c>
      <c r="E1138">
        <v>6</v>
      </c>
      <c r="F1138">
        <v>0</v>
      </c>
      <c r="G1138">
        <v>0</v>
      </c>
      <c r="H1138">
        <f>표4[[#This Row],[공격성공횟수]]/(표4[[#This Row],[공격실패횟수]]+표4[[#This Row],[공격성공횟수]])</f>
        <v>0.4</v>
      </c>
    </row>
    <row r="1139" spans="1:8" hidden="1" x14ac:dyDescent="0.4">
      <c r="A1139">
        <v>569</v>
      </c>
      <c r="B1139" t="s">
        <v>2</v>
      </c>
      <c r="C1139">
        <v>0</v>
      </c>
      <c r="D1139">
        <v>0</v>
      </c>
      <c r="E1139">
        <v>12</v>
      </c>
      <c r="F1139">
        <v>4</v>
      </c>
      <c r="G1139">
        <v>1</v>
      </c>
      <c r="H1139">
        <f>표4[[#This Row],[공격성공횟수]]/(표4[[#This Row],[공격실패횟수]]+표4[[#This Row],[공격성공횟수]])</f>
        <v>0</v>
      </c>
    </row>
    <row r="1140" spans="1:8" x14ac:dyDescent="0.4">
      <c r="A1140">
        <v>570</v>
      </c>
      <c r="B1140" t="s">
        <v>3</v>
      </c>
      <c r="C1140">
        <v>1</v>
      </c>
      <c r="D1140">
        <v>4</v>
      </c>
      <c r="E1140">
        <v>44</v>
      </c>
      <c r="F1140">
        <v>0</v>
      </c>
      <c r="G1140">
        <v>0</v>
      </c>
      <c r="H1140">
        <f>표4[[#This Row],[공격성공횟수]]/(표4[[#This Row],[공격실패횟수]]+표4[[#This Row],[공격성공횟수]])</f>
        <v>8.3333333333333329E-2</v>
      </c>
    </row>
    <row r="1141" spans="1:8" hidden="1" x14ac:dyDescent="0.4">
      <c r="A1141">
        <v>570</v>
      </c>
      <c r="B1141" t="s">
        <v>2</v>
      </c>
      <c r="C1141">
        <v>0</v>
      </c>
      <c r="D1141">
        <v>0</v>
      </c>
      <c r="E1141">
        <v>53</v>
      </c>
      <c r="F1141">
        <v>4</v>
      </c>
      <c r="G1141">
        <v>1</v>
      </c>
      <c r="H1141">
        <f>표4[[#This Row],[공격성공횟수]]/(표4[[#This Row],[공격실패횟수]]+표4[[#This Row],[공격성공횟수]])</f>
        <v>0</v>
      </c>
    </row>
    <row r="1142" spans="1:8" x14ac:dyDescent="0.4">
      <c r="A1142">
        <v>571</v>
      </c>
      <c r="B1142" t="s">
        <v>3</v>
      </c>
      <c r="C1142">
        <v>1</v>
      </c>
      <c r="D1142">
        <v>4</v>
      </c>
      <c r="E1142">
        <v>16</v>
      </c>
      <c r="F1142">
        <v>1</v>
      </c>
      <c r="G1142">
        <v>0</v>
      </c>
      <c r="H1142">
        <f>표4[[#This Row],[공격성공횟수]]/(표4[[#This Row],[공격실패횟수]]+표4[[#This Row],[공격성공횟수]])</f>
        <v>0.2</v>
      </c>
    </row>
    <row r="1143" spans="1:8" hidden="1" x14ac:dyDescent="0.4">
      <c r="A1143">
        <v>571</v>
      </c>
      <c r="B1143" t="s">
        <v>2</v>
      </c>
      <c r="C1143">
        <v>0</v>
      </c>
      <c r="D1143">
        <v>1</v>
      </c>
      <c r="E1143">
        <v>18</v>
      </c>
      <c r="F1143">
        <v>4</v>
      </c>
      <c r="G1143">
        <v>1</v>
      </c>
      <c r="H1143">
        <f>표4[[#This Row],[공격성공횟수]]/(표4[[#This Row],[공격실패횟수]]+표4[[#This Row],[공격성공횟수]])</f>
        <v>5.2631578947368418E-2</v>
      </c>
    </row>
    <row r="1144" spans="1:8" x14ac:dyDescent="0.4">
      <c r="A1144">
        <v>572</v>
      </c>
      <c r="B1144" t="s">
        <v>3</v>
      </c>
      <c r="C1144">
        <v>1</v>
      </c>
      <c r="D1144">
        <v>4</v>
      </c>
      <c r="E1144">
        <v>5</v>
      </c>
      <c r="F1144">
        <v>0</v>
      </c>
      <c r="G1144">
        <v>0</v>
      </c>
      <c r="H1144">
        <f>표4[[#This Row],[공격성공횟수]]/(표4[[#This Row],[공격실패횟수]]+표4[[#This Row],[공격성공횟수]])</f>
        <v>0.44444444444444442</v>
      </c>
    </row>
    <row r="1145" spans="1:8" hidden="1" x14ac:dyDescent="0.4">
      <c r="A1145">
        <v>572</v>
      </c>
      <c r="B1145" t="s">
        <v>2</v>
      </c>
      <c r="C1145">
        <v>0</v>
      </c>
      <c r="D1145">
        <v>0</v>
      </c>
      <c r="E1145">
        <v>8</v>
      </c>
      <c r="F1145">
        <v>4</v>
      </c>
      <c r="G1145">
        <v>1</v>
      </c>
      <c r="H1145">
        <f>표4[[#This Row],[공격성공횟수]]/(표4[[#This Row],[공격실패횟수]]+표4[[#This Row],[공격성공횟수]])</f>
        <v>0</v>
      </c>
    </row>
    <row r="1146" spans="1:8" x14ac:dyDescent="0.4">
      <c r="A1146">
        <v>573</v>
      </c>
      <c r="B1146" t="s">
        <v>3</v>
      </c>
      <c r="C1146">
        <v>1</v>
      </c>
      <c r="D1146">
        <v>4</v>
      </c>
      <c r="E1146">
        <v>7</v>
      </c>
      <c r="F1146">
        <v>3</v>
      </c>
      <c r="G1146">
        <v>0</v>
      </c>
      <c r="H1146">
        <f>표4[[#This Row],[공격성공횟수]]/(표4[[#This Row],[공격실패횟수]]+표4[[#This Row],[공격성공횟수]])</f>
        <v>0.36363636363636365</v>
      </c>
    </row>
    <row r="1147" spans="1:8" hidden="1" x14ac:dyDescent="0.4">
      <c r="A1147">
        <v>573</v>
      </c>
      <c r="B1147" t="s">
        <v>2</v>
      </c>
      <c r="C1147">
        <v>0</v>
      </c>
      <c r="D1147">
        <v>3</v>
      </c>
      <c r="E1147">
        <v>13</v>
      </c>
      <c r="F1147">
        <v>4</v>
      </c>
      <c r="G1147">
        <v>1</v>
      </c>
      <c r="H1147">
        <f>표4[[#This Row],[공격성공횟수]]/(표4[[#This Row],[공격실패횟수]]+표4[[#This Row],[공격성공횟수]])</f>
        <v>0.1875</v>
      </c>
    </row>
    <row r="1148" spans="1:8" x14ac:dyDescent="0.4">
      <c r="A1148">
        <v>574</v>
      </c>
      <c r="B1148" t="s">
        <v>3</v>
      </c>
      <c r="C1148">
        <v>0</v>
      </c>
      <c r="D1148">
        <v>1</v>
      </c>
      <c r="E1148">
        <v>12</v>
      </c>
      <c r="F1148">
        <v>4</v>
      </c>
      <c r="G1148">
        <v>1</v>
      </c>
      <c r="H1148">
        <f>표4[[#This Row],[공격성공횟수]]/(표4[[#This Row],[공격실패횟수]]+표4[[#This Row],[공격성공횟수]])</f>
        <v>7.6923076923076927E-2</v>
      </c>
    </row>
    <row r="1149" spans="1:8" hidden="1" x14ac:dyDescent="0.4">
      <c r="A1149">
        <v>574</v>
      </c>
      <c r="B1149" t="s">
        <v>2</v>
      </c>
      <c r="C1149">
        <v>1</v>
      </c>
      <c r="D1149">
        <v>4</v>
      </c>
      <c r="E1149">
        <v>11</v>
      </c>
      <c r="F1149">
        <v>1</v>
      </c>
      <c r="G1149">
        <v>0</v>
      </c>
      <c r="H1149">
        <f>표4[[#This Row],[공격성공횟수]]/(표4[[#This Row],[공격실패횟수]]+표4[[#This Row],[공격성공횟수]])</f>
        <v>0.26666666666666666</v>
      </c>
    </row>
    <row r="1150" spans="1:8" x14ac:dyDescent="0.4">
      <c r="A1150">
        <v>575</v>
      </c>
      <c r="B1150" t="s">
        <v>3</v>
      </c>
      <c r="C1150">
        <v>1</v>
      </c>
      <c r="D1150">
        <v>4</v>
      </c>
      <c r="E1150">
        <v>7</v>
      </c>
      <c r="F1150">
        <v>1</v>
      </c>
      <c r="G1150">
        <v>0</v>
      </c>
      <c r="H1150">
        <f>표4[[#This Row],[공격성공횟수]]/(표4[[#This Row],[공격실패횟수]]+표4[[#This Row],[공격성공횟수]])</f>
        <v>0.36363636363636365</v>
      </c>
    </row>
    <row r="1151" spans="1:8" hidden="1" x14ac:dyDescent="0.4">
      <c r="A1151">
        <v>575</v>
      </c>
      <c r="B1151" t="s">
        <v>2</v>
      </c>
      <c r="C1151">
        <v>0</v>
      </c>
      <c r="D1151">
        <v>1</v>
      </c>
      <c r="E1151">
        <v>9</v>
      </c>
      <c r="F1151">
        <v>4</v>
      </c>
      <c r="G1151">
        <v>1</v>
      </c>
      <c r="H1151">
        <f>표4[[#This Row],[공격성공횟수]]/(표4[[#This Row],[공격실패횟수]]+표4[[#This Row],[공격성공횟수]])</f>
        <v>0.1</v>
      </c>
    </row>
    <row r="1152" spans="1:8" x14ac:dyDescent="0.4">
      <c r="A1152">
        <v>576</v>
      </c>
      <c r="B1152" t="s">
        <v>3</v>
      </c>
      <c r="C1152">
        <v>0</v>
      </c>
      <c r="D1152">
        <v>3</v>
      </c>
      <c r="E1152">
        <v>12</v>
      </c>
      <c r="F1152">
        <v>4</v>
      </c>
      <c r="G1152">
        <v>1</v>
      </c>
      <c r="H1152">
        <f>표4[[#This Row],[공격성공횟수]]/(표4[[#This Row],[공격실패횟수]]+표4[[#This Row],[공격성공횟수]])</f>
        <v>0.2</v>
      </c>
    </row>
    <row r="1153" spans="1:8" hidden="1" x14ac:dyDescent="0.4">
      <c r="A1153">
        <v>576</v>
      </c>
      <c r="B1153" t="s">
        <v>2</v>
      </c>
      <c r="C1153">
        <v>1</v>
      </c>
      <c r="D1153">
        <v>4</v>
      </c>
      <c r="E1153">
        <v>18</v>
      </c>
      <c r="F1153">
        <v>3</v>
      </c>
      <c r="G1153">
        <v>0</v>
      </c>
      <c r="H1153">
        <f>표4[[#This Row],[공격성공횟수]]/(표4[[#This Row],[공격실패횟수]]+표4[[#This Row],[공격성공횟수]])</f>
        <v>0.18181818181818182</v>
      </c>
    </row>
    <row r="1154" spans="1:8" x14ac:dyDescent="0.4">
      <c r="A1154">
        <v>577</v>
      </c>
      <c r="B1154" t="s">
        <v>3</v>
      </c>
      <c r="C1154">
        <v>1</v>
      </c>
      <c r="D1154">
        <v>4</v>
      </c>
      <c r="E1154">
        <v>13</v>
      </c>
      <c r="F1154">
        <v>0</v>
      </c>
      <c r="G1154">
        <v>0</v>
      </c>
      <c r="H1154">
        <f>표4[[#This Row],[공격성공횟수]]/(표4[[#This Row],[공격실패횟수]]+표4[[#This Row],[공격성공횟수]])</f>
        <v>0.23529411764705882</v>
      </c>
    </row>
    <row r="1155" spans="1:8" hidden="1" x14ac:dyDescent="0.4">
      <c r="A1155">
        <v>577</v>
      </c>
      <c r="B1155" t="s">
        <v>2</v>
      </c>
      <c r="C1155">
        <v>0</v>
      </c>
      <c r="D1155">
        <v>0</v>
      </c>
      <c r="E1155">
        <v>17</v>
      </c>
      <c r="F1155">
        <v>4</v>
      </c>
      <c r="G1155">
        <v>1</v>
      </c>
      <c r="H1155">
        <f>표4[[#This Row],[공격성공횟수]]/(표4[[#This Row],[공격실패횟수]]+표4[[#This Row],[공격성공횟수]])</f>
        <v>0</v>
      </c>
    </row>
    <row r="1156" spans="1:8" x14ac:dyDescent="0.4">
      <c r="A1156">
        <v>578</v>
      </c>
      <c r="B1156" t="s">
        <v>3</v>
      </c>
      <c r="C1156">
        <v>1</v>
      </c>
      <c r="D1156">
        <v>4</v>
      </c>
      <c r="E1156">
        <v>15</v>
      </c>
      <c r="F1156">
        <v>2</v>
      </c>
      <c r="G1156">
        <v>0</v>
      </c>
      <c r="H1156">
        <f>표4[[#This Row],[공격성공횟수]]/(표4[[#This Row],[공격실패횟수]]+표4[[#This Row],[공격성공횟수]])</f>
        <v>0.21052631578947367</v>
      </c>
    </row>
    <row r="1157" spans="1:8" hidden="1" x14ac:dyDescent="0.4">
      <c r="A1157">
        <v>578</v>
      </c>
      <c r="B1157" t="s">
        <v>2</v>
      </c>
      <c r="C1157">
        <v>0</v>
      </c>
      <c r="D1157">
        <v>2</v>
      </c>
      <c r="E1157">
        <v>21</v>
      </c>
      <c r="F1157">
        <v>4</v>
      </c>
      <c r="G1157">
        <v>1</v>
      </c>
      <c r="H1157">
        <f>표4[[#This Row],[공격성공횟수]]/(표4[[#This Row],[공격실패횟수]]+표4[[#This Row],[공격성공횟수]])</f>
        <v>8.6956521739130432E-2</v>
      </c>
    </row>
    <row r="1158" spans="1:8" x14ac:dyDescent="0.4">
      <c r="A1158">
        <v>579</v>
      </c>
      <c r="B1158" t="s">
        <v>3</v>
      </c>
      <c r="C1158">
        <v>1</v>
      </c>
      <c r="D1158">
        <v>4</v>
      </c>
      <c r="E1158">
        <v>16</v>
      </c>
      <c r="F1158">
        <v>0</v>
      </c>
      <c r="G1158">
        <v>0</v>
      </c>
      <c r="H1158">
        <f>표4[[#This Row],[공격성공횟수]]/(표4[[#This Row],[공격실패횟수]]+표4[[#This Row],[공격성공횟수]])</f>
        <v>0.2</v>
      </c>
    </row>
    <row r="1159" spans="1:8" hidden="1" x14ac:dyDescent="0.4">
      <c r="A1159">
        <v>579</v>
      </c>
      <c r="B1159" t="s">
        <v>2</v>
      </c>
      <c r="C1159">
        <v>0</v>
      </c>
      <c r="D1159">
        <v>0</v>
      </c>
      <c r="E1159">
        <v>21</v>
      </c>
      <c r="F1159">
        <v>4</v>
      </c>
      <c r="G1159">
        <v>1</v>
      </c>
      <c r="H1159">
        <f>표4[[#This Row],[공격성공횟수]]/(표4[[#This Row],[공격실패횟수]]+표4[[#This Row],[공격성공횟수]])</f>
        <v>0</v>
      </c>
    </row>
    <row r="1160" spans="1:8" x14ac:dyDescent="0.4">
      <c r="A1160">
        <v>580</v>
      </c>
      <c r="B1160" t="s">
        <v>3</v>
      </c>
      <c r="C1160">
        <v>1</v>
      </c>
      <c r="D1160">
        <v>4</v>
      </c>
      <c r="E1160">
        <v>6</v>
      </c>
      <c r="F1160">
        <v>1</v>
      </c>
      <c r="G1160">
        <v>0</v>
      </c>
      <c r="H1160">
        <f>표4[[#This Row],[공격성공횟수]]/(표4[[#This Row],[공격실패횟수]]+표4[[#This Row],[공격성공횟수]])</f>
        <v>0.4</v>
      </c>
    </row>
    <row r="1161" spans="1:8" hidden="1" x14ac:dyDescent="0.4">
      <c r="A1161">
        <v>580</v>
      </c>
      <c r="B1161" t="s">
        <v>2</v>
      </c>
      <c r="C1161">
        <v>0</v>
      </c>
      <c r="D1161">
        <v>1</v>
      </c>
      <c r="E1161">
        <v>9</v>
      </c>
      <c r="F1161">
        <v>4</v>
      </c>
      <c r="G1161">
        <v>1</v>
      </c>
      <c r="H1161">
        <f>표4[[#This Row],[공격성공횟수]]/(표4[[#This Row],[공격실패횟수]]+표4[[#This Row],[공격성공횟수]])</f>
        <v>0.1</v>
      </c>
    </row>
    <row r="1162" spans="1:8" x14ac:dyDescent="0.4">
      <c r="A1162">
        <v>581</v>
      </c>
      <c r="B1162" t="s">
        <v>3</v>
      </c>
      <c r="C1162">
        <v>1</v>
      </c>
      <c r="D1162">
        <v>4</v>
      </c>
      <c r="E1162">
        <v>3</v>
      </c>
      <c r="F1162">
        <v>1</v>
      </c>
      <c r="G1162">
        <v>0</v>
      </c>
      <c r="H1162">
        <f>표4[[#This Row],[공격성공횟수]]/(표4[[#This Row],[공격실패횟수]]+표4[[#This Row],[공격성공횟수]])</f>
        <v>0.5714285714285714</v>
      </c>
    </row>
    <row r="1163" spans="1:8" hidden="1" x14ac:dyDescent="0.4">
      <c r="A1163">
        <v>581</v>
      </c>
      <c r="B1163" t="s">
        <v>2</v>
      </c>
      <c r="C1163">
        <v>0</v>
      </c>
      <c r="D1163">
        <v>1</v>
      </c>
      <c r="E1163">
        <v>5</v>
      </c>
      <c r="F1163">
        <v>4</v>
      </c>
      <c r="G1163">
        <v>1</v>
      </c>
      <c r="H1163">
        <f>표4[[#This Row],[공격성공횟수]]/(표4[[#This Row],[공격실패횟수]]+표4[[#This Row],[공격성공횟수]])</f>
        <v>0.16666666666666666</v>
      </c>
    </row>
    <row r="1164" spans="1:8" x14ac:dyDescent="0.4">
      <c r="A1164">
        <v>582</v>
      </c>
      <c r="B1164" t="s">
        <v>3</v>
      </c>
      <c r="C1164">
        <v>0</v>
      </c>
      <c r="D1164">
        <v>2</v>
      </c>
      <c r="E1164">
        <v>7</v>
      </c>
      <c r="F1164">
        <v>4</v>
      </c>
      <c r="G1164">
        <v>1</v>
      </c>
      <c r="H1164">
        <f>표4[[#This Row],[공격성공횟수]]/(표4[[#This Row],[공격실패횟수]]+표4[[#This Row],[공격성공횟수]])</f>
        <v>0.22222222222222221</v>
      </c>
    </row>
    <row r="1165" spans="1:8" hidden="1" x14ac:dyDescent="0.4">
      <c r="A1165">
        <v>582</v>
      </c>
      <c r="B1165" t="s">
        <v>2</v>
      </c>
      <c r="C1165">
        <v>1</v>
      </c>
      <c r="D1165">
        <v>4</v>
      </c>
      <c r="E1165">
        <v>6</v>
      </c>
      <c r="F1165">
        <v>2</v>
      </c>
      <c r="G1165">
        <v>0</v>
      </c>
      <c r="H1165">
        <f>표4[[#This Row],[공격성공횟수]]/(표4[[#This Row],[공격실패횟수]]+표4[[#This Row],[공격성공횟수]])</f>
        <v>0.4</v>
      </c>
    </row>
    <row r="1166" spans="1:8" x14ac:dyDescent="0.4">
      <c r="A1166">
        <v>583</v>
      </c>
      <c r="B1166" t="s">
        <v>3</v>
      </c>
      <c r="C1166">
        <v>1</v>
      </c>
      <c r="D1166">
        <v>4</v>
      </c>
      <c r="E1166">
        <v>9</v>
      </c>
      <c r="F1166">
        <v>2</v>
      </c>
      <c r="G1166">
        <v>0</v>
      </c>
      <c r="H1166">
        <f>표4[[#This Row],[공격성공횟수]]/(표4[[#This Row],[공격실패횟수]]+표4[[#This Row],[공격성공횟수]])</f>
        <v>0.30769230769230771</v>
      </c>
    </row>
    <row r="1167" spans="1:8" hidden="1" x14ac:dyDescent="0.4">
      <c r="A1167">
        <v>583</v>
      </c>
      <c r="B1167" t="s">
        <v>2</v>
      </c>
      <c r="C1167">
        <v>0</v>
      </c>
      <c r="D1167">
        <v>2</v>
      </c>
      <c r="E1167">
        <v>10</v>
      </c>
      <c r="F1167">
        <v>4</v>
      </c>
      <c r="G1167">
        <v>1</v>
      </c>
      <c r="H1167">
        <f>표4[[#This Row],[공격성공횟수]]/(표4[[#This Row],[공격실패횟수]]+표4[[#This Row],[공격성공횟수]])</f>
        <v>0.16666666666666666</v>
      </c>
    </row>
    <row r="1168" spans="1:8" x14ac:dyDescent="0.4">
      <c r="A1168">
        <v>584</v>
      </c>
      <c r="B1168" t="s">
        <v>3</v>
      </c>
      <c r="C1168">
        <v>0</v>
      </c>
      <c r="D1168">
        <v>2</v>
      </c>
      <c r="E1168">
        <v>33</v>
      </c>
      <c r="F1168">
        <v>4</v>
      </c>
      <c r="G1168">
        <v>1</v>
      </c>
      <c r="H1168">
        <f>표4[[#This Row],[공격성공횟수]]/(표4[[#This Row],[공격실패횟수]]+표4[[#This Row],[공격성공횟수]])</f>
        <v>5.7142857142857141E-2</v>
      </c>
    </row>
    <row r="1169" spans="1:8" hidden="1" x14ac:dyDescent="0.4">
      <c r="A1169">
        <v>584</v>
      </c>
      <c r="B1169" t="s">
        <v>2</v>
      </c>
      <c r="C1169">
        <v>1</v>
      </c>
      <c r="D1169">
        <v>4</v>
      </c>
      <c r="E1169">
        <v>36</v>
      </c>
      <c r="F1169">
        <v>2</v>
      </c>
      <c r="G1169">
        <v>0</v>
      </c>
      <c r="H1169">
        <f>표4[[#This Row],[공격성공횟수]]/(표4[[#This Row],[공격실패횟수]]+표4[[#This Row],[공격성공횟수]])</f>
        <v>0.1</v>
      </c>
    </row>
    <row r="1170" spans="1:8" x14ac:dyDescent="0.4">
      <c r="A1170">
        <v>585</v>
      </c>
      <c r="B1170" t="s">
        <v>3</v>
      </c>
      <c r="C1170">
        <v>1</v>
      </c>
      <c r="D1170">
        <v>4</v>
      </c>
      <c r="E1170">
        <v>3</v>
      </c>
      <c r="F1170">
        <v>0</v>
      </c>
      <c r="G1170">
        <v>0</v>
      </c>
      <c r="H1170">
        <f>표4[[#This Row],[공격성공횟수]]/(표4[[#This Row],[공격실패횟수]]+표4[[#This Row],[공격성공횟수]])</f>
        <v>0.5714285714285714</v>
      </c>
    </row>
    <row r="1171" spans="1:8" hidden="1" x14ac:dyDescent="0.4">
      <c r="A1171">
        <v>585</v>
      </c>
      <c r="B1171" t="s">
        <v>2</v>
      </c>
      <c r="C1171">
        <v>0</v>
      </c>
      <c r="D1171">
        <v>0</v>
      </c>
      <c r="E1171">
        <v>6</v>
      </c>
      <c r="F1171">
        <v>4</v>
      </c>
      <c r="G1171">
        <v>1</v>
      </c>
      <c r="H1171">
        <f>표4[[#This Row],[공격성공횟수]]/(표4[[#This Row],[공격실패횟수]]+표4[[#This Row],[공격성공횟수]])</f>
        <v>0</v>
      </c>
    </row>
    <row r="1172" spans="1:8" x14ac:dyDescent="0.4">
      <c r="A1172">
        <v>586</v>
      </c>
      <c r="B1172" t="s">
        <v>3</v>
      </c>
      <c r="C1172">
        <v>1</v>
      </c>
      <c r="D1172">
        <v>4</v>
      </c>
      <c r="E1172">
        <v>2</v>
      </c>
      <c r="F1172">
        <v>2</v>
      </c>
      <c r="G1172">
        <v>0</v>
      </c>
      <c r="H1172">
        <f>표4[[#This Row],[공격성공횟수]]/(표4[[#This Row],[공격실패횟수]]+표4[[#This Row],[공격성공횟수]])</f>
        <v>0.66666666666666663</v>
      </c>
    </row>
    <row r="1173" spans="1:8" hidden="1" x14ac:dyDescent="0.4">
      <c r="A1173">
        <v>586</v>
      </c>
      <c r="B1173" t="s">
        <v>2</v>
      </c>
      <c r="C1173">
        <v>0</v>
      </c>
      <c r="D1173">
        <v>2</v>
      </c>
      <c r="E1173">
        <v>3</v>
      </c>
      <c r="F1173">
        <v>4</v>
      </c>
      <c r="G1173">
        <v>1</v>
      </c>
      <c r="H1173">
        <f>표4[[#This Row],[공격성공횟수]]/(표4[[#This Row],[공격실패횟수]]+표4[[#This Row],[공격성공횟수]])</f>
        <v>0.4</v>
      </c>
    </row>
    <row r="1174" spans="1:8" x14ac:dyDescent="0.4">
      <c r="A1174">
        <v>587</v>
      </c>
      <c r="B1174" t="s">
        <v>3</v>
      </c>
      <c r="C1174">
        <v>1</v>
      </c>
      <c r="D1174">
        <v>4</v>
      </c>
      <c r="E1174">
        <v>7</v>
      </c>
      <c r="F1174">
        <v>2</v>
      </c>
      <c r="G1174">
        <v>0</v>
      </c>
      <c r="H1174">
        <f>표4[[#This Row],[공격성공횟수]]/(표4[[#This Row],[공격실패횟수]]+표4[[#This Row],[공격성공횟수]])</f>
        <v>0.36363636363636365</v>
      </c>
    </row>
    <row r="1175" spans="1:8" hidden="1" x14ac:dyDescent="0.4">
      <c r="A1175">
        <v>587</v>
      </c>
      <c r="B1175" t="s">
        <v>2</v>
      </c>
      <c r="C1175">
        <v>0</v>
      </c>
      <c r="D1175">
        <v>2</v>
      </c>
      <c r="E1175">
        <v>9</v>
      </c>
      <c r="F1175">
        <v>4</v>
      </c>
      <c r="G1175">
        <v>1</v>
      </c>
      <c r="H1175">
        <f>표4[[#This Row],[공격성공횟수]]/(표4[[#This Row],[공격실패횟수]]+표4[[#This Row],[공격성공횟수]])</f>
        <v>0.18181818181818182</v>
      </c>
    </row>
    <row r="1176" spans="1:8" x14ac:dyDescent="0.4">
      <c r="A1176">
        <v>588</v>
      </c>
      <c r="B1176" t="s">
        <v>3</v>
      </c>
      <c r="C1176">
        <v>1</v>
      </c>
      <c r="D1176">
        <v>4</v>
      </c>
      <c r="E1176">
        <v>31</v>
      </c>
      <c r="F1176">
        <v>3</v>
      </c>
      <c r="G1176">
        <v>0</v>
      </c>
      <c r="H1176">
        <f>표4[[#This Row],[공격성공횟수]]/(표4[[#This Row],[공격실패횟수]]+표4[[#This Row],[공격성공횟수]])</f>
        <v>0.11428571428571428</v>
      </c>
    </row>
    <row r="1177" spans="1:8" hidden="1" x14ac:dyDescent="0.4">
      <c r="A1177">
        <v>588</v>
      </c>
      <c r="B1177" t="s">
        <v>2</v>
      </c>
      <c r="C1177">
        <v>0</v>
      </c>
      <c r="D1177">
        <v>3</v>
      </c>
      <c r="E1177">
        <v>44</v>
      </c>
      <c r="F1177">
        <v>4</v>
      </c>
      <c r="G1177">
        <v>1</v>
      </c>
      <c r="H1177">
        <f>표4[[#This Row],[공격성공횟수]]/(표4[[#This Row],[공격실패횟수]]+표4[[#This Row],[공격성공횟수]])</f>
        <v>6.3829787234042548E-2</v>
      </c>
    </row>
    <row r="1178" spans="1:8" x14ac:dyDescent="0.4">
      <c r="A1178">
        <v>589</v>
      </c>
      <c r="B1178" t="s">
        <v>3</v>
      </c>
      <c r="C1178">
        <v>1</v>
      </c>
      <c r="D1178">
        <v>4</v>
      </c>
      <c r="E1178">
        <v>7</v>
      </c>
      <c r="F1178">
        <v>1</v>
      </c>
      <c r="G1178">
        <v>0</v>
      </c>
      <c r="H1178">
        <f>표4[[#This Row],[공격성공횟수]]/(표4[[#This Row],[공격실패횟수]]+표4[[#This Row],[공격성공횟수]])</f>
        <v>0.36363636363636365</v>
      </c>
    </row>
    <row r="1179" spans="1:8" hidden="1" x14ac:dyDescent="0.4">
      <c r="A1179">
        <v>589</v>
      </c>
      <c r="B1179" t="s">
        <v>2</v>
      </c>
      <c r="C1179">
        <v>0</v>
      </c>
      <c r="D1179">
        <v>1</v>
      </c>
      <c r="E1179">
        <v>9</v>
      </c>
      <c r="F1179">
        <v>4</v>
      </c>
      <c r="G1179">
        <v>1</v>
      </c>
      <c r="H1179">
        <f>표4[[#This Row],[공격성공횟수]]/(표4[[#This Row],[공격실패횟수]]+표4[[#This Row],[공격성공횟수]])</f>
        <v>0.1</v>
      </c>
    </row>
    <row r="1180" spans="1:8" x14ac:dyDescent="0.4">
      <c r="A1180">
        <v>590</v>
      </c>
      <c r="B1180" t="s">
        <v>3</v>
      </c>
      <c r="C1180">
        <v>1</v>
      </c>
      <c r="D1180">
        <v>4</v>
      </c>
      <c r="E1180">
        <v>8</v>
      </c>
      <c r="F1180">
        <v>2</v>
      </c>
      <c r="G1180">
        <v>0</v>
      </c>
      <c r="H1180">
        <f>표4[[#This Row],[공격성공횟수]]/(표4[[#This Row],[공격실패횟수]]+표4[[#This Row],[공격성공횟수]])</f>
        <v>0.33333333333333331</v>
      </c>
    </row>
    <row r="1181" spans="1:8" hidden="1" x14ac:dyDescent="0.4">
      <c r="A1181">
        <v>590</v>
      </c>
      <c r="B1181" t="s">
        <v>2</v>
      </c>
      <c r="C1181">
        <v>0</v>
      </c>
      <c r="D1181">
        <v>2</v>
      </c>
      <c r="E1181">
        <v>10</v>
      </c>
      <c r="F1181">
        <v>4</v>
      </c>
      <c r="G1181">
        <v>1</v>
      </c>
      <c r="H1181">
        <f>표4[[#This Row],[공격성공횟수]]/(표4[[#This Row],[공격실패횟수]]+표4[[#This Row],[공격성공횟수]])</f>
        <v>0.16666666666666666</v>
      </c>
    </row>
    <row r="1182" spans="1:8" x14ac:dyDescent="0.4">
      <c r="A1182">
        <v>591</v>
      </c>
      <c r="B1182" t="s">
        <v>3</v>
      </c>
      <c r="C1182">
        <v>0</v>
      </c>
      <c r="D1182">
        <v>3</v>
      </c>
      <c r="E1182">
        <v>100</v>
      </c>
      <c r="F1182">
        <v>1</v>
      </c>
      <c r="G1182">
        <v>0</v>
      </c>
      <c r="H1182">
        <f>표4[[#This Row],[공격성공횟수]]/(표4[[#This Row],[공격실패횟수]]+표4[[#This Row],[공격성공횟수]])</f>
        <v>2.9126213592233011E-2</v>
      </c>
    </row>
    <row r="1183" spans="1:8" hidden="1" x14ac:dyDescent="0.4">
      <c r="A1183">
        <v>591</v>
      </c>
      <c r="B1183" t="s">
        <v>2</v>
      </c>
      <c r="C1183">
        <v>0</v>
      </c>
      <c r="D1183">
        <v>1</v>
      </c>
      <c r="E1183">
        <v>114</v>
      </c>
      <c r="F1183">
        <v>3</v>
      </c>
      <c r="G1183">
        <v>0</v>
      </c>
      <c r="H1183">
        <f>표4[[#This Row],[공격성공횟수]]/(표4[[#This Row],[공격실패횟수]]+표4[[#This Row],[공격성공횟수]])</f>
        <v>8.6956521739130436E-3</v>
      </c>
    </row>
    <row r="1184" spans="1:8" x14ac:dyDescent="0.4">
      <c r="A1184">
        <v>592</v>
      </c>
      <c r="B1184" t="s">
        <v>3</v>
      </c>
      <c r="C1184">
        <v>0</v>
      </c>
      <c r="D1184">
        <v>3</v>
      </c>
      <c r="E1184">
        <v>6</v>
      </c>
      <c r="F1184">
        <v>4</v>
      </c>
      <c r="G1184">
        <v>1</v>
      </c>
      <c r="H1184">
        <f>표4[[#This Row],[공격성공횟수]]/(표4[[#This Row],[공격실패횟수]]+표4[[#This Row],[공격성공횟수]])</f>
        <v>0.33333333333333331</v>
      </c>
    </row>
    <row r="1185" spans="1:8" hidden="1" x14ac:dyDescent="0.4">
      <c r="A1185">
        <v>592</v>
      </c>
      <c r="B1185" t="s">
        <v>2</v>
      </c>
      <c r="C1185">
        <v>1</v>
      </c>
      <c r="D1185">
        <v>4</v>
      </c>
      <c r="E1185">
        <v>22</v>
      </c>
      <c r="F1185">
        <v>3</v>
      </c>
      <c r="G1185">
        <v>0</v>
      </c>
      <c r="H1185">
        <f>표4[[#This Row],[공격성공횟수]]/(표4[[#This Row],[공격실패횟수]]+표4[[#This Row],[공격성공횟수]])</f>
        <v>0.15384615384615385</v>
      </c>
    </row>
    <row r="1186" spans="1:8" x14ac:dyDescent="0.4">
      <c r="A1186">
        <v>593</v>
      </c>
      <c r="B1186" t="s">
        <v>3</v>
      </c>
      <c r="C1186">
        <v>1</v>
      </c>
      <c r="D1186">
        <v>4</v>
      </c>
      <c r="E1186">
        <v>84</v>
      </c>
      <c r="F1186">
        <v>2</v>
      </c>
      <c r="G1186">
        <v>0</v>
      </c>
      <c r="H1186">
        <f>표4[[#This Row],[공격성공횟수]]/(표4[[#This Row],[공격실패횟수]]+표4[[#This Row],[공격성공횟수]])</f>
        <v>4.5454545454545456E-2</v>
      </c>
    </row>
    <row r="1187" spans="1:8" hidden="1" x14ac:dyDescent="0.4">
      <c r="A1187">
        <v>593</v>
      </c>
      <c r="B1187" t="s">
        <v>2</v>
      </c>
      <c r="C1187">
        <v>0</v>
      </c>
      <c r="D1187">
        <v>2</v>
      </c>
      <c r="E1187">
        <v>108</v>
      </c>
      <c r="F1187">
        <v>4</v>
      </c>
      <c r="G1187">
        <v>1</v>
      </c>
      <c r="H1187">
        <f>표4[[#This Row],[공격성공횟수]]/(표4[[#This Row],[공격실패횟수]]+표4[[#This Row],[공격성공횟수]])</f>
        <v>1.8181818181818181E-2</v>
      </c>
    </row>
    <row r="1188" spans="1:8" x14ac:dyDescent="0.4">
      <c r="A1188">
        <v>594</v>
      </c>
      <c r="B1188" t="s">
        <v>3</v>
      </c>
      <c r="C1188">
        <v>1</v>
      </c>
      <c r="D1188">
        <v>4</v>
      </c>
      <c r="E1188">
        <v>2</v>
      </c>
      <c r="F1188">
        <v>0</v>
      </c>
      <c r="G1188">
        <v>0</v>
      </c>
      <c r="H1188">
        <f>표4[[#This Row],[공격성공횟수]]/(표4[[#This Row],[공격실패횟수]]+표4[[#This Row],[공격성공횟수]])</f>
        <v>0.66666666666666663</v>
      </c>
    </row>
    <row r="1189" spans="1:8" hidden="1" x14ac:dyDescent="0.4">
      <c r="A1189">
        <v>594</v>
      </c>
      <c r="B1189" t="s">
        <v>2</v>
      </c>
      <c r="C1189">
        <v>0</v>
      </c>
      <c r="D1189">
        <v>0</v>
      </c>
      <c r="E1189">
        <v>5</v>
      </c>
      <c r="F1189">
        <v>4</v>
      </c>
      <c r="G1189">
        <v>1</v>
      </c>
      <c r="H1189">
        <f>표4[[#This Row],[공격성공횟수]]/(표4[[#This Row],[공격실패횟수]]+표4[[#This Row],[공격성공횟수]])</f>
        <v>0</v>
      </c>
    </row>
    <row r="1190" spans="1:8" x14ac:dyDescent="0.4">
      <c r="A1190">
        <v>595</v>
      </c>
      <c r="B1190" t="s">
        <v>3</v>
      </c>
      <c r="C1190">
        <v>1</v>
      </c>
      <c r="D1190">
        <v>4</v>
      </c>
      <c r="E1190">
        <v>24</v>
      </c>
      <c r="F1190">
        <v>1</v>
      </c>
      <c r="G1190">
        <v>0</v>
      </c>
      <c r="H1190">
        <f>표4[[#This Row],[공격성공횟수]]/(표4[[#This Row],[공격실패횟수]]+표4[[#This Row],[공격성공횟수]])</f>
        <v>0.14285714285714285</v>
      </c>
    </row>
    <row r="1191" spans="1:8" hidden="1" x14ac:dyDescent="0.4">
      <c r="A1191">
        <v>595</v>
      </c>
      <c r="B1191" t="s">
        <v>2</v>
      </c>
      <c r="C1191">
        <v>0</v>
      </c>
      <c r="D1191">
        <v>1</v>
      </c>
      <c r="E1191">
        <v>27</v>
      </c>
      <c r="F1191">
        <v>4</v>
      </c>
      <c r="G1191">
        <v>1</v>
      </c>
      <c r="H1191">
        <f>표4[[#This Row],[공격성공횟수]]/(표4[[#This Row],[공격실패횟수]]+표4[[#This Row],[공격성공횟수]])</f>
        <v>3.5714285714285712E-2</v>
      </c>
    </row>
    <row r="1192" spans="1:8" x14ac:dyDescent="0.4">
      <c r="A1192">
        <v>596</v>
      </c>
      <c r="B1192" t="s">
        <v>3</v>
      </c>
      <c r="C1192">
        <v>1</v>
      </c>
      <c r="D1192">
        <v>4</v>
      </c>
      <c r="E1192">
        <v>70</v>
      </c>
      <c r="F1192">
        <v>2</v>
      </c>
      <c r="G1192">
        <v>0</v>
      </c>
      <c r="H1192">
        <f>표4[[#This Row],[공격성공횟수]]/(표4[[#This Row],[공격실패횟수]]+표4[[#This Row],[공격성공횟수]])</f>
        <v>5.4054054054054057E-2</v>
      </c>
    </row>
    <row r="1193" spans="1:8" hidden="1" x14ac:dyDescent="0.4">
      <c r="A1193">
        <v>596</v>
      </c>
      <c r="B1193" t="s">
        <v>2</v>
      </c>
      <c r="C1193">
        <v>0</v>
      </c>
      <c r="D1193">
        <v>2</v>
      </c>
      <c r="E1193">
        <v>73</v>
      </c>
      <c r="F1193">
        <v>4</v>
      </c>
      <c r="G1193">
        <v>1</v>
      </c>
      <c r="H1193">
        <f>표4[[#This Row],[공격성공횟수]]/(표4[[#This Row],[공격실패횟수]]+표4[[#This Row],[공격성공횟수]])</f>
        <v>2.6666666666666668E-2</v>
      </c>
    </row>
    <row r="1194" spans="1:8" x14ac:dyDescent="0.4">
      <c r="A1194">
        <v>597</v>
      </c>
      <c r="B1194" t="s">
        <v>3</v>
      </c>
      <c r="C1194">
        <v>0</v>
      </c>
      <c r="D1194">
        <v>2</v>
      </c>
      <c r="E1194">
        <v>8</v>
      </c>
      <c r="F1194">
        <v>4</v>
      </c>
      <c r="G1194">
        <v>1</v>
      </c>
      <c r="H1194">
        <f>표4[[#This Row],[공격성공횟수]]/(표4[[#This Row],[공격실패횟수]]+표4[[#This Row],[공격성공횟수]])</f>
        <v>0.2</v>
      </c>
    </row>
    <row r="1195" spans="1:8" hidden="1" x14ac:dyDescent="0.4">
      <c r="A1195">
        <v>597</v>
      </c>
      <c r="B1195" t="s">
        <v>2</v>
      </c>
      <c r="C1195">
        <v>1</v>
      </c>
      <c r="D1195">
        <v>4</v>
      </c>
      <c r="E1195">
        <v>7</v>
      </c>
      <c r="F1195">
        <v>2</v>
      </c>
      <c r="G1195">
        <v>0</v>
      </c>
      <c r="H1195">
        <f>표4[[#This Row],[공격성공횟수]]/(표4[[#This Row],[공격실패횟수]]+표4[[#This Row],[공격성공횟수]])</f>
        <v>0.36363636363636365</v>
      </c>
    </row>
    <row r="1196" spans="1:8" x14ac:dyDescent="0.4">
      <c r="A1196">
        <v>598</v>
      </c>
      <c r="B1196" t="s">
        <v>3</v>
      </c>
      <c r="C1196">
        <v>1</v>
      </c>
      <c r="D1196">
        <v>4</v>
      </c>
      <c r="E1196">
        <v>15</v>
      </c>
      <c r="F1196">
        <v>0</v>
      </c>
      <c r="G1196">
        <v>0</v>
      </c>
      <c r="H1196">
        <f>표4[[#This Row],[공격성공횟수]]/(표4[[#This Row],[공격실패횟수]]+표4[[#This Row],[공격성공횟수]])</f>
        <v>0.21052631578947367</v>
      </c>
    </row>
    <row r="1197" spans="1:8" hidden="1" x14ac:dyDescent="0.4">
      <c r="A1197">
        <v>598</v>
      </c>
      <c r="B1197" t="s">
        <v>2</v>
      </c>
      <c r="C1197">
        <v>0</v>
      </c>
      <c r="D1197">
        <v>0</v>
      </c>
      <c r="E1197">
        <v>17</v>
      </c>
      <c r="F1197">
        <v>4</v>
      </c>
      <c r="G1197">
        <v>1</v>
      </c>
      <c r="H1197">
        <f>표4[[#This Row],[공격성공횟수]]/(표4[[#This Row],[공격실패횟수]]+표4[[#This Row],[공격성공횟수]])</f>
        <v>0</v>
      </c>
    </row>
    <row r="1198" spans="1:8" x14ac:dyDescent="0.4">
      <c r="A1198">
        <v>599</v>
      </c>
      <c r="B1198" t="s">
        <v>3</v>
      </c>
      <c r="C1198">
        <v>1</v>
      </c>
      <c r="D1198">
        <v>4</v>
      </c>
      <c r="E1198">
        <v>10</v>
      </c>
      <c r="F1198">
        <v>0</v>
      </c>
      <c r="G1198">
        <v>0</v>
      </c>
      <c r="H1198">
        <f>표4[[#This Row],[공격성공횟수]]/(표4[[#This Row],[공격실패횟수]]+표4[[#This Row],[공격성공횟수]])</f>
        <v>0.2857142857142857</v>
      </c>
    </row>
    <row r="1199" spans="1:8" hidden="1" x14ac:dyDescent="0.4">
      <c r="A1199">
        <v>599</v>
      </c>
      <c r="B1199" t="s">
        <v>2</v>
      </c>
      <c r="C1199">
        <v>0</v>
      </c>
      <c r="D1199">
        <v>0</v>
      </c>
      <c r="E1199">
        <v>13</v>
      </c>
      <c r="F1199">
        <v>4</v>
      </c>
      <c r="G1199">
        <v>1</v>
      </c>
      <c r="H1199">
        <f>표4[[#This Row],[공격성공횟수]]/(표4[[#This Row],[공격실패횟수]]+표4[[#This Row],[공격성공횟수]])</f>
        <v>0</v>
      </c>
    </row>
    <row r="1200" spans="1:8" x14ac:dyDescent="0.4">
      <c r="A1200">
        <v>600</v>
      </c>
      <c r="B1200" t="s">
        <v>3</v>
      </c>
      <c r="C1200">
        <v>1</v>
      </c>
      <c r="D1200">
        <v>4</v>
      </c>
      <c r="E1200">
        <v>10</v>
      </c>
      <c r="F1200">
        <v>1</v>
      </c>
      <c r="G1200">
        <v>0</v>
      </c>
      <c r="H1200">
        <f>표4[[#This Row],[공격성공횟수]]/(표4[[#This Row],[공격실패횟수]]+표4[[#This Row],[공격성공횟수]])</f>
        <v>0.2857142857142857</v>
      </c>
    </row>
    <row r="1201" spans="1:8" hidden="1" x14ac:dyDescent="0.4">
      <c r="A1201">
        <v>600</v>
      </c>
      <c r="B1201" t="s">
        <v>2</v>
      </c>
      <c r="C1201">
        <v>0</v>
      </c>
      <c r="D1201">
        <v>1</v>
      </c>
      <c r="E1201">
        <v>13</v>
      </c>
      <c r="F1201">
        <v>4</v>
      </c>
      <c r="G1201">
        <v>1</v>
      </c>
      <c r="H1201">
        <f>표4[[#This Row],[공격성공횟수]]/(표4[[#This Row],[공격실패횟수]]+표4[[#This Row],[공격성공횟수]])</f>
        <v>7.1428571428571425E-2</v>
      </c>
    </row>
    <row r="1202" spans="1:8" x14ac:dyDescent="0.4">
      <c r="A1202">
        <v>601</v>
      </c>
      <c r="B1202" t="s">
        <v>3</v>
      </c>
      <c r="C1202">
        <v>1</v>
      </c>
      <c r="D1202">
        <v>4</v>
      </c>
      <c r="E1202">
        <v>13</v>
      </c>
      <c r="F1202">
        <v>2</v>
      </c>
      <c r="G1202">
        <v>0</v>
      </c>
      <c r="H1202">
        <f>표4[[#This Row],[공격성공횟수]]/(표4[[#This Row],[공격실패횟수]]+표4[[#This Row],[공격성공횟수]])</f>
        <v>0.23529411764705882</v>
      </c>
    </row>
    <row r="1203" spans="1:8" hidden="1" x14ac:dyDescent="0.4">
      <c r="A1203">
        <v>601</v>
      </c>
      <c r="B1203" t="s">
        <v>2</v>
      </c>
      <c r="C1203">
        <v>0</v>
      </c>
      <c r="D1203">
        <v>2</v>
      </c>
      <c r="E1203">
        <v>16</v>
      </c>
      <c r="F1203">
        <v>4</v>
      </c>
      <c r="G1203">
        <v>1</v>
      </c>
      <c r="H1203">
        <f>표4[[#This Row],[공격성공횟수]]/(표4[[#This Row],[공격실패횟수]]+표4[[#This Row],[공격성공횟수]])</f>
        <v>0.1111111111111111</v>
      </c>
    </row>
    <row r="1204" spans="1:8" x14ac:dyDescent="0.4">
      <c r="A1204">
        <v>602</v>
      </c>
      <c r="B1204" t="s">
        <v>3</v>
      </c>
      <c r="C1204">
        <v>1</v>
      </c>
      <c r="D1204">
        <v>4</v>
      </c>
      <c r="E1204">
        <v>51</v>
      </c>
      <c r="F1204">
        <v>3</v>
      </c>
      <c r="G1204">
        <v>0</v>
      </c>
      <c r="H1204">
        <f>표4[[#This Row],[공격성공횟수]]/(표4[[#This Row],[공격실패횟수]]+표4[[#This Row],[공격성공횟수]])</f>
        <v>7.2727272727272724E-2</v>
      </c>
    </row>
    <row r="1205" spans="1:8" hidden="1" x14ac:dyDescent="0.4">
      <c r="A1205">
        <v>602</v>
      </c>
      <c r="B1205" t="s">
        <v>2</v>
      </c>
      <c r="C1205">
        <v>0</v>
      </c>
      <c r="D1205">
        <v>3</v>
      </c>
      <c r="E1205">
        <v>65</v>
      </c>
      <c r="F1205">
        <v>4</v>
      </c>
      <c r="G1205">
        <v>1</v>
      </c>
      <c r="H1205">
        <f>표4[[#This Row],[공격성공횟수]]/(표4[[#This Row],[공격실패횟수]]+표4[[#This Row],[공격성공횟수]])</f>
        <v>4.4117647058823532E-2</v>
      </c>
    </row>
    <row r="1206" spans="1:8" x14ac:dyDescent="0.4">
      <c r="A1206">
        <v>603</v>
      </c>
      <c r="B1206" t="s">
        <v>3</v>
      </c>
      <c r="C1206">
        <v>1</v>
      </c>
      <c r="D1206">
        <v>4</v>
      </c>
      <c r="E1206">
        <v>8</v>
      </c>
      <c r="F1206">
        <v>1</v>
      </c>
      <c r="G1206">
        <v>0</v>
      </c>
      <c r="H1206">
        <f>표4[[#This Row],[공격성공횟수]]/(표4[[#This Row],[공격실패횟수]]+표4[[#This Row],[공격성공횟수]])</f>
        <v>0.33333333333333331</v>
      </c>
    </row>
    <row r="1207" spans="1:8" hidden="1" x14ac:dyDescent="0.4">
      <c r="A1207">
        <v>603</v>
      </c>
      <c r="B1207" t="s">
        <v>2</v>
      </c>
      <c r="C1207">
        <v>0</v>
      </c>
      <c r="D1207">
        <v>1</v>
      </c>
      <c r="E1207">
        <v>10</v>
      </c>
      <c r="F1207">
        <v>4</v>
      </c>
      <c r="G1207">
        <v>1</v>
      </c>
      <c r="H1207">
        <f>표4[[#This Row],[공격성공횟수]]/(표4[[#This Row],[공격실패횟수]]+표4[[#This Row],[공격성공횟수]])</f>
        <v>9.0909090909090912E-2</v>
      </c>
    </row>
    <row r="1208" spans="1:8" x14ac:dyDescent="0.4">
      <c r="A1208">
        <v>604</v>
      </c>
      <c r="B1208" t="s">
        <v>3</v>
      </c>
      <c r="C1208">
        <v>1</v>
      </c>
      <c r="D1208">
        <v>4</v>
      </c>
      <c r="E1208">
        <v>2</v>
      </c>
      <c r="F1208">
        <v>1</v>
      </c>
      <c r="G1208">
        <v>0</v>
      </c>
      <c r="H1208">
        <f>표4[[#This Row],[공격성공횟수]]/(표4[[#This Row],[공격실패횟수]]+표4[[#This Row],[공격성공횟수]])</f>
        <v>0.66666666666666663</v>
      </c>
    </row>
    <row r="1209" spans="1:8" hidden="1" x14ac:dyDescent="0.4">
      <c r="A1209">
        <v>604</v>
      </c>
      <c r="B1209" t="s">
        <v>2</v>
      </c>
      <c r="C1209">
        <v>0</v>
      </c>
      <c r="D1209">
        <v>1</v>
      </c>
      <c r="E1209">
        <v>5</v>
      </c>
      <c r="F1209">
        <v>4</v>
      </c>
      <c r="G1209">
        <v>1</v>
      </c>
      <c r="H1209">
        <f>표4[[#This Row],[공격성공횟수]]/(표4[[#This Row],[공격실패횟수]]+표4[[#This Row],[공격성공횟수]])</f>
        <v>0.16666666666666666</v>
      </c>
    </row>
    <row r="1210" spans="1:8" x14ac:dyDescent="0.4">
      <c r="A1210">
        <v>605</v>
      </c>
      <c r="B1210" t="s">
        <v>3</v>
      </c>
      <c r="C1210">
        <v>1</v>
      </c>
      <c r="D1210">
        <v>4</v>
      </c>
      <c r="E1210">
        <v>9</v>
      </c>
      <c r="F1210">
        <v>0</v>
      </c>
      <c r="G1210">
        <v>0</v>
      </c>
      <c r="H1210">
        <f>표4[[#This Row],[공격성공횟수]]/(표4[[#This Row],[공격실패횟수]]+표4[[#This Row],[공격성공횟수]])</f>
        <v>0.30769230769230771</v>
      </c>
    </row>
    <row r="1211" spans="1:8" hidden="1" x14ac:dyDescent="0.4">
      <c r="A1211">
        <v>605</v>
      </c>
      <c r="B1211" t="s">
        <v>2</v>
      </c>
      <c r="C1211">
        <v>0</v>
      </c>
      <c r="D1211">
        <v>0</v>
      </c>
      <c r="E1211">
        <v>18</v>
      </c>
      <c r="F1211">
        <v>4</v>
      </c>
      <c r="G1211">
        <v>1</v>
      </c>
      <c r="H1211">
        <f>표4[[#This Row],[공격성공횟수]]/(표4[[#This Row],[공격실패횟수]]+표4[[#This Row],[공격성공횟수]])</f>
        <v>0</v>
      </c>
    </row>
    <row r="1212" spans="1:8" x14ac:dyDescent="0.4">
      <c r="A1212">
        <v>606</v>
      </c>
      <c r="B1212" t="s">
        <v>3</v>
      </c>
      <c r="C1212">
        <v>1</v>
      </c>
      <c r="D1212">
        <v>4</v>
      </c>
      <c r="E1212">
        <v>8</v>
      </c>
      <c r="F1212">
        <v>0</v>
      </c>
      <c r="G1212">
        <v>0</v>
      </c>
      <c r="H1212">
        <f>표4[[#This Row],[공격성공횟수]]/(표4[[#This Row],[공격실패횟수]]+표4[[#This Row],[공격성공횟수]])</f>
        <v>0.33333333333333331</v>
      </c>
    </row>
    <row r="1213" spans="1:8" hidden="1" x14ac:dyDescent="0.4">
      <c r="A1213">
        <v>606</v>
      </c>
      <c r="B1213" t="s">
        <v>2</v>
      </c>
      <c r="C1213">
        <v>0</v>
      </c>
      <c r="D1213">
        <v>0</v>
      </c>
      <c r="E1213">
        <v>11</v>
      </c>
      <c r="F1213">
        <v>4</v>
      </c>
      <c r="G1213">
        <v>1</v>
      </c>
      <c r="H1213">
        <f>표4[[#This Row],[공격성공횟수]]/(표4[[#This Row],[공격실패횟수]]+표4[[#This Row],[공격성공횟수]])</f>
        <v>0</v>
      </c>
    </row>
    <row r="1214" spans="1:8" x14ac:dyDescent="0.4">
      <c r="A1214">
        <v>607</v>
      </c>
      <c r="B1214" t="s">
        <v>3</v>
      </c>
      <c r="C1214">
        <v>0</v>
      </c>
      <c r="D1214">
        <v>2</v>
      </c>
      <c r="E1214">
        <v>11</v>
      </c>
      <c r="F1214">
        <v>4</v>
      </c>
      <c r="G1214">
        <v>1</v>
      </c>
      <c r="H1214">
        <f>표4[[#This Row],[공격성공횟수]]/(표4[[#This Row],[공격실패횟수]]+표4[[#This Row],[공격성공횟수]])</f>
        <v>0.15384615384615385</v>
      </c>
    </row>
    <row r="1215" spans="1:8" hidden="1" x14ac:dyDescent="0.4">
      <c r="A1215">
        <v>607</v>
      </c>
      <c r="B1215" t="s">
        <v>2</v>
      </c>
      <c r="C1215">
        <v>1</v>
      </c>
      <c r="D1215">
        <v>4</v>
      </c>
      <c r="E1215">
        <v>15</v>
      </c>
      <c r="F1215">
        <v>2</v>
      </c>
      <c r="G1215">
        <v>0</v>
      </c>
      <c r="H1215">
        <f>표4[[#This Row],[공격성공횟수]]/(표4[[#This Row],[공격실패횟수]]+표4[[#This Row],[공격성공횟수]])</f>
        <v>0.21052631578947367</v>
      </c>
    </row>
    <row r="1216" spans="1:8" x14ac:dyDescent="0.4">
      <c r="A1216">
        <v>608</v>
      </c>
      <c r="B1216" t="s">
        <v>3</v>
      </c>
      <c r="C1216">
        <v>0</v>
      </c>
      <c r="D1216">
        <v>3</v>
      </c>
      <c r="E1216">
        <v>21</v>
      </c>
      <c r="F1216">
        <v>4</v>
      </c>
      <c r="G1216">
        <v>1</v>
      </c>
      <c r="H1216">
        <f>표4[[#This Row],[공격성공횟수]]/(표4[[#This Row],[공격실패횟수]]+표4[[#This Row],[공격성공횟수]])</f>
        <v>0.125</v>
      </c>
    </row>
    <row r="1217" spans="1:8" hidden="1" x14ac:dyDescent="0.4">
      <c r="A1217">
        <v>608</v>
      </c>
      <c r="B1217" t="s">
        <v>2</v>
      </c>
      <c r="C1217">
        <v>1</v>
      </c>
      <c r="D1217">
        <v>4</v>
      </c>
      <c r="E1217">
        <v>29</v>
      </c>
      <c r="F1217">
        <v>3</v>
      </c>
      <c r="G1217">
        <v>0</v>
      </c>
      <c r="H1217">
        <f>표4[[#This Row],[공격성공횟수]]/(표4[[#This Row],[공격실패횟수]]+표4[[#This Row],[공격성공횟수]])</f>
        <v>0.12121212121212122</v>
      </c>
    </row>
    <row r="1218" spans="1:8" x14ac:dyDescent="0.4">
      <c r="A1218">
        <v>609</v>
      </c>
      <c r="B1218" t="s">
        <v>3</v>
      </c>
      <c r="C1218">
        <v>1</v>
      </c>
      <c r="D1218">
        <v>4</v>
      </c>
      <c r="E1218">
        <v>37</v>
      </c>
      <c r="F1218">
        <v>1</v>
      </c>
      <c r="G1218">
        <v>0</v>
      </c>
      <c r="H1218">
        <f>표4[[#This Row],[공격성공횟수]]/(표4[[#This Row],[공격실패횟수]]+표4[[#This Row],[공격성공횟수]])</f>
        <v>9.7560975609756101E-2</v>
      </c>
    </row>
    <row r="1219" spans="1:8" hidden="1" x14ac:dyDescent="0.4">
      <c r="A1219">
        <v>609</v>
      </c>
      <c r="B1219" t="s">
        <v>2</v>
      </c>
      <c r="C1219">
        <v>0</v>
      </c>
      <c r="D1219">
        <v>1</v>
      </c>
      <c r="E1219">
        <v>41</v>
      </c>
      <c r="F1219">
        <v>4</v>
      </c>
      <c r="G1219">
        <v>1</v>
      </c>
      <c r="H1219">
        <f>표4[[#This Row],[공격성공횟수]]/(표4[[#This Row],[공격실패횟수]]+표4[[#This Row],[공격성공횟수]])</f>
        <v>2.3809523809523808E-2</v>
      </c>
    </row>
    <row r="1220" spans="1:8" x14ac:dyDescent="0.4">
      <c r="A1220">
        <v>610</v>
      </c>
      <c r="B1220" t="s">
        <v>3</v>
      </c>
      <c r="C1220">
        <v>0</v>
      </c>
      <c r="D1220">
        <v>3</v>
      </c>
      <c r="E1220">
        <v>23</v>
      </c>
      <c r="F1220">
        <v>4</v>
      </c>
      <c r="G1220">
        <v>1</v>
      </c>
      <c r="H1220">
        <f>표4[[#This Row],[공격성공횟수]]/(표4[[#This Row],[공격실패횟수]]+표4[[#This Row],[공격성공횟수]])</f>
        <v>0.11538461538461539</v>
      </c>
    </row>
    <row r="1221" spans="1:8" hidden="1" x14ac:dyDescent="0.4">
      <c r="A1221">
        <v>610</v>
      </c>
      <c r="B1221" t="s">
        <v>2</v>
      </c>
      <c r="C1221">
        <v>1</v>
      </c>
      <c r="D1221">
        <v>4</v>
      </c>
      <c r="E1221">
        <v>22</v>
      </c>
      <c r="F1221">
        <v>3</v>
      </c>
      <c r="G1221">
        <v>0</v>
      </c>
      <c r="H1221">
        <f>표4[[#This Row],[공격성공횟수]]/(표4[[#This Row],[공격실패횟수]]+표4[[#This Row],[공격성공횟수]])</f>
        <v>0.15384615384615385</v>
      </c>
    </row>
    <row r="1222" spans="1:8" x14ac:dyDescent="0.4">
      <c r="A1222">
        <v>611</v>
      </c>
      <c r="B1222" t="s">
        <v>3</v>
      </c>
      <c r="C1222">
        <v>1</v>
      </c>
      <c r="D1222">
        <v>4</v>
      </c>
      <c r="E1222">
        <v>2</v>
      </c>
      <c r="F1222">
        <v>2</v>
      </c>
      <c r="G1222">
        <v>0</v>
      </c>
      <c r="H1222">
        <f>표4[[#This Row],[공격성공횟수]]/(표4[[#This Row],[공격실패횟수]]+표4[[#This Row],[공격성공횟수]])</f>
        <v>0.66666666666666663</v>
      </c>
    </row>
    <row r="1223" spans="1:8" hidden="1" x14ac:dyDescent="0.4">
      <c r="A1223">
        <v>611</v>
      </c>
      <c r="B1223" t="s">
        <v>2</v>
      </c>
      <c r="C1223">
        <v>0</v>
      </c>
      <c r="D1223">
        <v>2</v>
      </c>
      <c r="E1223">
        <v>3</v>
      </c>
      <c r="F1223">
        <v>4</v>
      </c>
      <c r="G1223">
        <v>1</v>
      </c>
      <c r="H1223">
        <f>표4[[#This Row],[공격성공횟수]]/(표4[[#This Row],[공격실패횟수]]+표4[[#This Row],[공격성공횟수]])</f>
        <v>0.4</v>
      </c>
    </row>
    <row r="1224" spans="1:8" x14ac:dyDescent="0.4">
      <c r="A1224">
        <v>612</v>
      </c>
      <c r="B1224" t="s">
        <v>3</v>
      </c>
      <c r="C1224">
        <v>0</v>
      </c>
      <c r="D1224">
        <v>0</v>
      </c>
      <c r="E1224">
        <v>14</v>
      </c>
      <c r="F1224">
        <v>4</v>
      </c>
      <c r="G1224">
        <v>1</v>
      </c>
      <c r="H1224">
        <f>표4[[#This Row],[공격성공횟수]]/(표4[[#This Row],[공격실패횟수]]+표4[[#This Row],[공격성공횟수]])</f>
        <v>0</v>
      </c>
    </row>
    <row r="1225" spans="1:8" hidden="1" x14ac:dyDescent="0.4">
      <c r="A1225">
        <v>612</v>
      </c>
      <c r="B1225" t="s">
        <v>2</v>
      </c>
      <c r="C1225">
        <v>1</v>
      </c>
      <c r="D1225">
        <v>4</v>
      </c>
      <c r="E1225">
        <v>10</v>
      </c>
      <c r="F1225">
        <v>0</v>
      </c>
      <c r="G1225">
        <v>0</v>
      </c>
      <c r="H1225">
        <f>표4[[#This Row],[공격성공횟수]]/(표4[[#This Row],[공격실패횟수]]+표4[[#This Row],[공격성공횟수]])</f>
        <v>0.2857142857142857</v>
      </c>
    </row>
    <row r="1226" spans="1:8" x14ac:dyDescent="0.4">
      <c r="A1226">
        <v>613</v>
      </c>
      <c r="B1226" t="s">
        <v>3</v>
      </c>
      <c r="C1226">
        <v>1</v>
      </c>
      <c r="D1226">
        <v>4</v>
      </c>
      <c r="E1226">
        <v>4</v>
      </c>
      <c r="F1226">
        <v>0</v>
      </c>
      <c r="G1226">
        <v>0</v>
      </c>
      <c r="H1226">
        <f>표4[[#This Row],[공격성공횟수]]/(표4[[#This Row],[공격실패횟수]]+표4[[#This Row],[공격성공횟수]])</f>
        <v>0.5</v>
      </c>
    </row>
    <row r="1227" spans="1:8" hidden="1" x14ac:dyDescent="0.4">
      <c r="A1227">
        <v>613</v>
      </c>
      <c r="B1227" t="s">
        <v>2</v>
      </c>
      <c r="C1227">
        <v>0</v>
      </c>
      <c r="D1227">
        <v>0</v>
      </c>
      <c r="E1227">
        <v>7</v>
      </c>
      <c r="F1227">
        <v>4</v>
      </c>
      <c r="G1227">
        <v>1</v>
      </c>
      <c r="H1227">
        <f>표4[[#This Row],[공격성공횟수]]/(표4[[#This Row],[공격실패횟수]]+표4[[#This Row],[공격성공횟수]])</f>
        <v>0</v>
      </c>
    </row>
    <row r="1228" spans="1:8" x14ac:dyDescent="0.4">
      <c r="A1228">
        <v>614</v>
      </c>
      <c r="B1228" t="s">
        <v>3</v>
      </c>
      <c r="C1228">
        <v>1</v>
      </c>
      <c r="D1228">
        <v>4</v>
      </c>
      <c r="E1228">
        <v>9</v>
      </c>
      <c r="F1228">
        <v>3</v>
      </c>
      <c r="G1228">
        <v>0</v>
      </c>
      <c r="H1228">
        <f>표4[[#This Row],[공격성공횟수]]/(표4[[#This Row],[공격실패횟수]]+표4[[#This Row],[공격성공횟수]])</f>
        <v>0.30769230769230771</v>
      </c>
    </row>
    <row r="1229" spans="1:8" hidden="1" x14ac:dyDescent="0.4">
      <c r="A1229">
        <v>614</v>
      </c>
      <c r="B1229" t="s">
        <v>2</v>
      </c>
      <c r="C1229">
        <v>0</v>
      </c>
      <c r="D1229">
        <v>3</v>
      </c>
      <c r="E1229">
        <v>9</v>
      </c>
      <c r="F1229">
        <v>4</v>
      </c>
      <c r="G1229">
        <v>1</v>
      </c>
      <c r="H1229">
        <f>표4[[#This Row],[공격성공횟수]]/(표4[[#This Row],[공격실패횟수]]+표4[[#This Row],[공격성공횟수]])</f>
        <v>0.25</v>
      </c>
    </row>
    <row r="1230" spans="1:8" x14ac:dyDescent="0.4">
      <c r="A1230">
        <v>615</v>
      </c>
      <c r="B1230" t="s">
        <v>3</v>
      </c>
      <c r="C1230">
        <v>0</v>
      </c>
      <c r="D1230">
        <v>3</v>
      </c>
      <c r="E1230">
        <v>6</v>
      </c>
      <c r="F1230">
        <v>4</v>
      </c>
      <c r="G1230">
        <v>1</v>
      </c>
      <c r="H1230">
        <f>표4[[#This Row],[공격성공횟수]]/(표4[[#This Row],[공격실패횟수]]+표4[[#This Row],[공격성공횟수]])</f>
        <v>0.33333333333333331</v>
      </c>
    </row>
    <row r="1231" spans="1:8" hidden="1" x14ac:dyDescent="0.4">
      <c r="A1231">
        <v>615</v>
      </c>
      <c r="B1231" t="s">
        <v>2</v>
      </c>
      <c r="C1231">
        <v>1</v>
      </c>
      <c r="D1231">
        <v>4</v>
      </c>
      <c r="E1231">
        <v>21</v>
      </c>
      <c r="F1231">
        <v>3</v>
      </c>
      <c r="G1231">
        <v>0</v>
      </c>
      <c r="H1231">
        <f>표4[[#This Row],[공격성공횟수]]/(표4[[#This Row],[공격실패횟수]]+표4[[#This Row],[공격성공횟수]])</f>
        <v>0.16</v>
      </c>
    </row>
    <row r="1232" spans="1:8" x14ac:dyDescent="0.4">
      <c r="A1232">
        <v>616</v>
      </c>
      <c r="B1232" t="s">
        <v>3</v>
      </c>
      <c r="C1232">
        <v>1</v>
      </c>
      <c r="D1232">
        <v>4</v>
      </c>
      <c r="E1232">
        <v>15</v>
      </c>
      <c r="F1232">
        <v>1</v>
      </c>
      <c r="G1232">
        <v>0</v>
      </c>
      <c r="H1232">
        <f>표4[[#This Row],[공격성공횟수]]/(표4[[#This Row],[공격실패횟수]]+표4[[#This Row],[공격성공횟수]])</f>
        <v>0.21052631578947367</v>
      </c>
    </row>
    <row r="1233" spans="1:8" hidden="1" x14ac:dyDescent="0.4">
      <c r="A1233">
        <v>616</v>
      </c>
      <c r="B1233" t="s">
        <v>2</v>
      </c>
      <c r="C1233">
        <v>0</v>
      </c>
      <c r="D1233">
        <v>1</v>
      </c>
      <c r="E1233">
        <v>17</v>
      </c>
      <c r="F1233">
        <v>4</v>
      </c>
      <c r="G1233">
        <v>1</v>
      </c>
      <c r="H1233">
        <f>표4[[#This Row],[공격성공횟수]]/(표4[[#This Row],[공격실패횟수]]+표4[[#This Row],[공격성공횟수]])</f>
        <v>5.5555555555555552E-2</v>
      </c>
    </row>
    <row r="1234" spans="1:8" x14ac:dyDescent="0.4">
      <c r="A1234">
        <v>617</v>
      </c>
      <c r="B1234" t="s">
        <v>3</v>
      </c>
      <c r="C1234">
        <v>0</v>
      </c>
      <c r="D1234">
        <v>3</v>
      </c>
      <c r="E1234">
        <v>80</v>
      </c>
      <c r="F1234">
        <v>0</v>
      </c>
      <c r="G1234">
        <v>0</v>
      </c>
      <c r="H1234">
        <f>표4[[#This Row],[공격성공횟수]]/(표4[[#This Row],[공격실패횟수]]+표4[[#This Row],[공격성공횟수]])</f>
        <v>3.614457831325301E-2</v>
      </c>
    </row>
    <row r="1235" spans="1:8" hidden="1" x14ac:dyDescent="0.4">
      <c r="A1235">
        <v>617</v>
      </c>
      <c r="B1235" t="s">
        <v>2</v>
      </c>
      <c r="C1235">
        <v>0</v>
      </c>
      <c r="D1235">
        <v>0</v>
      </c>
      <c r="E1235">
        <v>115</v>
      </c>
      <c r="F1235">
        <v>3</v>
      </c>
      <c r="G1235">
        <v>0</v>
      </c>
      <c r="H1235">
        <f>표4[[#This Row],[공격성공횟수]]/(표4[[#This Row],[공격실패횟수]]+표4[[#This Row],[공격성공횟수]])</f>
        <v>0</v>
      </c>
    </row>
    <row r="1236" spans="1:8" x14ac:dyDescent="0.4">
      <c r="A1236">
        <v>618</v>
      </c>
      <c r="B1236" t="s">
        <v>3</v>
      </c>
      <c r="C1236">
        <v>0</v>
      </c>
      <c r="D1236">
        <v>2</v>
      </c>
      <c r="E1236">
        <v>12</v>
      </c>
      <c r="F1236">
        <v>4</v>
      </c>
      <c r="G1236">
        <v>1</v>
      </c>
      <c r="H1236">
        <f>표4[[#This Row],[공격성공횟수]]/(표4[[#This Row],[공격실패횟수]]+표4[[#This Row],[공격성공횟수]])</f>
        <v>0.14285714285714285</v>
      </c>
    </row>
    <row r="1237" spans="1:8" hidden="1" x14ac:dyDescent="0.4">
      <c r="A1237">
        <v>618</v>
      </c>
      <c r="B1237" t="s">
        <v>2</v>
      </c>
      <c r="C1237">
        <v>1</v>
      </c>
      <c r="D1237">
        <v>4</v>
      </c>
      <c r="E1237">
        <v>26</v>
      </c>
      <c r="F1237">
        <v>2</v>
      </c>
      <c r="G1237">
        <v>0</v>
      </c>
      <c r="H1237">
        <f>표4[[#This Row],[공격성공횟수]]/(표4[[#This Row],[공격실패횟수]]+표4[[#This Row],[공격성공횟수]])</f>
        <v>0.13333333333333333</v>
      </c>
    </row>
    <row r="1238" spans="1:8" x14ac:dyDescent="0.4">
      <c r="A1238">
        <v>619</v>
      </c>
      <c r="B1238" t="s">
        <v>3</v>
      </c>
      <c r="C1238">
        <v>1</v>
      </c>
      <c r="D1238">
        <v>4</v>
      </c>
      <c r="E1238">
        <v>69</v>
      </c>
      <c r="F1238">
        <v>2</v>
      </c>
      <c r="G1238">
        <v>0</v>
      </c>
      <c r="H1238">
        <f>표4[[#This Row],[공격성공횟수]]/(표4[[#This Row],[공격실패횟수]]+표4[[#This Row],[공격성공횟수]])</f>
        <v>5.4794520547945202E-2</v>
      </c>
    </row>
    <row r="1239" spans="1:8" hidden="1" x14ac:dyDescent="0.4">
      <c r="A1239">
        <v>619</v>
      </c>
      <c r="B1239" t="s">
        <v>2</v>
      </c>
      <c r="C1239">
        <v>0</v>
      </c>
      <c r="D1239">
        <v>2</v>
      </c>
      <c r="E1239">
        <v>93</v>
      </c>
      <c r="F1239">
        <v>4</v>
      </c>
      <c r="G1239">
        <v>1</v>
      </c>
      <c r="H1239">
        <f>표4[[#This Row],[공격성공횟수]]/(표4[[#This Row],[공격실패횟수]]+표4[[#This Row],[공격성공횟수]])</f>
        <v>2.1052631578947368E-2</v>
      </c>
    </row>
    <row r="1240" spans="1:8" x14ac:dyDescent="0.4">
      <c r="A1240">
        <v>620</v>
      </c>
      <c r="B1240" t="s">
        <v>3</v>
      </c>
      <c r="C1240">
        <v>1</v>
      </c>
      <c r="D1240">
        <v>4</v>
      </c>
      <c r="E1240">
        <v>15</v>
      </c>
      <c r="F1240">
        <v>3</v>
      </c>
      <c r="G1240">
        <v>0</v>
      </c>
      <c r="H1240">
        <f>표4[[#This Row],[공격성공횟수]]/(표4[[#This Row],[공격실패횟수]]+표4[[#This Row],[공격성공횟수]])</f>
        <v>0.21052631578947367</v>
      </c>
    </row>
    <row r="1241" spans="1:8" hidden="1" x14ac:dyDescent="0.4">
      <c r="A1241">
        <v>620</v>
      </c>
      <c r="B1241" t="s">
        <v>2</v>
      </c>
      <c r="C1241">
        <v>0</v>
      </c>
      <c r="D1241">
        <v>3</v>
      </c>
      <c r="E1241">
        <v>18</v>
      </c>
      <c r="F1241">
        <v>4</v>
      </c>
      <c r="G1241">
        <v>1</v>
      </c>
      <c r="H1241">
        <f>표4[[#This Row],[공격성공횟수]]/(표4[[#This Row],[공격실패횟수]]+표4[[#This Row],[공격성공횟수]])</f>
        <v>0.14285714285714285</v>
      </c>
    </row>
    <row r="1242" spans="1:8" x14ac:dyDescent="0.4">
      <c r="A1242">
        <v>621</v>
      </c>
      <c r="B1242" t="s">
        <v>3</v>
      </c>
      <c r="C1242">
        <v>1</v>
      </c>
      <c r="D1242">
        <v>4</v>
      </c>
      <c r="E1242">
        <v>12</v>
      </c>
      <c r="F1242">
        <v>2</v>
      </c>
      <c r="G1242">
        <v>0</v>
      </c>
      <c r="H1242">
        <f>표4[[#This Row],[공격성공횟수]]/(표4[[#This Row],[공격실패횟수]]+표4[[#This Row],[공격성공횟수]])</f>
        <v>0.25</v>
      </c>
    </row>
    <row r="1243" spans="1:8" hidden="1" x14ac:dyDescent="0.4">
      <c r="A1243">
        <v>621</v>
      </c>
      <c r="B1243" t="s">
        <v>2</v>
      </c>
      <c r="C1243">
        <v>0</v>
      </c>
      <c r="D1243">
        <v>2</v>
      </c>
      <c r="E1243">
        <v>14</v>
      </c>
      <c r="F1243">
        <v>4</v>
      </c>
      <c r="G1243">
        <v>1</v>
      </c>
      <c r="H1243">
        <f>표4[[#This Row],[공격성공횟수]]/(표4[[#This Row],[공격실패횟수]]+표4[[#This Row],[공격성공횟수]])</f>
        <v>0.125</v>
      </c>
    </row>
    <row r="1244" spans="1:8" x14ac:dyDescent="0.4">
      <c r="A1244">
        <v>622</v>
      </c>
      <c r="B1244" t="s">
        <v>3</v>
      </c>
      <c r="C1244">
        <v>1</v>
      </c>
      <c r="D1244">
        <v>4</v>
      </c>
      <c r="E1244">
        <v>4</v>
      </c>
      <c r="F1244">
        <v>1</v>
      </c>
      <c r="G1244">
        <v>0</v>
      </c>
      <c r="H1244">
        <f>표4[[#This Row],[공격성공횟수]]/(표4[[#This Row],[공격실패횟수]]+표4[[#This Row],[공격성공횟수]])</f>
        <v>0.5</v>
      </c>
    </row>
    <row r="1245" spans="1:8" hidden="1" x14ac:dyDescent="0.4">
      <c r="A1245">
        <v>622</v>
      </c>
      <c r="B1245" t="s">
        <v>2</v>
      </c>
      <c r="C1245">
        <v>0</v>
      </c>
      <c r="D1245">
        <v>1</v>
      </c>
      <c r="E1245">
        <v>6</v>
      </c>
      <c r="F1245">
        <v>4</v>
      </c>
      <c r="G1245">
        <v>1</v>
      </c>
      <c r="H1245">
        <f>표4[[#This Row],[공격성공횟수]]/(표4[[#This Row],[공격실패횟수]]+표4[[#This Row],[공격성공횟수]])</f>
        <v>0.14285714285714285</v>
      </c>
    </row>
    <row r="1246" spans="1:8" x14ac:dyDescent="0.4">
      <c r="A1246">
        <v>623</v>
      </c>
      <c r="B1246" t="s">
        <v>3</v>
      </c>
      <c r="C1246">
        <v>1</v>
      </c>
      <c r="D1246">
        <v>4</v>
      </c>
      <c r="E1246">
        <v>2</v>
      </c>
      <c r="F1246">
        <v>0</v>
      </c>
      <c r="G1246">
        <v>0</v>
      </c>
      <c r="H1246">
        <f>표4[[#This Row],[공격성공횟수]]/(표4[[#This Row],[공격실패횟수]]+표4[[#This Row],[공격성공횟수]])</f>
        <v>0.66666666666666663</v>
      </c>
    </row>
    <row r="1247" spans="1:8" hidden="1" x14ac:dyDescent="0.4">
      <c r="A1247">
        <v>623</v>
      </c>
      <c r="B1247" t="s">
        <v>2</v>
      </c>
      <c r="C1247">
        <v>0</v>
      </c>
      <c r="D1247">
        <v>0</v>
      </c>
      <c r="E1247">
        <v>6</v>
      </c>
      <c r="F1247">
        <v>4</v>
      </c>
      <c r="G1247">
        <v>1</v>
      </c>
      <c r="H1247">
        <f>표4[[#This Row],[공격성공횟수]]/(표4[[#This Row],[공격실패횟수]]+표4[[#This Row],[공격성공횟수]])</f>
        <v>0</v>
      </c>
    </row>
    <row r="1248" spans="1:8" x14ac:dyDescent="0.4">
      <c r="A1248">
        <v>624</v>
      </c>
      <c r="B1248" t="s">
        <v>3</v>
      </c>
      <c r="C1248">
        <v>1</v>
      </c>
      <c r="D1248">
        <v>4</v>
      </c>
      <c r="E1248">
        <v>15</v>
      </c>
      <c r="F1248">
        <v>2</v>
      </c>
      <c r="G1248">
        <v>0</v>
      </c>
      <c r="H1248">
        <f>표4[[#This Row],[공격성공횟수]]/(표4[[#This Row],[공격실패횟수]]+표4[[#This Row],[공격성공횟수]])</f>
        <v>0.21052631578947367</v>
      </c>
    </row>
    <row r="1249" spans="1:8" hidden="1" x14ac:dyDescent="0.4">
      <c r="A1249">
        <v>624</v>
      </c>
      <c r="B1249" t="s">
        <v>2</v>
      </c>
      <c r="C1249">
        <v>0</v>
      </c>
      <c r="D1249">
        <v>2</v>
      </c>
      <c r="E1249">
        <v>24</v>
      </c>
      <c r="F1249">
        <v>4</v>
      </c>
      <c r="G1249">
        <v>1</v>
      </c>
      <c r="H1249">
        <f>표4[[#This Row],[공격성공횟수]]/(표4[[#This Row],[공격실패횟수]]+표4[[#This Row],[공격성공횟수]])</f>
        <v>7.6923076923076927E-2</v>
      </c>
    </row>
    <row r="1250" spans="1:8" x14ac:dyDescent="0.4">
      <c r="A1250">
        <v>625</v>
      </c>
      <c r="B1250" t="s">
        <v>3</v>
      </c>
      <c r="C1250">
        <v>0</v>
      </c>
      <c r="D1250">
        <v>0</v>
      </c>
      <c r="E1250">
        <v>11</v>
      </c>
      <c r="F1250">
        <v>4</v>
      </c>
      <c r="G1250">
        <v>1</v>
      </c>
      <c r="H1250">
        <f>표4[[#This Row],[공격성공횟수]]/(표4[[#This Row],[공격실패횟수]]+표4[[#This Row],[공격성공횟수]])</f>
        <v>0</v>
      </c>
    </row>
    <row r="1251" spans="1:8" hidden="1" x14ac:dyDescent="0.4">
      <c r="A1251">
        <v>625</v>
      </c>
      <c r="B1251" t="s">
        <v>2</v>
      </c>
      <c r="C1251">
        <v>1</v>
      </c>
      <c r="D1251">
        <v>4</v>
      </c>
      <c r="E1251">
        <v>18</v>
      </c>
      <c r="F1251">
        <v>0</v>
      </c>
      <c r="G1251">
        <v>0</v>
      </c>
      <c r="H1251">
        <f>표4[[#This Row],[공격성공횟수]]/(표4[[#This Row],[공격실패횟수]]+표4[[#This Row],[공격성공횟수]])</f>
        <v>0.18181818181818182</v>
      </c>
    </row>
    <row r="1252" spans="1:8" x14ac:dyDescent="0.4">
      <c r="A1252">
        <v>626</v>
      </c>
      <c r="B1252" t="s">
        <v>3</v>
      </c>
      <c r="C1252">
        <v>0</v>
      </c>
      <c r="D1252">
        <v>3</v>
      </c>
      <c r="E1252">
        <v>7</v>
      </c>
      <c r="F1252">
        <v>4</v>
      </c>
      <c r="G1252">
        <v>1</v>
      </c>
      <c r="H1252">
        <f>표4[[#This Row],[공격성공횟수]]/(표4[[#This Row],[공격실패횟수]]+표4[[#This Row],[공격성공횟수]])</f>
        <v>0.3</v>
      </c>
    </row>
    <row r="1253" spans="1:8" hidden="1" x14ac:dyDescent="0.4">
      <c r="A1253">
        <v>626</v>
      </c>
      <c r="B1253" t="s">
        <v>2</v>
      </c>
      <c r="C1253">
        <v>1</v>
      </c>
      <c r="D1253">
        <v>4</v>
      </c>
      <c r="E1253">
        <v>22</v>
      </c>
      <c r="F1253">
        <v>3</v>
      </c>
      <c r="G1253">
        <v>0</v>
      </c>
      <c r="H1253">
        <f>표4[[#This Row],[공격성공횟수]]/(표4[[#This Row],[공격실패횟수]]+표4[[#This Row],[공격성공횟수]])</f>
        <v>0.15384615384615385</v>
      </c>
    </row>
    <row r="1254" spans="1:8" x14ac:dyDescent="0.4">
      <c r="A1254">
        <v>627</v>
      </c>
      <c r="B1254" t="s">
        <v>3</v>
      </c>
      <c r="C1254">
        <v>1</v>
      </c>
      <c r="D1254">
        <v>4</v>
      </c>
      <c r="E1254">
        <v>6</v>
      </c>
      <c r="F1254">
        <v>0</v>
      </c>
      <c r="G1254">
        <v>0</v>
      </c>
      <c r="H1254">
        <f>표4[[#This Row],[공격성공횟수]]/(표4[[#This Row],[공격실패횟수]]+표4[[#This Row],[공격성공횟수]])</f>
        <v>0.4</v>
      </c>
    </row>
    <row r="1255" spans="1:8" hidden="1" x14ac:dyDescent="0.4">
      <c r="A1255">
        <v>627</v>
      </c>
      <c r="B1255" t="s">
        <v>2</v>
      </c>
      <c r="C1255">
        <v>0</v>
      </c>
      <c r="D1255">
        <v>0</v>
      </c>
      <c r="E1255">
        <v>9</v>
      </c>
      <c r="F1255">
        <v>4</v>
      </c>
      <c r="G1255">
        <v>1</v>
      </c>
      <c r="H1255">
        <f>표4[[#This Row],[공격성공횟수]]/(표4[[#This Row],[공격실패횟수]]+표4[[#This Row],[공격성공횟수]])</f>
        <v>0</v>
      </c>
    </row>
    <row r="1256" spans="1:8" x14ac:dyDescent="0.4">
      <c r="A1256">
        <v>628</v>
      </c>
      <c r="B1256" t="s">
        <v>3</v>
      </c>
      <c r="C1256">
        <v>1</v>
      </c>
      <c r="D1256">
        <v>4</v>
      </c>
      <c r="E1256">
        <v>16</v>
      </c>
      <c r="F1256">
        <v>3</v>
      </c>
      <c r="G1256">
        <v>0</v>
      </c>
      <c r="H1256">
        <f>표4[[#This Row],[공격성공횟수]]/(표4[[#This Row],[공격실패횟수]]+표4[[#This Row],[공격성공횟수]])</f>
        <v>0.2</v>
      </c>
    </row>
    <row r="1257" spans="1:8" hidden="1" x14ac:dyDescent="0.4">
      <c r="A1257">
        <v>628</v>
      </c>
      <c r="B1257" t="s">
        <v>2</v>
      </c>
      <c r="C1257">
        <v>0</v>
      </c>
      <c r="D1257">
        <v>3</v>
      </c>
      <c r="E1257">
        <v>16</v>
      </c>
      <c r="F1257">
        <v>4</v>
      </c>
      <c r="G1257">
        <v>1</v>
      </c>
      <c r="H1257">
        <f>표4[[#This Row],[공격성공횟수]]/(표4[[#This Row],[공격실패횟수]]+표4[[#This Row],[공격성공횟수]])</f>
        <v>0.15789473684210525</v>
      </c>
    </row>
    <row r="1258" spans="1:8" x14ac:dyDescent="0.4">
      <c r="A1258">
        <v>629</v>
      </c>
      <c r="B1258" t="s">
        <v>3</v>
      </c>
      <c r="C1258">
        <v>0</v>
      </c>
      <c r="D1258">
        <v>3</v>
      </c>
      <c r="E1258">
        <v>7</v>
      </c>
      <c r="F1258">
        <v>4</v>
      </c>
      <c r="G1258">
        <v>1</v>
      </c>
      <c r="H1258">
        <f>표4[[#This Row],[공격성공횟수]]/(표4[[#This Row],[공격실패횟수]]+표4[[#This Row],[공격성공횟수]])</f>
        <v>0.3</v>
      </c>
    </row>
    <row r="1259" spans="1:8" hidden="1" x14ac:dyDescent="0.4">
      <c r="A1259">
        <v>629</v>
      </c>
      <c r="B1259" t="s">
        <v>2</v>
      </c>
      <c r="C1259">
        <v>1</v>
      </c>
      <c r="D1259">
        <v>4</v>
      </c>
      <c r="E1259">
        <v>24</v>
      </c>
      <c r="F1259">
        <v>3</v>
      </c>
      <c r="G1259">
        <v>0</v>
      </c>
      <c r="H1259">
        <f>표4[[#This Row],[공격성공횟수]]/(표4[[#This Row],[공격실패횟수]]+표4[[#This Row],[공격성공횟수]])</f>
        <v>0.14285714285714285</v>
      </c>
    </row>
    <row r="1260" spans="1:8" x14ac:dyDescent="0.4">
      <c r="A1260">
        <v>630</v>
      </c>
      <c r="B1260" t="s">
        <v>3</v>
      </c>
      <c r="C1260">
        <v>0</v>
      </c>
      <c r="D1260">
        <v>2</v>
      </c>
      <c r="E1260">
        <v>8</v>
      </c>
      <c r="F1260">
        <v>4</v>
      </c>
      <c r="G1260">
        <v>1</v>
      </c>
      <c r="H1260">
        <f>표4[[#This Row],[공격성공횟수]]/(표4[[#This Row],[공격실패횟수]]+표4[[#This Row],[공격성공횟수]])</f>
        <v>0.2</v>
      </c>
    </row>
    <row r="1261" spans="1:8" hidden="1" x14ac:dyDescent="0.4">
      <c r="A1261">
        <v>630</v>
      </c>
      <c r="B1261" t="s">
        <v>2</v>
      </c>
      <c r="C1261">
        <v>1</v>
      </c>
      <c r="D1261">
        <v>4</v>
      </c>
      <c r="E1261">
        <v>6</v>
      </c>
      <c r="F1261">
        <v>2</v>
      </c>
      <c r="G1261">
        <v>0</v>
      </c>
      <c r="H1261">
        <f>표4[[#This Row],[공격성공횟수]]/(표4[[#This Row],[공격실패횟수]]+표4[[#This Row],[공격성공횟수]])</f>
        <v>0.4</v>
      </c>
    </row>
    <row r="1262" spans="1:8" x14ac:dyDescent="0.4">
      <c r="A1262">
        <v>631</v>
      </c>
      <c r="B1262" t="s">
        <v>3</v>
      </c>
      <c r="C1262">
        <v>1</v>
      </c>
      <c r="D1262">
        <v>4</v>
      </c>
      <c r="E1262">
        <v>13</v>
      </c>
      <c r="F1262">
        <v>2</v>
      </c>
      <c r="G1262">
        <v>0</v>
      </c>
      <c r="H1262">
        <f>표4[[#This Row],[공격성공횟수]]/(표4[[#This Row],[공격실패횟수]]+표4[[#This Row],[공격성공횟수]])</f>
        <v>0.23529411764705882</v>
      </c>
    </row>
    <row r="1263" spans="1:8" hidden="1" x14ac:dyDescent="0.4">
      <c r="A1263">
        <v>631</v>
      </c>
      <c r="B1263" t="s">
        <v>2</v>
      </c>
      <c r="C1263">
        <v>0</v>
      </c>
      <c r="D1263">
        <v>2</v>
      </c>
      <c r="E1263">
        <v>13</v>
      </c>
      <c r="F1263">
        <v>4</v>
      </c>
      <c r="G1263">
        <v>1</v>
      </c>
      <c r="H1263">
        <f>표4[[#This Row],[공격성공횟수]]/(표4[[#This Row],[공격실패횟수]]+표4[[#This Row],[공격성공횟수]])</f>
        <v>0.13333333333333333</v>
      </c>
    </row>
    <row r="1264" spans="1:8" x14ac:dyDescent="0.4">
      <c r="A1264">
        <v>632</v>
      </c>
      <c r="B1264" t="s">
        <v>3</v>
      </c>
      <c r="C1264">
        <v>1</v>
      </c>
      <c r="D1264">
        <v>4</v>
      </c>
      <c r="E1264">
        <v>12</v>
      </c>
      <c r="F1264">
        <v>1</v>
      </c>
      <c r="G1264">
        <v>0</v>
      </c>
      <c r="H1264">
        <f>표4[[#This Row],[공격성공횟수]]/(표4[[#This Row],[공격실패횟수]]+표4[[#This Row],[공격성공횟수]])</f>
        <v>0.25</v>
      </c>
    </row>
    <row r="1265" spans="1:8" hidden="1" x14ac:dyDescent="0.4">
      <c r="A1265">
        <v>632</v>
      </c>
      <c r="B1265" t="s">
        <v>2</v>
      </c>
      <c r="C1265">
        <v>0</v>
      </c>
      <c r="D1265">
        <v>1</v>
      </c>
      <c r="E1265">
        <v>16</v>
      </c>
      <c r="F1265">
        <v>4</v>
      </c>
      <c r="G1265">
        <v>1</v>
      </c>
      <c r="H1265">
        <f>표4[[#This Row],[공격성공횟수]]/(표4[[#This Row],[공격실패횟수]]+표4[[#This Row],[공격성공횟수]])</f>
        <v>5.8823529411764705E-2</v>
      </c>
    </row>
    <row r="1266" spans="1:8" x14ac:dyDescent="0.4">
      <c r="A1266">
        <v>633</v>
      </c>
      <c r="B1266" t="s">
        <v>3</v>
      </c>
      <c r="C1266">
        <v>0</v>
      </c>
      <c r="D1266">
        <v>1</v>
      </c>
      <c r="E1266">
        <v>10</v>
      </c>
      <c r="F1266">
        <v>4</v>
      </c>
      <c r="G1266">
        <v>1</v>
      </c>
      <c r="H1266">
        <f>표4[[#This Row],[공격성공횟수]]/(표4[[#This Row],[공격실패횟수]]+표4[[#This Row],[공격성공횟수]])</f>
        <v>9.0909090909090912E-2</v>
      </c>
    </row>
    <row r="1267" spans="1:8" hidden="1" x14ac:dyDescent="0.4">
      <c r="A1267">
        <v>633</v>
      </c>
      <c r="B1267" t="s">
        <v>2</v>
      </c>
      <c r="C1267">
        <v>1</v>
      </c>
      <c r="D1267">
        <v>4</v>
      </c>
      <c r="E1267">
        <v>8</v>
      </c>
      <c r="F1267">
        <v>1</v>
      </c>
      <c r="G1267">
        <v>0</v>
      </c>
      <c r="H1267">
        <f>표4[[#This Row],[공격성공횟수]]/(표4[[#This Row],[공격실패횟수]]+표4[[#This Row],[공격성공횟수]])</f>
        <v>0.33333333333333331</v>
      </c>
    </row>
    <row r="1268" spans="1:8" x14ac:dyDescent="0.4">
      <c r="A1268">
        <v>634</v>
      </c>
      <c r="B1268" t="s">
        <v>3</v>
      </c>
      <c r="C1268">
        <v>0</v>
      </c>
      <c r="D1268">
        <v>1</v>
      </c>
      <c r="E1268">
        <v>16</v>
      </c>
      <c r="F1268">
        <v>4</v>
      </c>
      <c r="G1268">
        <v>1</v>
      </c>
      <c r="H1268">
        <f>표4[[#This Row],[공격성공횟수]]/(표4[[#This Row],[공격실패횟수]]+표4[[#This Row],[공격성공횟수]])</f>
        <v>5.8823529411764705E-2</v>
      </c>
    </row>
    <row r="1269" spans="1:8" hidden="1" x14ac:dyDescent="0.4">
      <c r="A1269">
        <v>634</v>
      </c>
      <c r="B1269" t="s">
        <v>2</v>
      </c>
      <c r="C1269">
        <v>1</v>
      </c>
      <c r="D1269">
        <v>4</v>
      </c>
      <c r="E1269">
        <v>12</v>
      </c>
      <c r="F1269">
        <v>1</v>
      </c>
      <c r="G1269">
        <v>0</v>
      </c>
      <c r="H1269">
        <f>표4[[#This Row],[공격성공횟수]]/(표4[[#This Row],[공격실패횟수]]+표4[[#This Row],[공격성공횟수]])</f>
        <v>0.25</v>
      </c>
    </row>
    <row r="1270" spans="1:8" x14ac:dyDescent="0.4">
      <c r="A1270">
        <v>635</v>
      </c>
      <c r="B1270" t="s">
        <v>3</v>
      </c>
      <c r="C1270">
        <v>0</v>
      </c>
      <c r="D1270">
        <v>3</v>
      </c>
      <c r="E1270">
        <v>6</v>
      </c>
      <c r="F1270">
        <v>4</v>
      </c>
      <c r="G1270">
        <v>1</v>
      </c>
      <c r="H1270">
        <f>표4[[#This Row],[공격성공횟수]]/(표4[[#This Row],[공격실패횟수]]+표4[[#This Row],[공격성공횟수]])</f>
        <v>0.33333333333333331</v>
      </c>
    </row>
    <row r="1271" spans="1:8" hidden="1" x14ac:dyDescent="0.4">
      <c r="A1271">
        <v>635</v>
      </c>
      <c r="B1271" t="s">
        <v>2</v>
      </c>
      <c r="C1271">
        <v>1</v>
      </c>
      <c r="D1271">
        <v>4</v>
      </c>
      <c r="E1271">
        <v>5</v>
      </c>
      <c r="F1271">
        <v>3</v>
      </c>
      <c r="G1271">
        <v>0</v>
      </c>
      <c r="H1271">
        <f>표4[[#This Row],[공격성공횟수]]/(표4[[#This Row],[공격실패횟수]]+표4[[#This Row],[공격성공횟수]])</f>
        <v>0.44444444444444442</v>
      </c>
    </row>
    <row r="1272" spans="1:8" x14ac:dyDescent="0.4">
      <c r="A1272">
        <v>636</v>
      </c>
      <c r="B1272" t="s">
        <v>3</v>
      </c>
      <c r="C1272">
        <v>1</v>
      </c>
      <c r="D1272">
        <v>4</v>
      </c>
      <c r="E1272">
        <v>5</v>
      </c>
      <c r="F1272">
        <v>3</v>
      </c>
      <c r="G1272">
        <v>0</v>
      </c>
      <c r="H1272">
        <f>표4[[#This Row],[공격성공횟수]]/(표4[[#This Row],[공격실패횟수]]+표4[[#This Row],[공격성공횟수]])</f>
        <v>0.44444444444444442</v>
      </c>
    </row>
    <row r="1273" spans="1:8" hidden="1" x14ac:dyDescent="0.4">
      <c r="A1273">
        <v>636</v>
      </c>
      <c r="B1273" t="s">
        <v>2</v>
      </c>
      <c r="C1273">
        <v>0</v>
      </c>
      <c r="D1273">
        <v>3</v>
      </c>
      <c r="E1273">
        <v>5</v>
      </c>
      <c r="F1273">
        <v>4</v>
      </c>
      <c r="G1273">
        <v>1</v>
      </c>
      <c r="H1273">
        <f>표4[[#This Row],[공격성공횟수]]/(표4[[#This Row],[공격실패횟수]]+표4[[#This Row],[공격성공횟수]])</f>
        <v>0.375</v>
      </c>
    </row>
    <row r="1274" spans="1:8" x14ac:dyDescent="0.4">
      <c r="A1274">
        <v>637</v>
      </c>
      <c r="B1274" t="s">
        <v>3</v>
      </c>
      <c r="C1274">
        <v>1</v>
      </c>
      <c r="D1274">
        <v>4</v>
      </c>
      <c r="E1274">
        <v>10</v>
      </c>
      <c r="F1274">
        <v>2</v>
      </c>
      <c r="G1274">
        <v>0</v>
      </c>
      <c r="H1274">
        <f>표4[[#This Row],[공격성공횟수]]/(표4[[#This Row],[공격실패횟수]]+표4[[#This Row],[공격성공횟수]])</f>
        <v>0.2857142857142857</v>
      </c>
    </row>
    <row r="1275" spans="1:8" hidden="1" x14ac:dyDescent="0.4">
      <c r="A1275">
        <v>637</v>
      </c>
      <c r="B1275" t="s">
        <v>2</v>
      </c>
      <c r="C1275">
        <v>0</v>
      </c>
      <c r="D1275">
        <v>2</v>
      </c>
      <c r="E1275">
        <v>12</v>
      </c>
      <c r="F1275">
        <v>4</v>
      </c>
      <c r="G1275">
        <v>1</v>
      </c>
      <c r="H1275">
        <f>표4[[#This Row],[공격성공횟수]]/(표4[[#This Row],[공격실패횟수]]+표4[[#This Row],[공격성공횟수]])</f>
        <v>0.14285714285714285</v>
      </c>
    </row>
    <row r="1276" spans="1:8" x14ac:dyDescent="0.4">
      <c r="A1276">
        <v>638</v>
      </c>
      <c r="B1276" t="s">
        <v>3</v>
      </c>
      <c r="C1276">
        <v>1</v>
      </c>
      <c r="D1276">
        <v>4</v>
      </c>
      <c r="E1276">
        <v>4</v>
      </c>
      <c r="F1276">
        <v>0</v>
      </c>
      <c r="G1276">
        <v>0</v>
      </c>
      <c r="H1276">
        <f>표4[[#This Row],[공격성공횟수]]/(표4[[#This Row],[공격실패횟수]]+표4[[#This Row],[공격성공횟수]])</f>
        <v>0.5</v>
      </c>
    </row>
    <row r="1277" spans="1:8" hidden="1" x14ac:dyDescent="0.4">
      <c r="A1277">
        <v>638</v>
      </c>
      <c r="B1277" t="s">
        <v>2</v>
      </c>
      <c r="C1277">
        <v>0</v>
      </c>
      <c r="D1277">
        <v>0</v>
      </c>
      <c r="E1277">
        <v>7</v>
      </c>
      <c r="F1277">
        <v>4</v>
      </c>
      <c r="G1277">
        <v>1</v>
      </c>
      <c r="H1277">
        <f>표4[[#This Row],[공격성공횟수]]/(표4[[#This Row],[공격실패횟수]]+표4[[#This Row],[공격성공횟수]])</f>
        <v>0</v>
      </c>
    </row>
    <row r="1278" spans="1:8" x14ac:dyDescent="0.4">
      <c r="A1278">
        <v>639</v>
      </c>
      <c r="B1278" t="s">
        <v>3</v>
      </c>
      <c r="C1278">
        <v>0</v>
      </c>
      <c r="D1278">
        <v>1</v>
      </c>
      <c r="E1278">
        <v>6</v>
      </c>
      <c r="F1278">
        <v>4</v>
      </c>
      <c r="G1278">
        <v>1</v>
      </c>
      <c r="H1278">
        <f>표4[[#This Row],[공격성공횟수]]/(표4[[#This Row],[공격실패횟수]]+표4[[#This Row],[공격성공횟수]])</f>
        <v>0.14285714285714285</v>
      </c>
    </row>
    <row r="1279" spans="1:8" hidden="1" x14ac:dyDescent="0.4">
      <c r="A1279">
        <v>639</v>
      </c>
      <c r="B1279" t="s">
        <v>2</v>
      </c>
      <c r="C1279">
        <v>1</v>
      </c>
      <c r="D1279">
        <v>4</v>
      </c>
      <c r="E1279">
        <v>4</v>
      </c>
      <c r="F1279">
        <v>1</v>
      </c>
      <c r="G1279">
        <v>0</v>
      </c>
      <c r="H1279">
        <f>표4[[#This Row],[공격성공횟수]]/(표4[[#This Row],[공격실패횟수]]+표4[[#This Row],[공격성공횟수]])</f>
        <v>0.5</v>
      </c>
    </row>
    <row r="1280" spans="1:8" x14ac:dyDescent="0.4">
      <c r="A1280">
        <v>640</v>
      </c>
      <c r="B1280" t="s">
        <v>3</v>
      </c>
      <c r="C1280">
        <v>1</v>
      </c>
      <c r="D1280">
        <v>4</v>
      </c>
      <c r="E1280">
        <v>8</v>
      </c>
      <c r="F1280">
        <v>1</v>
      </c>
      <c r="G1280">
        <v>0</v>
      </c>
      <c r="H1280">
        <f>표4[[#This Row],[공격성공횟수]]/(표4[[#This Row],[공격실패횟수]]+표4[[#This Row],[공격성공횟수]])</f>
        <v>0.33333333333333331</v>
      </c>
    </row>
    <row r="1281" spans="1:8" hidden="1" x14ac:dyDescent="0.4">
      <c r="A1281">
        <v>640</v>
      </c>
      <c r="B1281" t="s">
        <v>2</v>
      </c>
      <c r="C1281">
        <v>0</v>
      </c>
      <c r="D1281">
        <v>1</v>
      </c>
      <c r="E1281">
        <v>10</v>
      </c>
      <c r="F1281">
        <v>4</v>
      </c>
      <c r="G1281">
        <v>1</v>
      </c>
      <c r="H1281">
        <f>표4[[#This Row],[공격성공횟수]]/(표4[[#This Row],[공격실패횟수]]+표4[[#This Row],[공격성공횟수]])</f>
        <v>9.0909090909090912E-2</v>
      </c>
    </row>
    <row r="1282" spans="1:8" x14ac:dyDescent="0.4">
      <c r="A1282">
        <v>641</v>
      </c>
      <c r="B1282" t="s">
        <v>3</v>
      </c>
      <c r="C1282">
        <v>1</v>
      </c>
      <c r="D1282">
        <v>4</v>
      </c>
      <c r="E1282">
        <v>1</v>
      </c>
      <c r="F1282">
        <v>2</v>
      </c>
      <c r="G1282">
        <v>0</v>
      </c>
      <c r="H1282">
        <f>표4[[#This Row],[공격성공횟수]]/(표4[[#This Row],[공격실패횟수]]+표4[[#This Row],[공격성공횟수]])</f>
        <v>0.8</v>
      </c>
    </row>
    <row r="1283" spans="1:8" hidden="1" x14ac:dyDescent="0.4">
      <c r="A1283">
        <v>641</v>
      </c>
      <c r="B1283" t="s">
        <v>2</v>
      </c>
      <c r="C1283">
        <v>0</v>
      </c>
      <c r="D1283">
        <v>2</v>
      </c>
      <c r="E1283">
        <v>3</v>
      </c>
      <c r="F1283">
        <v>4</v>
      </c>
      <c r="G1283">
        <v>1</v>
      </c>
      <c r="H1283">
        <f>표4[[#This Row],[공격성공횟수]]/(표4[[#This Row],[공격실패횟수]]+표4[[#This Row],[공격성공횟수]])</f>
        <v>0.4</v>
      </c>
    </row>
    <row r="1284" spans="1:8" x14ac:dyDescent="0.4">
      <c r="A1284">
        <v>642</v>
      </c>
      <c r="B1284" t="s">
        <v>3</v>
      </c>
      <c r="C1284">
        <v>0</v>
      </c>
      <c r="D1284">
        <v>1</v>
      </c>
      <c r="E1284">
        <v>88</v>
      </c>
      <c r="F1284">
        <v>1</v>
      </c>
      <c r="G1284">
        <v>0</v>
      </c>
      <c r="H1284">
        <f>표4[[#This Row],[공격성공횟수]]/(표4[[#This Row],[공격실패횟수]]+표4[[#This Row],[공격성공횟수]])</f>
        <v>1.1235955056179775E-2</v>
      </c>
    </row>
    <row r="1285" spans="1:8" hidden="1" x14ac:dyDescent="0.4">
      <c r="A1285">
        <v>642</v>
      </c>
      <c r="B1285" t="s">
        <v>2</v>
      </c>
      <c r="C1285">
        <v>0</v>
      </c>
      <c r="D1285">
        <v>1</v>
      </c>
      <c r="E1285">
        <v>114</v>
      </c>
      <c r="F1285">
        <v>1</v>
      </c>
      <c r="G1285">
        <v>0</v>
      </c>
      <c r="H1285">
        <f>표4[[#This Row],[공격성공횟수]]/(표4[[#This Row],[공격실패횟수]]+표4[[#This Row],[공격성공횟수]])</f>
        <v>8.6956521739130436E-3</v>
      </c>
    </row>
    <row r="1286" spans="1:8" x14ac:dyDescent="0.4">
      <c r="A1286">
        <v>643</v>
      </c>
      <c r="B1286" t="s">
        <v>3</v>
      </c>
      <c r="C1286">
        <v>1</v>
      </c>
      <c r="D1286">
        <v>4</v>
      </c>
      <c r="E1286">
        <v>2</v>
      </c>
      <c r="F1286">
        <v>1</v>
      </c>
      <c r="G1286">
        <v>0</v>
      </c>
      <c r="H1286">
        <f>표4[[#This Row],[공격성공횟수]]/(표4[[#This Row],[공격실패횟수]]+표4[[#This Row],[공격성공횟수]])</f>
        <v>0.66666666666666663</v>
      </c>
    </row>
    <row r="1287" spans="1:8" hidden="1" x14ac:dyDescent="0.4">
      <c r="A1287">
        <v>643</v>
      </c>
      <c r="B1287" t="s">
        <v>2</v>
      </c>
      <c r="C1287">
        <v>0</v>
      </c>
      <c r="D1287">
        <v>1</v>
      </c>
      <c r="E1287">
        <v>8</v>
      </c>
      <c r="F1287">
        <v>4</v>
      </c>
      <c r="G1287">
        <v>1</v>
      </c>
      <c r="H1287">
        <f>표4[[#This Row],[공격성공횟수]]/(표4[[#This Row],[공격실패횟수]]+표4[[#This Row],[공격성공횟수]])</f>
        <v>0.1111111111111111</v>
      </c>
    </row>
    <row r="1288" spans="1:8" x14ac:dyDescent="0.4">
      <c r="A1288">
        <v>644</v>
      </c>
      <c r="B1288" t="s">
        <v>3</v>
      </c>
      <c r="C1288">
        <v>0</v>
      </c>
      <c r="D1288">
        <v>3</v>
      </c>
      <c r="E1288">
        <v>9</v>
      </c>
      <c r="F1288">
        <v>4</v>
      </c>
      <c r="G1288">
        <v>1</v>
      </c>
      <c r="H1288">
        <f>표4[[#This Row],[공격성공횟수]]/(표4[[#This Row],[공격실패횟수]]+표4[[#This Row],[공격성공횟수]])</f>
        <v>0.25</v>
      </c>
    </row>
    <row r="1289" spans="1:8" hidden="1" x14ac:dyDescent="0.4">
      <c r="A1289">
        <v>644</v>
      </c>
      <c r="B1289" t="s">
        <v>2</v>
      </c>
      <c r="C1289">
        <v>1</v>
      </c>
      <c r="D1289">
        <v>4</v>
      </c>
      <c r="E1289">
        <v>8</v>
      </c>
      <c r="F1289">
        <v>3</v>
      </c>
      <c r="G1289">
        <v>0</v>
      </c>
      <c r="H1289">
        <f>표4[[#This Row],[공격성공횟수]]/(표4[[#This Row],[공격실패횟수]]+표4[[#This Row],[공격성공횟수]])</f>
        <v>0.33333333333333331</v>
      </c>
    </row>
    <row r="1290" spans="1:8" x14ac:dyDescent="0.4">
      <c r="A1290">
        <v>645</v>
      </c>
      <c r="B1290" t="s">
        <v>3</v>
      </c>
      <c r="C1290">
        <v>1</v>
      </c>
      <c r="D1290">
        <v>4</v>
      </c>
      <c r="E1290">
        <v>59</v>
      </c>
      <c r="F1290">
        <v>2</v>
      </c>
      <c r="G1290">
        <v>0</v>
      </c>
      <c r="H1290">
        <f>표4[[#This Row],[공격성공횟수]]/(표4[[#This Row],[공격실패횟수]]+표4[[#This Row],[공격성공횟수]])</f>
        <v>6.3492063492063489E-2</v>
      </c>
    </row>
    <row r="1291" spans="1:8" hidden="1" x14ac:dyDescent="0.4">
      <c r="A1291">
        <v>645</v>
      </c>
      <c r="B1291" t="s">
        <v>2</v>
      </c>
      <c r="C1291">
        <v>0</v>
      </c>
      <c r="D1291">
        <v>2</v>
      </c>
      <c r="E1291">
        <v>68</v>
      </c>
      <c r="F1291">
        <v>4</v>
      </c>
      <c r="G1291">
        <v>1</v>
      </c>
      <c r="H1291">
        <f>표4[[#This Row],[공격성공횟수]]/(표4[[#This Row],[공격실패횟수]]+표4[[#This Row],[공격성공횟수]])</f>
        <v>2.8571428571428571E-2</v>
      </c>
    </row>
    <row r="1292" spans="1:8" x14ac:dyDescent="0.4">
      <c r="A1292">
        <v>646</v>
      </c>
      <c r="B1292" t="s">
        <v>3</v>
      </c>
      <c r="C1292">
        <v>1</v>
      </c>
      <c r="D1292">
        <v>4</v>
      </c>
      <c r="E1292">
        <v>7</v>
      </c>
      <c r="F1292">
        <v>0</v>
      </c>
      <c r="G1292">
        <v>0</v>
      </c>
      <c r="H1292">
        <f>표4[[#This Row],[공격성공횟수]]/(표4[[#This Row],[공격실패횟수]]+표4[[#This Row],[공격성공횟수]])</f>
        <v>0.36363636363636365</v>
      </c>
    </row>
    <row r="1293" spans="1:8" hidden="1" x14ac:dyDescent="0.4">
      <c r="A1293">
        <v>646</v>
      </c>
      <c r="B1293" t="s">
        <v>2</v>
      </c>
      <c r="C1293">
        <v>0</v>
      </c>
      <c r="D1293">
        <v>0</v>
      </c>
      <c r="E1293">
        <v>12</v>
      </c>
      <c r="F1293">
        <v>4</v>
      </c>
      <c r="G1293">
        <v>1</v>
      </c>
      <c r="H1293">
        <f>표4[[#This Row],[공격성공횟수]]/(표4[[#This Row],[공격실패횟수]]+표4[[#This Row],[공격성공횟수]])</f>
        <v>0</v>
      </c>
    </row>
    <row r="1294" spans="1:8" x14ac:dyDescent="0.4">
      <c r="A1294">
        <v>647</v>
      </c>
      <c r="B1294" t="s">
        <v>3</v>
      </c>
      <c r="C1294">
        <v>1</v>
      </c>
      <c r="D1294">
        <v>4</v>
      </c>
      <c r="E1294">
        <v>12</v>
      </c>
      <c r="F1294">
        <v>1</v>
      </c>
      <c r="G1294">
        <v>0</v>
      </c>
      <c r="H1294">
        <f>표4[[#This Row],[공격성공횟수]]/(표4[[#This Row],[공격실패횟수]]+표4[[#This Row],[공격성공횟수]])</f>
        <v>0.25</v>
      </c>
    </row>
    <row r="1295" spans="1:8" hidden="1" x14ac:dyDescent="0.4">
      <c r="A1295">
        <v>647</v>
      </c>
      <c r="B1295" t="s">
        <v>2</v>
      </c>
      <c r="C1295">
        <v>0</v>
      </c>
      <c r="D1295">
        <v>1</v>
      </c>
      <c r="E1295">
        <v>15</v>
      </c>
      <c r="F1295">
        <v>4</v>
      </c>
      <c r="G1295">
        <v>1</v>
      </c>
      <c r="H1295">
        <f>표4[[#This Row],[공격성공횟수]]/(표4[[#This Row],[공격실패횟수]]+표4[[#This Row],[공격성공횟수]])</f>
        <v>6.25E-2</v>
      </c>
    </row>
    <row r="1296" spans="1:8" x14ac:dyDescent="0.4">
      <c r="A1296">
        <v>648</v>
      </c>
      <c r="B1296" t="s">
        <v>3</v>
      </c>
      <c r="C1296">
        <v>1</v>
      </c>
      <c r="D1296">
        <v>4</v>
      </c>
      <c r="E1296">
        <v>11</v>
      </c>
      <c r="F1296">
        <v>1</v>
      </c>
      <c r="G1296">
        <v>0</v>
      </c>
      <c r="H1296">
        <f>표4[[#This Row],[공격성공횟수]]/(표4[[#This Row],[공격실패횟수]]+표4[[#This Row],[공격성공횟수]])</f>
        <v>0.26666666666666666</v>
      </c>
    </row>
    <row r="1297" spans="1:8" hidden="1" x14ac:dyDescent="0.4">
      <c r="A1297">
        <v>648</v>
      </c>
      <c r="B1297" t="s">
        <v>2</v>
      </c>
      <c r="C1297">
        <v>0</v>
      </c>
      <c r="D1297">
        <v>1</v>
      </c>
      <c r="E1297">
        <v>14</v>
      </c>
      <c r="F1297">
        <v>4</v>
      </c>
      <c r="G1297">
        <v>1</v>
      </c>
      <c r="H1297">
        <f>표4[[#This Row],[공격성공횟수]]/(표4[[#This Row],[공격실패횟수]]+표4[[#This Row],[공격성공횟수]])</f>
        <v>6.6666666666666666E-2</v>
      </c>
    </row>
    <row r="1298" spans="1:8" x14ac:dyDescent="0.4">
      <c r="A1298">
        <v>649</v>
      </c>
      <c r="B1298" t="s">
        <v>3</v>
      </c>
      <c r="C1298">
        <v>1</v>
      </c>
      <c r="D1298">
        <v>4</v>
      </c>
      <c r="E1298">
        <v>12</v>
      </c>
      <c r="F1298">
        <v>0</v>
      </c>
      <c r="G1298">
        <v>0</v>
      </c>
      <c r="H1298">
        <f>표4[[#This Row],[공격성공횟수]]/(표4[[#This Row],[공격실패횟수]]+표4[[#This Row],[공격성공횟수]])</f>
        <v>0.25</v>
      </c>
    </row>
    <row r="1299" spans="1:8" hidden="1" x14ac:dyDescent="0.4">
      <c r="A1299">
        <v>649</v>
      </c>
      <c r="B1299" t="s">
        <v>2</v>
      </c>
      <c r="C1299">
        <v>0</v>
      </c>
      <c r="D1299">
        <v>0</v>
      </c>
      <c r="E1299">
        <v>15</v>
      </c>
      <c r="F1299">
        <v>4</v>
      </c>
      <c r="G1299">
        <v>1</v>
      </c>
      <c r="H1299">
        <f>표4[[#This Row],[공격성공횟수]]/(표4[[#This Row],[공격실패횟수]]+표4[[#This Row],[공격성공횟수]])</f>
        <v>0</v>
      </c>
    </row>
    <row r="1300" spans="1:8" x14ac:dyDescent="0.4">
      <c r="A1300">
        <v>650</v>
      </c>
      <c r="B1300" t="s">
        <v>3</v>
      </c>
      <c r="C1300">
        <v>0</v>
      </c>
      <c r="D1300">
        <v>0</v>
      </c>
      <c r="E1300">
        <v>2</v>
      </c>
      <c r="F1300">
        <v>4</v>
      </c>
      <c r="G1300">
        <v>1</v>
      </c>
      <c r="H1300">
        <f>표4[[#This Row],[공격성공횟수]]/(표4[[#This Row],[공격실패횟수]]+표4[[#This Row],[공격성공횟수]])</f>
        <v>0</v>
      </c>
    </row>
    <row r="1301" spans="1:8" hidden="1" x14ac:dyDescent="0.4">
      <c r="A1301">
        <v>650</v>
      </c>
      <c r="B1301" t="s">
        <v>2</v>
      </c>
      <c r="C1301">
        <v>1</v>
      </c>
      <c r="D1301">
        <v>4</v>
      </c>
      <c r="E1301">
        <v>12</v>
      </c>
      <c r="F1301">
        <v>0</v>
      </c>
      <c r="G1301">
        <v>0</v>
      </c>
      <c r="H1301">
        <f>표4[[#This Row],[공격성공횟수]]/(표4[[#This Row],[공격실패횟수]]+표4[[#This Row],[공격성공횟수]])</f>
        <v>0.25</v>
      </c>
    </row>
    <row r="1302" spans="1:8" x14ac:dyDescent="0.4">
      <c r="A1302">
        <v>651</v>
      </c>
      <c r="B1302" t="s">
        <v>3</v>
      </c>
      <c r="C1302">
        <v>0</v>
      </c>
      <c r="D1302">
        <v>0</v>
      </c>
      <c r="E1302">
        <v>4</v>
      </c>
      <c r="F1302">
        <v>4</v>
      </c>
      <c r="G1302">
        <v>1</v>
      </c>
      <c r="H1302">
        <f>표4[[#This Row],[공격성공횟수]]/(표4[[#This Row],[공격실패횟수]]+표4[[#This Row],[공격성공횟수]])</f>
        <v>0</v>
      </c>
    </row>
    <row r="1303" spans="1:8" hidden="1" x14ac:dyDescent="0.4">
      <c r="A1303">
        <v>651</v>
      </c>
      <c r="B1303" t="s">
        <v>2</v>
      </c>
      <c r="C1303">
        <v>1</v>
      </c>
      <c r="D1303">
        <v>4</v>
      </c>
      <c r="E1303">
        <v>10</v>
      </c>
      <c r="F1303">
        <v>0</v>
      </c>
      <c r="G1303">
        <v>0</v>
      </c>
      <c r="H1303">
        <f>표4[[#This Row],[공격성공횟수]]/(표4[[#This Row],[공격실패횟수]]+표4[[#This Row],[공격성공횟수]])</f>
        <v>0.2857142857142857</v>
      </c>
    </row>
    <row r="1304" spans="1:8" x14ac:dyDescent="0.4">
      <c r="A1304">
        <v>652</v>
      </c>
      <c r="B1304" t="s">
        <v>3</v>
      </c>
      <c r="C1304">
        <v>1</v>
      </c>
      <c r="D1304">
        <v>4</v>
      </c>
      <c r="E1304">
        <v>7</v>
      </c>
      <c r="F1304">
        <v>1</v>
      </c>
      <c r="G1304">
        <v>0</v>
      </c>
      <c r="H1304">
        <f>표4[[#This Row],[공격성공횟수]]/(표4[[#This Row],[공격실패횟수]]+표4[[#This Row],[공격성공횟수]])</f>
        <v>0.36363636363636365</v>
      </c>
    </row>
    <row r="1305" spans="1:8" hidden="1" x14ac:dyDescent="0.4">
      <c r="A1305">
        <v>652</v>
      </c>
      <c r="B1305" t="s">
        <v>2</v>
      </c>
      <c r="C1305">
        <v>0</v>
      </c>
      <c r="D1305">
        <v>1</v>
      </c>
      <c r="E1305">
        <v>9</v>
      </c>
      <c r="F1305">
        <v>4</v>
      </c>
      <c r="G1305">
        <v>1</v>
      </c>
      <c r="H1305">
        <f>표4[[#This Row],[공격성공횟수]]/(표4[[#This Row],[공격실패횟수]]+표4[[#This Row],[공격성공횟수]])</f>
        <v>0.1</v>
      </c>
    </row>
    <row r="1306" spans="1:8" x14ac:dyDescent="0.4">
      <c r="A1306">
        <v>653</v>
      </c>
      <c r="B1306" t="s">
        <v>3</v>
      </c>
      <c r="C1306">
        <v>0</v>
      </c>
      <c r="D1306">
        <v>0</v>
      </c>
      <c r="E1306">
        <v>3</v>
      </c>
      <c r="F1306">
        <v>4</v>
      </c>
      <c r="G1306">
        <v>1</v>
      </c>
      <c r="H1306">
        <f>표4[[#This Row],[공격성공횟수]]/(표4[[#This Row],[공격실패횟수]]+표4[[#This Row],[공격성공횟수]])</f>
        <v>0</v>
      </c>
    </row>
    <row r="1307" spans="1:8" hidden="1" x14ac:dyDescent="0.4">
      <c r="A1307">
        <v>653</v>
      </c>
      <c r="B1307" t="s">
        <v>2</v>
      </c>
      <c r="C1307">
        <v>1</v>
      </c>
      <c r="D1307">
        <v>4</v>
      </c>
      <c r="E1307">
        <v>15</v>
      </c>
      <c r="F1307">
        <v>0</v>
      </c>
      <c r="G1307">
        <v>0</v>
      </c>
      <c r="H1307">
        <f>표4[[#This Row],[공격성공횟수]]/(표4[[#This Row],[공격실패횟수]]+표4[[#This Row],[공격성공횟수]])</f>
        <v>0.21052631578947367</v>
      </c>
    </row>
    <row r="1308" spans="1:8" x14ac:dyDescent="0.4">
      <c r="A1308">
        <v>654</v>
      </c>
      <c r="B1308" t="s">
        <v>3</v>
      </c>
      <c r="C1308">
        <v>1</v>
      </c>
      <c r="D1308">
        <v>4</v>
      </c>
      <c r="E1308">
        <v>3</v>
      </c>
      <c r="F1308">
        <v>1</v>
      </c>
      <c r="G1308">
        <v>0</v>
      </c>
      <c r="H1308">
        <f>표4[[#This Row],[공격성공횟수]]/(표4[[#This Row],[공격실패횟수]]+표4[[#This Row],[공격성공횟수]])</f>
        <v>0.5714285714285714</v>
      </c>
    </row>
    <row r="1309" spans="1:8" hidden="1" x14ac:dyDescent="0.4">
      <c r="A1309">
        <v>654</v>
      </c>
      <c r="B1309" t="s">
        <v>2</v>
      </c>
      <c r="C1309">
        <v>0</v>
      </c>
      <c r="D1309">
        <v>1</v>
      </c>
      <c r="E1309">
        <v>8</v>
      </c>
      <c r="F1309">
        <v>4</v>
      </c>
      <c r="G1309">
        <v>1</v>
      </c>
      <c r="H1309">
        <f>표4[[#This Row],[공격성공횟수]]/(표4[[#This Row],[공격실패횟수]]+표4[[#This Row],[공격성공횟수]])</f>
        <v>0.1111111111111111</v>
      </c>
    </row>
    <row r="1310" spans="1:8" x14ac:dyDescent="0.4">
      <c r="A1310">
        <v>655</v>
      </c>
      <c r="B1310" t="s">
        <v>3</v>
      </c>
      <c r="C1310">
        <v>1</v>
      </c>
      <c r="D1310">
        <v>4</v>
      </c>
      <c r="E1310">
        <v>4</v>
      </c>
      <c r="F1310">
        <v>0</v>
      </c>
      <c r="G1310">
        <v>0</v>
      </c>
      <c r="H1310">
        <f>표4[[#This Row],[공격성공횟수]]/(표4[[#This Row],[공격실패횟수]]+표4[[#This Row],[공격성공횟수]])</f>
        <v>0.5</v>
      </c>
    </row>
    <row r="1311" spans="1:8" hidden="1" x14ac:dyDescent="0.4">
      <c r="A1311">
        <v>655</v>
      </c>
      <c r="B1311" t="s">
        <v>2</v>
      </c>
      <c r="C1311">
        <v>0</v>
      </c>
      <c r="D1311">
        <v>0</v>
      </c>
      <c r="E1311">
        <v>7</v>
      </c>
      <c r="F1311">
        <v>4</v>
      </c>
      <c r="G1311">
        <v>1</v>
      </c>
      <c r="H1311">
        <f>표4[[#This Row],[공격성공횟수]]/(표4[[#This Row],[공격실패횟수]]+표4[[#This Row],[공격성공횟수]])</f>
        <v>0</v>
      </c>
    </row>
    <row r="1312" spans="1:8" x14ac:dyDescent="0.4">
      <c r="A1312">
        <v>656</v>
      </c>
      <c r="B1312" t="s">
        <v>3</v>
      </c>
      <c r="C1312">
        <v>0</v>
      </c>
      <c r="D1312">
        <v>3</v>
      </c>
      <c r="E1312">
        <v>7</v>
      </c>
      <c r="F1312">
        <v>4</v>
      </c>
      <c r="G1312">
        <v>1</v>
      </c>
      <c r="H1312">
        <f>표4[[#This Row],[공격성공횟수]]/(표4[[#This Row],[공격실패횟수]]+표4[[#This Row],[공격성공횟수]])</f>
        <v>0.3</v>
      </c>
    </row>
    <row r="1313" spans="1:8" hidden="1" x14ac:dyDescent="0.4">
      <c r="A1313">
        <v>656</v>
      </c>
      <c r="B1313" t="s">
        <v>2</v>
      </c>
      <c r="C1313">
        <v>1</v>
      </c>
      <c r="D1313">
        <v>4</v>
      </c>
      <c r="E1313">
        <v>7</v>
      </c>
      <c r="F1313">
        <v>3</v>
      </c>
      <c r="G1313">
        <v>0</v>
      </c>
      <c r="H1313">
        <f>표4[[#This Row],[공격성공횟수]]/(표4[[#This Row],[공격실패횟수]]+표4[[#This Row],[공격성공횟수]])</f>
        <v>0.36363636363636365</v>
      </c>
    </row>
    <row r="1314" spans="1:8" x14ac:dyDescent="0.4">
      <c r="A1314">
        <v>657</v>
      </c>
      <c r="B1314" t="s">
        <v>3</v>
      </c>
      <c r="C1314">
        <v>0</v>
      </c>
      <c r="D1314">
        <v>3</v>
      </c>
      <c r="E1314">
        <v>13</v>
      </c>
      <c r="F1314">
        <v>4</v>
      </c>
      <c r="G1314">
        <v>1</v>
      </c>
      <c r="H1314">
        <f>표4[[#This Row],[공격성공횟수]]/(표4[[#This Row],[공격실패횟수]]+표4[[#This Row],[공격성공횟수]])</f>
        <v>0.1875</v>
      </c>
    </row>
    <row r="1315" spans="1:8" hidden="1" x14ac:dyDescent="0.4">
      <c r="A1315">
        <v>657</v>
      </c>
      <c r="B1315" t="s">
        <v>2</v>
      </c>
      <c r="C1315">
        <v>1</v>
      </c>
      <c r="D1315">
        <v>4</v>
      </c>
      <c r="E1315">
        <v>11</v>
      </c>
      <c r="F1315">
        <v>3</v>
      </c>
      <c r="G1315">
        <v>0</v>
      </c>
      <c r="H1315">
        <f>표4[[#This Row],[공격성공횟수]]/(표4[[#This Row],[공격실패횟수]]+표4[[#This Row],[공격성공횟수]])</f>
        <v>0.26666666666666666</v>
      </c>
    </row>
    <row r="1316" spans="1:8" x14ac:dyDescent="0.4">
      <c r="A1316">
        <v>658</v>
      </c>
      <c r="B1316" t="s">
        <v>3</v>
      </c>
      <c r="C1316">
        <v>1</v>
      </c>
      <c r="D1316">
        <v>4</v>
      </c>
      <c r="E1316">
        <v>5</v>
      </c>
      <c r="F1316">
        <v>2</v>
      </c>
      <c r="G1316">
        <v>0</v>
      </c>
      <c r="H1316">
        <f>표4[[#This Row],[공격성공횟수]]/(표4[[#This Row],[공격실패횟수]]+표4[[#This Row],[공격성공횟수]])</f>
        <v>0.44444444444444442</v>
      </c>
    </row>
    <row r="1317" spans="1:8" hidden="1" x14ac:dyDescent="0.4">
      <c r="A1317">
        <v>658</v>
      </c>
      <c r="B1317" t="s">
        <v>2</v>
      </c>
      <c r="C1317">
        <v>0</v>
      </c>
      <c r="D1317">
        <v>2</v>
      </c>
      <c r="E1317">
        <v>6</v>
      </c>
      <c r="F1317">
        <v>4</v>
      </c>
      <c r="G1317">
        <v>1</v>
      </c>
      <c r="H1317">
        <f>표4[[#This Row],[공격성공횟수]]/(표4[[#This Row],[공격실패횟수]]+표4[[#This Row],[공격성공횟수]])</f>
        <v>0.25</v>
      </c>
    </row>
    <row r="1318" spans="1:8" x14ac:dyDescent="0.4">
      <c r="A1318">
        <v>659</v>
      </c>
      <c r="B1318" t="s">
        <v>3</v>
      </c>
      <c r="C1318">
        <v>1</v>
      </c>
      <c r="D1318">
        <v>4</v>
      </c>
      <c r="E1318">
        <v>11</v>
      </c>
      <c r="F1318">
        <v>0</v>
      </c>
      <c r="G1318">
        <v>0</v>
      </c>
      <c r="H1318">
        <f>표4[[#This Row],[공격성공횟수]]/(표4[[#This Row],[공격실패횟수]]+표4[[#This Row],[공격성공횟수]])</f>
        <v>0.26666666666666666</v>
      </c>
    </row>
    <row r="1319" spans="1:8" hidden="1" x14ac:dyDescent="0.4">
      <c r="A1319">
        <v>659</v>
      </c>
      <c r="B1319" t="s">
        <v>2</v>
      </c>
      <c r="C1319">
        <v>0</v>
      </c>
      <c r="D1319">
        <v>0</v>
      </c>
      <c r="E1319">
        <v>25</v>
      </c>
      <c r="F1319">
        <v>4</v>
      </c>
      <c r="G1319">
        <v>1</v>
      </c>
      <c r="H1319">
        <f>표4[[#This Row],[공격성공횟수]]/(표4[[#This Row],[공격실패횟수]]+표4[[#This Row],[공격성공횟수]])</f>
        <v>0</v>
      </c>
    </row>
    <row r="1320" spans="1:8" x14ac:dyDescent="0.4">
      <c r="A1320">
        <v>660</v>
      </c>
      <c r="B1320" t="s">
        <v>3</v>
      </c>
      <c r="C1320">
        <v>0</v>
      </c>
      <c r="D1320">
        <v>0</v>
      </c>
      <c r="E1320">
        <v>1</v>
      </c>
      <c r="F1320">
        <v>4</v>
      </c>
      <c r="G1320">
        <v>1</v>
      </c>
      <c r="H1320">
        <f>표4[[#This Row],[공격성공횟수]]/(표4[[#This Row],[공격실패횟수]]+표4[[#This Row],[공격성공횟수]])</f>
        <v>0</v>
      </c>
    </row>
    <row r="1321" spans="1:8" hidden="1" x14ac:dyDescent="0.4">
      <c r="A1321">
        <v>660</v>
      </c>
      <c r="B1321" t="s">
        <v>2</v>
      </c>
      <c r="C1321">
        <v>1</v>
      </c>
      <c r="D1321">
        <v>4</v>
      </c>
      <c r="E1321">
        <v>9</v>
      </c>
      <c r="F1321">
        <v>0</v>
      </c>
      <c r="G1321">
        <v>0</v>
      </c>
      <c r="H1321">
        <f>표4[[#This Row],[공격성공횟수]]/(표4[[#This Row],[공격실패횟수]]+표4[[#This Row],[공격성공횟수]])</f>
        <v>0.30769230769230771</v>
      </c>
    </row>
    <row r="1322" spans="1:8" x14ac:dyDescent="0.4">
      <c r="A1322">
        <v>661</v>
      </c>
      <c r="B1322" t="s">
        <v>3</v>
      </c>
      <c r="C1322">
        <v>0</v>
      </c>
      <c r="D1322">
        <v>2</v>
      </c>
      <c r="E1322">
        <v>10</v>
      </c>
      <c r="F1322">
        <v>4</v>
      </c>
      <c r="G1322">
        <v>1</v>
      </c>
      <c r="H1322">
        <f>표4[[#This Row],[공격성공횟수]]/(표4[[#This Row],[공격실패횟수]]+표4[[#This Row],[공격성공횟수]])</f>
        <v>0.16666666666666666</v>
      </c>
    </row>
    <row r="1323" spans="1:8" hidden="1" x14ac:dyDescent="0.4">
      <c r="A1323">
        <v>661</v>
      </c>
      <c r="B1323" t="s">
        <v>2</v>
      </c>
      <c r="C1323">
        <v>1</v>
      </c>
      <c r="D1323">
        <v>4</v>
      </c>
      <c r="E1323">
        <v>7</v>
      </c>
      <c r="F1323">
        <v>2</v>
      </c>
      <c r="G1323">
        <v>0</v>
      </c>
      <c r="H1323">
        <f>표4[[#This Row],[공격성공횟수]]/(표4[[#This Row],[공격실패횟수]]+표4[[#This Row],[공격성공횟수]])</f>
        <v>0.36363636363636365</v>
      </c>
    </row>
    <row r="1324" spans="1:8" x14ac:dyDescent="0.4">
      <c r="A1324">
        <v>662</v>
      </c>
      <c r="B1324" t="s">
        <v>3</v>
      </c>
      <c r="C1324">
        <v>1</v>
      </c>
      <c r="D1324">
        <v>4</v>
      </c>
      <c r="E1324">
        <v>35</v>
      </c>
      <c r="F1324">
        <v>3</v>
      </c>
      <c r="G1324">
        <v>0</v>
      </c>
      <c r="H1324">
        <f>표4[[#This Row],[공격성공횟수]]/(표4[[#This Row],[공격실패횟수]]+표4[[#This Row],[공격성공횟수]])</f>
        <v>0.10256410256410256</v>
      </c>
    </row>
    <row r="1325" spans="1:8" hidden="1" x14ac:dyDescent="0.4">
      <c r="A1325">
        <v>662</v>
      </c>
      <c r="B1325" t="s">
        <v>2</v>
      </c>
      <c r="C1325">
        <v>0</v>
      </c>
      <c r="D1325">
        <v>3</v>
      </c>
      <c r="E1325">
        <v>40</v>
      </c>
      <c r="F1325">
        <v>4</v>
      </c>
      <c r="G1325">
        <v>1</v>
      </c>
      <c r="H1325">
        <f>표4[[#This Row],[공격성공횟수]]/(표4[[#This Row],[공격실패횟수]]+표4[[#This Row],[공격성공횟수]])</f>
        <v>6.9767441860465115E-2</v>
      </c>
    </row>
    <row r="1326" spans="1:8" x14ac:dyDescent="0.4">
      <c r="A1326">
        <v>663</v>
      </c>
      <c r="B1326" t="s">
        <v>3</v>
      </c>
      <c r="C1326">
        <v>0</v>
      </c>
      <c r="D1326">
        <v>2</v>
      </c>
      <c r="E1326">
        <v>8</v>
      </c>
      <c r="F1326">
        <v>4</v>
      </c>
      <c r="G1326">
        <v>1</v>
      </c>
      <c r="H1326">
        <f>표4[[#This Row],[공격성공횟수]]/(표4[[#This Row],[공격실패횟수]]+표4[[#This Row],[공격성공횟수]])</f>
        <v>0.2</v>
      </c>
    </row>
    <row r="1327" spans="1:8" hidden="1" x14ac:dyDescent="0.4">
      <c r="A1327">
        <v>663</v>
      </c>
      <c r="B1327" t="s">
        <v>2</v>
      </c>
      <c r="C1327">
        <v>1</v>
      </c>
      <c r="D1327">
        <v>4</v>
      </c>
      <c r="E1327">
        <v>7</v>
      </c>
      <c r="F1327">
        <v>2</v>
      </c>
      <c r="G1327">
        <v>0</v>
      </c>
      <c r="H1327">
        <f>표4[[#This Row],[공격성공횟수]]/(표4[[#This Row],[공격실패횟수]]+표4[[#This Row],[공격성공횟수]])</f>
        <v>0.36363636363636365</v>
      </c>
    </row>
    <row r="1328" spans="1:8" x14ac:dyDescent="0.4">
      <c r="A1328">
        <v>664</v>
      </c>
      <c r="B1328" t="s">
        <v>3</v>
      </c>
      <c r="C1328">
        <v>1</v>
      </c>
      <c r="D1328">
        <v>4</v>
      </c>
      <c r="E1328">
        <v>7</v>
      </c>
      <c r="F1328">
        <v>0</v>
      </c>
      <c r="G1328">
        <v>0</v>
      </c>
      <c r="H1328">
        <f>표4[[#This Row],[공격성공횟수]]/(표4[[#This Row],[공격실패횟수]]+표4[[#This Row],[공격성공횟수]])</f>
        <v>0.36363636363636365</v>
      </c>
    </row>
    <row r="1329" spans="1:8" hidden="1" x14ac:dyDescent="0.4">
      <c r="A1329">
        <v>664</v>
      </c>
      <c r="B1329" t="s">
        <v>2</v>
      </c>
      <c r="C1329">
        <v>0</v>
      </c>
      <c r="D1329">
        <v>0</v>
      </c>
      <c r="E1329">
        <v>9</v>
      </c>
      <c r="F1329">
        <v>4</v>
      </c>
      <c r="G1329">
        <v>1</v>
      </c>
      <c r="H1329">
        <f>표4[[#This Row],[공격성공횟수]]/(표4[[#This Row],[공격실패횟수]]+표4[[#This Row],[공격성공횟수]])</f>
        <v>0</v>
      </c>
    </row>
    <row r="1330" spans="1:8" x14ac:dyDescent="0.4">
      <c r="A1330">
        <v>665</v>
      </c>
      <c r="B1330" t="s">
        <v>3</v>
      </c>
      <c r="C1330">
        <v>1</v>
      </c>
      <c r="D1330">
        <v>4</v>
      </c>
      <c r="E1330">
        <v>13</v>
      </c>
      <c r="F1330">
        <v>3</v>
      </c>
      <c r="G1330">
        <v>0</v>
      </c>
      <c r="H1330">
        <f>표4[[#This Row],[공격성공횟수]]/(표4[[#This Row],[공격실패횟수]]+표4[[#This Row],[공격성공횟수]])</f>
        <v>0.23529411764705882</v>
      </c>
    </row>
    <row r="1331" spans="1:8" hidden="1" x14ac:dyDescent="0.4">
      <c r="A1331">
        <v>665</v>
      </c>
      <c r="B1331" t="s">
        <v>2</v>
      </c>
      <c r="C1331">
        <v>0</v>
      </c>
      <c r="D1331">
        <v>3</v>
      </c>
      <c r="E1331">
        <v>21</v>
      </c>
      <c r="F1331">
        <v>4</v>
      </c>
      <c r="G1331">
        <v>1</v>
      </c>
      <c r="H1331">
        <f>표4[[#This Row],[공격성공횟수]]/(표4[[#This Row],[공격실패횟수]]+표4[[#This Row],[공격성공횟수]])</f>
        <v>0.125</v>
      </c>
    </row>
    <row r="1332" spans="1:8" x14ac:dyDescent="0.4">
      <c r="A1332">
        <v>666</v>
      </c>
      <c r="B1332" t="s">
        <v>3</v>
      </c>
      <c r="C1332">
        <v>1</v>
      </c>
      <c r="D1332">
        <v>4</v>
      </c>
      <c r="E1332">
        <v>11</v>
      </c>
      <c r="F1332">
        <v>3</v>
      </c>
      <c r="G1332">
        <v>0</v>
      </c>
      <c r="H1332">
        <f>표4[[#This Row],[공격성공횟수]]/(표4[[#This Row],[공격실패횟수]]+표4[[#This Row],[공격성공횟수]])</f>
        <v>0.26666666666666666</v>
      </c>
    </row>
    <row r="1333" spans="1:8" hidden="1" x14ac:dyDescent="0.4">
      <c r="A1333">
        <v>666</v>
      </c>
      <c r="B1333" t="s">
        <v>2</v>
      </c>
      <c r="C1333">
        <v>0</v>
      </c>
      <c r="D1333">
        <v>3</v>
      </c>
      <c r="E1333">
        <v>11</v>
      </c>
      <c r="F1333">
        <v>4</v>
      </c>
      <c r="G1333">
        <v>1</v>
      </c>
      <c r="H1333">
        <f>표4[[#This Row],[공격성공횟수]]/(표4[[#This Row],[공격실패횟수]]+표4[[#This Row],[공격성공횟수]])</f>
        <v>0.21428571428571427</v>
      </c>
    </row>
    <row r="1334" spans="1:8" x14ac:dyDescent="0.4">
      <c r="A1334">
        <v>667</v>
      </c>
      <c r="B1334" t="s">
        <v>3</v>
      </c>
      <c r="C1334">
        <v>1</v>
      </c>
      <c r="D1334">
        <v>4</v>
      </c>
      <c r="E1334">
        <v>15</v>
      </c>
      <c r="F1334">
        <v>1</v>
      </c>
      <c r="G1334">
        <v>0</v>
      </c>
      <c r="H1334">
        <f>표4[[#This Row],[공격성공횟수]]/(표4[[#This Row],[공격실패횟수]]+표4[[#This Row],[공격성공횟수]])</f>
        <v>0.21052631578947367</v>
      </c>
    </row>
    <row r="1335" spans="1:8" hidden="1" x14ac:dyDescent="0.4">
      <c r="A1335">
        <v>667</v>
      </c>
      <c r="B1335" t="s">
        <v>2</v>
      </c>
      <c r="C1335">
        <v>0</v>
      </c>
      <c r="D1335">
        <v>1</v>
      </c>
      <c r="E1335">
        <v>18</v>
      </c>
      <c r="F1335">
        <v>4</v>
      </c>
      <c r="G1335">
        <v>1</v>
      </c>
      <c r="H1335">
        <f>표4[[#This Row],[공격성공횟수]]/(표4[[#This Row],[공격실패횟수]]+표4[[#This Row],[공격성공횟수]])</f>
        <v>5.2631578947368418E-2</v>
      </c>
    </row>
    <row r="1336" spans="1:8" x14ac:dyDescent="0.4">
      <c r="A1336">
        <v>668</v>
      </c>
      <c r="B1336" t="s">
        <v>3</v>
      </c>
      <c r="C1336">
        <v>1</v>
      </c>
      <c r="D1336">
        <v>4</v>
      </c>
      <c r="E1336">
        <v>10</v>
      </c>
      <c r="F1336">
        <v>0</v>
      </c>
      <c r="G1336">
        <v>0</v>
      </c>
      <c r="H1336">
        <f>표4[[#This Row],[공격성공횟수]]/(표4[[#This Row],[공격실패횟수]]+표4[[#This Row],[공격성공횟수]])</f>
        <v>0.2857142857142857</v>
      </c>
    </row>
    <row r="1337" spans="1:8" hidden="1" x14ac:dyDescent="0.4">
      <c r="A1337">
        <v>668</v>
      </c>
      <c r="B1337" t="s">
        <v>2</v>
      </c>
      <c r="C1337">
        <v>0</v>
      </c>
      <c r="D1337">
        <v>0</v>
      </c>
      <c r="E1337">
        <v>14</v>
      </c>
      <c r="F1337">
        <v>4</v>
      </c>
      <c r="G1337">
        <v>1</v>
      </c>
      <c r="H1337">
        <f>표4[[#This Row],[공격성공횟수]]/(표4[[#This Row],[공격실패횟수]]+표4[[#This Row],[공격성공횟수]])</f>
        <v>0</v>
      </c>
    </row>
    <row r="1338" spans="1:8" x14ac:dyDescent="0.4">
      <c r="A1338">
        <v>669</v>
      </c>
      <c r="B1338" t="s">
        <v>3</v>
      </c>
      <c r="C1338">
        <v>1</v>
      </c>
      <c r="D1338">
        <v>4</v>
      </c>
      <c r="E1338">
        <v>3</v>
      </c>
      <c r="F1338">
        <v>3</v>
      </c>
      <c r="G1338">
        <v>0</v>
      </c>
      <c r="H1338">
        <f>표4[[#This Row],[공격성공횟수]]/(표4[[#This Row],[공격실패횟수]]+표4[[#This Row],[공격성공횟수]])</f>
        <v>0.5714285714285714</v>
      </c>
    </row>
    <row r="1339" spans="1:8" hidden="1" x14ac:dyDescent="0.4">
      <c r="A1339">
        <v>669</v>
      </c>
      <c r="B1339" t="s">
        <v>2</v>
      </c>
      <c r="C1339">
        <v>0</v>
      </c>
      <c r="D1339">
        <v>3</v>
      </c>
      <c r="E1339">
        <v>6</v>
      </c>
      <c r="F1339">
        <v>4</v>
      </c>
      <c r="G1339">
        <v>1</v>
      </c>
      <c r="H1339">
        <f>표4[[#This Row],[공격성공횟수]]/(표4[[#This Row],[공격실패횟수]]+표4[[#This Row],[공격성공횟수]])</f>
        <v>0.33333333333333331</v>
      </c>
    </row>
    <row r="1340" spans="1:8" x14ac:dyDescent="0.4">
      <c r="A1340">
        <v>670</v>
      </c>
      <c r="B1340" t="s">
        <v>3</v>
      </c>
      <c r="C1340">
        <v>1</v>
      </c>
      <c r="D1340">
        <v>4</v>
      </c>
      <c r="E1340">
        <v>7</v>
      </c>
      <c r="F1340">
        <v>1</v>
      </c>
      <c r="G1340">
        <v>0</v>
      </c>
      <c r="H1340">
        <f>표4[[#This Row],[공격성공횟수]]/(표4[[#This Row],[공격실패횟수]]+표4[[#This Row],[공격성공횟수]])</f>
        <v>0.36363636363636365</v>
      </c>
    </row>
    <row r="1341" spans="1:8" hidden="1" x14ac:dyDescent="0.4">
      <c r="A1341">
        <v>670</v>
      </c>
      <c r="B1341" t="s">
        <v>2</v>
      </c>
      <c r="C1341">
        <v>0</v>
      </c>
      <c r="D1341">
        <v>1</v>
      </c>
      <c r="E1341">
        <v>10</v>
      </c>
      <c r="F1341">
        <v>4</v>
      </c>
      <c r="G1341">
        <v>1</v>
      </c>
      <c r="H1341">
        <f>표4[[#This Row],[공격성공횟수]]/(표4[[#This Row],[공격실패횟수]]+표4[[#This Row],[공격성공횟수]])</f>
        <v>9.0909090909090912E-2</v>
      </c>
    </row>
    <row r="1342" spans="1:8" x14ac:dyDescent="0.4">
      <c r="A1342">
        <v>671</v>
      </c>
      <c r="B1342" t="s">
        <v>3</v>
      </c>
      <c r="C1342">
        <v>1</v>
      </c>
      <c r="D1342">
        <v>4</v>
      </c>
      <c r="E1342">
        <v>25</v>
      </c>
      <c r="F1342">
        <v>3</v>
      </c>
      <c r="G1342">
        <v>0</v>
      </c>
      <c r="H1342">
        <f>표4[[#This Row],[공격성공횟수]]/(표4[[#This Row],[공격실패횟수]]+표4[[#This Row],[공격성공횟수]])</f>
        <v>0.13793103448275862</v>
      </c>
    </row>
    <row r="1343" spans="1:8" hidden="1" x14ac:dyDescent="0.4">
      <c r="A1343">
        <v>671</v>
      </c>
      <c r="B1343" t="s">
        <v>2</v>
      </c>
      <c r="C1343">
        <v>0</v>
      </c>
      <c r="D1343">
        <v>3</v>
      </c>
      <c r="E1343">
        <v>25</v>
      </c>
      <c r="F1343">
        <v>4</v>
      </c>
      <c r="G1343">
        <v>1</v>
      </c>
      <c r="H1343">
        <f>표4[[#This Row],[공격성공횟수]]/(표4[[#This Row],[공격실패횟수]]+표4[[#This Row],[공격성공횟수]])</f>
        <v>0.10714285714285714</v>
      </c>
    </row>
    <row r="1344" spans="1:8" x14ac:dyDescent="0.4">
      <c r="A1344">
        <v>672</v>
      </c>
      <c r="B1344" t="s">
        <v>3</v>
      </c>
      <c r="C1344">
        <v>1</v>
      </c>
      <c r="D1344">
        <v>4</v>
      </c>
      <c r="E1344">
        <v>5</v>
      </c>
      <c r="F1344">
        <v>1</v>
      </c>
      <c r="G1344">
        <v>0</v>
      </c>
      <c r="H1344">
        <f>표4[[#This Row],[공격성공횟수]]/(표4[[#This Row],[공격실패횟수]]+표4[[#This Row],[공격성공횟수]])</f>
        <v>0.44444444444444442</v>
      </c>
    </row>
    <row r="1345" spans="1:8" hidden="1" x14ac:dyDescent="0.4">
      <c r="A1345">
        <v>672</v>
      </c>
      <c r="B1345" t="s">
        <v>2</v>
      </c>
      <c r="C1345">
        <v>0</v>
      </c>
      <c r="D1345">
        <v>1</v>
      </c>
      <c r="E1345">
        <v>8</v>
      </c>
      <c r="F1345">
        <v>4</v>
      </c>
      <c r="G1345">
        <v>1</v>
      </c>
      <c r="H1345">
        <f>표4[[#This Row],[공격성공횟수]]/(표4[[#This Row],[공격실패횟수]]+표4[[#This Row],[공격성공횟수]])</f>
        <v>0.1111111111111111</v>
      </c>
    </row>
    <row r="1346" spans="1:8" x14ac:dyDescent="0.4">
      <c r="A1346">
        <v>673</v>
      </c>
      <c r="B1346" t="s">
        <v>3</v>
      </c>
      <c r="C1346">
        <v>1</v>
      </c>
      <c r="D1346">
        <v>4</v>
      </c>
      <c r="E1346">
        <v>2</v>
      </c>
      <c r="F1346">
        <v>0</v>
      </c>
      <c r="G1346">
        <v>0</v>
      </c>
      <c r="H1346">
        <f>표4[[#This Row],[공격성공횟수]]/(표4[[#This Row],[공격실패횟수]]+표4[[#This Row],[공격성공횟수]])</f>
        <v>0.66666666666666663</v>
      </c>
    </row>
    <row r="1347" spans="1:8" hidden="1" x14ac:dyDescent="0.4">
      <c r="A1347">
        <v>673</v>
      </c>
      <c r="B1347" t="s">
        <v>2</v>
      </c>
      <c r="C1347">
        <v>0</v>
      </c>
      <c r="D1347">
        <v>0</v>
      </c>
      <c r="E1347">
        <v>22</v>
      </c>
      <c r="F1347">
        <v>4</v>
      </c>
      <c r="G1347">
        <v>1</v>
      </c>
      <c r="H1347">
        <f>표4[[#This Row],[공격성공횟수]]/(표4[[#This Row],[공격실패횟수]]+표4[[#This Row],[공격성공횟수]])</f>
        <v>0</v>
      </c>
    </row>
    <row r="1348" spans="1:8" x14ac:dyDescent="0.4">
      <c r="A1348">
        <v>674</v>
      </c>
      <c r="B1348" t="s">
        <v>3</v>
      </c>
      <c r="C1348">
        <v>1</v>
      </c>
      <c r="D1348">
        <v>4</v>
      </c>
      <c r="E1348">
        <v>5</v>
      </c>
      <c r="F1348">
        <v>0</v>
      </c>
      <c r="G1348">
        <v>0</v>
      </c>
      <c r="H1348">
        <f>표4[[#This Row],[공격성공횟수]]/(표4[[#This Row],[공격실패횟수]]+표4[[#This Row],[공격성공횟수]])</f>
        <v>0.44444444444444442</v>
      </c>
    </row>
    <row r="1349" spans="1:8" hidden="1" x14ac:dyDescent="0.4">
      <c r="A1349">
        <v>674</v>
      </c>
      <c r="B1349" t="s">
        <v>2</v>
      </c>
      <c r="C1349">
        <v>0</v>
      </c>
      <c r="D1349">
        <v>0</v>
      </c>
      <c r="E1349">
        <v>9</v>
      </c>
      <c r="F1349">
        <v>4</v>
      </c>
      <c r="G1349">
        <v>1</v>
      </c>
      <c r="H1349">
        <f>표4[[#This Row],[공격성공횟수]]/(표4[[#This Row],[공격실패횟수]]+표4[[#This Row],[공격성공횟수]])</f>
        <v>0</v>
      </c>
    </row>
    <row r="1350" spans="1:8" x14ac:dyDescent="0.4">
      <c r="A1350">
        <v>675</v>
      </c>
      <c r="B1350" t="s">
        <v>3</v>
      </c>
      <c r="C1350">
        <v>1</v>
      </c>
      <c r="D1350">
        <v>4</v>
      </c>
      <c r="E1350">
        <v>12</v>
      </c>
      <c r="F1350">
        <v>2</v>
      </c>
      <c r="G1350">
        <v>0</v>
      </c>
      <c r="H1350">
        <f>표4[[#This Row],[공격성공횟수]]/(표4[[#This Row],[공격실패횟수]]+표4[[#This Row],[공격성공횟수]])</f>
        <v>0.25</v>
      </c>
    </row>
    <row r="1351" spans="1:8" hidden="1" x14ac:dyDescent="0.4">
      <c r="A1351">
        <v>675</v>
      </c>
      <c r="B1351" t="s">
        <v>2</v>
      </c>
      <c r="C1351">
        <v>0</v>
      </c>
      <c r="D1351">
        <v>2</v>
      </c>
      <c r="E1351">
        <v>13</v>
      </c>
      <c r="F1351">
        <v>4</v>
      </c>
      <c r="G1351">
        <v>1</v>
      </c>
      <c r="H1351">
        <f>표4[[#This Row],[공격성공횟수]]/(표4[[#This Row],[공격실패횟수]]+표4[[#This Row],[공격성공횟수]])</f>
        <v>0.13333333333333333</v>
      </c>
    </row>
    <row r="1352" spans="1:8" x14ac:dyDescent="0.4">
      <c r="A1352">
        <v>676</v>
      </c>
      <c r="B1352" t="s">
        <v>3</v>
      </c>
      <c r="C1352">
        <v>0</v>
      </c>
      <c r="D1352">
        <v>3</v>
      </c>
      <c r="E1352">
        <v>4</v>
      </c>
      <c r="F1352">
        <v>4</v>
      </c>
      <c r="G1352">
        <v>1</v>
      </c>
      <c r="H1352">
        <f>표4[[#This Row],[공격성공횟수]]/(표4[[#This Row],[공격실패횟수]]+표4[[#This Row],[공격성공횟수]])</f>
        <v>0.42857142857142855</v>
      </c>
    </row>
    <row r="1353" spans="1:8" hidden="1" x14ac:dyDescent="0.4">
      <c r="A1353">
        <v>676</v>
      </c>
      <c r="B1353" t="s">
        <v>2</v>
      </c>
      <c r="C1353">
        <v>1</v>
      </c>
      <c r="D1353">
        <v>4</v>
      </c>
      <c r="E1353">
        <v>9</v>
      </c>
      <c r="F1353">
        <v>3</v>
      </c>
      <c r="G1353">
        <v>0</v>
      </c>
      <c r="H1353">
        <f>표4[[#This Row],[공격성공횟수]]/(표4[[#This Row],[공격실패횟수]]+표4[[#This Row],[공격성공횟수]])</f>
        <v>0.30769230769230771</v>
      </c>
    </row>
    <row r="1354" spans="1:8" x14ac:dyDescent="0.4">
      <c r="A1354">
        <v>677</v>
      </c>
      <c r="B1354" t="s">
        <v>3</v>
      </c>
      <c r="C1354">
        <v>1</v>
      </c>
      <c r="D1354">
        <v>4</v>
      </c>
      <c r="E1354">
        <v>9</v>
      </c>
      <c r="F1354">
        <v>0</v>
      </c>
      <c r="G1354">
        <v>0</v>
      </c>
      <c r="H1354">
        <f>표4[[#This Row],[공격성공횟수]]/(표4[[#This Row],[공격실패횟수]]+표4[[#This Row],[공격성공횟수]])</f>
        <v>0.30769230769230771</v>
      </c>
    </row>
    <row r="1355" spans="1:8" hidden="1" x14ac:dyDescent="0.4">
      <c r="A1355">
        <v>677</v>
      </c>
      <c r="B1355" t="s">
        <v>2</v>
      </c>
      <c r="C1355">
        <v>0</v>
      </c>
      <c r="D1355">
        <v>0</v>
      </c>
      <c r="E1355">
        <v>12</v>
      </c>
      <c r="F1355">
        <v>4</v>
      </c>
      <c r="G1355">
        <v>1</v>
      </c>
      <c r="H1355">
        <f>표4[[#This Row],[공격성공횟수]]/(표4[[#This Row],[공격실패횟수]]+표4[[#This Row],[공격성공횟수]])</f>
        <v>0</v>
      </c>
    </row>
    <row r="1356" spans="1:8" x14ac:dyDescent="0.4">
      <c r="A1356">
        <v>678</v>
      </c>
      <c r="B1356" t="s">
        <v>3</v>
      </c>
      <c r="C1356">
        <v>1</v>
      </c>
      <c r="D1356">
        <v>4</v>
      </c>
      <c r="E1356">
        <v>6</v>
      </c>
      <c r="F1356">
        <v>2</v>
      </c>
      <c r="G1356">
        <v>0</v>
      </c>
      <c r="H1356">
        <f>표4[[#This Row],[공격성공횟수]]/(표4[[#This Row],[공격실패횟수]]+표4[[#This Row],[공격성공횟수]])</f>
        <v>0.4</v>
      </c>
    </row>
    <row r="1357" spans="1:8" hidden="1" x14ac:dyDescent="0.4">
      <c r="A1357">
        <v>678</v>
      </c>
      <c r="B1357" t="s">
        <v>2</v>
      </c>
      <c r="C1357">
        <v>0</v>
      </c>
      <c r="D1357">
        <v>2</v>
      </c>
      <c r="E1357">
        <v>8</v>
      </c>
      <c r="F1357">
        <v>4</v>
      </c>
      <c r="G1357">
        <v>1</v>
      </c>
      <c r="H1357">
        <f>표4[[#This Row],[공격성공횟수]]/(표4[[#This Row],[공격실패횟수]]+표4[[#This Row],[공격성공횟수]])</f>
        <v>0.2</v>
      </c>
    </row>
    <row r="1358" spans="1:8" x14ac:dyDescent="0.4">
      <c r="A1358">
        <v>679</v>
      </c>
      <c r="B1358" t="s">
        <v>3</v>
      </c>
      <c r="C1358">
        <v>1</v>
      </c>
      <c r="D1358">
        <v>4</v>
      </c>
      <c r="E1358">
        <v>4</v>
      </c>
      <c r="F1358">
        <v>2</v>
      </c>
      <c r="G1358">
        <v>0</v>
      </c>
      <c r="H1358">
        <f>표4[[#This Row],[공격성공횟수]]/(표4[[#This Row],[공격실패횟수]]+표4[[#This Row],[공격성공횟수]])</f>
        <v>0.5</v>
      </c>
    </row>
    <row r="1359" spans="1:8" hidden="1" x14ac:dyDescent="0.4">
      <c r="A1359">
        <v>679</v>
      </c>
      <c r="B1359" t="s">
        <v>2</v>
      </c>
      <c r="C1359">
        <v>0</v>
      </c>
      <c r="D1359">
        <v>2</v>
      </c>
      <c r="E1359">
        <v>5</v>
      </c>
      <c r="F1359">
        <v>4</v>
      </c>
      <c r="G1359">
        <v>1</v>
      </c>
      <c r="H1359">
        <f>표4[[#This Row],[공격성공횟수]]/(표4[[#This Row],[공격실패횟수]]+표4[[#This Row],[공격성공횟수]])</f>
        <v>0.2857142857142857</v>
      </c>
    </row>
    <row r="1360" spans="1:8" x14ac:dyDescent="0.4">
      <c r="A1360">
        <v>680</v>
      </c>
      <c r="B1360" t="s">
        <v>3</v>
      </c>
      <c r="C1360">
        <v>1</v>
      </c>
      <c r="D1360">
        <v>4</v>
      </c>
      <c r="E1360">
        <v>9</v>
      </c>
      <c r="F1360">
        <v>0</v>
      </c>
      <c r="G1360">
        <v>0</v>
      </c>
      <c r="H1360">
        <f>표4[[#This Row],[공격성공횟수]]/(표4[[#This Row],[공격실패횟수]]+표4[[#This Row],[공격성공횟수]])</f>
        <v>0.30769230769230771</v>
      </c>
    </row>
    <row r="1361" spans="1:8" hidden="1" x14ac:dyDescent="0.4">
      <c r="A1361">
        <v>680</v>
      </c>
      <c r="B1361" t="s">
        <v>2</v>
      </c>
      <c r="C1361">
        <v>0</v>
      </c>
      <c r="D1361">
        <v>0</v>
      </c>
      <c r="E1361">
        <v>13</v>
      </c>
      <c r="F1361">
        <v>4</v>
      </c>
      <c r="G1361">
        <v>1</v>
      </c>
      <c r="H1361">
        <f>표4[[#This Row],[공격성공횟수]]/(표4[[#This Row],[공격실패횟수]]+표4[[#This Row],[공격성공횟수]])</f>
        <v>0</v>
      </c>
    </row>
    <row r="1362" spans="1:8" x14ac:dyDescent="0.4">
      <c r="A1362">
        <v>681</v>
      </c>
      <c r="B1362" t="s">
        <v>3</v>
      </c>
      <c r="C1362">
        <v>1</v>
      </c>
      <c r="D1362">
        <v>4</v>
      </c>
      <c r="E1362">
        <v>5</v>
      </c>
      <c r="F1362">
        <v>1</v>
      </c>
      <c r="G1362">
        <v>0</v>
      </c>
      <c r="H1362">
        <f>표4[[#This Row],[공격성공횟수]]/(표4[[#This Row],[공격실패횟수]]+표4[[#This Row],[공격성공횟수]])</f>
        <v>0.44444444444444442</v>
      </c>
    </row>
    <row r="1363" spans="1:8" hidden="1" x14ac:dyDescent="0.4">
      <c r="A1363">
        <v>681</v>
      </c>
      <c r="B1363" t="s">
        <v>2</v>
      </c>
      <c r="C1363">
        <v>0</v>
      </c>
      <c r="D1363">
        <v>1</v>
      </c>
      <c r="E1363">
        <v>8</v>
      </c>
      <c r="F1363">
        <v>4</v>
      </c>
      <c r="G1363">
        <v>1</v>
      </c>
      <c r="H1363">
        <f>표4[[#This Row],[공격성공횟수]]/(표4[[#This Row],[공격실패횟수]]+표4[[#This Row],[공격성공횟수]])</f>
        <v>0.1111111111111111</v>
      </c>
    </row>
    <row r="1364" spans="1:8" x14ac:dyDescent="0.4">
      <c r="A1364">
        <v>682</v>
      </c>
      <c r="B1364" t="s">
        <v>3</v>
      </c>
      <c r="C1364">
        <v>1</v>
      </c>
      <c r="D1364">
        <v>4</v>
      </c>
      <c r="E1364">
        <v>3</v>
      </c>
      <c r="F1364">
        <v>1</v>
      </c>
      <c r="G1364">
        <v>0</v>
      </c>
      <c r="H1364">
        <f>표4[[#This Row],[공격성공횟수]]/(표4[[#This Row],[공격실패횟수]]+표4[[#This Row],[공격성공횟수]])</f>
        <v>0.5714285714285714</v>
      </c>
    </row>
    <row r="1365" spans="1:8" hidden="1" x14ac:dyDescent="0.4">
      <c r="A1365">
        <v>682</v>
      </c>
      <c r="B1365" t="s">
        <v>2</v>
      </c>
      <c r="C1365">
        <v>0</v>
      </c>
      <c r="D1365">
        <v>1</v>
      </c>
      <c r="E1365">
        <v>5</v>
      </c>
      <c r="F1365">
        <v>4</v>
      </c>
      <c r="G1365">
        <v>1</v>
      </c>
      <c r="H1365">
        <f>표4[[#This Row],[공격성공횟수]]/(표4[[#This Row],[공격실패횟수]]+표4[[#This Row],[공격성공횟수]])</f>
        <v>0.16666666666666666</v>
      </c>
    </row>
    <row r="1366" spans="1:8" x14ac:dyDescent="0.4">
      <c r="A1366">
        <v>683</v>
      </c>
      <c r="B1366" t="s">
        <v>3</v>
      </c>
      <c r="C1366">
        <v>1</v>
      </c>
      <c r="D1366">
        <v>4</v>
      </c>
      <c r="E1366">
        <v>36</v>
      </c>
      <c r="F1366">
        <v>3</v>
      </c>
      <c r="G1366">
        <v>0</v>
      </c>
      <c r="H1366">
        <f>표4[[#This Row],[공격성공횟수]]/(표4[[#This Row],[공격실패횟수]]+표4[[#This Row],[공격성공횟수]])</f>
        <v>0.1</v>
      </c>
    </row>
    <row r="1367" spans="1:8" hidden="1" x14ac:dyDescent="0.4">
      <c r="A1367">
        <v>683</v>
      </c>
      <c r="B1367" t="s">
        <v>2</v>
      </c>
      <c r="C1367">
        <v>0</v>
      </c>
      <c r="D1367">
        <v>3</v>
      </c>
      <c r="E1367">
        <v>46</v>
      </c>
      <c r="F1367">
        <v>4</v>
      </c>
      <c r="G1367">
        <v>1</v>
      </c>
      <c r="H1367">
        <f>표4[[#This Row],[공격성공횟수]]/(표4[[#This Row],[공격실패횟수]]+표4[[#This Row],[공격성공횟수]])</f>
        <v>6.1224489795918366E-2</v>
      </c>
    </row>
    <row r="1368" spans="1:8" x14ac:dyDescent="0.4">
      <c r="A1368">
        <v>684</v>
      </c>
      <c r="B1368" t="s">
        <v>3</v>
      </c>
      <c r="C1368">
        <v>1</v>
      </c>
      <c r="D1368">
        <v>4</v>
      </c>
      <c r="E1368">
        <v>3</v>
      </c>
      <c r="F1368">
        <v>1</v>
      </c>
      <c r="G1368">
        <v>0</v>
      </c>
      <c r="H1368">
        <f>표4[[#This Row],[공격성공횟수]]/(표4[[#This Row],[공격실패횟수]]+표4[[#This Row],[공격성공횟수]])</f>
        <v>0.5714285714285714</v>
      </c>
    </row>
    <row r="1369" spans="1:8" hidden="1" x14ac:dyDescent="0.4">
      <c r="A1369">
        <v>684</v>
      </c>
      <c r="B1369" t="s">
        <v>2</v>
      </c>
      <c r="C1369">
        <v>0</v>
      </c>
      <c r="D1369">
        <v>1</v>
      </c>
      <c r="E1369">
        <v>6</v>
      </c>
      <c r="F1369">
        <v>4</v>
      </c>
      <c r="G1369">
        <v>1</v>
      </c>
      <c r="H1369">
        <f>표4[[#This Row],[공격성공횟수]]/(표4[[#This Row],[공격실패횟수]]+표4[[#This Row],[공격성공횟수]])</f>
        <v>0.14285714285714285</v>
      </c>
    </row>
    <row r="1370" spans="1:8" x14ac:dyDescent="0.4">
      <c r="A1370">
        <v>685</v>
      </c>
      <c r="B1370" t="s">
        <v>3</v>
      </c>
      <c r="C1370">
        <v>1</v>
      </c>
      <c r="D1370">
        <v>4</v>
      </c>
      <c r="E1370">
        <v>3</v>
      </c>
      <c r="F1370">
        <v>1</v>
      </c>
      <c r="G1370">
        <v>0</v>
      </c>
      <c r="H1370">
        <f>표4[[#This Row],[공격성공횟수]]/(표4[[#This Row],[공격실패횟수]]+표4[[#This Row],[공격성공횟수]])</f>
        <v>0.5714285714285714</v>
      </c>
    </row>
    <row r="1371" spans="1:8" hidden="1" x14ac:dyDescent="0.4">
      <c r="A1371">
        <v>685</v>
      </c>
      <c r="B1371" t="s">
        <v>2</v>
      </c>
      <c r="C1371">
        <v>0</v>
      </c>
      <c r="D1371">
        <v>1</v>
      </c>
      <c r="E1371">
        <v>6</v>
      </c>
      <c r="F1371">
        <v>4</v>
      </c>
      <c r="G1371">
        <v>1</v>
      </c>
      <c r="H1371">
        <f>표4[[#This Row],[공격성공횟수]]/(표4[[#This Row],[공격실패횟수]]+표4[[#This Row],[공격성공횟수]])</f>
        <v>0.14285714285714285</v>
      </c>
    </row>
    <row r="1372" spans="1:8" x14ac:dyDescent="0.4">
      <c r="A1372">
        <v>686</v>
      </c>
      <c r="B1372" t="s">
        <v>3</v>
      </c>
      <c r="C1372">
        <v>1</v>
      </c>
      <c r="D1372">
        <v>4</v>
      </c>
      <c r="E1372">
        <v>2</v>
      </c>
      <c r="F1372">
        <v>2</v>
      </c>
      <c r="G1372">
        <v>0</v>
      </c>
      <c r="H1372">
        <f>표4[[#This Row],[공격성공횟수]]/(표4[[#This Row],[공격실패횟수]]+표4[[#This Row],[공격성공횟수]])</f>
        <v>0.66666666666666663</v>
      </c>
    </row>
    <row r="1373" spans="1:8" hidden="1" x14ac:dyDescent="0.4">
      <c r="A1373">
        <v>686</v>
      </c>
      <c r="B1373" t="s">
        <v>2</v>
      </c>
      <c r="C1373">
        <v>0</v>
      </c>
      <c r="D1373">
        <v>2</v>
      </c>
      <c r="E1373">
        <v>3</v>
      </c>
      <c r="F1373">
        <v>4</v>
      </c>
      <c r="G1373">
        <v>1</v>
      </c>
      <c r="H1373">
        <f>표4[[#This Row],[공격성공횟수]]/(표4[[#This Row],[공격실패횟수]]+표4[[#This Row],[공격성공횟수]])</f>
        <v>0.4</v>
      </c>
    </row>
    <row r="1374" spans="1:8" x14ac:dyDescent="0.4">
      <c r="A1374">
        <v>687</v>
      </c>
      <c r="B1374" t="s">
        <v>3</v>
      </c>
      <c r="C1374">
        <v>1</v>
      </c>
      <c r="D1374">
        <v>4</v>
      </c>
      <c r="E1374">
        <v>70</v>
      </c>
      <c r="F1374">
        <v>3</v>
      </c>
      <c r="G1374">
        <v>0</v>
      </c>
      <c r="H1374">
        <f>표4[[#This Row],[공격성공횟수]]/(표4[[#This Row],[공격실패횟수]]+표4[[#This Row],[공격성공횟수]])</f>
        <v>5.4054054054054057E-2</v>
      </c>
    </row>
    <row r="1375" spans="1:8" hidden="1" x14ac:dyDescent="0.4">
      <c r="A1375">
        <v>687</v>
      </c>
      <c r="B1375" t="s">
        <v>2</v>
      </c>
      <c r="C1375">
        <v>0</v>
      </c>
      <c r="D1375">
        <v>3</v>
      </c>
      <c r="E1375">
        <v>88</v>
      </c>
      <c r="F1375">
        <v>4</v>
      </c>
      <c r="G1375">
        <v>1</v>
      </c>
      <c r="H1375">
        <f>표4[[#This Row],[공격성공횟수]]/(표4[[#This Row],[공격실패횟수]]+표4[[#This Row],[공격성공횟수]])</f>
        <v>3.2967032967032968E-2</v>
      </c>
    </row>
    <row r="1376" spans="1:8" x14ac:dyDescent="0.4">
      <c r="A1376">
        <v>688</v>
      </c>
      <c r="B1376" t="s">
        <v>3</v>
      </c>
      <c r="C1376">
        <v>1</v>
      </c>
      <c r="D1376">
        <v>4</v>
      </c>
      <c r="E1376">
        <v>55</v>
      </c>
      <c r="F1376">
        <v>1</v>
      </c>
      <c r="G1376">
        <v>0</v>
      </c>
      <c r="H1376">
        <f>표4[[#This Row],[공격성공횟수]]/(표4[[#This Row],[공격실패횟수]]+표4[[#This Row],[공격성공횟수]])</f>
        <v>6.7796610169491525E-2</v>
      </c>
    </row>
    <row r="1377" spans="1:8" hidden="1" x14ac:dyDescent="0.4">
      <c r="A1377">
        <v>688</v>
      </c>
      <c r="B1377" t="s">
        <v>2</v>
      </c>
      <c r="C1377">
        <v>0</v>
      </c>
      <c r="D1377">
        <v>1</v>
      </c>
      <c r="E1377">
        <v>75</v>
      </c>
      <c r="F1377">
        <v>4</v>
      </c>
      <c r="G1377">
        <v>1</v>
      </c>
      <c r="H1377">
        <f>표4[[#This Row],[공격성공횟수]]/(표4[[#This Row],[공격실패횟수]]+표4[[#This Row],[공격성공횟수]])</f>
        <v>1.3157894736842105E-2</v>
      </c>
    </row>
    <row r="1378" spans="1:8" x14ac:dyDescent="0.4">
      <c r="A1378">
        <v>689</v>
      </c>
      <c r="B1378" t="s">
        <v>3</v>
      </c>
      <c r="C1378">
        <v>1</v>
      </c>
      <c r="D1378">
        <v>4</v>
      </c>
      <c r="E1378">
        <v>12</v>
      </c>
      <c r="F1378">
        <v>2</v>
      </c>
      <c r="G1378">
        <v>0</v>
      </c>
      <c r="H1378">
        <f>표4[[#This Row],[공격성공횟수]]/(표4[[#This Row],[공격실패횟수]]+표4[[#This Row],[공격성공횟수]])</f>
        <v>0.25</v>
      </c>
    </row>
    <row r="1379" spans="1:8" hidden="1" x14ac:dyDescent="0.4">
      <c r="A1379">
        <v>689</v>
      </c>
      <c r="B1379" t="s">
        <v>2</v>
      </c>
      <c r="C1379">
        <v>0</v>
      </c>
      <c r="D1379">
        <v>2</v>
      </c>
      <c r="E1379">
        <v>12</v>
      </c>
      <c r="F1379">
        <v>4</v>
      </c>
      <c r="G1379">
        <v>1</v>
      </c>
      <c r="H1379">
        <f>표4[[#This Row],[공격성공횟수]]/(표4[[#This Row],[공격실패횟수]]+표4[[#This Row],[공격성공횟수]])</f>
        <v>0.14285714285714285</v>
      </c>
    </row>
    <row r="1380" spans="1:8" x14ac:dyDescent="0.4">
      <c r="A1380">
        <v>690</v>
      </c>
      <c r="B1380" t="s">
        <v>3</v>
      </c>
      <c r="C1380">
        <v>1</v>
      </c>
      <c r="D1380">
        <v>4</v>
      </c>
      <c r="E1380">
        <v>5</v>
      </c>
      <c r="F1380">
        <v>1</v>
      </c>
      <c r="G1380">
        <v>0</v>
      </c>
      <c r="H1380">
        <f>표4[[#This Row],[공격성공횟수]]/(표4[[#This Row],[공격실패횟수]]+표4[[#This Row],[공격성공횟수]])</f>
        <v>0.44444444444444442</v>
      </c>
    </row>
    <row r="1381" spans="1:8" hidden="1" x14ac:dyDescent="0.4">
      <c r="A1381">
        <v>690</v>
      </c>
      <c r="B1381" t="s">
        <v>2</v>
      </c>
      <c r="C1381">
        <v>0</v>
      </c>
      <c r="D1381">
        <v>1</v>
      </c>
      <c r="E1381">
        <v>8</v>
      </c>
      <c r="F1381">
        <v>4</v>
      </c>
      <c r="G1381">
        <v>1</v>
      </c>
      <c r="H1381">
        <f>표4[[#This Row],[공격성공횟수]]/(표4[[#This Row],[공격실패횟수]]+표4[[#This Row],[공격성공횟수]])</f>
        <v>0.1111111111111111</v>
      </c>
    </row>
    <row r="1382" spans="1:8" x14ac:dyDescent="0.4">
      <c r="A1382">
        <v>691</v>
      </c>
      <c r="B1382" t="s">
        <v>3</v>
      </c>
      <c r="C1382">
        <v>1</v>
      </c>
      <c r="D1382">
        <v>4</v>
      </c>
      <c r="E1382">
        <v>0</v>
      </c>
      <c r="F1382">
        <v>0</v>
      </c>
      <c r="G1382">
        <v>0</v>
      </c>
      <c r="H1382">
        <f>표4[[#This Row],[공격성공횟수]]/(표4[[#This Row],[공격실패횟수]]+표4[[#This Row],[공격성공횟수]])</f>
        <v>1</v>
      </c>
    </row>
    <row r="1383" spans="1:8" hidden="1" x14ac:dyDescent="0.4">
      <c r="A1383">
        <v>691</v>
      </c>
      <c r="B1383" t="s">
        <v>2</v>
      </c>
      <c r="C1383">
        <v>0</v>
      </c>
      <c r="D1383">
        <v>0</v>
      </c>
      <c r="E1383">
        <v>4</v>
      </c>
      <c r="F1383">
        <v>4</v>
      </c>
      <c r="G1383">
        <v>1</v>
      </c>
      <c r="H1383">
        <f>표4[[#This Row],[공격성공횟수]]/(표4[[#This Row],[공격실패횟수]]+표4[[#This Row],[공격성공횟수]])</f>
        <v>0</v>
      </c>
    </row>
    <row r="1384" spans="1:8" x14ac:dyDescent="0.4">
      <c r="A1384">
        <v>692</v>
      </c>
      <c r="B1384" t="s">
        <v>3</v>
      </c>
      <c r="C1384">
        <v>1</v>
      </c>
      <c r="D1384">
        <v>4</v>
      </c>
      <c r="E1384">
        <v>2</v>
      </c>
      <c r="F1384">
        <v>2</v>
      </c>
      <c r="G1384">
        <v>0</v>
      </c>
      <c r="H1384">
        <f>표4[[#This Row],[공격성공횟수]]/(표4[[#This Row],[공격실패횟수]]+표4[[#This Row],[공격성공횟수]])</f>
        <v>0.66666666666666663</v>
      </c>
    </row>
    <row r="1385" spans="1:8" hidden="1" x14ac:dyDescent="0.4">
      <c r="A1385">
        <v>692</v>
      </c>
      <c r="B1385" t="s">
        <v>2</v>
      </c>
      <c r="C1385">
        <v>0</v>
      </c>
      <c r="D1385">
        <v>2</v>
      </c>
      <c r="E1385">
        <v>4</v>
      </c>
      <c r="F1385">
        <v>4</v>
      </c>
      <c r="G1385">
        <v>1</v>
      </c>
      <c r="H1385">
        <f>표4[[#This Row],[공격성공횟수]]/(표4[[#This Row],[공격실패횟수]]+표4[[#This Row],[공격성공횟수]])</f>
        <v>0.33333333333333331</v>
      </c>
    </row>
    <row r="1386" spans="1:8" x14ac:dyDescent="0.4">
      <c r="A1386">
        <v>693</v>
      </c>
      <c r="B1386" t="s">
        <v>3</v>
      </c>
      <c r="C1386">
        <v>1</v>
      </c>
      <c r="D1386">
        <v>4</v>
      </c>
      <c r="E1386">
        <v>6</v>
      </c>
      <c r="F1386">
        <v>1</v>
      </c>
      <c r="G1386">
        <v>0</v>
      </c>
      <c r="H1386">
        <f>표4[[#This Row],[공격성공횟수]]/(표4[[#This Row],[공격실패횟수]]+표4[[#This Row],[공격성공횟수]])</f>
        <v>0.4</v>
      </c>
    </row>
    <row r="1387" spans="1:8" hidden="1" x14ac:dyDescent="0.4">
      <c r="A1387">
        <v>693</v>
      </c>
      <c r="B1387" t="s">
        <v>2</v>
      </c>
      <c r="C1387">
        <v>0</v>
      </c>
      <c r="D1387">
        <v>1</v>
      </c>
      <c r="E1387">
        <v>12</v>
      </c>
      <c r="F1387">
        <v>4</v>
      </c>
      <c r="G1387">
        <v>1</v>
      </c>
      <c r="H1387">
        <f>표4[[#This Row],[공격성공횟수]]/(표4[[#This Row],[공격실패횟수]]+표4[[#This Row],[공격성공횟수]])</f>
        <v>7.6923076923076927E-2</v>
      </c>
    </row>
    <row r="1388" spans="1:8" x14ac:dyDescent="0.4">
      <c r="A1388">
        <v>694</v>
      </c>
      <c r="B1388" t="s">
        <v>3</v>
      </c>
      <c r="C1388">
        <v>1</v>
      </c>
      <c r="D1388">
        <v>4</v>
      </c>
      <c r="E1388">
        <v>39</v>
      </c>
      <c r="F1388">
        <v>2</v>
      </c>
      <c r="G1388">
        <v>0</v>
      </c>
      <c r="H1388">
        <f>표4[[#This Row],[공격성공횟수]]/(표4[[#This Row],[공격실패횟수]]+표4[[#This Row],[공격성공횟수]])</f>
        <v>9.3023255813953487E-2</v>
      </c>
    </row>
    <row r="1389" spans="1:8" hidden="1" x14ac:dyDescent="0.4">
      <c r="A1389">
        <v>694</v>
      </c>
      <c r="B1389" t="s">
        <v>2</v>
      </c>
      <c r="C1389">
        <v>0</v>
      </c>
      <c r="D1389">
        <v>2</v>
      </c>
      <c r="E1389">
        <v>48</v>
      </c>
      <c r="F1389">
        <v>4</v>
      </c>
      <c r="G1389">
        <v>1</v>
      </c>
      <c r="H1389">
        <f>표4[[#This Row],[공격성공횟수]]/(표4[[#This Row],[공격실패횟수]]+표4[[#This Row],[공격성공횟수]])</f>
        <v>0.04</v>
      </c>
    </row>
    <row r="1390" spans="1:8" x14ac:dyDescent="0.4">
      <c r="A1390">
        <v>695</v>
      </c>
      <c r="B1390" t="s">
        <v>3</v>
      </c>
      <c r="C1390">
        <v>1</v>
      </c>
      <c r="D1390">
        <v>4</v>
      </c>
      <c r="E1390">
        <v>4</v>
      </c>
      <c r="F1390">
        <v>2</v>
      </c>
      <c r="G1390">
        <v>0</v>
      </c>
      <c r="H1390">
        <f>표4[[#This Row],[공격성공횟수]]/(표4[[#This Row],[공격실패횟수]]+표4[[#This Row],[공격성공횟수]])</f>
        <v>0.5</v>
      </c>
    </row>
    <row r="1391" spans="1:8" hidden="1" x14ac:dyDescent="0.4">
      <c r="A1391">
        <v>695</v>
      </c>
      <c r="B1391" t="s">
        <v>2</v>
      </c>
      <c r="C1391">
        <v>0</v>
      </c>
      <c r="D1391">
        <v>2</v>
      </c>
      <c r="E1391">
        <v>6</v>
      </c>
      <c r="F1391">
        <v>4</v>
      </c>
      <c r="G1391">
        <v>1</v>
      </c>
      <c r="H1391">
        <f>표4[[#This Row],[공격성공횟수]]/(표4[[#This Row],[공격실패횟수]]+표4[[#This Row],[공격성공횟수]])</f>
        <v>0.25</v>
      </c>
    </row>
    <row r="1392" spans="1:8" x14ac:dyDescent="0.4">
      <c r="A1392">
        <v>696</v>
      </c>
      <c r="B1392" t="s">
        <v>3</v>
      </c>
      <c r="C1392">
        <v>1</v>
      </c>
      <c r="D1392">
        <v>4</v>
      </c>
      <c r="E1392">
        <v>8</v>
      </c>
      <c r="F1392">
        <v>2</v>
      </c>
      <c r="G1392">
        <v>0</v>
      </c>
      <c r="H1392">
        <f>표4[[#This Row],[공격성공횟수]]/(표4[[#This Row],[공격실패횟수]]+표4[[#This Row],[공격성공횟수]])</f>
        <v>0.33333333333333331</v>
      </c>
    </row>
    <row r="1393" spans="1:8" hidden="1" x14ac:dyDescent="0.4">
      <c r="A1393">
        <v>696</v>
      </c>
      <c r="B1393" t="s">
        <v>2</v>
      </c>
      <c r="C1393">
        <v>0</v>
      </c>
      <c r="D1393">
        <v>2</v>
      </c>
      <c r="E1393">
        <v>15</v>
      </c>
      <c r="F1393">
        <v>4</v>
      </c>
      <c r="G1393">
        <v>1</v>
      </c>
      <c r="H1393">
        <f>표4[[#This Row],[공격성공횟수]]/(표4[[#This Row],[공격실패횟수]]+표4[[#This Row],[공격성공횟수]])</f>
        <v>0.11764705882352941</v>
      </c>
    </row>
    <row r="1394" spans="1:8" x14ac:dyDescent="0.4">
      <c r="A1394">
        <v>697</v>
      </c>
      <c r="B1394" t="s">
        <v>3</v>
      </c>
      <c r="C1394">
        <v>1</v>
      </c>
      <c r="D1394">
        <v>4</v>
      </c>
      <c r="E1394">
        <v>64</v>
      </c>
      <c r="F1394">
        <v>1</v>
      </c>
      <c r="G1394">
        <v>0</v>
      </c>
      <c r="H1394">
        <f>표4[[#This Row],[공격성공횟수]]/(표4[[#This Row],[공격실패횟수]]+표4[[#This Row],[공격성공횟수]])</f>
        <v>5.8823529411764705E-2</v>
      </c>
    </row>
    <row r="1395" spans="1:8" hidden="1" x14ac:dyDescent="0.4">
      <c r="A1395">
        <v>697</v>
      </c>
      <c r="B1395" t="s">
        <v>2</v>
      </c>
      <c r="C1395">
        <v>0</v>
      </c>
      <c r="D1395">
        <v>1</v>
      </c>
      <c r="E1395">
        <v>80</v>
      </c>
      <c r="F1395">
        <v>4</v>
      </c>
      <c r="G1395">
        <v>1</v>
      </c>
      <c r="H1395">
        <f>표4[[#This Row],[공격성공횟수]]/(표4[[#This Row],[공격실패횟수]]+표4[[#This Row],[공격성공횟수]])</f>
        <v>1.2345679012345678E-2</v>
      </c>
    </row>
    <row r="1396" spans="1:8" x14ac:dyDescent="0.4">
      <c r="A1396">
        <v>698</v>
      </c>
      <c r="B1396" t="s">
        <v>3</v>
      </c>
      <c r="C1396">
        <v>0</v>
      </c>
      <c r="D1396">
        <v>2</v>
      </c>
      <c r="E1396">
        <v>7</v>
      </c>
      <c r="F1396">
        <v>4</v>
      </c>
      <c r="G1396">
        <v>1</v>
      </c>
      <c r="H1396">
        <f>표4[[#This Row],[공격성공횟수]]/(표4[[#This Row],[공격실패횟수]]+표4[[#This Row],[공격성공횟수]])</f>
        <v>0.22222222222222221</v>
      </c>
    </row>
    <row r="1397" spans="1:8" hidden="1" x14ac:dyDescent="0.4">
      <c r="A1397">
        <v>698</v>
      </c>
      <c r="B1397" t="s">
        <v>2</v>
      </c>
      <c r="C1397">
        <v>1</v>
      </c>
      <c r="D1397">
        <v>4</v>
      </c>
      <c r="E1397">
        <v>6</v>
      </c>
      <c r="F1397">
        <v>2</v>
      </c>
      <c r="G1397">
        <v>0</v>
      </c>
      <c r="H1397">
        <f>표4[[#This Row],[공격성공횟수]]/(표4[[#This Row],[공격실패횟수]]+표4[[#This Row],[공격성공횟수]])</f>
        <v>0.4</v>
      </c>
    </row>
    <row r="1398" spans="1:8" x14ac:dyDescent="0.4">
      <c r="A1398">
        <v>699</v>
      </c>
      <c r="B1398" t="s">
        <v>3</v>
      </c>
      <c r="C1398">
        <v>1</v>
      </c>
      <c r="D1398">
        <v>4</v>
      </c>
      <c r="E1398">
        <v>2</v>
      </c>
      <c r="F1398">
        <v>0</v>
      </c>
      <c r="G1398">
        <v>0</v>
      </c>
      <c r="H1398">
        <f>표4[[#This Row],[공격성공횟수]]/(표4[[#This Row],[공격실패횟수]]+표4[[#This Row],[공격성공횟수]])</f>
        <v>0.66666666666666663</v>
      </c>
    </row>
    <row r="1399" spans="1:8" hidden="1" x14ac:dyDescent="0.4">
      <c r="A1399">
        <v>699</v>
      </c>
      <c r="B1399" t="s">
        <v>2</v>
      </c>
      <c r="C1399">
        <v>0</v>
      </c>
      <c r="D1399">
        <v>0</v>
      </c>
      <c r="E1399">
        <v>5</v>
      </c>
      <c r="F1399">
        <v>4</v>
      </c>
      <c r="G1399">
        <v>1</v>
      </c>
      <c r="H1399">
        <f>표4[[#This Row],[공격성공횟수]]/(표4[[#This Row],[공격실패횟수]]+표4[[#This Row],[공격성공횟수]])</f>
        <v>0</v>
      </c>
    </row>
    <row r="1400" spans="1:8" x14ac:dyDescent="0.4">
      <c r="A1400">
        <v>700</v>
      </c>
      <c r="B1400" t="s">
        <v>3</v>
      </c>
      <c r="C1400">
        <v>0</v>
      </c>
      <c r="D1400">
        <v>0</v>
      </c>
      <c r="E1400">
        <v>1</v>
      </c>
      <c r="F1400">
        <v>4</v>
      </c>
      <c r="G1400">
        <v>1</v>
      </c>
      <c r="H1400">
        <f>표4[[#This Row],[공격성공횟수]]/(표4[[#This Row],[공격실패횟수]]+표4[[#This Row],[공격성공횟수]])</f>
        <v>0</v>
      </c>
    </row>
    <row r="1401" spans="1:8" hidden="1" x14ac:dyDescent="0.4">
      <c r="A1401">
        <v>700</v>
      </c>
      <c r="B1401" t="s">
        <v>2</v>
      </c>
      <c r="C1401">
        <v>1</v>
      </c>
      <c r="D1401">
        <v>4</v>
      </c>
      <c r="E1401">
        <v>10</v>
      </c>
      <c r="F1401">
        <v>0</v>
      </c>
      <c r="G1401">
        <v>0</v>
      </c>
      <c r="H1401">
        <f>표4[[#This Row],[공격성공횟수]]/(표4[[#This Row],[공격실패횟수]]+표4[[#This Row],[공격성공횟수]])</f>
        <v>0.2857142857142857</v>
      </c>
    </row>
    <row r="1402" spans="1:8" x14ac:dyDescent="0.4">
      <c r="A1402">
        <v>701</v>
      </c>
      <c r="B1402" t="s">
        <v>3</v>
      </c>
      <c r="C1402">
        <v>1</v>
      </c>
      <c r="D1402">
        <v>4</v>
      </c>
      <c r="E1402">
        <v>62</v>
      </c>
      <c r="F1402">
        <v>0</v>
      </c>
      <c r="G1402">
        <v>0</v>
      </c>
      <c r="H1402">
        <f>표4[[#This Row],[공격성공횟수]]/(표4[[#This Row],[공격실패횟수]]+표4[[#This Row],[공격성공횟수]])</f>
        <v>6.0606060606060608E-2</v>
      </c>
    </row>
    <row r="1403" spans="1:8" hidden="1" x14ac:dyDescent="0.4">
      <c r="A1403">
        <v>701</v>
      </c>
      <c r="B1403" t="s">
        <v>2</v>
      </c>
      <c r="C1403">
        <v>0</v>
      </c>
      <c r="D1403">
        <v>0</v>
      </c>
      <c r="E1403">
        <v>93</v>
      </c>
      <c r="F1403">
        <v>4</v>
      </c>
      <c r="G1403">
        <v>1</v>
      </c>
      <c r="H1403">
        <f>표4[[#This Row],[공격성공횟수]]/(표4[[#This Row],[공격실패횟수]]+표4[[#This Row],[공격성공횟수]])</f>
        <v>0</v>
      </c>
    </row>
    <row r="1404" spans="1:8" x14ac:dyDescent="0.4">
      <c r="A1404">
        <v>702</v>
      </c>
      <c r="B1404" t="s">
        <v>3</v>
      </c>
      <c r="C1404">
        <v>0</v>
      </c>
      <c r="D1404">
        <v>2</v>
      </c>
      <c r="E1404">
        <v>12</v>
      </c>
      <c r="F1404">
        <v>4</v>
      </c>
      <c r="G1404">
        <v>1</v>
      </c>
      <c r="H1404">
        <f>표4[[#This Row],[공격성공횟수]]/(표4[[#This Row],[공격실패횟수]]+표4[[#This Row],[공격성공횟수]])</f>
        <v>0.14285714285714285</v>
      </c>
    </row>
    <row r="1405" spans="1:8" hidden="1" x14ac:dyDescent="0.4">
      <c r="A1405">
        <v>702</v>
      </c>
      <c r="B1405" t="s">
        <v>2</v>
      </c>
      <c r="C1405">
        <v>1</v>
      </c>
      <c r="D1405">
        <v>4</v>
      </c>
      <c r="E1405">
        <v>20</v>
      </c>
      <c r="F1405">
        <v>2</v>
      </c>
      <c r="G1405">
        <v>0</v>
      </c>
      <c r="H1405">
        <f>표4[[#This Row],[공격성공횟수]]/(표4[[#This Row],[공격실패횟수]]+표4[[#This Row],[공격성공횟수]])</f>
        <v>0.16666666666666666</v>
      </c>
    </row>
    <row r="1406" spans="1:8" x14ac:dyDescent="0.4">
      <c r="A1406">
        <v>703</v>
      </c>
      <c r="B1406" t="s">
        <v>3</v>
      </c>
      <c r="C1406">
        <v>1</v>
      </c>
      <c r="D1406">
        <v>4</v>
      </c>
      <c r="E1406">
        <v>8</v>
      </c>
      <c r="F1406">
        <v>3</v>
      </c>
      <c r="G1406">
        <v>0</v>
      </c>
      <c r="H1406">
        <f>표4[[#This Row],[공격성공횟수]]/(표4[[#This Row],[공격실패횟수]]+표4[[#This Row],[공격성공횟수]])</f>
        <v>0.33333333333333331</v>
      </c>
    </row>
    <row r="1407" spans="1:8" hidden="1" x14ac:dyDescent="0.4">
      <c r="A1407">
        <v>703</v>
      </c>
      <c r="B1407" t="s">
        <v>2</v>
      </c>
      <c r="C1407">
        <v>0</v>
      </c>
      <c r="D1407">
        <v>3</v>
      </c>
      <c r="E1407">
        <v>8</v>
      </c>
      <c r="F1407">
        <v>4</v>
      </c>
      <c r="G1407">
        <v>1</v>
      </c>
      <c r="H1407">
        <f>표4[[#This Row],[공격성공횟수]]/(표4[[#This Row],[공격실패횟수]]+표4[[#This Row],[공격성공횟수]])</f>
        <v>0.27272727272727271</v>
      </c>
    </row>
    <row r="1408" spans="1:8" x14ac:dyDescent="0.4">
      <c r="A1408">
        <v>704</v>
      </c>
      <c r="B1408" t="s">
        <v>3</v>
      </c>
      <c r="C1408">
        <v>1</v>
      </c>
      <c r="D1408">
        <v>4</v>
      </c>
      <c r="E1408">
        <v>10</v>
      </c>
      <c r="F1408">
        <v>0</v>
      </c>
      <c r="G1408">
        <v>0</v>
      </c>
      <c r="H1408">
        <f>표4[[#This Row],[공격성공횟수]]/(표4[[#This Row],[공격실패횟수]]+표4[[#This Row],[공격성공횟수]])</f>
        <v>0.2857142857142857</v>
      </c>
    </row>
    <row r="1409" spans="1:8" hidden="1" x14ac:dyDescent="0.4">
      <c r="A1409">
        <v>704</v>
      </c>
      <c r="B1409" t="s">
        <v>2</v>
      </c>
      <c r="C1409">
        <v>0</v>
      </c>
      <c r="D1409">
        <v>0</v>
      </c>
      <c r="E1409">
        <v>14</v>
      </c>
      <c r="F1409">
        <v>4</v>
      </c>
      <c r="G1409">
        <v>1</v>
      </c>
      <c r="H1409">
        <f>표4[[#This Row],[공격성공횟수]]/(표4[[#This Row],[공격실패횟수]]+표4[[#This Row],[공격성공횟수]])</f>
        <v>0</v>
      </c>
    </row>
    <row r="1410" spans="1:8" x14ac:dyDescent="0.4">
      <c r="A1410">
        <v>705</v>
      </c>
      <c r="B1410" t="s">
        <v>3</v>
      </c>
      <c r="C1410">
        <v>1</v>
      </c>
      <c r="D1410">
        <v>4</v>
      </c>
      <c r="E1410">
        <v>1</v>
      </c>
      <c r="F1410">
        <v>2</v>
      </c>
      <c r="G1410">
        <v>0</v>
      </c>
      <c r="H1410">
        <f>표4[[#This Row],[공격성공횟수]]/(표4[[#This Row],[공격실패횟수]]+표4[[#This Row],[공격성공횟수]])</f>
        <v>0.8</v>
      </c>
    </row>
    <row r="1411" spans="1:8" hidden="1" x14ac:dyDescent="0.4">
      <c r="A1411">
        <v>705</v>
      </c>
      <c r="B1411" t="s">
        <v>2</v>
      </c>
      <c r="C1411">
        <v>0</v>
      </c>
      <c r="D1411">
        <v>2</v>
      </c>
      <c r="E1411">
        <v>6</v>
      </c>
      <c r="F1411">
        <v>4</v>
      </c>
      <c r="G1411">
        <v>1</v>
      </c>
      <c r="H1411">
        <f>표4[[#This Row],[공격성공횟수]]/(표4[[#This Row],[공격실패횟수]]+표4[[#This Row],[공격성공횟수]])</f>
        <v>0.25</v>
      </c>
    </row>
    <row r="1412" spans="1:8" x14ac:dyDescent="0.4">
      <c r="A1412">
        <v>706</v>
      </c>
      <c r="B1412" t="s">
        <v>3</v>
      </c>
      <c r="C1412">
        <v>0</v>
      </c>
      <c r="D1412">
        <v>0</v>
      </c>
      <c r="E1412">
        <v>40</v>
      </c>
      <c r="F1412">
        <v>4</v>
      </c>
      <c r="G1412">
        <v>1</v>
      </c>
      <c r="H1412">
        <f>표4[[#This Row],[공격성공횟수]]/(표4[[#This Row],[공격실패횟수]]+표4[[#This Row],[공격성공횟수]])</f>
        <v>0</v>
      </c>
    </row>
    <row r="1413" spans="1:8" hidden="1" x14ac:dyDescent="0.4">
      <c r="A1413">
        <v>706</v>
      </c>
      <c r="B1413" t="s">
        <v>2</v>
      </c>
      <c r="C1413">
        <v>1</v>
      </c>
      <c r="D1413">
        <v>4</v>
      </c>
      <c r="E1413">
        <v>43</v>
      </c>
      <c r="F1413">
        <v>0</v>
      </c>
      <c r="G1413">
        <v>0</v>
      </c>
      <c r="H1413">
        <f>표4[[#This Row],[공격성공횟수]]/(표4[[#This Row],[공격실패횟수]]+표4[[#This Row],[공격성공횟수]])</f>
        <v>8.5106382978723402E-2</v>
      </c>
    </row>
    <row r="1414" spans="1:8" x14ac:dyDescent="0.4">
      <c r="A1414">
        <v>707</v>
      </c>
      <c r="B1414" t="s">
        <v>3</v>
      </c>
      <c r="C1414">
        <v>0</v>
      </c>
      <c r="D1414">
        <v>2</v>
      </c>
      <c r="E1414">
        <v>11</v>
      </c>
      <c r="F1414">
        <v>4</v>
      </c>
      <c r="G1414">
        <v>1</v>
      </c>
      <c r="H1414">
        <f>표4[[#This Row],[공격성공횟수]]/(표4[[#This Row],[공격실패횟수]]+표4[[#This Row],[공격성공횟수]])</f>
        <v>0.15384615384615385</v>
      </c>
    </row>
    <row r="1415" spans="1:8" hidden="1" x14ac:dyDescent="0.4">
      <c r="A1415">
        <v>707</v>
      </c>
      <c r="B1415" t="s">
        <v>2</v>
      </c>
      <c r="C1415">
        <v>1</v>
      </c>
      <c r="D1415">
        <v>4</v>
      </c>
      <c r="E1415">
        <v>18</v>
      </c>
      <c r="F1415">
        <v>2</v>
      </c>
      <c r="G1415">
        <v>0</v>
      </c>
      <c r="H1415">
        <f>표4[[#This Row],[공격성공횟수]]/(표4[[#This Row],[공격실패횟수]]+표4[[#This Row],[공격성공횟수]])</f>
        <v>0.18181818181818182</v>
      </c>
    </row>
    <row r="1416" spans="1:8" x14ac:dyDescent="0.4">
      <c r="A1416">
        <v>708</v>
      </c>
      <c r="B1416" t="s">
        <v>3</v>
      </c>
      <c r="C1416">
        <v>1</v>
      </c>
      <c r="D1416">
        <v>4</v>
      </c>
      <c r="E1416">
        <v>42</v>
      </c>
      <c r="F1416">
        <v>1</v>
      </c>
      <c r="G1416">
        <v>0</v>
      </c>
      <c r="H1416">
        <f>표4[[#This Row],[공격성공횟수]]/(표4[[#This Row],[공격실패횟수]]+표4[[#This Row],[공격성공횟수]])</f>
        <v>8.6956521739130432E-2</v>
      </c>
    </row>
    <row r="1417" spans="1:8" hidden="1" x14ac:dyDescent="0.4">
      <c r="A1417">
        <v>708</v>
      </c>
      <c r="B1417" t="s">
        <v>2</v>
      </c>
      <c r="C1417">
        <v>0</v>
      </c>
      <c r="D1417">
        <v>1</v>
      </c>
      <c r="E1417">
        <v>61</v>
      </c>
      <c r="F1417">
        <v>4</v>
      </c>
      <c r="G1417">
        <v>1</v>
      </c>
      <c r="H1417">
        <f>표4[[#This Row],[공격성공횟수]]/(표4[[#This Row],[공격실패횟수]]+표4[[#This Row],[공격성공횟수]])</f>
        <v>1.6129032258064516E-2</v>
      </c>
    </row>
    <row r="1418" spans="1:8" x14ac:dyDescent="0.4">
      <c r="A1418">
        <v>709</v>
      </c>
      <c r="B1418" t="s">
        <v>3</v>
      </c>
      <c r="C1418">
        <v>0</v>
      </c>
      <c r="D1418">
        <v>1</v>
      </c>
      <c r="E1418">
        <v>19</v>
      </c>
      <c r="F1418">
        <v>4</v>
      </c>
      <c r="G1418">
        <v>1</v>
      </c>
      <c r="H1418">
        <f>표4[[#This Row],[공격성공횟수]]/(표4[[#This Row],[공격실패횟수]]+표4[[#This Row],[공격성공횟수]])</f>
        <v>0.05</v>
      </c>
    </row>
    <row r="1419" spans="1:8" hidden="1" x14ac:dyDescent="0.4">
      <c r="A1419">
        <v>709</v>
      </c>
      <c r="B1419" t="s">
        <v>2</v>
      </c>
      <c r="C1419">
        <v>1</v>
      </c>
      <c r="D1419">
        <v>4</v>
      </c>
      <c r="E1419">
        <v>17</v>
      </c>
      <c r="F1419">
        <v>1</v>
      </c>
      <c r="G1419">
        <v>0</v>
      </c>
      <c r="H1419">
        <f>표4[[#This Row],[공격성공횟수]]/(표4[[#This Row],[공격실패횟수]]+표4[[#This Row],[공격성공횟수]])</f>
        <v>0.19047619047619047</v>
      </c>
    </row>
    <row r="1420" spans="1:8" x14ac:dyDescent="0.4">
      <c r="A1420">
        <v>710</v>
      </c>
      <c r="B1420" t="s">
        <v>3</v>
      </c>
      <c r="C1420">
        <v>1</v>
      </c>
      <c r="D1420">
        <v>4</v>
      </c>
      <c r="E1420">
        <v>52</v>
      </c>
      <c r="F1420">
        <v>1</v>
      </c>
      <c r="G1420">
        <v>0</v>
      </c>
      <c r="H1420">
        <f>표4[[#This Row],[공격성공횟수]]/(표4[[#This Row],[공격실패횟수]]+표4[[#This Row],[공격성공횟수]])</f>
        <v>7.1428571428571425E-2</v>
      </c>
    </row>
    <row r="1421" spans="1:8" hidden="1" x14ac:dyDescent="0.4">
      <c r="A1421">
        <v>710</v>
      </c>
      <c r="B1421" t="s">
        <v>2</v>
      </c>
      <c r="C1421">
        <v>0</v>
      </c>
      <c r="D1421">
        <v>1</v>
      </c>
      <c r="E1421">
        <v>77</v>
      </c>
      <c r="F1421">
        <v>4</v>
      </c>
      <c r="G1421">
        <v>1</v>
      </c>
      <c r="H1421">
        <f>표4[[#This Row],[공격성공횟수]]/(표4[[#This Row],[공격실패횟수]]+표4[[#This Row],[공격성공횟수]])</f>
        <v>1.282051282051282E-2</v>
      </c>
    </row>
    <row r="1422" spans="1:8" x14ac:dyDescent="0.4">
      <c r="A1422">
        <v>711</v>
      </c>
      <c r="B1422" t="s">
        <v>3</v>
      </c>
      <c r="C1422">
        <v>0</v>
      </c>
      <c r="D1422">
        <v>0</v>
      </c>
      <c r="E1422">
        <v>7</v>
      </c>
      <c r="F1422">
        <v>4</v>
      </c>
      <c r="G1422">
        <v>1</v>
      </c>
      <c r="H1422">
        <f>표4[[#This Row],[공격성공횟수]]/(표4[[#This Row],[공격실패횟수]]+표4[[#This Row],[공격성공횟수]])</f>
        <v>0</v>
      </c>
    </row>
    <row r="1423" spans="1:8" hidden="1" x14ac:dyDescent="0.4">
      <c r="A1423">
        <v>711</v>
      </c>
      <c r="B1423" t="s">
        <v>2</v>
      </c>
      <c r="C1423">
        <v>1</v>
      </c>
      <c r="D1423">
        <v>4</v>
      </c>
      <c r="E1423">
        <v>28</v>
      </c>
      <c r="F1423">
        <v>0</v>
      </c>
      <c r="G1423">
        <v>0</v>
      </c>
      <c r="H1423">
        <f>표4[[#This Row],[공격성공횟수]]/(표4[[#This Row],[공격실패횟수]]+표4[[#This Row],[공격성공횟수]])</f>
        <v>0.125</v>
      </c>
    </row>
    <row r="1424" spans="1:8" x14ac:dyDescent="0.4">
      <c r="A1424">
        <v>712</v>
      </c>
      <c r="B1424" t="s">
        <v>3</v>
      </c>
      <c r="C1424">
        <v>1</v>
      </c>
      <c r="D1424">
        <v>4</v>
      </c>
      <c r="E1424">
        <v>18</v>
      </c>
      <c r="F1424">
        <v>2</v>
      </c>
      <c r="G1424">
        <v>0</v>
      </c>
      <c r="H1424">
        <f>표4[[#This Row],[공격성공횟수]]/(표4[[#This Row],[공격실패횟수]]+표4[[#This Row],[공격성공횟수]])</f>
        <v>0.18181818181818182</v>
      </c>
    </row>
    <row r="1425" spans="1:8" hidden="1" x14ac:dyDescent="0.4">
      <c r="A1425">
        <v>712</v>
      </c>
      <c r="B1425" t="s">
        <v>2</v>
      </c>
      <c r="C1425">
        <v>0</v>
      </c>
      <c r="D1425">
        <v>2</v>
      </c>
      <c r="E1425">
        <v>18</v>
      </c>
      <c r="F1425">
        <v>4</v>
      </c>
      <c r="G1425">
        <v>1</v>
      </c>
      <c r="H1425">
        <f>표4[[#This Row],[공격성공횟수]]/(표4[[#This Row],[공격실패횟수]]+표4[[#This Row],[공격성공횟수]])</f>
        <v>0.1</v>
      </c>
    </row>
    <row r="1426" spans="1:8" x14ac:dyDescent="0.4">
      <c r="A1426">
        <v>713</v>
      </c>
      <c r="B1426" t="s">
        <v>3</v>
      </c>
      <c r="C1426">
        <v>0</v>
      </c>
      <c r="D1426">
        <v>0</v>
      </c>
      <c r="E1426">
        <v>10</v>
      </c>
      <c r="F1426">
        <v>4</v>
      </c>
      <c r="G1426">
        <v>1</v>
      </c>
      <c r="H1426">
        <f>표4[[#This Row],[공격성공횟수]]/(표4[[#This Row],[공격실패횟수]]+표4[[#This Row],[공격성공횟수]])</f>
        <v>0</v>
      </c>
    </row>
    <row r="1427" spans="1:8" hidden="1" x14ac:dyDescent="0.4">
      <c r="A1427">
        <v>713</v>
      </c>
      <c r="B1427" t="s">
        <v>2</v>
      </c>
      <c r="C1427">
        <v>1</v>
      </c>
      <c r="D1427">
        <v>4</v>
      </c>
      <c r="E1427">
        <v>21</v>
      </c>
      <c r="F1427">
        <v>0</v>
      </c>
      <c r="G1427">
        <v>0</v>
      </c>
      <c r="H1427">
        <f>표4[[#This Row],[공격성공횟수]]/(표4[[#This Row],[공격실패횟수]]+표4[[#This Row],[공격성공횟수]])</f>
        <v>0.16</v>
      </c>
    </row>
    <row r="1428" spans="1:8" x14ac:dyDescent="0.4">
      <c r="A1428">
        <v>714</v>
      </c>
      <c r="B1428" t="s">
        <v>3</v>
      </c>
      <c r="C1428">
        <v>1</v>
      </c>
      <c r="D1428">
        <v>4</v>
      </c>
      <c r="E1428">
        <v>5</v>
      </c>
      <c r="F1428">
        <v>3</v>
      </c>
      <c r="G1428">
        <v>0</v>
      </c>
      <c r="H1428">
        <f>표4[[#This Row],[공격성공횟수]]/(표4[[#This Row],[공격실패횟수]]+표4[[#This Row],[공격성공횟수]])</f>
        <v>0.44444444444444442</v>
      </c>
    </row>
    <row r="1429" spans="1:8" hidden="1" x14ac:dyDescent="0.4">
      <c r="A1429">
        <v>714</v>
      </c>
      <c r="B1429" t="s">
        <v>2</v>
      </c>
      <c r="C1429">
        <v>0</v>
      </c>
      <c r="D1429">
        <v>3</v>
      </c>
      <c r="E1429">
        <v>9</v>
      </c>
      <c r="F1429">
        <v>4</v>
      </c>
      <c r="G1429">
        <v>1</v>
      </c>
      <c r="H1429">
        <f>표4[[#This Row],[공격성공횟수]]/(표4[[#This Row],[공격실패횟수]]+표4[[#This Row],[공격성공횟수]])</f>
        <v>0.25</v>
      </c>
    </row>
    <row r="1430" spans="1:8" x14ac:dyDescent="0.4">
      <c r="A1430">
        <v>715</v>
      </c>
      <c r="B1430" t="s">
        <v>3</v>
      </c>
      <c r="C1430">
        <v>0</v>
      </c>
      <c r="D1430">
        <v>0</v>
      </c>
      <c r="E1430">
        <v>15</v>
      </c>
      <c r="F1430">
        <v>4</v>
      </c>
      <c r="G1430">
        <v>1</v>
      </c>
      <c r="H1430">
        <f>표4[[#This Row],[공격성공횟수]]/(표4[[#This Row],[공격실패횟수]]+표4[[#This Row],[공격성공횟수]])</f>
        <v>0</v>
      </c>
    </row>
    <row r="1431" spans="1:8" hidden="1" x14ac:dyDescent="0.4">
      <c r="A1431">
        <v>715</v>
      </c>
      <c r="B1431" t="s">
        <v>2</v>
      </c>
      <c r="C1431">
        <v>1</v>
      </c>
      <c r="D1431">
        <v>4</v>
      </c>
      <c r="E1431">
        <v>12</v>
      </c>
      <c r="F1431">
        <v>0</v>
      </c>
      <c r="G1431">
        <v>0</v>
      </c>
      <c r="H1431">
        <f>표4[[#This Row],[공격성공횟수]]/(표4[[#This Row],[공격실패횟수]]+표4[[#This Row],[공격성공횟수]])</f>
        <v>0.25</v>
      </c>
    </row>
    <row r="1432" spans="1:8" x14ac:dyDescent="0.4">
      <c r="A1432">
        <v>716</v>
      </c>
      <c r="B1432" t="s">
        <v>3</v>
      </c>
      <c r="C1432">
        <v>1</v>
      </c>
      <c r="D1432">
        <v>4</v>
      </c>
      <c r="E1432">
        <v>11</v>
      </c>
      <c r="F1432">
        <v>0</v>
      </c>
      <c r="G1432">
        <v>0</v>
      </c>
      <c r="H1432">
        <f>표4[[#This Row],[공격성공횟수]]/(표4[[#This Row],[공격실패횟수]]+표4[[#This Row],[공격성공횟수]])</f>
        <v>0.26666666666666666</v>
      </c>
    </row>
    <row r="1433" spans="1:8" hidden="1" x14ac:dyDescent="0.4">
      <c r="A1433">
        <v>716</v>
      </c>
      <c r="B1433" t="s">
        <v>2</v>
      </c>
      <c r="C1433">
        <v>0</v>
      </c>
      <c r="D1433">
        <v>0</v>
      </c>
      <c r="E1433">
        <v>13</v>
      </c>
      <c r="F1433">
        <v>4</v>
      </c>
      <c r="G1433">
        <v>1</v>
      </c>
      <c r="H1433">
        <f>표4[[#This Row],[공격성공횟수]]/(표4[[#This Row],[공격실패횟수]]+표4[[#This Row],[공격성공횟수]])</f>
        <v>0</v>
      </c>
    </row>
    <row r="1434" spans="1:8" x14ac:dyDescent="0.4">
      <c r="A1434">
        <v>717</v>
      </c>
      <c r="B1434" t="s">
        <v>3</v>
      </c>
      <c r="C1434">
        <v>0</v>
      </c>
      <c r="D1434">
        <v>0</v>
      </c>
      <c r="E1434">
        <v>4</v>
      </c>
      <c r="F1434">
        <v>4</v>
      </c>
      <c r="G1434">
        <v>1</v>
      </c>
      <c r="H1434">
        <f>표4[[#This Row],[공격성공횟수]]/(표4[[#This Row],[공격실패횟수]]+표4[[#This Row],[공격성공횟수]])</f>
        <v>0</v>
      </c>
    </row>
    <row r="1435" spans="1:8" hidden="1" x14ac:dyDescent="0.4">
      <c r="A1435">
        <v>717</v>
      </c>
      <c r="B1435" t="s">
        <v>2</v>
      </c>
      <c r="C1435">
        <v>1</v>
      </c>
      <c r="D1435">
        <v>4</v>
      </c>
      <c r="E1435">
        <v>20</v>
      </c>
      <c r="F1435">
        <v>0</v>
      </c>
      <c r="G1435">
        <v>0</v>
      </c>
      <c r="H1435">
        <f>표4[[#This Row],[공격성공횟수]]/(표4[[#This Row],[공격실패횟수]]+표4[[#This Row],[공격성공횟수]])</f>
        <v>0.16666666666666666</v>
      </c>
    </row>
    <row r="1436" spans="1:8" x14ac:dyDescent="0.4">
      <c r="A1436">
        <v>718</v>
      </c>
      <c r="B1436" t="s">
        <v>3</v>
      </c>
      <c r="C1436">
        <v>1</v>
      </c>
      <c r="D1436">
        <v>4</v>
      </c>
      <c r="E1436">
        <v>5</v>
      </c>
      <c r="F1436">
        <v>0</v>
      </c>
      <c r="G1436">
        <v>0</v>
      </c>
      <c r="H1436">
        <f>표4[[#This Row],[공격성공횟수]]/(표4[[#This Row],[공격실패횟수]]+표4[[#This Row],[공격성공횟수]])</f>
        <v>0.44444444444444442</v>
      </c>
    </row>
    <row r="1437" spans="1:8" hidden="1" x14ac:dyDescent="0.4">
      <c r="A1437">
        <v>718</v>
      </c>
      <c r="B1437" t="s">
        <v>2</v>
      </c>
      <c r="C1437">
        <v>0</v>
      </c>
      <c r="D1437">
        <v>0</v>
      </c>
      <c r="E1437">
        <v>8</v>
      </c>
      <c r="F1437">
        <v>4</v>
      </c>
      <c r="G1437">
        <v>1</v>
      </c>
      <c r="H1437">
        <f>표4[[#This Row],[공격성공횟수]]/(표4[[#This Row],[공격실패횟수]]+표4[[#This Row],[공격성공횟수]])</f>
        <v>0</v>
      </c>
    </row>
    <row r="1438" spans="1:8" x14ac:dyDescent="0.4">
      <c r="A1438">
        <v>719</v>
      </c>
      <c r="B1438" t="s">
        <v>3</v>
      </c>
      <c r="C1438">
        <v>1</v>
      </c>
      <c r="D1438">
        <v>4</v>
      </c>
      <c r="E1438">
        <v>8</v>
      </c>
      <c r="F1438">
        <v>3</v>
      </c>
      <c r="G1438">
        <v>0</v>
      </c>
      <c r="H1438">
        <f>표4[[#This Row],[공격성공횟수]]/(표4[[#This Row],[공격실패횟수]]+표4[[#This Row],[공격성공횟수]])</f>
        <v>0.33333333333333331</v>
      </c>
    </row>
    <row r="1439" spans="1:8" hidden="1" x14ac:dyDescent="0.4">
      <c r="A1439">
        <v>719</v>
      </c>
      <c r="B1439" t="s">
        <v>2</v>
      </c>
      <c r="C1439">
        <v>0</v>
      </c>
      <c r="D1439">
        <v>3</v>
      </c>
      <c r="E1439">
        <v>23</v>
      </c>
      <c r="F1439">
        <v>4</v>
      </c>
      <c r="G1439">
        <v>1</v>
      </c>
      <c r="H1439">
        <f>표4[[#This Row],[공격성공횟수]]/(표4[[#This Row],[공격실패횟수]]+표4[[#This Row],[공격성공횟수]])</f>
        <v>0.11538461538461539</v>
      </c>
    </row>
    <row r="1440" spans="1:8" x14ac:dyDescent="0.4">
      <c r="A1440">
        <v>720</v>
      </c>
      <c r="B1440" t="s">
        <v>3</v>
      </c>
      <c r="C1440">
        <v>1</v>
      </c>
      <c r="D1440">
        <v>4</v>
      </c>
      <c r="E1440">
        <v>24</v>
      </c>
      <c r="F1440">
        <v>3</v>
      </c>
      <c r="G1440">
        <v>0</v>
      </c>
      <c r="H1440">
        <f>표4[[#This Row],[공격성공횟수]]/(표4[[#This Row],[공격실패횟수]]+표4[[#This Row],[공격성공횟수]])</f>
        <v>0.14285714285714285</v>
      </c>
    </row>
    <row r="1441" spans="1:8" hidden="1" x14ac:dyDescent="0.4">
      <c r="A1441">
        <v>720</v>
      </c>
      <c r="B1441" t="s">
        <v>2</v>
      </c>
      <c r="C1441">
        <v>0</v>
      </c>
      <c r="D1441">
        <v>3</v>
      </c>
      <c r="E1441">
        <v>29</v>
      </c>
      <c r="F1441">
        <v>4</v>
      </c>
      <c r="G1441">
        <v>1</v>
      </c>
      <c r="H1441">
        <f>표4[[#This Row],[공격성공횟수]]/(표4[[#This Row],[공격실패횟수]]+표4[[#This Row],[공격성공횟수]])</f>
        <v>9.375E-2</v>
      </c>
    </row>
    <row r="1442" spans="1:8" x14ac:dyDescent="0.4">
      <c r="A1442">
        <v>721</v>
      </c>
      <c r="B1442" t="s">
        <v>3</v>
      </c>
      <c r="C1442">
        <v>0</v>
      </c>
      <c r="D1442">
        <v>2</v>
      </c>
      <c r="E1442">
        <v>106</v>
      </c>
      <c r="F1442">
        <v>0</v>
      </c>
      <c r="G1442">
        <v>0</v>
      </c>
      <c r="H1442">
        <f>표4[[#This Row],[공격성공횟수]]/(표4[[#This Row],[공격실패횟수]]+표4[[#This Row],[공격성공횟수]])</f>
        <v>1.8518518518518517E-2</v>
      </c>
    </row>
    <row r="1443" spans="1:8" hidden="1" x14ac:dyDescent="0.4">
      <c r="A1443">
        <v>721</v>
      </c>
      <c r="B1443" t="s">
        <v>2</v>
      </c>
      <c r="C1443">
        <v>0</v>
      </c>
      <c r="D1443">
        <v>0</v>
      </c>
      <c r="E1443">
        <v>115</v>
      </c>
      <c r="F1443">
        <v>2</v>
      </c>
      <c r="G1443">
        <v>0</v>
      </c>
      <c r="H1443">
        <f>표4[[#This Row],[공격성공횟수]]/(표4[[#This Row],[공격실패횟수]]+표4[[#This Row],[공격성공횟수]])</f>
        <v>0</v>
      </c>
    </row>
    <row r="1444" spans="1:8" x14ac:dyDescent="0.4">
      <c r="A1444">
        <v>722</v>
      </c>
      <c r="B1444" t="s">
        <v>3</v>
      </c>
      <c r="C1444">
        <v>1</v>
      </c>
      <c r="D1444">
        <v>4</v>
      </c>
      <c r="E1444">
        <v>20</v>
      </c>
      <c r="F1444">
        <v>3</v>
      </c>
      <c r="G1444">
        <v>0</v>
      </c>
      <c r="H1444">
        <f>표4[[#This Row],[공격성공횟수]]/(표4[[#This Row],[공격실패횟수]]+표4[[#This Row],[공격성공횟수]])</f>
        <v>0.16666666666666666</v>
      </c>
    </row>
    <row r="1445" spans="1:8" hidden="1" x14ac:dyDescent="0.4">
      <c r="A1445">
        <v>722</v>
      </c>
      <c r="B1445" t="s">
        <v>2</v>
      </c>
      <c r="C1445">
        <v>0</v>
      </c>
      <c r="D1445">
        <v>3</v>
      </c>
      <c r="E1445">
        <v>20</v>
      </c>
      <c r="F1445">
        <v>4</v>
      </c>
      <c r="G1445">
        <v>1</v>
      </c>
      <c r="H1445">
        <f>표4[[#This Row],[공격성공횟수]]/(표4[[#This Row],[공격실패횟수]]+표4[[#This Row],[공격성공횟수]])</f>
        <v>0.13043478260869565</v>
      </c>
    </row>
    <row r="1446" spans="1:8" x14ac:dyDescent="0.4">
      <c r="A1446">
        <v>723</v>
      </c>
      <c r="B1446" t="s">
        <v>3</v>
      </c>
      <c r="C1446">
        <v>1</v>
      </c>
      <c r="D1446">
        <v>4</v>
      </c>
      <c r="E1446">
        <v>10</v>
      </c>
      <c r="F1446">
        <v>1</v>
      </c>
      <c r="G1446">
        <v>0</v>
      </c>
      <c r="H1446">
        <f>표4[[#This Row],[공격성공횟수]]/(표4[[#This Row],[공격실패횟수]]+표4[[#This Row],[공격성공횟수]])</f>
        <v>0.2857142857142857</v>
      </c>
    </row>
    <row r="1447" spans="1:8" hidden="1" x14ac:dyDescent="0.4">
      <c r="A1447">
        <v>723</v>
      </c>
      <c r="B1447" t="s">
        <v>2</v>
      </c>
      <c r="C1447">
        <v>0</v>
      </c>
      <c r="D1447">
        <v>1</v>
      </c>
      <c r="E1447">
        <v>13</v>
      </c>
      <c r="F1447">
        <v>4</v>
      </c>
      <c r="G1447">
        <v>1</v>
      </c>
      <c r="H1447">
        <f>표4[[#This Row],[공격성공횟수]]/(표4[[#This Row],[공격실패횟수]]+표4[[#This Row],[공격성공횟수]])</f>
        <v>7.1428571428571425E-2</v>
      </c>
    </row>
    <row r="1448" spans="1:8" x14ac:dyDescent="0.4">
      <c r="A1448">
        <v>724</v>
      </c>
      <c r="B1448" t="s">
        <v>3</v>
      </c>
      <c r="C1448">
        <v>1</v>
      </c>
      <c r="D1448">
        <v>4</v>
      </c>
      <c r="E1448">
        <v>4</v>
      </c>
      <c r="F1448">
        <v>2</v>
      </c>
      <c r="G1448">
        <v>0</v>
      </c>
      <c r="H1448">
        <f>표4[[#This Row],[공격성공횟수]]/(표4[[#This Row],[공격실패횟수]]+표4[[#This Row],[공격성공횟수]])</f>
        <v>0.5</v>
      </c>
    </row>
    <row r="1449" spans="1:8" hidden="1" x14ac:dyDescent="0.4">
      <c r="A1449">
        <v>724</v>
      </c>
      <c r="B1449" t="s">
        <v>2</v>
      </c>
      <c r="C1449">
        <v>0</v>
      </c>
      <c r="D1449">
        <v>2</v>
      </c>
      <c r="E1449">
        <v>5</v>
      </c>
      <c r="F1449">
        <v>4</v>
      </c>
      <c r="G1449">
        <v>1</v>
      </c>
      <c r="H1449">
        <f>표4[[#This Row],[공격성공횟수]]/(표4[[#This Row],[공격실패횟수]]+표4[[#This Row],[공격성공횟수]])</f>
        <v>0.2857142857142857</v>
      </c>
    </row>
    <row r="1450" spans="1:8" x14ac:dyDescent="0.4">
      <c r="A1450">
        <v>725</v>
      </c>
      <c r="B1450" t="s">
        <v>3</v>
      </c>
      <c r="C1450">
        <v>1</v>
      </c>
      <c r="D1450">
        <v>4</v>
      </c>
      <c r="E1450">
        <v>15</v>
      </c>
      <c r="F1450">
        <v>1</v>
      </c>
      <c r="G1450">
        <v>0</v>
      </c>
      <c r="H1450">
        <f>표4[[#This Row],[공격성공횟수]]/(표4[[#This Row],[공격실패횟수]]+표4[[#This Row],[공격성공횟수]])</f>
        <v>0.21052631578947367</v>
      </c>
    </row>
    <row r="1451" spans="1:8" hidden="1" x14ac:dyDescent="0.4">
      <c r="A1451">
        <v>725</v>
      </c>
      <c r="B1451" t="s">
        <v>2</v>
      </c>
      <c r="C1451">
        <v>0</v>
      </c>
      <c r="D1451">
        <v>1</v>
      </c>
      <c r="E1451">
        <v>18</v>
      </c>
      <c r="F1451">
        <v>4</v>
      </c>
      <c r="G1451">
        <v>1</v>
      </c>
      <c r="H1451">
        <f>표4[[#This Row],[공격성공횟수]]/(표4[[#This Row],[공격실패횟수]]+표4[[#This Row],[공격성공횟수]])</f>
        <v>5.2631578947368418E-2</v>
      </c>
    </row>
    <row r="1452" spans="1:8" x14ac:dyDescent="0.4">
      <c r="A1452">
        <v>726</v>
      </c>
      <c r="B1452" t="s">
        <v>3</v>
      </c>
      <c r="C1452">
        <v>0</v>
      </c>
      <c r="D1452">
        <v>3</v>
      </c>
      <c r="E1452">
        <v>20</v>
      </c>
      <c r="F1452">
        <v>4</v>
      </c>
      <c r="G1452">
        <v>1</v>
      </c>
      <c r="H1452">
        <f>표4[[#This Row],[공격성공횟수]]/(표4[[#This Row],[공격실패횟수]]+표4[[#This Row],[공격성공횟수]])</f>
        <v>0.13043478260869565</v>
      </c>
    </row>
    <row r="1453" spans="1:8" hidden="1" x14ac:dyDescent="0.4">
      <c r="A1453">
        <v>726</v>
      </c>
      <c r="B1453" t="s">
        <v>2</v>
      </c>
      <c r="C1453">
        <v>1</v>
      </c>
      <c r="D1453">
        <v>4</v>
      </c>
      <c r="E1453">
        <v>42</v>
      </c>
      <c r="F1453">
        <v>3</v>
      </c>
      <c r="G1453">
        <v>0</v>
      </c>
      <c r="H1453">
        <f>표4[[#This Row],[공격성공횟수]]/(표4[[#This Row],[공격실패횟수]]+표4[[#This Row],[공격성공횟수]])</f>
        <v>8.6956521739130432E-2</v>
      </c>
    </row>
    <row r="1454" spans="1:8" x14ac:dyDescent="0.4">
      <c r="A1454">
        <v>727</v>
      </c>
      <c r="B1454" t="s">
        <v>3</v>
      </c>
      <c r="C1454">
        <v>1</v>
      </c>
      <c r="D1454">
        <v>4</v>
      </c>
      <c r="E1454">
        <v>10</v>
      </c>
      <c r="F1454">
        <v>0</v>
      </c>
      <c r="G1454">
        <v>0</v>
      </c>
      <c r="H1454">
        <f>표4[[#This Row],[공격성공횟수]]/(표4[[#This Row],[공격실패횟수]]+표4[[#This Row],[공격성공횟수]])</f>
        <v>0.2857142857142857</v>
      </c>
    </row>
    <row r="1455" spans="1:8" hidden="1" x14ac:dyDescent="0.4">
      <c r="A1455">
        <v>727</v>
      </c>
      <c r="B1455" t="s">
        <v>2</v>
      </c>
      <c r="C1455">
        <v>0</v>
      </c>
      <c r="D1455">
        <v>0</v>
      </c>
      <c r="E1455">
        <v>28</v>
      </c>
      <c r="F1455">
        <v>4</v>
      </c>
      <c r="G1455">
        <v>1</v>
      </c>
      <c r="H1455">
        <f>표4[[#This Row],[공격성공횟수]]/(표4[[#This Row],[공격실패횟수]]+표4[[#This Row],[공격성공횟수]])</f>
        <v>0</v>
      </c>
    </row>
    <row r="1456" spans="1:8" x14ac:dyDescent="0.4">
      <c r="A1456">
        <v>728</v>
      </c>
      <c r="B1456" t="s">
        <v>3</v>
      </c>
      <c r="C1456">
        <v>1</v>
      </c>
      <c r="D1456">
        <v>4</v>
      </c>
      <c r="E1456">
        <v>16</v>
      </c>
      <c r="F1456">
        <v>2</v>
      </c>
      <c r="G1456">
        <v>0</v>
      </c>
      <c r="H1456">
        <f>표4[[#This Row],[공격성공횟수]]/(표4[[#This Row],[공격실패횟수]]+표4[[#This Row],[공격성공횟수]])</f>
        <v>0.2</v>
      </c>
    </row>
    <row r="1457" spans="1:8" hidden="1" x14ac:dyDescent="0.4">
      <c r="A1457">
        <v>728</v>
      </c>
      <c r="B1457" t="s">
        <v>2</v>
      </c>
      <c r="C1457">
        <v>0</v>
      </c>
      <c r="D1457">
        <v>2</v>
      </c>
      <c r="E1457">
        <v>28</v>
      </c>
      <c r="F1457">
        <v>4</v>
      </c>
      <c r="G1457">
        <v>1</v>
      </c>
      <c r="H1457">
        <f>표4[[#This Row],[공격성공횟수]]/(표4[[#This Row],[공격실패횟수]]+표4[[#This Row],[공격성공횟수]])</f>
        <v>6.6666666666666666E-2</v>
      </c>
    </row>
    <row r="1458" spans="1:8" x14ac:dyDescent="0.4">
      <c r="A1458">
        <v>729</v>
      </c>
      <c r="B1458" t="s">
        <v>3</v>
      </c>
      <c r="C1458">
        <v>1</v>
      </c>
      <c r="D1458">
        <v>4</v>
      </c>
      <c r="E1458">
        <v>11</v>
      </c>
      <c r="F1458">
        <v>3</v>
      </c>
      <c r="G1458">
        <v>0</v>
      </c>
      <c r="H1458">
        <f>표4[[#This Row],[공격성공횟수]]/(표4[[#This Row],[공격실패횟수]]+표4[[#This Row],[공격성공횟수]])</f>
        <v>0.26666666666666666</v>
      </c>
    </row>
    <row r="1459" spans="1:8" hidden="1" x14ac:dyDescent="0.4">
      <c r="A1459">
        <v>729</v>
      </c>
      <c r="B1459" t="s">
        <v>2</v>
      </c>
      <c r="C1459">
        <v>0</v>
      </c>
      <c r="D1459">
        <v>3</v>
      </c>
      <c r="E1459">
        <v>12</v>
      </c>
      <c r="F1459">
        <v>4</v>
      </c>
      <c r="G1459">
        <v>1</v>
      </c>
      <c r="H1459">
        <f>표4[[#This Row],[공격성공횟수]]/(표4[[#This Row],[공격실패횟수]]+표4[[#This Row],[공격성공횟수]])</f>
        <v>0.2</v>
      </c>
    </row>
    <row r="1460" spans="1:8" x14ac:dyDescent="0.4">
      <c r="A1460">
        <v>730</v>
      </c>
      <c r="B1460" t="s">
        <v>3</v>
      </c>
      <c r="C1460">
        <v>1</v>
      </c>
      <c r="D1460">
        <v>4</v>
      </c>
      <c r="E1460">
        <v>74</v>
      </c>
      <c r="F1460">
        <v>2</v>
      </c>
      <c r="G1460">
        <v>0</v>
      </c>
      <c r="H1460">
        <f>표4[[#This Row],[공격성공횟수]]/(표4[[#This Row],[공격실패횟수]]+표4[[#This Row],[공격성공횟수]])</f>
        <v>5.128205128205128E-2</v>
      </c>
    </row>
    <row r="1461" spans="1:8" hidden="1" x14ac:dyDescent="0.4">
      <c r="A1461">
        <v>730</v>
      </c>
      <c r="B1461" t="s">
        <v>2</v>
      </c>
      <c r="C1461">
        <v>0</v>
      </c>
      <c r="D1461">
        <v>2</v>
      </c>
      <c r="E1461">
        <v>81</v>
      </c>
      <c r="F1461">
        <v>4</v>
      </c>
      <c r="G1461">
        <v>1</v>
      </c>
      <c r="H1461">
        <f>표4[[#This Row],[공격성공횟수]]/(표4[[#This Row],[공격실패횟수]]+표4[[#This Row],[공격성공횟수]])</f>
        <v>2.4096385542168676E-2</v>
      </c>
    </row>
    <row r="1462" spans="1:8" x14ac:dyDescent="0.4">
      <c r="A1462">
        <v>731</v>
      </c>
      <c r="B1462" t="s">
        <v>3</v>
      </c>
      <c r="C1462">
        <v>1</v>
      </c>
      <c r="D1462">
        <v>4</v>
      </c>
      <c r="E1462">
        <v>10</v>
      </c>
      <c r="F1462">
        <v>3</v>
      </c>
      <c r="G1462">
        <v>0</v>
      </c>
      <c r="H1462">
        <f>표4[[#This Row],[공격성공횟수]]/(표4[[#This Row],[공격실패횟수]]+표4[[#This Row],[공격성공횟수]])</f>
        <v>0.2857142857142857</v>
      </c>
    </row>
    <row r="1463" spans="1:8" hidden="1" x14ac:dyDescent="0.4">
      <c r="A1463">
        <v>731</v>
      </c>
      <c r="B1463" t="s">
        <v>2</v>
      </c>
      <c r="C1463">
        <v>0</v>
      </c>
      <c r="D1463">
        <v>3</v>
      </c>
      <c r="E1463">
        <v>11</v>
      </c>
      <c r="F1463">
        <v>4</v>
      </c>
      <c r="G1463">
        <v>1</v>
      </c>
      <c r="H1463">
        <f>표4[[#This Row],[공격성공횟수]]/(표4[[#This Row],[공격실패횟수]]+표4[[#This Row],[공격성공횟수]])</f>
        <v>0.21428571428571427</v>
      </c>
    </row>
    <row r="1464" spans="1:8" x14ac:dyDescent="0.4">
      <c r="A1464">
        <v>732</v>
      </c>
      <c r="B1464" t="s">
        <v>3</v>
      </c>
      <c r="C1464">
        <v>1</v>
      </c>
      <c r="D1464">
        <v>4</v>
      </c>
      <c r="E1464">
        <v>91</v>
      </c>
      <c r="F1464">
        <v>1</v>
      </c>
      <c r="G1464">
        <v>0</v>
      </c>
      <c r="H1464">
        <f>표4[[#This Row],[공격성공횟수]]/(표4[[#This Row],[공격실패횟수]]+표4[[#This Row],[공격성공횟수]])</f>
        <v>4.2105263157894736E-2</v>
      </c>
    </row>
    <row r="1465" spans="1:8" hidden="1" x14ac:dyDescent="0.4">
      <c r="A1465">
        <v>732</v>
      </c>
      <c r="B1465" t="s">
        <v>2</v>
      </c>
      <c r="C1465">
        <v>0</v>
      </c>
      <c r="D1465">
        <v>1</v>
      </c>
      <c r="E1465">
        <v>98</v>
      </c>
      <c r="F1465">
        <v>4</v>
      </c>
      <c r="G1465">
        <v>1</v>
      </c>
      <c r="H1465">
        <f>표4[[#This Row],[공격성공횟수]]/(표4[[#This Row],[공격실패횟수]]+표4[[#This Row],[공격성공횟수]])</f>
        <v>1.0101010101010102E-2</v>
      </c>
    </row>
    <row r="1466" spans="1:8" x14ac:dyDescent="0.4">
      <c r="A1466">
        <v>733</v>
      </c>
      <c r="B1466" t="s">
        <v>3</v>
      </c>
      <c r="C1466">
        <v>1</v>
      </c>
      <c r="D1466">
        <v>4</v>
      </c>
      <c r="E1466">
        <v>8</v>
      </c>
      <c r="F1466">
        <v>0</v>
      </c>
      <c r="G1466">
        <v>0</v>
      </c>
      <c r="H1466">
        <f>표4[[#This Row],[공격성공횟수]]/(표4[[#This Row],[공격실패횟수]]+표4[[#This Row],[공격성공횟수]])</f>
        <v>0.33333333333333331</v>
      </c>
    </row>
    <row r="1467" spans="1:8" hidden="1" x14ac:dyDescent="0.4">
      <c r="A1467">
        <v>733</v>
      </c>
      <c r="B1467" t="s">
        <v>2</v>
      </c>
      <c r="C1467">
        <v>0</v>
      </c>
      <c r="D1467">
        <v>0</v>
      </c>
      <c r="E1467">
        <v>12</v>
      </c>
      <c r="F1467">
        <v>4</v>
      </c>
      <c r="G1467">
        <v>1</v>
      </c>
      <c r="H1467">
        <f>표4[[#This Row],[공격성공횟수]]/(표4[[#This Row],[공격실패횟수]]+표4[[#This Row],[공격성공횟수]])</f>
        <v>0</v>
      </c>
    </row>
    <row r="1468" spans="1:8" x14ac:dyDescent="0.4">
      <c r="A1468">
        <v>734</v>
      </c>
      <c r="B1468" t="s">
        <v>3</v>
      </c>
      <c r="C1468">
        <v>1</v>
      </c>
      <c r="D1468">
        <v>4</v>
      </c>
      <c r="E1468">
        <v>24</v>
      </c>
      <c r="F1468">
        <v>2</v>
      </c>
      <c r="G1468">
        <v>0</v>
      </c>
      <c r="H1468">
        <f>표4[[#This Row],[공격성공횟수]]/(표4[[#This Row],[공격실패횟수]]+표4[[#This Row],[공격성공횟수]])</f>
        <v>0.14285714285714285</v>
      </c>
    </row>
    <row r="1469" spans="1:8" hidden="1" x14ac:dyDescent="0.4">
      <c r="A1469">
        <v>734</v>
      </c>
      <c r="B1469" t="s">
        <v>2</v>
      </c>
      <c r="C1469">
        <v>0</v>
      </c>
      <c r="D1469">
        <v>2</v>
      </c>
      <c r="E1469">
        <v>25</v>
      </c>
      <c r="F1469">
        <v>4</v>
      </c>
      <c r="G1469">
        <v>1</v>
      </c>
      <c r="H1469">
        <f>표4[[#This Row],[공격성공횟수]]/(표4[[#This Row],[공격실패횟수]]+표4[[#This Row],[공격성공횟수]])</f>
        <v>7.407407407407407E-2</v>
      </c>
    </row>
    <row r="1470" spans="1:8" x14ac:dyDescent="0.4">
      <c r="A1470">
        <v>735</v>
      </c>
      <c r="B1470" t="s">
        <v>3</v>
      </c>
      <c r="C1470">
        <v>0</v>
      </c>
      <c r="D1470">
        <v>0</v>
      </c>
      <c r="E1470">
        <v>1</v>
      </c>
      <c r="F1470">
        <v>4</v>
      </c>
      <c r="G1470">
        <v>1</v>
      </c>
      <c r="H1470">
        <f>표4[[#This Row],[공격성공횟수]]/(표4[[#This Row],[공격실패횟수]]+표4[[#This Row],[공격성공횟수]])</f>
        <v>0</v>
      </c>
    </row>
    <row r="1471" spans="1:8" hidden="1" x14ac:dyDescent="0.4">
      <c r="A1471">
        <v>735</v>
      </c>
      <c r="B1471" t="s">
        <v>2</v>
      </c>
      <c r="C1471">
        <v>1</v>
      </c>
      <c r="D1471">
        <v>4</v>
      </c>
      <c r="E1471">
        <v>4</v>
      </c>
      <c r="F1471">
        <v>0</v>
      </c>
      <c r="G1471">
        <v>0</v>
      </c>
      <c r="H1471">
        <f>표4[[#This Row],[공격성공횟수]]/(표4[[#This Row],[공격실패횟수]]+표4[[#This Row],[공격성공횟수]])</f>
        <v>0.5</v>
      </c>
    </row>
    <row r="1472" spans="1:8" x14ac:dyDescent="0.4">
      <c r="A1472">
        <v>736</v>
      </c>
      <c r="B1472" t="s">
        <v>3</v>
      </c>
      <c r="C1472">
        <v>0</v>
      </c>
      <c r="D1472">
        <v>1</v>
      </c>
      <c r="E1472">
        <v>11</v>
      </c>
      <c r="F1472">
        <v>4</v>
      </c>
      <c r="G1472">
        <v>1</v>
      </c>
      <c r="H1472">
        <f>표4[[#This Row],[공격성공횟수]]/(표4[[#This Row],[공격실패횟수]]+표4[[#This Row],[공격성공횟수]])</f>
        <v>8.3333333333333329E-2</v>
      </c>
    </row>
    <row r="1473" spans="1:8" hidden="1" x14ac:dyDescent="0.4">
      <c r="A1473">
        <v>736</v>
      </c>
      <c r="B1473" t="s">
        <v>2</v>
      </c>
      <c r="C1473">
        <v>1</v>
      </c>
      <c r="D1473">
        <v>4</v>
      </c>
      <c r="E1473">
        <v>13</v>
      </c>
      <c r="F1473">
        <v>1</v>
      </c>
      <c r="G1473">
        <v>0</v>
      </c>
      <c r="H1473">
        <f>표4[[#This Row],[공격성공횟수]]/(표4[[#This Row],[공격실패횟수]]+표4[[#This Row],[공격성공횟수]])</f>
        <v>0.23529411764705882</v>
      </c>
    </row>
    <row r="1474" spans="1:8" x14ac:dyDescent="0.4">
      <c r="A1474">
        <v>737</v>
      </c>
      <c r="B1474" t="s">
        <v>3</v>
      </c>
      <c r="C1474">
        <v>0</v>
      </c>
      <c r="D1474">
        <v>3</v>
      </c>
      <c r="E1474">
        <v>17</v>
      </c>
      <c r="F1474">
        <v>4</v>
      </c>
      <c r="G1474">
        <v>1</v>
      </c>
      <c r="H1474">
        <f>표4[[#This Row],[공격성공횟수]]/(표4[[#This Row],[공격실패횟수]]+표4[[#This Row],[공격성공횟수]])</f>
        <v>0.15</v>
      </c>
    </row>
    <row r="1475" spans="1:8" hidden="1" x14ac:dyDescent="0.4">
      <c r="A1475">
        <v>737</v>
      </c>
      <c r="B1475" t="s">
        <v>2</v>
      </c>
      <c r="C1475">
        <v>1</v>
      </c>
      <c r="D1475">
        <v>4</v>
      </c>
      <c r="E1475">
        <v>25</v>
      </c>
      <c r="F1475">
        <v>3</v>
      </c>
      <c r="G1475">
        <v>0</v>
      </c>
      <c r="H1475">
        <f>표4[[#This Row],[공격성공횟수]]/(표4[[#This Row],[공격실패횟수]]+표4[[#This Row],[공격성공횟수]])</f>
        <v>0.13793103448275862</v>
      </c>
    </row>
    <row r="1476" spans="1:8" x14ac:dyDescent="0.4">
      <c r="A1476">
        <v>738</v>
      </c>
      <c r="B1476" t="s">
        <v>3</v>
      </c>
      <c r="C1476">
        <v>1</v>
      </c>
      <c r="D1476">
        <v>4</v>
      </c>
      <c r="E1476">
        <v>13</v>
      </c>
      <c r="F1476">
        <v>2</v>
      </c>
      <c r="G1476">
        <v>0</v>
      </c>
      <c r="H1476">
        <f>표4[[#This Row],[공격성공횟수]]/(표4[[#This Row],[공격실패횟수]]+표4[[#This Row],[공격성공횟수]])</f>
        <v>0.23529411764705882</v>
      </c>
    </row>
    <row r="1477" spans="1:8" hidden="1" x14ac:dyDescent="0.4">
      <c r="A1477">
        <v>738</v>
      </c>
      <c r="B1477" t="s">
        <v>2</v>
      </c>
      <c r="C1477">
        <v>0</v>
      </c>
      <c r="D1477">
        <v>2</v>
      </c>
      <c r="E1477">
        <v>13</v>
      </c>
      <c r="F1477">
        <v>4</v>
      </c>
      <c r="G1477">
        <v>1</v>
      </c>
      <c r="H1477">
        <f>표4[[#This Row],[공격성공횟수]]/(표4[[#This Row],[공격실패횟수]]+표4[[#This Row],[공격성공횟수]])</f>
        <v>0.13333333333333333</v>
      </c>
    </row>
    <row r="1478" spans="1:8" x14ac:dyDescent="0.4">
      <c r="A1478">
        <v>739</v>
      </c>
      <c r="B1478" t="s">
        <v>3</v>
      </c>
      <c r="C1478">
        <v>1</v>
      </c>
      <c r="D1478">
        <v>4</v>
      </c>
      <c r="E1478">
        <v>5</v>
      </c>
      <c r="F1478">
        <v>2</v>
      </c>
      <c r="G1478">
        <v>0</v>
      </c>
      <c r="H1478">
        <f>표4[[#This Row],[공격성공횟수]]/(표4[[#This Row],[공격실패횟수]]+표4[[#This Row],[공격성공횟수]])</f>
        <v>0.44444444444444442</v>
      </c>
    </row>
    <row r="1479" spans="1:8" hidden="1" x14ac:dyDescent="0.4">
      <c r="A1479">
        <v>739</v>
      </c>
      <c r="B1479" t="s">
        <v>2</v>
      </c>
      <c r="C1479">
        <v>0</v>
      </c>
      <c r="D1479">
        <v>2</v>
      </c>
      <c r="E1479">
        <v>7</v>
      </c>
      <c r="F1479">
        <v>4</v>
      </c>
      <c r="G1479">
        <v>1</v>
      </c>
      <c r="H1479">
        <f>표4[[#This Row],[공격성공횟수]]/(표4[[#This Row],[공격실패횟수]]+표4[[#This Row],[공격성공횟수]])</f>
        <v>0.22222222222222221</v>
      </c>
    </row>
    <row r="1480" spans="1:8" x14ac:dyDescent="0.4">
      <c r="A1480">
        <v>740</v>
      </c>
      <c r="B1480" t="s">
        <v>3</v>
      </c>
      <c r="C1480">
        <v>1</v>
      </c>
      <c r="D1480">
        <v>4</v>
      </c>
      <c r="E1480">
        <v>11</v>
      </c>
      <c r="F1480">
        <v>3</v>
      </c>
      <c r="G1480">
        <v>0</v>
      </c>
      <c r="H1480">
        <f>표4[[#This Row],[공격성공횟수]]/(표4[[#This Row],[공격실패횟수]]+표4[[#This Row],[공격성공횟수]])</f>
        <v>0.26666666666666666</v>
      </c>
    </row>
    <row r="1481" spans="1:8" hidden="1" x14ac:dyDescent="0.4">
      <c r="A1481">
        <v>740</v>
      </c>
      <c r="B1481" t="s">
        <v>2</v>
      </c>
      <c r="C1481">
        <v>0</v>
      </c>
      <c r="D1481">
        <v>3</v>
      </c>
      <c r="E1481">
        <v>12</v>
      </c>
      <c r="F1481">
        <v>4</v>
      </c>
      <c r="G1481">
        <v>1</v>
      </c>
      <c r="H1481">
        <f>표4[[#This Row],[공격성공횟수]]/(표4[[#This Row],[공격실패횟수]]+표4[[#This Row],[공격성공횟수]])</f>
        <v>0.2</v>
      </c>
    </row>
    <row r="1482" spans="1:8" x14ac:dyDescent="0.4">
      <c r="A1482">
        <v>741</v>
      </c>
      <c r="B1482" t="s">
        <v>3</v>
      </c>
      <c r="C1482">
        <v>0</v>
      </c>
      <c r="D1482">
        <v>0</v>
      </c>
      <c r="E1482">
        <v>18</v>
      </c>
      <c r="F1482">
        <v>4</v>
      </c>
      <c r="G1482">
        <v>1</v>
      </c>
      <c r="H1482">
        <f>표4[[#This Row],[공격성공횟수]]/(표4[[#This Row],[공격실패횟수]]+표4[[#This Row],[공격성공횟수]])</f>
        <v>0</v>
      </c>
    </row>
    <row r="1483" spans="1:8" hidden="1" x14ac:dyDescent="0.4">
      <c r="A1483">
        <v>741</v>
      </c>
      <c r="B1483" t="s">
        <v>2</v>
      </c>
      <c r="C1483">
        <v>1</v>
      </c>
      <c r="D1483">
        <v>4</v>
      </c>
      <c r="E1483">
        <v>15</v>
      </c>
      <c r="F1483">
        <v>0</v>
      </c>
      <c r="G1483">
        <v>0</v>
      </c>
      <c r="H1483">
        <f>표4[[#This Row],[공격성공횟수]]/(표4[[#This Row],[공격실패횟수]]+표4[[#This Row],[공격성공횟수]])</f>
        <v>0.21052631578947367</v>
      </c>
    </row>
    <row r="1484" spans="1:8" x14ac:dyDescent="0.4">
      <c r="A1484">
        <v>742</v>
      </c>
      <c r="B1484" t="s">
        <v>3</v>
      </c>
      <c r="C1484">
        <v>0</v>
      </c>
      <c r="D1484">
        <v>2</v>
      </c>
      <c r="E1484">
        <v>38</v>
      </c>
      <c r="F1484">
        <v>4</v>
      </c>
      <c r="G1484">
        <v>1</v>
      </c>
      <c r="H1484">
        <f>표4[[#This Row],[공격성공횟수]]/(표4[[#This Row],[공격실패횟수]]+표4[[#This Row],[공격성공횟수]])</f>
        <v>0.05</v>
      </c>
    </row>
    <row r="1485" spans="1:8" hidden="1" x14ac:dyDescent="0.4">
      <c r="A1485">
        <v>742</v>
      </c>
      <c r="B1485" t="s">
        <v>2</v>
      </c>
      <c r="C1485">
        <v>1</v>
      </c>
      <c r="D1485">
        <v>4</v>
      </c>
      <c r="E1485">
        <v>36</v>
      </c>
      <c r="F1485">
        <v>2</v>
      </c>
      <c r="G1485">
        <v>0</v>
      </c>
      <c r="H1485">
        <f>표4[[#This Row],[공격성공횟수]]/(표4[[#This Row],[공격실패횟수]]+표4[[#This Row],[공격성공횟수]])</f>
        <v>0.1</v>
      </c>
    </row>
    <row r="1486" spans="1:8" x14ac:dyDescent="0.4">
      <c r="A1486">
        <v>743</v>
      </c>
      <c r="B1486" t="s">
        <v>3</v>
      </c>
      <c r="C1486">
        <v>1</v>
      </c>
      <c r="D1486">
        <v>4</v>
      </c>
      <c r="E1486">
        <v>24</v>
      </c>
      <c r="F1486">
        <v>1</v>
      </c>
      <c r="G1486">
        <v>0</v>
      </c>
      <c r="H1486">
        <f>표4[[#This Row],[공격성공횟수]]/(표4[[#This Row],[공격실패횟수]]+표4[[#This Row],[공격성공횟수]])</f>
        <v>0.14285714285714285</v>
      </c>
    </row>
    <row r="1487" spans="1:8" hidden="1" x14ac:dyDescent="0.4">
      <c r="A1487">
        <v>743</v>
      </c>
      <c r="B1487" t="s">
        <v>2</v>
      </c>
      <c r="C1487">
        <v>0</v>
      </c>
      <c r="D1487">
        <v>1</v>
      </c>
      <c r="E1487">
        <v>39</v>
      </c>
      <c r="F1487">
        <v>4</v>
      </c>
      <c r="G1487">
        <v>1</v>
      </c>
      <c r="H1487">
        <f>표4[[#This Row],[공격성공횟수]]/(표4[[#This Row],[공격실패횟수]]+표4[[#This Row],[공격성공횟수]])</f>
        <v>2.5000000000000001E-2</v>
      </c>
    </row>
    <row r="1488" spans="1:8" x14ac:dyDescent="0.4">
      <c r="A1488">
        <v>744</v>
      </c>
      <c r="B1488" t="s">
        <v>3</v>
      </c>
      <c r="C1488">
        <v>0</v>
      </c>
      <c r="D1488">
        <v>2</v>
      </c>
      <c r="E1488">
        <v>82</v>
      </c>
      <c r="F1488">
        <v>4</v>
      </c>
      <c r="G1488">
        <v>1</v>
      </c>
      <c r="H1488">
        <f>표4[[#This Row],[공격성공횟수]]/(표4[[#This Row],[공격실패횟수]]+표4[[#This Row],[공격성공횟수]])</f>
        <v>2.3809523809523808E-2</v>
      </c>
    </row>
    <row r="1489" spans="1:8" hidden="1" x14ac:dyDescent="0.4">
      <c r="A1489">
        <v>744</v>
      </c>
      <c r="B1489" t="s">
        <v>2</v>
      </c>
      <c r="C1489">
        <v>1</v>
      </c>
      <c r="D1489">
        <v>4</v>
      </c>
      <c r="E1489">
        <v>103</v>
      </c>
      <c r="F1489">
        <v>2</v>
      </c>
      <c r="G1489">
        <v>0</v>
      </c>
      <c r="H1489">
        <f>표4[[#This Row],[공격성공횟수]]/(표4[[#This Row],[공격실패횟수]]+표4[[#This Row],[공격성공횟수]])</f>
        <v>3.7383177570093455E-2</v>
      </c>
    </row>
    <row r="1490" spans="1:8" x14ac:dyDescent="0.4">
      <c r="A1490">
        <v>745</v>
      </c>
      <c r="B1490" t="s">
        <v>3</v>
      </c>
      <c r="C1490">
        <v>0</v>
      </c>
      <c r="D1490">
        <v>2</v>
      </c>
      <c r="E1490">
        <v>7</v>
      </c>
      <c r="F1490">
        <v>4</v>
      </c>
      <c r="G1490">
        <v>1</v>
      </c>
      <c r="H1490">
        <f>표4[[#This Row],[공격성공횟수]]/(표4[[#This Row],[공격실패횟수]]+표4[[#This Row],[공격성공횟수]])</f>
        <v>0.22222222222222221</v>
      </c>
    </row>
    <row r="1491" spans="1:8" hidden="1" x14ac:dyDescent="0.4">
      <c r="A1491">
        <v>745</v>
      </c>
      <c r="B1491" t="s">
        <v>2</v>
      </c>
      <c r="C1491">
        <v>1</v>
      </c>
      <c r="D1491">
        <v>4</v>
      </c>
      <c r="E1491">
        <v>25</v>
      </c>
      <c r="F1491">
        <v>2</v>
      </c>
      <c r="G1491">
        <v>0</v>
      </c>
      <c r="H1491">
        <f>표4[[#This Row],[공격성공횟수]]/(표4[[#This Row],[공격실패횟수]]+표4[[#This Row],[공격성공횟수]])</f>
        <v>0.13793103448275862</v>
      </c>
    </row>
    <row r="1492" spans="1:8" x14ac:dyDescent="0.4">
      <c r="A1492">
        <v>746</v>
      </c>
      <c r="B1492" t="s">
        <v>3</v>
      </c>
      <c r="C1492">
        <v>1</v>
      </c>
      <c r="D1492">
        <v>4</v>
      </c>
      <c r="E1492">
        <v>11</v>
      </c>
      <c r="F1492">
        <v>3</v>
      </c>
      <c r="G1492">
        <v>0</v>
      </c>
      <c r="H1492">
        <f>표4[[#This Row],[공격성공횟수]]/(표4[[#This Row],[공격실패횟수]]+표4[[#This Row],[공격성공횟수]])</f>
        <v>0.26666666666666666</v>
      </c>
    </row>
    <row r="1493" spans="1:8" hidden="1" x14ac:dyDescent="0.4">
      <c r="A1493">
        <v>746</v>
      </c>
      <c r="B1493" t="s">
        <v>2</v>
      </c>
      <c r="C1493">
        <v>0</v>
      </c>
      <c r="D1493">
        <v>3</v>
      </c>
      <c r="E1493">
        <v>18</v>
      </c>
      <c r="F1493">
        <v>4</v>
      </c>
      <c r="G1493">
        <v>1</v>
      </c>
      <c r="H1493">
        <f>표4[[#This Row],[공격성공횟수]]/(표4[[#This Row],[공격실패횟수]]+표4[[#This Row],[공격성공횟수]])</f>
        <v>0.14285714285714285</v>
      </c>
    </row>
    <row r="1494" spans="1:8" x14ac:dyDescent="0.4">
      <c r="A1494">
        <v>747</v>
      </c>
      <c r="B1494" t="s">
        <v>3</v>
      </c>
      <c r="C1494">
        <v>1</v>
      </c>
      <c r="D1494">
        <v>4</v>
      </c>
      <c r="E1494">
        <v>85</v>
      </c>
      <c r="F1494">
        <v>3</v>
      </c>
      <c r="G1494">
        <v>0</v>
      </c>
      <c r="H1494">
        <f>표4[[#This Row],[공격성공횟수]]/(표4[[#This Row],[공격실패횟수]]+표4[[#This Row],[공격성공횟수]])</f>
        <v>4.49438202247191E-2</v>
      </c>
    </row>
    <row r="1495" spans="1:8" hidden="1" x14ac:dyDescent="0.4">
      <c r="A1495">
        <v>747</v>
      </c>
      <c r="B1495" t="s">
        <v>2</v>
      </c>
      <c r="C1495">
        <v>0</v>
      </c>
      <c r="D1495">
        <v>3</v>
      </c>
      <c r="E1495">
        <v>89</v>
      </c>
      <c r="F1495">
        <v>4</v>
      </c>
      <c r="G1495">
        <v>1</v>
      </c>
      <c r="H1495">
        <f>표4[[#This Row],[공격성공횟수]]/(표4[[#This Row],[공격실패횟수]]+표4[[#This Row],[공격성공횟수]])</f>
        <v>3.2608695652173912E-2</v>
      </c>
    </row>
    <row r="1496" spans="1:8" x14ac:dyDescent="0.4">
      <c r="A1496">
        <v>748</v>
      </c>
      <c r="B1496" t="s">
        <v>3</v>
      </c>
      <c r="C1496">
        <v>0</v>
      </c>
      <c r="D1496">
        <v>2</v>
      </c>
      <c r="E1496">
        <v>8</v>
      </c>
      <c r="F1496">
        <v>4</v>
      </c>
      <c r="G1496">
        <v>1</v>
      </c>
      <c r="H1496">
        <f>표4[[#This Row],[공격성공횟수]]/(표4[[#This Row],[공격실패횟수]]+표4[[#This Row],[공격성공횟수]])</f>
        <v>0.2</v>
      </c>
    </row>
    <row r="1497" spans="1:8" hidden="1" x14ac:dyDescent="0.4">
      <c r="A1497">
        <v>748</v>
      </c>
      <c r="B1497" t="s">
        <v>2</v>
      </c>
      <c r="C1497">
        <v>1</v>
      </c>
      <c r="D1497">
        <v>4</v>
      </c>
      <c r="E1497">
        <v>10</v>
      </c>
      <c r="F1497">
        <v>2</v>
      </c>
      <c r="G1497">
        <v>0</v>
      </c>
      <c r="H1497">
        <f>표4[[#This Row],[공격성공횟수]]/(표4[[#This Row],[공격실패횟수]]+표4[[#This Row],[공격성공횟수]])</f>
        <v>0.2857142857142857</v>
      </c>
    </row>
    <row r="1498" spans="1:8" x14ac:dyDescent="0.4">
      <c r="A1498">
        <v>749</v>
      </c>
      <c r="B1498" t="s">
        <v>3</v>
      </c>
      <c r="C1498">
        <v>1</v>
      </c>
      <c r="D1498">
        <v>4</v>
      </c>
      <c r="E1498">
        <v>21</v>
      </c>
      <c r="F1498">
        <v>1</v>
      </c>
      <c r="G1498">
        <v>0</v>
      </c>
      <c r="H1498">
        <f>표4[[#This Row],[공격성공횟수]]/(표4[[#This Row],[공격실패횟수]]+표4[[#This Row],[공격성공횟수]])</f>
        <v>0.16</v>
      </c>
    </row>
    <row r="1499" spans="1:8" hidden="1" x14ac:dyDescent="0.4">
      <c r="A1499">
        <v>749</v>
      </c>
      <c r="B1499" t="s">
        <v>2</v>
      </c>
      <c r="C1499">
        <v>0</v>
      </c>
      <c r="D1499">
        <v>1</v>
      </c>
      <c r="E1499">
        <v>25</v>
      </c>
      <c r="F1499">
        <v>4</v>
      </c>
      <c r="G1499">
        <v>1</v>
      </c>
      <c r="H1499">
        <f>표4[[#This Row],[공격성공횟수]]/(표4[[#This Row],[공격실패횟수]]+표4[[#This Row],[공격성공횟수]])</f>
        <v>3.8461538461538464E-2</v>
      </c>
    </row>
    <row r="1500" spans="1:8" x14ac:dyDescent="0.4">
      <c r="A1500">
        <v>750</v>
      </c>
      <c r="B1500" t="s">
        <v>3</v>
      </c>
      <c r="C1500">
        <v>1</v>
      </c>
      <c r="D1500">
        <v>4</v>
      </c>
      <c r="E1500">
        <v>8</v>
      </c>
      <c r="F1500">
        <v>0</v>
      </c>
      <c r="G1500">
        <v>0</v>
      </c>
      <c r="H1500">
        <f>표4[[#This Row],[공격성공횟수]]/(표4[[#This Row],[공격실패횟수]]+표4[[#This Row],[공격성공횟수]])</f>
        <v>0.33333333333333331</v>
      </c>
    </row>
    <row r="1501" spans="1:8" hidden="1" x14ac:dyDescent="0.4">
      <c r="A1501">
        <v>750</v>
      </c>
      <c r="B1501" t="s">
        <v>2</v>
      </c>
      <c r="C1501">
        <v>0</v>
      </c>
      <c r="D1501">
        <v>0</v>
      </c>
      <c r="E1501">
        <v>13</v>
      </c>
      <c r="F1501">
        <v>4</v>
      </c>
      <c r="G1501">
        <v>1</v>
      </c>
      <c r="H1501">
        <f>표4[[#This Row],[공격성공횟수]]/(표4[[#This Row],[공격실패횟수]]+표4[[#This Row],[공격성공횟수]])</f>
        <v>0</v>
      </c>
    </row>
    <row r="1502" spans="1:8" x14ac:dyDescent="0.4">
      <c r="A1502">
        <v>751</v>
      </c>
      <c r="B1502" t="s">
        <v>3</v>
      </c>
      <c r="C1502">
        <v>1</v>
      </c>
      <c r="D1502">
        <v>4</v>
      </c>
      <c r="E1502">
        <v>8</v>
      </c>
      <c r="F1502">
        <v>1</v>
      </c>
      <c r="G1502">
        <v>0</v>
      </c>
      <c r="H1502">
        <f>표4[[#This Row],[공격성공횟수]]/(표4[[#This Row],[공격실패횟수]]+표4[[#This Row],[공격성공횟수]])</f>
        <v>0.33333333333333331</v>
      </c>
    </row>
    <row r="1503" spans="1:8" hidden="1" x14ac:dyDescent="0.4">
      <c r="A1503">
        <v>751</v>
      </c>
      <c r="B1503" t="s">
        <v>2</v>
      </c>
      <c r="C1503">
        <v>0</v>
      </c>
      <c r="D1503">
        <v>1</v>
      </c>
      <c r="E1503">
        <v>10</v>
      </c>
      <c r="F1503">
        <v>4</v>
      </c>
      <c r="G1503">
        <v>1</v>
      </c>
      <c r="H1503">
        <f>표4[[#This Row],[공격성공횟수]]/(표4[[#This Row],[공격실패횟수]]+표4[[#This Row],[공격성공횟수]])</f>
        <v>9.0909090909090912E-2</v>
      </c>
    </row>
    <row r="1504" spans="1:8" x14ac:dyDescent="0.4">
      <c r="A1504">
        <v>752</v>
      </c>
      <c r="B1504" t="s">
        <v>3</v>
      </c>
      <c r="C1504">
        <v>1</v>
      </c>
      <c r="D1504">
        <v>4</v>
      </c>
      <c r="E1504">
        <v>7</v>
      </c>
      <c r="F1504">
        <v>1</v>
      </c>
      <c r="G1504">
        <v>0</v>
      </c>
      <c r="H1504">
        <f>표4[[#This Row],[공격성공횟수]]/(표4[[#This Row],[공격실패횟수]]+표4[[#This Row],[공격성공횟수]])</f>
        <v>0.36363636363636365</v>
      </c>
    </row>
    <row r="1505" spans="1:8" hidden="1" x14ac:dyDescent="0.4">
      <c r="A1505">
        <v>752</v>
      </c>
      <c r="B1505" t="s">
        <v>2</v>
      </c>
      <c r="C1505">
        <v>0</v>
      </c>
      <c r="D1505">
        <v>1</v>
      </c>
      <c r="E1505">
        <v>14</v>
      </c>
      <c r="F1505">
        <v>4</v>
      </c>
      <c r="G1505">
        <v>1</v>
      </c>
      <c r="H1505">
        <f>표4[[#This Row],[공격성공횟수]]/(표4[[#This Row],[공격실패횟수]]+표4[[#This Row],[공격성공횟수]])</f>
        <v>6.6666666666666666E-2</v>
      </c>
    </row>
    <row r="1506" spans="1:8" x14ac:dyDescent="0.4">
      <c r="A1506">
        <v>753</v>
      </c>
      <c r="B1506" t="s">
        <v>3</v>
      </c>
      <c r="C1506">
        <v>1</v>
      </c>
      <c r="D1506">
        <v>4</v>
      </c>
      <c r="E1506">
        <v>7</v>
      </c>
      <c r="F1506">
        <v>0</v>
      </c>
      <c r="G1506">
        <v>0</v>
      </c>
      <c r="H1506">
        <f>표4[[#This Row],[공격성공횟수]]/(표4[[#This Row],[공격실패횟수]]+표4[[#This Row],[공격성공횟수]])</f>
        <v>0.36363636363636365</v>
      </c>
    </row>
    <row r="1507" spans="1:8" hidden="1" x14ac:dyDescent="0.4">
      <c r="A1507">
        <v>753</v>
      </c>
      <c r="B1507" t="s">
        <v>2</v>
      </c>
      <c r="C1507">
        <v>0</v>
      </c>
      <c r="D1507">
        <v>0</v>
      </c>
      <c r="E1507">
        <v>10</v>
      </c>
      <c r="F1507">
        <v>4</v>
      </c>
      <c r="G1507">
        <v>1</v>
      </c>
      <c r="H1507">
        <f>표4[[#This Row],[공격성공횟수]]/(표4[[#This Row],[공격실패횟수]]+표4[[#This Row],[공격성공횟수]])</f>
        <v>0</v>
      </c>
    </row>
    <row r="1508" spans="1:8" x14ac:dyDescent="0.4">
      <c r="A1508">
        <v>754</v>
      </c>
      <c r="B1508" t="s">
        <v>3</v>
      </c>
      <c r="C1508">
        <v>1</v>
      </c>
      <c r="D1508">
        <v>4</v>
      </c>
      <c r="E1508">
        <v>11</v>
      </c>
      <c r="F1508">
        <v>3</v>
      </c>
      <c r="G1508">
        <v>0</v>
      </c>
      <c r="H1508">
        <f>표4[[#This Row],[공격성공횟수]]/(표4[[#This Row],[공격실패횟수]]+표4[[#This Row],[공격성공횟수]])</f>
        <v>0.26666666666666666</v>
      </c>
    </row>
    <row r="1509" spans="1:8" hidden="1" x14ac:dyDescent="0.4">
      <c r="A1509">
        <v>754</v>
      </c>
      <c r="B1509" t="s">
        <v>2</v>
      </c>
      <c r="C1509">
        <v>0</v>
      </c>
      <c r="D1509">
        <v>3</v>
      </c>
      <c r="E1509">
        <v>12</v>
      </c>
      <c r="F1509">
        <v>4</v>
      </c>
      <c r="G1509">
        <v>1</v>
      </c>
      <c r="H1509">
        <f>표4[[#This Row],[공격성공횟수]]/(표4[[#This Row],[공격실패횟수]]+표4[[#This Row],[공격성공횟수]])</f>
        <v>0.2</v>
      </c>
    </row>
    <row r="1510" spans="1:8" x14ac:dyDescent="0.4">
      <c r="A1510">
        <v>755</v>
      </c>
      <c r="B1510" t="s">
        <v>3</v>
      </c>
      <c r="C1510">
        <v>1</v>
      </c>
      <c r="D1510">
        <v>4</v>
      </c>
      <c r="E1510">
        <v>11</v>
      </c>
      <c r="F1510">
        <v>3</v>
      </c>
      <c r="G1510">
        <v>0</v>
      </c>
      <c r="H1510">
        <f>표4[[#This Row],[공격성공횟수]]/(표4[[#This Row],[공격실패횟수]]+표4[[#This Row],[공격성공횟수]])</f>
        <v>0.26666666666666666</v>
      </c>
    </row>
    <row r="1511" spans="1:8" hidden="1" x14ac:dyDescent="0.4">
      <c r="A1511">
        <v>755</v>
      </c>
      <c r="B1511" t="s">
        <v>2</v>
      </c>
      <c r="C1511">
        <v>0</v>
      </c>
      <c r="D1511">
        <v>3</v>
      </c>
      <c r="E1511">
        <v>24</v>
      </c>
      <c r="F1511">
        <v>4</v>
      </c>
      <c r="G1511">
        <v>1</v>
      </c>
      <c r="H1511">
        <f>표4[[#This Row],[공격성공횟수]]/(표4[[#This Row],[공격실패횟수]]+표4[[#This Row],[공격성공횟수]])</f>
        <v>0.1111111111111111</v>
      </c>
    </row>
    <row r="1512" spans="1:8" x14ac:dyDescent="0.4">
      <c r="A1512">
        <v>756</v>
      </c>
      <c r="B1512" t="s">
        <v>3</v>
      </c>
      <c r="C1512">
        <v>1</v>
      </c>
      <c r="D1512">
        <v>4</v>
      </c>
      <c r="E1512">
        <v>5</v>
      </c>
      <c r="F1512">
        <v>1</v>
      </c>
      <c r="G1512">
        <v>0</v>
      </c>
      <c r="H1512">
        <f>표4[[#This Row],[공격성공횟수]]/(표4[[#This Row],[공격실패횟수]]+표4[[#This Row],[공격성공횟수]])</f>
        <v>0.44444444444444442</v>
      </c>
    </row>
    <row r="1513" spans="1:8" hidden="1" x14ac:dyDescent="0.4">
      <c r="A1513">
        <v>756</v>
      </c>
      <c r="B1513" t="s">
        <v>2</v>
      </c>
      <c r="C1513">
        <v>0</v>
      </c>
      <c r="D1513">
        <v>1</v>
      </c>
      <c r="E1513">
        <v>8</v>
      </c>
      <c r="F1513">
        <v>4</v>
      </c>
      <c r="G1513">
        <v>1</v>
      </c>
      <c r="H1513">
        <f>표4[[#This Row],[공격성공횟수]]/(표4[[#This Row],[공격실패횟수]]+표4[[#This Row],[공격성공횟수]])</f>
        <v>0.1111111111111111</v>
      </c>
    </row>
    <row r="1514" spans="1:8" x14ac:dyDescent="0.4">
      <c r="A1514">
        <v>757</v>
      </c>
      <c r="B1514" t="s">
        <v>3</v>
      </c>
      <c r="C1514">
        <v>1</v>
      </c>
      <c r="D1514">
        <v>4</v>
      </c>
      <c r="E1514">
        <v>66</v>
      </c>
      <c r="F1514">
        <v>3</v>
      </c>
      <c r="G1514">
        <v>0</v>
      </c>
      <c r="H1514">
        <f>표4[[#This Row],[공격성공횟수]]/(표4[[#This Row],[공격실패횟수]]+표4[[#This Row],[공격성공횟수]])</f>
        <v>5.7142857142857141E-2</v>
      </c>
    </row>
    <row r="1515" spans="1:8" hidden="1" x14ac:dyDescent="0.4">
      <c r="A1515">
        <v>757</v>
      </c>
      <c r="B1515" t="s">
        <v>2</v>
      </c>
      <c r="C1515">
        <v>0</v>
      </c>
      <c r="D1515">
        <v>3</v>
      </c>
      <c r="E1515">
        <v>66</v>
      </c>
      <c r="F1515">
        <v>4</v>
      </c>
      <c r="G1515">
        <v>1</v>
      </c>
      <c r="H1515">
        <f>표4[[#This Row],[공격성공횟수]]/(표4[[#This Row],[공격실패횟수]]+표4[[#This Row],[공격성공횟수]])</f>
        <v>4.3478260869565216E-2</v>
      </c>
    </row>
    <row r="1516" spans="1:8" x14ac:dyDescent="0.4">
      <c r="A1516">
        <v>758</v>
      </c>
      <c r="B1516" t="s">
        <v>3</v>
      </c>
      <c r="C1516">
        <v>1</v>
      </c>
      <c r="D1516">
        <v>4</v>
      </c>
      <c r="E1516">
        <v>4</v>
      </c>
      <c r="F1516">
        <v>1</v>
      </c>
      <c r="G1516">
        <v>0</v>
      </c>
      <c r="H1516">
        <f>표4[[#This Row],[공격성공횟수]]/(표4[[#This Row],[공격실패횟수]]+표4[[#This Row],[공격성공횟수]])</f>
        <v>0.5</v>
      </c>
    </row>
    <row r="1517" spans="1:8" hidden="1" x14ac:dyDescent="0.4">
      <c r="A1517">
        <v>758</v>
      </c>
      <c r="B1517" t="s">
        <v>2</v>
      </c>
      <c r="C1517">
        <v>0</v>
      </c>
      <c r="D1517">
        <v>1</v>
      </c>
      <c r="E1517">
        <v>7</v>
      </c>
      <c r="F1517">
        <v>4</v>
      </c>
      <c r="G1517">
        <v>1</v>
      </c>
      <c r="H1517">
        <f>표4[[#This Row],[공격성공횟수]]/(표4[[#This Row],[공격실패횟수]]+표4[[#This Row],[공격성공횟수]])</f>
        <v>0.125</v>
      </c>
    </row>
    <row r="1518" spans="1:8" x14ac:dyDescent="0.4">
      <c r="A1518">
        <v>759</v>
      </c>
      <c r="B1518" t="s">
        <v>3</v>
      </c>
      <c r="C1518">
        <v>1</v>
      </c>
      <c r="D1518">
        <v>4</v>
      </c>
      <c r="E1518">
        <v>28</v>
      </c>
      <c r="F1518">
        <v>1</v>
      </c>
      <c r="G1518">
        <v>0</v>
      </c>
      <c r="H1518">
        <f>표4[[#This Row],[공격성공횟수]]/(표4[[#This Row],[공격실패횟수]]+표4[[#This Row],[공격성공횟수]])</f>
        <v>0.125</v>
      </c>
    </row>
    <row r="1519" spans="1:8" hidden="1" x14ac:dyDescent="0.4">
      <c r="A1519">
        <v>759</v>
      </c>
      <c r="B1519" t="s">
        <v>2</v>
      </c>
      <c r="C1519">
        <v>0</v>
      </c>
      <c r="D1519">
        <v>1</v>
      </c>
      <c r="E1519">
        <v>31</v>
      </c>
      <c r="F1519">
        <v>4</v>
      </c>
      <c r="G1519">
        <v>1</v>
      </c>
      <c r="H1519">
        <f>표4[[#This Row],[공격성공횟수]]/(표4[[#This Row],[공격실패횟수]]+표4[[#This Row],[공격성공횟수]])</f>
        <v>3.125E-2</v>
      </c>
    </row>
    <row r="1520" spans="1:8" x14ac:dyDescent="0.4">
      <c r="A1520">
        <v>760</v>
      </c>
      <c r="B1520" t="s">
        <v>3</v>
      </c>
      <c r="C1520">
        <v>1</v>
      </c>
      <c r="D1520">
        <v>4</v>
      </c>
      <c r="E1520">
        <v>15</v>
      </c>
      <c r="F1520">
        <v>0</v>
      </c>
      <c r="G1520">
        <v>0</v>
      </c>
      <c r="H1520">
        <f>표4[[#This Row],[공격성공횟수]]/(표4[[#This Row],[공격실패횟수]]+표4[[#This Row],[공격성공횟수]])</f>
        <v>0.21052631578947367</v>
      </c>
    </row>
    <row r="1521" spans="1:8" hidden="1" x14ac:dyDescent="0.4">
      <c r="A1521">
        <v>760</v>
      </c>
      <c r="B1521" t="s">
        <v>2</v>
      </c>
      <c r="C1521">
        <v>0</v>
      </c>
      <c r="D1521">
        <v>0</v>
      </c>
      <c r="E1521">
        <v>18</v>
      </c>
      <c r="F1521">
        <v>4</v>
      </c>
      <c r="G1521">
        <v>1</v>
      </c>
      <c r="H1521">
        <f>표4[[#This Row],[공격성공횟수]]/(표4[[#This Row],[공격실패횟수]]+표4[[#This Row],[공격성공횟수]])</f>
        <v>0</v>
      </c>
    </row>
    <row r="1522" spans="1:8" x14ac:dyDescent="0.4">
      <c r="A1522">
        <v>761</v>
      </c>
      <c r="B1522" t="s">
        <v>3</v>
      </c>
      <c r="C1522">
        <v>1</v>
      </c>
      <c r="D1522">
        <v>4</v>
      </c>
      <c r="E1522">
        <v>18</v>
      </c>
      <c r="F1522">
        <v>1</v>
      </c>
      <c r="G1522">
        <v>0</v>
      </c>
      <c r="H1522">
        <f>표4[[#This Row],[공격성공횟수]]/(표4[[#This Row],[공격실패횟수]]+표4[[#This Row],[공격성공횟수]])</f>
        <v>0.18181818181818182</v>
      </c>
    </row>
    <row r="1523" spans="1:8" hidden="1" x14ac:dyDescent="0.4">
      <c r="A1523">
        <v>761</v>
      </c>
      <c r="B1523" t="s">
        <v>2</v>
      </c>
      <c r="C1523">
        <v>0</v>
      </c>
      <c r="D1523">
        <v>1</v>
      </c>
      <c r="E1523">
        <v>20</v>
      </c>
      <c r="F1523">
        <v>4</v>
      </c>
      <c r="G1523">
        <v>1</v>
      </c>
      <c r="H1523">
        <f>표4[[#This Row],[공격성공횟수]]/(표4[[#This Row],[공격실패횟수]]+표4[[#This Row],[공격성공횟수]])</f>
        <v>4.7619047619047616E-2</v>
      </c>
    </row>
    <row r="1524" spans="1:8" x14ac:dyDescent="0.4">
      <c r="A1524">
        <v>762</v>
      </c>
      <c r="B1524" t="s">
        <v>3</v>
      </c>
      <c r="C1524">
        <v>1</v>
      </c>
      <c r="D1524">
        <v>4</v>
      </c>
      <c r="E1524">
        <v>60</v>
      </c>
      <c r="F1524">
        <v>2</v>
      </c>
      <c r="G1524">
        <v>0</v>
      </c>
      <c r="H1524">
        <f>표4[[#This Row],[공격성공횟수]]/(표4[[#This Row],[공격실패횟수]]+표4[[#This Row],[공격성공횟수]])</f>
        <v>6.25E-2</v>
      </c>
    </row>
    <row r="1525" spans="1:8" hidden="1" x14ac:dyDescent="0.4">
      <c r="A1525">
        <v>762</v>
      </c>
      <c r="B1525" t="s">
        <v>2</v>
      </c>
      <c r="C1525">
        <v>0</v>
      </c>
      <c r="D1525">
        <v>2</v>
      </c>
      <c r="E1525">
        <v>72</v>
      </c>
      <c r="F1525">
        <v>4</v>
      </c>
      <c r="G1525">
        <v>1</v>
      </c>
      <c r="H1525">
        <f>표4[[#This Row],[공격성공횟수]]/(표4[[#This Row],[공격실패횟수]]+표4[[#This Row],[공격성공횟수]])</f>
        <v>2.7027027027027029E-2</v>
      </c>
    </row>
    <row r="1526" spans="1:8" x14ac:dyDescent="0.4">
      <c r="A1526">
        <v>763</v>
      </c>
      <c r="B1526" t="s">
        <v>3</v>
      </c>
      <c r="C1526">
        <v>0</v>
      </c>
      <c r="D1526">
        <v>0</v>
      </c>
      <c r="E1526">
        <v>1</v>
      </c>
      <c r="F1526">
        <v>4</v>
      </c>
      <c r="G1526">
        <v>1</v>
      </c>
      <c r="H1526">
        <f>표4[[#This Row],[공격성공횟수]]/(표4[[#This Row],[공격실패횟수]]+표4[[#This Row],[공격성공횟수]])</f>
        <v>0</v>
      </c>
    </row>
    <row r="1527" spans="1:8" hidden="1" x14ac:dyDescent="0.4">
      <c r="A1527">
        <v>763</v>
      </c>
      <c r="B1527" t="s">
        <v>2</v>
      </c>
      <c r="C1527">
        <v>1</v>
      </c>
      <c r="D1527">
        <v>4</v>
      </c>
      <c r="E1527">
        <v>14</v>
      </c>
      <c r="F1527">
        <v>0</v>
      </c>
      <c r="G1527">
        <v>0</v>
      </c>
      <c r="H1527">
        <f>표4[[#This Row],[공격성공횟수]]/(표4[[#This Row],[공격실패횟수]]+표4[[#This Row],[공격성공횟수]])</f>
        <v>0.22222222222222221</v>
      </c>
    </row>
    <row r="1528" spans="1:8" x14ac:dyDescent="0.4">
      <c r="A1528">
        <v>764</v>
      </c>
      <c r="B1528" t="s">
        <v>3</v>
      </c>
      <c r="C1528">
        <v>0</v>
      </c>
      <c r="D1528">
        <v>3</v>
      </c>
      <c r="E1528">
        <v>96</v>
      </c>
      <c r="F1528">
        <v>3</v>
      </c>
      <c r="G1528">
        <v>0</v>
      </c>
      <c r="H1528">
        <f>표4[[#This Row],[공격성공횟수]]/(표4[[#This Row],[공격실패횟수]]+표4[[#This Row],[공격성공횟수]])</f>
        <v>3.0303030303030304E-2</v>
      </c>
    </row>
    <row r="1529" spans="1:8" hidden="1" x14ac:dyDescent="0.4">
      <c r="A1529">
        <v>764</v>
      </c>
      <c r="B1529" t="s">
        <v>2</v>
      </c>
      <c r="C1529">
        <v>0</v>
      </c>
      <c r="D1529">
        <v>3</v>
      </c>
      <c r="E1529">
        <v>112</v>
      </c>
      <c r="F1529">
        <v>3</v>
      </c>
      <c r="G1529">
        <v>0</v>
      </c>
      <c r="H1529">
        <f>표4[[#This Row],[공격성공횟수]]/(표4[[#This Row],[공격실패횟수]]+표4[[#This Row],[공격성공횟수]])</f>
        <v>2.6086956521739129E-2</v>
      </c>
    </row>
    <row r="1530" spans="1:8" x14ac:dyDescent="0.4">
      <c r="A1530">
        <v>765</v>
      </c>
      <c r="B1530" t="s">
        <v>3</v>
      </c>
      <c r="C1530">
        <v>0</v>
      </c>
      <c r="D1530">
        <v>0</v>
      </c>
      <c r="E1530">
        <v>49</v>
      </c>
      <c r="F1530">
        <v>4</v>
      </c>
      <c r="G1530">
        <v>1</v>
      </c>
      <c r="H1530">
        <f>표4[[#This Row],[공격성공횟수]]/(표4[[#This Row],[공격실패횟수]]+표4[[#This Row],[공격성공횟수]])</f>
        <v>0</v>
      </c>
    </row>
    <row r="1531" spans="1:8" hidden="1" x14ac:dyDescent="0.4">
      <c r="A1531">
        <v>765</v>
      </c>
      <c r="B1531" t="s">
        <v>2</v>
      </c>
      <c r="C1531">
        <v>1</v>
      </c>
      <c r="D1531">
        <v>4</v>
      </c>
      <c r="E1531">
        <v>47</v>
      </c>
      <c r="F1531">
        <v>0</v>
      </c>
      <c r="G1531">
        <v>0</v>
      </c>
      <c r="H1531">
        <f>표4[[#This Row],[공격성공횟수]]/(표4[[#This Row],[공격실패횟수]]+표4[[#This Row],[공격성공횟수]])</f>
        <v>7.8431372549019607E-2</v>
      </c>
    </row>
    <row r="1532" spans="1:8" x14ac:dyDescent="0.4">
      <c r="A1532">
        <v>766</v>
      </c>
      <c r="B1532" t="s">
        <v>3</v>
      </c>
      <c r="C1532">
        <v>1</v>
      </c>
      <c r="D1532">
        <v>4</v>
      </c>
      <c r="E1532">
        <v>9</v>
      </c>
      <c r="F1532">
        <v>2</v>
      </c>
      <c r="G1532">
        <v>0</v>
      </c>
      <c r="H1532">
        <f>표4[[#This Row],[공격성공횟수]]/(표4[[#This Row],[공격실패횟수]]+표4[[#This Row],[공격성공횟수]])</f>
        <v>0.30769230769230771</v>
      </c>
    </row>
    <row r="1533" spans="1:8" hidden="1" x14ac:dyDescent="0.4">
      <c r="A1533">
        <v>766</v>
      </c>
      <c r="B1533" t="s">
        <v>2</v>
      </c>
      <c r="C1533">
        <v>0</v>
      </c>
      <c r="D1533">
        <v>2</v>
      </c>
      <c r="E1533">
        <v>9</v>
      </c>
      <c r="F1533">
        <v>4</v>
      </c>
      <c r="G1533">
        <v>1</v>
      </c>
      <c r="H1533">
        <f>표4[[#This Row],[공격성공횟수]]/(표4[[#This Row],[공격실패횟수]]+표4[[#This Row],[공격성공횟수]])</f>
        <v>0.18181818181818182</v>
      </c>
    </row>
    <row r="1534" spans="1:8" x14ac:dyDescent="0.4">
      <c r="A1534">
        <v>767</v>
      </c>
      <c r="B1534" t="s">
        <v>3</v>
      </c>
      <c r="C1534">
        <v>1</v>
      </c>
      <c r="D1534">
        <v>4</v>
      </c>
      <c r="E1534">
        <v>13</v>
      </c>
      <c r="F1534">
        <v>1</v>
      </c>
      <c r="G1534">
        <v>0</v>
      </c>
      <c r="H1534">
        <f>표4[[#This Row],[공격성공횟수]]/(표4[[#This Row],[공격실패횟수]]+표4[[#This Row],[공격성공횟수]])</f>
        <v>0.23529411764705882</v>
      </c>
    </row>
    <row r="1535" spans="1:8" hidden="1" x14ac:dyDescent="0.4">
      <c r="A1535">
        <v>767</v>
      </c>
      <c r="B1535" t="s">
        <v>2</v>
      </c>
      <c r="C1535">
        <v>0</v>
      </c>
      <c r="D1535">
        <v>1</v>
      </c>
      <c r="E1535">
        <v>22</v>
      </c>
      <c r="F1535">
        <v>4</v>
      </c>
      <c r="G1535">
        <v>1</v>
      </c>
      <c r="H1535">
        <f>표4[[#This Row],[공격성공횟수]]/(표4[[#This Row],[공격실패횟수]]+표4[[#This Row],[공격성공횟수]])</f>
        <v>4.3478260869565216E-2</v>
      </c>
    </row>
    <row r="1536" spans="1:8" x14ac:dyDescent="0.4">
      <c r="A1536">
        <v>768</v>
      </c>
      <c r="B1536" t="s">
        <v>3</v>
      </c>
      <c r="C1536">
        <v>0</v>
      </c>
      <c r="D1536">
        <v>3</v>
      </c>
      <c r="E1536">
        <v>5</v>
      </c>
      <c r="F1536">
        <v>4</v>
      </c>
      <c r="G1536">
        <v>1</v>
      </c>
      <c r="H1536">
        <f>표4[[#This Row],[공격성공횟수]]/(표4[[#This Row],[공격실패횟수]]+표4[[#This Row],[공격성공횟수]])</f>
        <v>0.375</v>
      </c>
    </row>
    <row r="1537" spans="1:8" hidden="1" x14ac:dyDescent="0.4">
      <c r="A1537">
        <v>768</v>
      </c>
      <c r="B1537" t="s">
        <v>2</v>
      </c>
      <c r="C1537">
        <v>1</v>
      </c>
      <c r="D1537">
        <v>4</v>
      </c>
      <c r="E1537">
        <v>5</v>
      </c>
      <c r="F1537">
        <v>3</v>
      </c>
      <c r="G1537">
        <v>0</v>
      </c>
      <c r="H1537">
        <f>표4[[#This Row],[공격성공횟수]]/(표4[[#This Row],[공격실패횟수]]+표4[[#This Row],[공격성공횟수]])</f>
        <v>0.44444444444444442</v>
      </c>
    </row>
    <row r="1538" spans="1:8" x14ac:dyDescent="0.4">
      <c r="A1538">
        <v>769</v>
      </c>
      <c r="B1538" t="s">
        <v>3</v>
      </c>
      <c r="C1538">
        <v>1</v>
      </c>
      <c r="D1538">
        <v>4</v>
      </c>
      <c r="E1538">
        <v>6</v>
      </c>
      <c r="F1538">
        <v>2</v>
      </c>
      <c r="G1538">
        <v>0</v>
      </c>
      <c r="H1538">
        <f>표4[[#This Row],[공격성공횟수]]/(표4[[#This Row],[공격실패횟수]]+표4[[#This Row],[공격성공횟수]])</f>
        <v>0.4</v>
      </c>
    </row>
    <row r="1539" spans="1:8" hidden="1" x14ac:dyDescent="0.4">
      <c r="A1539">
        <v>769</v>
      </c>
      <c r="B1539" t="s">
        <v>2</v>
      </c>
      <c r="C1539">
        <v>0</v>
      </c>
      <c r="D1539">
        <v>2</v>
      </c>
      <c r="E1539">
        <v>7</v>
      </c>
      <c r="F1539">
        <v>4</v>
      </c>
      <c r="G1539">
        <v>1</v>
      </c>
      <c r="H1539">
        <f>표4[[#This Row],[공격성공횟수]]/(표4[[#This Row],[공격실패횟수]]+표4[[#This Row],[공격성공횟수]])</f>
        <v>0.22222222222222221</v>
      </c>
    </row>
    <row r="1540" spans="1:8" x14ac:dyDescent="0.4">
      <c r="A1540">
        <v>770</v>
      </c>
      <c r="B1540" t="s">
        <v>3</v>
      </c>
      <c r="C1540">
        <v>1</v>
      </c>
      <c r="D1540">
        <v>4</v>
      </c>
      <c r="E1540">
        <v>45</v>
      </c>
      <c r="F1540">
        <v>1</v>
      </c>
      <c r="G1540">
        <v>0</v>
      </c>
      <c r="H1540">
        <f>표4[[#This Row],[공격성공횟수]]/(표4[[#This Row],[공격실패횟수]]+표4[[#This Row],[공격성공횟수]])</f>
        <v>8.1632653061224483E-2</v>
      </c>
    </row>
    <row r="1541" spans="1:8" hidden="1" x14ac:dyDescent="0.4">
      <c r="A1541">
        <v>770</v>
      </c>
      <c r="B1541" t="s">
        <v>2</v>
      </c>
      <c r="C1541">
        <v>0</v>
      </c>
      <c r="D1541">
        <v>1</v>
      </c>
      <c r="E1541">
        <v>54</v>
      </c>
      <c r="F1541">
        <v>4</v>
      </c>
      <c r="G1541">
        <v>1</v>
      </c>
      <c r="H1541">
        <f>표4[[#This Row],[공격성공횟수]]/(표4[[#This Row],[공격실패횟수]]+표4[[#This Row],[공격성공횟수]])</f>
        <v>1.8181818181818181E-2</v>
      </c>
    </row>
    <row r="1542" spans="1:8" x14ac:dyDescent="0.4">
      <c r="A1542">
        <v>771</v>
      </c>
      <c r="B1542" t="s">
        <v>3</v>
      </c>
      <c r="C1542">
        <v>0</v>
      </c>
      <c r="D1542">
        <v>3</v>
      </c>
      <c r="E1542">
        <v>2</v>
      </c>
      <c r="F1542">
        <v>4</v>
      </c>
      <c r="G1542">
        <v>1</v>
      </c>
      <c r="H1542">
        <f>표4[[#This Row],[공격성공횟수]]/(표4[[#This Row],[공격실패횟수]]+표4[[#This Row],[공격성공횟수]])</f>
        <v>0.6</v>
      </c>
    </row>
    <row r="1543" spans="1:8" hidden="1" x14ac:dyDescent="0.4">
      <c r="A1543">
        <v>771</v>
      </c>
      <c r="B1543" t="s">
        <v>2</v>
      </c>
      <c r="C1543">
        <v>1</v>
      </c>
      <c r="D1543">
        <v>4</v>
      </c>
      <c r="E1543">
        <v>2</v>
      </c>
      <c r="F1543">
        <v>3</v>
      </c>
      <c r="G1543">
        <v>0</v>
      </c>
      <c r="H1543">
        <f>표4[[#This Row],[공격성공횟수]]/(표4[[#This Row],[공격실패횟수]]+표4[[#This Row],[공격성공횟수]])</f>
        <v>0.66666666666666663</v>
      </c>
    </row>
    <row r="1544" spans="1:8" x14ac:dyDescent="0.4">
      <c r="A1544">
        <v>772</v>
      </c>
      <c r="B1544" t="s">
        <v>3</v>
      </c>
      <c r="C1544">
        <v>1</v>
      </c>
      <c r="D1544">
        <v>4</v>
      </c>
      <c r="E1544">
        <v>2</v>
      </c>
      <c r="F1544">
        <v>2</v>
      </c>
      <c r="G1544">
        <v>0</v>
      </c>
      <c r="H1544">
        <f>표4[[#This Row],[공격성공횟수]]/(표4[[#This Row],[공격실패횟수]]+표4[[#This Row],[공격성공횟수]])</f>
        <v>0.66666666666666663</v>
      </c>
    </row>
    <row r="1545" spans="1:8" hidden="1" x14ac:dyDescent="0.4">
      <c r="A1545">
        <v>772</v>
      </c>
      <c r="B1545" t="s">
        <v>2</v>
      </c>
      <c r="C1545">
        <v>0</v>
      </c>
      <c r="D1545">
        <v>2</v>
      </c>
      <c r="E1545">
        <v>3</v>
      </c>
      <c r="F1545">
        <v>4</v>
      </c>
      <c r="G1545">
        <v>1</v>
      </c>
      <c r="H1545">
        <f>표4[[#This Row],[공격성공횟수]]/(표4[[#This Row],[공격실패횟수]]+표4[[#This Row],[공격성공횟수]])</f>
        <v>0.4</v>
      </c>
    </row>
    <row r="1546" spans="1:8" x14ac:dyDescent="0.4">
      <c r="A1546">
        <v>773</v>
      </c>
      <c r="B1546" t="s">
        <v>3</v>
      </c>
      <c r="C1546">
        <v>1</v>
      </c>
      <c r="D1546">
        <v>4</v>
      </c>
      <c r="E1546">
        <v>9</v>
      </c>
      <c r="F1546">
        <v>0</v>
      </c>
      <c r="G1546">
        <v>0</v>
      </c>
      <c r="H1546">
        <f>표4[[#This Row],[공격성공횟수]]/(표4[[#This Row],[공격실패횟수]]+표4[[#This Row],[공격성공횟수]])</f>
        <v>0.30769230769230771</v>
      </c>
    </row>
    <row r="1547" spans="1:8" hidden="1" x14ac:dyDescent="0.4">
      <c r="A1547">
        <v>773</v>
      </c>
      <c r="B1547" t="s">
        <v>2</v>
      </c>
      <c r="C1547">
        <v>0</v>
      </c>
      <c r="D1547">
        <v>0</v>
      </c>
      <c r="E1547">
        <v>12</v>
      </c>
      <c r="F1547">
        <v>4</v>
      </c>
      <c r="G1547">
        <v>1</v>
      </c>
      <c r="H1547">
        <f>표4[[#This Row],[공격성공횟수]]/(표4[[#This Row],[공격실패횟수]]+표4[[#This Row],[공격성공횟수]])</f>
        <v>0</v>
      </c>
    </row>
    <row r="1548" spans="1:8" x14ac:dyDescent="0.4">
      <c r="A1548">
        <v>774</v>
      </c>
      <c r="B1548" t="s">
        <v>3</v>
      </c>
      <c r="C1548">
        <v>1</v>
      </c>
      <c r="D1548">
        <v>4</v>
      </c>
      <c r="E1548">
        <v>12</v>
      </c>
      <c r="F1548">
        <v>1</v>
      </c>
      <c r="G1548">
        <v>0</v>
      </c>
      <c r="H1548">
        <f>표4[[#This Row],[공격성공횟수]]/(표4[[#This Row],[공격실패횟수]]+표4[[#This Row],[공격성공횟수]])</f>
        <v>0.25</v>
      </c>
    </row>
    <row r="1549" spans="1:8" hidden="1" x14ac:dyDescent="0.4">
      <c r="A1549">
        <v>774</v>
      </c>
      <c r="B1549" t="s">
        <v>2</v>
      </c>
      <c r="C1549">
        <v>0</v>
      </c>
      <c r="D1549">
        <v>1</v>
      </c>
      <c r="E1549">
        <v>15</v>
      </c>
      <c r="F1549">
        <v>4</v>
      </c>
      <c r="G1549">
        <v>1</v>
      </c>
      <c r="H1549">
        <f>표4[[#This Row],[공격성공횟수]]/(표4[[#This Row],[공격실패횟수]]+표4[[#This Row],[공격성공횟수]])</f>
        <v>6.25E-2</v>
      </c>
    </row>
    <row r="1550" spans="1:8" x14ac:dyDescent="0.4">
      <c r="A1550">
        <v>775</v>
      </c>
      <c r="B1550" t="s">
        <v>3</v>
      </c>
      <c r="C1550">
        <v>1</v>
      </c>
      <c r="D1550">
        <v>4</v>
      </c>
      <c r="E1550">
        <v>4</v>
      </c>
      <c r="F1550">
        <v>1</v>
      </c>
      <c r="G1550">
        <v>0</v>
      </c>
      <c r="H1550">
        <f>표4[[#This Row],[공격성공횟수]]/(표4[[#This Row],[공격실패횟수]]+표4[[#This Row],[공격성공횟수]])</f>
        <v>0.5</v>
      </c>
    </row>
    <row r="1551" spans="1:8" hidden="1" x14ac:dyDescent="0.4">
      <c r="A1551">
        <v>775</v>
      </c>
      <c r="B1551" t="s">
        <v>2</v>
      </c>
      <c r="C1551">
        <v>0</v>
      </c>
      <c r="D1551">
        <v>1</v>
      </c>
      <c r="E1551">
        <v>7</v>
      </c>
      <c r="F1551">
        <v>4</v>
      </c>
      <c r="G1551">
        <v>1</v>
      </c>
      <c r="H1551">
        <f>표4[[#This Row],[공격성공횟수]]/(표4[[#This Row],[공격실패횟수]]+표4[[#This Row],[공격성공횟수]])</f>
        <v>0.125</v>
      </c>
    </row>
    <row r="1552" spans="1:8" x14ac:dyDescent="0.4">
      <c r="A1552">
        <v>776</v>
      </c>
      <c r="B1552" t="s">
        <v>3</v>
      </c>
      <c r="C1552">
        <v>1</v>
      </c>
      <c r="D1552">
        <v>4</v>
      </c>
      <c r="E1552">
        <v>7</v>
      </c>
      <c r="F1552">
        <v>1</v>
      </c>
      <c r="G1552">
        <v>0</v>
      </c>
      <c r="H1552">
        <f>표4[[#This Row],[공격성공횟수]]/(표4[[#This Row],[공격실패횟수]]+표4[[#This Row],[공격성공횟수]])</f>
        <v>0.36363636363636365</v>
      </c>
    </row>
    <row r="1553" spans="1:8" hidden="1" x14ac:dyDescent="0.4">
      <c r="A1553">
        <v>776</v>
      </c>
      <c r="B1553" t="s">
        <v>2</v>
      </c>
      <c r="C1553">
        <v>0</v>
      </c>
      <c r="D1553">
        <v>1</v>
      </c>
      <c r="E1553">
        <v>15</v>
      </c>
      <c r="F1553">
        <v>4</v>
      </c>
      <c r="G1553">
        <v>1</v>
      </c>
      <c r="H1553">
        <f>표4[[#This Row],[공격성공횟수]]/(표4[[#This Row],[공격실패횟수]]+표4[[#This Row],[공격성공횟수]])</f>
        <v>6.25E-2</v>
      </c>
    </row>
    <row r="1554" spans="1:8" x14ac:dyDescent="0.4">
      <c r="A1554">
        <v>777</v>
      </c>
      <c r="B1554" t="s">
        <v>3</v>
      </c>
      <c r="C1554">
        <v>0</v>
      </c>
      <c r="D1554">
        <v>1</v>
      </c>
      <c r="E1554">
        <v>6</v>
      </c>
      <c r="F1554">
        <v>4</v>
      </c>
      <c r="G1554">
        <v>1</v>
      </c>
      <c r="H1554">
        <f>표4[[#This Row],[공격성공횟수]]/(표4[[#This Row],[공격실패횟수]]+표4[[#This Row],[공격성공횟수]])</f>
        <v>0.14285714285714285</v>
      </c>
    </row>
    <row r="1555" spans="1:8" hidden="1" x14ac:dyDescent="0.4">
      <c r="A1555">
        <v>777</v>
      </c>
      <c r="B1555" t="s">
        <v>2</v>
      </c>
      <c r="C1555">
        <v>1</v>
      </c>
      <c r="D1555">
        <v>4</v>
      </c>
      <c r="E1555">
        <v>11</v>
      </c>
      <c r="F1555">
        <v>1</v>
      </c>
      <c r="G1555">
        <v>0</v>
      </c>
      <c r="H1555">
        <f>표4[[#This Row],[공격성공횟수]]/(표4[[#This Row],[공격실패횟수]]+표4[[#This Row],[공격성공횟수]])</f>
        <v>0.26666666666666666</v>
      </c>
    </row>
    <row r="1556" spans="1:8" x14ac:dyDescent="0.4">
      <c r="A1556">
        <v>778</v>
      </c>
      <c r="B1556" t="s">
        <v>3</v>
      </c>
      <c r="C1556">
        <v>1</v>
      </c>
      <c r="D1556">
        <v>4</v>
      </c>
      <c r="E1556">
        <v>20</v>
      </c>
      <c r="F1556">
        <v>0</v>
      </c>
      <c r="G1556">
        <v>0</v>
      </c>
      <c r="H1556">
        <f>표4[[#This Row],[공격성공횟수]]/(표4[[#This Row],[공격실패횟수]]+표4[[#This Row],[공격성공횟수]])</f>
        <v>0.16666666666666666</v>
      </c>
    </row>
    <row r="1557" spans="1:8" hidden="1" x14ac:dyDescent="0.4">
      <c r="A1557">
        <v>778</v>
      </c>
      <c r="B1557" t="s">
        <v>2</v>
      </c>
      <c r="C1557">
        <v>0</v>
      </c>
      <c r="D1557">
        <v>0</v>
      </c>
      <c r="E1557">
        <v>25</v>
      </c>
      <c r="F1557">
        <v>4</v>
      </c>
      <c r="G1557">
        <v>1</v>
      </c>
      <c r="H1557">
        <f>표4[[#This Row],[공격성공횟수]]/(표4[[#This Row],[공격실패횟수]]+표4[[#This Row],[공격성공횟수]])</f>
        <v>0</v>
      </c>
    </row>
    <row r="1558" spans="1:8" x14ac:dyDescent="0.4">
      <c r="A1558">
        <v>779</v>
      </c>
      <c r="B1558" t="s">
        <v>3</v>
      </c>
      <c r="C1558">
        <v>1</v>
      </c>
      <c r="D1558">
        <v>4</v>
      </c>
      <c r="E1558">
        <v>12</v>
      </c>
      <c r="F1558">
        <v>2</v>
      </c>
      <c r="G1558">
        <v>0</v>
      </c>
      <c r="H1558">
        <f>표4[[#This Row],[공격성공횟수]]/(표4[[#This Row],[공격실패횟수]]+표4[[#This Row],[공격성공횟수]])</f>
        <v>0.25</v>
      </c>
    </row>
    <row r="1559" spans="1:8" hidden="1" x14ac:dyDescent="0.4">
      <c r="A1559">
        <v>779</v>
      </c>
      <c r="B1559" t="s">
        <v>2</v>
      </c>
      <c r="C1559">
        <v>0</v>
      </c>
      <c r="D1559">
        <v>2</v>
      </c>
      <c r="E1559">
        <v>29</v>
      </c>
      <c r="F1559">
        <v>4</v>
      </c>
      <c r="G1559">
        <v>1</v>
      </c>
      <c r="H1559">
        <f>표4[[#This Row],[공격성공횟수]]/(표4[[#This Row],[공격실패횟수]]+표4[[#This Row],[공격성공횟수]])</f>
        <v>6.4516129032258063E-2</v>
      </c>
    </row>
    <row r="1560" spans="1:8" x14ac:dyDescent="0.4">
      <c r="A1560">
        <v>780</v>
      </c>
      <c r="B1560" t="s">
        <v>3</v>
      </c>
      <c r="C1560">
        <v>0</v>
      </c>
      <c r="D1560">
        <v>1</v>
      </c>
      <c r="E1560">
        <v>3</v>
      </c>
      <c r="F1560">
        <v>4</v>
      </c>
      <c r="G1560">
        <v>1</v>
      </c>
      <c r="H1560">
        <f>표4[[#This Row],[공격성공횟수]]/(표4[[#This Row],[공격실패횟수]]+표4[[#This Row],[공격성공횟수]])</f>
        <v>0.25</v>
      </c>
    </row>
    <row r="1561" spans="1:8" hidden="1" x14ac:dyDescent="0.4">
      <c r="A1561">
        <v>780</v>
      </c>
      <c r="B1561" t="s">
        <v>2</v>
      </c>
      <c r="C1561">
        <v>1</v>
      </c>
      <c r="D1561">
        <v>4</v>
      </c>
      <c r="E1561">
        <v>7</v>
      </c>
      <c r="F1561">
        <v>1</v>
      </c>
      <c r="G1561">
        <v>0</v>
      </c>
      <c r="H1561">
        <f>표4[[#This Row],[공격성공횟수]]/(표4[[#This Row],[공격실패횟수]]+표4[[#This Row],[공격성공횟수]])</f>
        <v>0.36363636363636365</v>
      </c>
    </row>
    <row r="1562" spans="1:8" x14ac:dyDescent="0.4">
      <c r="A1562">
        <v>781</v>
      </c>
      <c r="B1562" t="s">
        <v>3</v>
      </c>
      <c r="C1562">
        <v>1</v>
      </c>
      <c r="D1562">
        <v>4</v>
      </c>
      <c r="E1562">
        <v>19</v>
      </c>
      <c r="F1562">
        <v>1</v>
      </c>
      <c r="G1562">
        <v>0</v>
      </c>
      <c r="H1562">
        <f>표4[[#This Row],[공격성공횟수]]/(표4[[#This Row],[공격실패횟수]]+표4[[#This Row],[공격성공횟수]])</f>
        <v>0.17391304347826086</v>
      </c>
    </row>
    <row r="1563" spans="1:8" hidden="1" x14ac:dyDescent="0.4">
      <c r="A1563">
        <v>781</v>
      </c>
      <c r="B1563" t="s">
        <v>2</v>
      </c>
      <c r="C1563">
        <v>0</v>
      </c>
      <c r="D1563">
        <v>1</v>
      </c>
      <c r="E1563">
        <v>20</v>
      </c>
      <c r="F1563">
        <v>4</v>
      </c>
      <c r="G1563">
        <v>1</v>
      </c>
      <c r="H1563">
        <f>표4[[#This Row],[공격성공횟수]]/(표4[[#This Row],[공격실패횟수]]+표4[[#This Row],[공격성공횟수]])</f>
        <v>4.7619047619047616E-2</v>
      </c>
    </row>
    <row r="1564" spans="1:8" x14ac:dyDescent="0.4">
      <c r="A1564">
        <v>782</v>
      </c>
      <c r="B1564" t="s">
        <v>3</v>
      </c>
      <c r="C1564">
        <v>1</v>
      </c>
      <c r="D1564">
        <v>4</v>
      </c>
      <c r="E1564">
        <v>4</v>
      </c>
      <c r="F1564">
        <v>3</v>
      </c>
      <c r="G1564">
        <v>0</v>
      </c>
      <c r="H1564">
        <f>표4[[#This Row],[공격성공횟수]]/(표4[[#This Row],[공격실패횟수]]+표4[[#This Row],[공격성공횟수]])</f>
        <v>0.5</v>
      </c>
    </row>
    <row r="1565" spans="1:8" hidden="1" x14ac:dyDescent="0.4">
      <c r="A1565">
        <v>782</v>
      </c>
      <c r="B1565" t="s">
        <v>2</v>
      </c>
      <c r="C1565">
        <v>0</v>
      </c>
      <c r="D1565">
        <v>3</v>
      </c>
      <c r="E1565">
        <v>5</v>
      </c>
      <c r="F1565">
        <v>4</v>
      </c>
      <c r="G1565">
        <v>1</v>
      </c>
      <c r="H1565">
        <f>표4[[#This Row],[공격성공횟수]]/(표4[[#This Row],[공격실패횟수]]+표4[[#This Row],[공격성공횟수]])</f>
        <v>0.375</v>
      </c>
    </row>
    <row r="1566" spans="1:8" x14ac:dyDescent="0.4">
      <c r="A1566">
        <v>783</v>
      </c>
      <c r="B1566" t="s">
        <v>3</v>
      </c>
      <c r="C1566">
        <v>1</v>
      </c>
      <c r="D1566">
        <v>4</v>
      </c>
      <c r="E1566">
        <v>6</v>
      </c>
      <c r="F1566">
        <v>1</v>
      </c>
      <c r="G1566">
        <v>0</v>
      </c>
      <c r="H1566">
        <f>표4[[#This Row],[공격성공횟수]]/(표4[[#This Row],[공격실패횟수]]+표4[[#This Row],[공격성공횟수]])</f>
        <v>0.4</v>
      </c>
    </row>
    <row r="1567" spans="1:8" hidden="1" x14ac:dyDescent="0.4">
      <c r="A1567">
        <v>783</v>
      </c>
      <c r="B1567" t="s">
        <v>2</v>
      </c>
      <c r="C1567">
        <v>0</v>
      </c>
      <c r="D1567">
        <v>1</v>
      </c>
      <c r="E1567">
        <v>15</v>
      </c>
      <c r="F1567">
        <v>4</v>
      </c>
      <c r="G1567">
        <v>1</v>
      </c>
      <c r="H1567">
        <f>표4[[#This Row],[공격성공횟수]]/(표4[[#This Row],[공격실패횟수]]+표4[[#This Row],[공격성공횟수]])</f>
        <v>6.25E-2</v>
      </c>
    </row>
    <row r="1568" spans="1:8" x14ac:dyDescent="0.4">
      <c r="A1568">
        <v>784</v>
      </c>
      <c r="B1568" t="s">
        <v>3</v>
      </c>
      <c r="C1568">
        <v>0</v>
      </c>
      <c r="D1568">
        <v>1</v>
      </c>
      <c r="E1568">
        <v>11</v>
      </c>
      <c r="F1568">
        <v>4</v>
      </c>
      <c r="G1568">
        <v>1</v>
      </c>
      <c r="H1568">
        <f>표4[[#This Row],[공격성공횟수]]/(표4[[#This Row],[공격실패횟수]]+표4[[#This Row],[공격성공횟수]])</f>
        <v>8.3333333333333329E-2</v>
      </c>
    </row>
    <row r="1569" spans="1:8" hidden="1" x14ac:dyDescent="0.4">
      <c r="A1569">
        <v>784</v>
      </c>
      <c r="B1569" t="s">
        <v>2</v>
      </c>
      <c r="C1569">
        <v>1</v>
      </c>
      <c r="D1569">
        <v>4</v>
      </c>
      <c r="E1569">
        <v>35</v>
      </c>
      <c r="F1569">
        <v>1</v>
      </c>
      <c r="G1569">
        <v>0</v>
      </c>
      <c r="H1569">
        <f>표4[[#This Row],[공격성공횟수]]/(표4[[#This Row],[공격실패횟수]]+표4[[#This Row],[공격성공횟수]])</f>
        <v>0.10256410256410256</v>
      </c>
    </row>
    <row r="1570" spans="1:8" x14ac:dyDescent="0.4">
      <c r="A1570">
        <v>785</v>
      </c>
      <c r="B1570" t="s">
        <v>3</v>
      </c>
      <c r="C1570">
        <v>1</v>
      </c>
      <c r="D1570">
        <v>4</v>
      </c>
      <c r="E1570">
        <v>15</v>
      </c>
      <c r="F1570">
        <v>1</v>
      </c>
      <c r="G1570">
        <v>0</v>
      </c>
      <c r="H1570">
        <f>표4[[#This Row],[공격성공횟수]]/(표4[[#This Row],[공격실패횟수]]+표4[[#This Row],[공격성공횟수]])</f>
        <v>0.21052631578947367</v>
      </c>
    </row>
    <row r="1571" spans="1:8" hidden="1" x14ac:dyDescent="0.4">
      <c r="A1571">
        <v>785</v>
      </c>
      <c r="B1571" t="s">
        <v>2</v>
      </c>
      <c r="C1571">
        <v>0</v>
      </c>
      <c r="D1571">
        <v>1</v>
      </c>
      <c r="E1571">
        <v>16</v>
      </c>
      <c r="F1571">
        <v>4</v>
      </c>
      <c r="G1571">
        <v>1</v>
      </c>
      <c r="H1571">
        <f>표4[[#This Row],[공격성공횟수]]/(표4[[#This Row],[공격실패횟수]]+표4[[#This Row],[공격성공횟수]])</f>
        <v>5.8823529411764705E-2</v>
      </c>
    </row>
    <row r="1572" spans="1:8" x14ac:dyDescent="0.4">
      <c r="A1572">
        <v>786</v>
      </c>
      <c r="B1572" t="s">
        <v>3</v>
      </c>
      <c r="C1572">
        <v>1</v>
      </c>
      <c r="D1572">
        <v>4</v>
      </c>
      <c r="E1572">
        <v>8</v>
      </c>
      <c r="F1572">
        <v>2</v>
      </c>
      <c r="G1572">
        <v>0</v>
      </c>
      <c r="H1572">
        <f>표4[[#This Row],[공격성공횟수]]/(표4[[#This Row],[공격실패횟수]]+표4[[#This Row],[공격성공횟수]])</f>
        <v>0.33333333333333331</v>
      </c>
    </row>
    <row r="1573" spans="1:8" hidden="1" x14ac:dyDescent="0.4">
      <c r="A1573">
        <v>786</v>
      </c>
      <c r="B1573" t="s">
        <v>2</v>
      </c>
      <c r="C1573">
        <v>0</v>
      </c>
      <c r="D1573">
        <v>2</v>
      </c>
      <c r="E1573">
        <v>9</v>
      </c>
      <c r="F1573">
        <v>4</v>
      </c>
      <c r="G1573">
        <v>1</v>
      </c>
      <c r="H1573">
        <f>표4[[#This Row],[공격성공횟수]]/(표4[[#This Row],[공격실패횟수]]+표4[[#This Row],[공격성공횟수]])</f>
        <v>0.18181818181818182</v>
      </c>
    </row>
    <row r="1574" spans="1:8" x14ac:dyDescent="0.4">
      <c r="A1574">
        <v>787</v>
      </c>
      <c r="B1574" t="s">
        <v>3</v>
      </c>
      <c r="C1574">
        <v>1</v>
      </c>
      <c r="D1574">
        <v>4</v>
      </c>
      <c r="E1574">
        <v>34</v>
      </c>
      <c r="F1574">
        <v>3</v>
      </c>
      <c r="G1574">
        <v>0</v>
      </c>
      <c r="H1574">
        <f>표4[[#This Row],[공격성공횟수]]/(표4[[#This Row],[공격실패횟수]]+표4[[#This Row],[공격성공횟수]])</f>
        <v>0.10526315789473684</v>
      </c>
    </row>
    <row r="1575" spans="1:8" hidden="1" x14ac:dyDescent="0.4">
      <c r="A1575">
        <v>787</v>
      </c>
      <c r="B1575" t="s">
        <v>2</v>
      </c>
      <c r="C1575">
        <v>0</v>
      </c>
      <c r="D1575">
        <v>3</v>
      </c>
      <c r="E1575">
        <v>40</v>
      </c>
      <c r="F1575">
        <v>4</v>
      </c>
      <c r="G1575">
        <v>1</v>
      </c>
      <c r="H1575">
        <f>표4[[#This Row],[공격성공횟수]]/(표4[[#This Row],[공격실패횟수]]+표4[[#This Row],[공격성공횟수]])</f>
        <v>6.9767441860465115E-2</v>
      </c>
    </row>
    <row r="1576" spans="1:8" x14ac:dyDescent="0.4">
      <c r="A1576">
        <v>788</v>
      </c>
      <c r="B1576" t="s">
        <v>3</v>
      </c>
      <c r="C1576">
        <v>1</v>
      </c>
      <c r="D1576">
        <v>4</v>
      </c>
      <c r="E1576">
        <v>22</v>
      </c>
      <c r="F1576">
        <v>1</v>
      </c>
      <c r="G1576">
        <v>0</v>
      </c>
      <c r="H1576">
        <f>표4[[#This Row],[공격성공횟수]]/(표4[[#This Row],[공격실패횟수]]+표4[[#This Row],[공격성공횟수]])</f>
        <v>0.15384615384615385</v>
      </c>
    </row>
    <row r="1577" spans="1:8" hidden="1" x14ac:dyDescent="0.4">
      <c r="A1577">
        <v>788</v>
      </c>
      <c r="B1577" t="s">
        <v>2</v>
      </c>
      <c r="C1577">
        <v>0</v>
      </c>
      <c r="D1577">
        <v>1</v>
      </c>
      <c r="E1577">
        <v>25</v>
      </c>
      <c r="F1577">
        <v>4</v>
      </c>
      <c r="G1577">
        <v>1</v>
      </c>
      <c r="H1577">
        <f>표4[[#This Row],[공격성공횟수]]/(표4[[#This Row],[공격실패횟수]]+표4[[#This Row],[공격성공횟수]])</f>
        <v>3.8461538461538464E-2</v>
      </c>
    </row>
    <row r="1578" spans="1:8" x14ac:dyDescent="0.4">
      <c r="A1578">
        <v>789</v>
      </c>
      <c r="B1578" t="s">
        <v>3</v>
      </c>
      <c r="C1578">
        <v>1</v>
      </c>
      <c r="D1578">
        <v>4</v>
      </c>
      <c r="E1578">
        <v>8</v>
      </c>
      <c r="F1578">
        <v>1</v>
      </c>
      <c r="G1578">
        <v>0</v>
      </c>
      <c r="H1578">
        <f>표4[[#This Row],[공격성공횟수]]/(표4[[#This Row],[공격실패횟수]]+표4[[#This Row],[공격성공횟수]])</f>
        <v>0.33333333333333331</v>
      </c>
    </row>
    <row r="1579" spans="1:8" hidden="1" x14ac:dyDescent="0.4">
      <c r="A1579">
        <v>789</v>
      </c>
      <c r="B1579" t="s">
        <v>2</v>
      </c>
      <c r="C1579">
        <v>0</v>
      </c>
      <c r="D1579">
        <v>1</v>
      </c>
      <c r="E1579">
        <v>10</v>
      </c>
      <c r="F1579">
        <v>4</v>
      </c>
      <c r="G1579">
        <v>1</v>
      </c>
      <c r="H1579">
        <f>표4[[#This Row],[공격성공횟수]]/(표4[[#This Row],[공격실패횟수]]+표4[[#This Row],[공격성공횟수]])</f>
        <v>9.0909090909090912E-2</v>
      </c>
    </row>
    <row r="1580" spans="1:8" x14ac:dyDescent="0.4">
      <c r="A1580">
        <v>790</v>
      </c>
      <c r="B1580" t="s">
        <v>3</v>
      </c>
      <c r="C1580">
        <v>1</v>
      </c>
      <c r="D1580">
        <v>4</v>
      </c>
      <c r="E1580">
        <v>5</v>
      </c>
      <c r="F1580">
        <v>2</v>
      </c>
      <c r="G1580">
        <v>0</v>
      </c>
      <c r="H1580">
        <f>표4[[#This Row],[공격성공횟수]]/(표4[[#This Row],[공격실패횟수]]+표4[[#This Row],[공격성공횟수]])</f>
        <v>0.44444444444444442</v>
      </c>
    </row>
    <row r="1581" spans="1:8" hidden="1" x14ac:dyDescent="0.4">
      <c r="A1581">
        <v>790</v>
      </c>
      <c r="B1581" t="s">
        <v>2</v>
      </c>
      <c r="C1581">
        <v>0</v>
      </c>
      <c r="D1581">
        <v>2</v>
      </c>
      <c r="E1581">
        <v>14</v>
      </c>
      <c r="F1581">
        <v>4</v>
      </c>
      <c r="G1581">
        <v>1</v>
      </c>
      <c r="H1581">
        <f>표4[[#This Row],[공격성공횟수]]/(표4[[#This Row],[공격실패횟수]]+표4[[#This Row],[공격성공횟수]])</f>
        <v>0.125</v>
      </c>
    </row>
    <row r="1582" spans="1:8" x14ac:dyDescent="0.4">
      <c r="A1582">
        <v>791</v>
      </c>
      <c r="B1582" t="s">
        <v>3</v>
      </c>
      <c r="C1582">
        <v>1</v>
      </c>
      <c r="D1582">
        <v>4</v>
      </c>
      <c r="E1582">
        <v>7</v>
      </c>
      <c r="F1582">
        <v>0</v>
      </c>
      <c r="G1582">
        <v>0</v>
      </c>
      <c r="H1582">
        <f>표4[[#This Row],[공격성공횟수]]/(표4[[#This Row],[공격실패횟수]]+표4[[#This Row],[공격성공횟수]])</f>
        <v>0.36363636363636365</v>
      </c>
    </row>
    <row r="1583" spans="1:8" hidden="1" x14ac:dyDescent="0.4">
      <c r="A1583">
        <v>791</v>
      </c>
      <c r="B1583" t="s">
        <v>2</v>
      </c>
      <c r="C1583">
        <v>0</v>
      </c>
      <c r="D1583">
        <v>0</v>
      </c>
      <c r="E1583">
        <v>11</v>
      </c>
      <c r="F1583">
        <v>4</v>
      </c>
      <c r="G1583">
        <v>1</v>
      </c>
      <c r="H1583">
        <f>표4[[#This Row],[공격성공횟수]]/(표4[[#This Row],[공격실패횟수]]+표4[[#This Row],[공격성공횟수]])</f>
        <v>0</v>
      </c>
    </row>
    <row r="1584" spans="1:8" x14ac:dyDescent="0.4">
      <c r="A1584">
        <v>792</v>
      </c>
      <c r="B1584" t="s">
        <v>3</v>
      </c>
      <c r="C1584">
        <v>1</v>
      </c>
      <c r="D1584">
        <v>4</v>
      </c>
      <c r="E1584">
        <v>1</v>
      </c>
      <c r="F1584">
        <v>0</v>
      </c>
      <c r="G1584">
        <v>0</v>
      </c>
      <c r="H1584">
        <f>표4[[#This Row],[공격성공횟수]]/(표4[[#This Row],[공격실패횟수]]+표4[[#This Row],[공격성공횟수]])</f>
        <v>0.8</v>
      </c>
    </row>
    <row r="1585" spans="1:8" hidden="1" x14ac:dyDescent="0.4">
      <c r="A1585">
        <v>792</v>
      </c>
      <c r="B1585" t="s">
        <v>2</v>
      </c>
      <c r="C1585">
        <v>0</v>
      </c>
      <c r="D1585">
        <v>0</v>
      </c>
      <c r="E1585">
        <v>4</v>
      </c>
      <c r="F1585">
        <v>4</v>
      </c>
      <c r="G1585">
        <v>1</v>
      </c>
      <c r="H1585">
        <f>표4[[#This Row],[공격성공횟수]]/(표4[[#This Row],[공격실패횟수]]+표4[[#This Row],[공격성공횟수]])</f>
        <v>0</v>
      </c>
    </row>
    <row r="1586" spans="1:8" x14ac:dyDescent="0.4">
      <c r="A1586">
        <v>793</v>
      </c>
      <c r="B1586" t="s">
        <v>3</v>
      </c>
      <c r="C1586">
        <v>1</v>
      </c>
      <c r="D1586">
        <v>4</v>
      </c>
      <c r="E1586">
        <v>2</v>
      </c>
      <c r="F1586">
        <v>3</v>
      </c>
      <c r="G1586">
        <v>0</v>
      </c>
      <c r="H1586">
        <f>표4[[#This Row],[공격성공횟수]]/(표4[[#This Row],[공격실패횟수]]+표4[[#This Row],[공격성공횟수]])</f>
        <v>0.66666666666666663</v>
      </c>
    </row>
    <row r="1587" spans="1:8" hidden="1" x14ac:dyDescent="0.4">
      <c r="A1587">
        <v>793</v>
      </c>
      <c r="B1587" t="s">
        <v>2</v>
      </c>
      <c r="C1587">
        <v>0</v>
      </c>
      <c r="D1587">
        <v>3</v>
      </c>
      <c r="E1587">
        <v>3</v>
      </c>
      <c r="F1587">
        <v>4</v>
      </c>
      <c r="G1587">
        <v>1</v>
      </c>
      <c r="H1587">
        <f>표4[[#This Row],[공격성공횟수]]/(표4[[#This Row],[공격실패횟수]]+표4[[#This Row],[공격성공횟수]])</f>
        <v>0.5</v>
      </c>
    </row>
    <row r="1588" spans="1:8" x14ac:dyDescent="0.4">
      <c r="A1588">
        <v>794</v>
      </c>
      <c r="B1588" t="s">
        <v>3</v>
      </c>
      <c r="C1588">
        <v>1</v>
      </c>
      <c r="D1588">
        <v>4</v>
      </c>
      <c r="E1588">
        <v>26</v>
      </c>
      <c r="F1588">
        <v>0</v>
      </c>
      <c r="G1588">
        <v>0</v>
      </c>
      <c r="H1588">
        <f>표4[[#This Row],[공격성공횟수]]/(표4[[#This Row],[공격실패횟수]]+표4[[#This Row],[공격성공횟수]])</f>
        <v>0.13333333333333333</v>
      </c>
    </row>
    <row r="1589" spans="1:8" hidden="1" x14ac:dyDescent="0.4">
      <c r="A1589">
        <v>794</v>
      </c>
      <c r="B1589" t="s">
        <v>2</v>
      </c>
      <c r="C1589">
        <v>0</v>
      </c>
      <c r="D1589">
        <v>0</v>
      </c>
      <c r="E1589">
        <v>31</v>
      </c>
      <c r="F1589">
        <v>4</v>
      </c>
      <c r="G1589">
        <v>1</v>
      </c>
      <c r="H1589">
        <f>표4[[#This Row],[공격성공횟수]]/(표4[[#This Row],[공격실패횟수]]+표4[[#This Row],[공격성공횟수]])</f>
        <v>0</v>
      </c>
    </row>
    <row r="1590" spans="1:8" x14ac:dyDescent="0.4">
      <c r="A1590">
        <v>795</v>
      </c>
      <c r="B1590" t="s">
        <v>3</v>
      </c>
      <c r="C1590">
        <v>0</v>
      </c>
      <c r="D1590">
        <v>3</v>
      </c>
      <c r="E1590">
        <v>9</v>
      </c>
      <c r="F1590">
        <v>4</v>
      </c>
      <c r="G1590">
        <v>1</v>
      </c>
      <c r="H1590">
        <f>표4[[#This Row],[공격성공횟수]]/(표4[[#This Row],[공격실패횟수]]+표4[[#This Row],[공격성공횟수]])</f>
        <v>0.25</v>
      </c>
    </row>
    <row r="1591" spans="1:8" hidden="1" x14ac:dyDescent="0.4">
      <c r="A1591">
        <v>795</v>
      </c>
      <c r="B1591" t="s">
        <v>2</v>
      </c>
      <c r="C1591">
        <v>1</v>
      </c>
      <c r="D1591">
        <v>4</v>
      </c>
      <c r="E1591">
        <v>8</v>
      </c>
      <c r="F1591">
        <v>3</v>
      </c>
      <c r="G1591">
        <v>0</v>
      </c>
      <c r="H1591">
        <f>표4[[#This Row],[공격성공횟수]]/(표4[[#This Row],[공격실패횟수]]+표4[[#This Row],[공격성공횟수]])</f>
        <v>0.33333333333333331</v>
      </c>
    </row>
    <row r="1592" spans="1:8" x14ac:dyDescent="0.4">
      <c r="A1592">
        <v>796</v>
      </c>
      <c r="B1592" t="s">
        <v>3</v>
      </c>
      <c r="C1592">
        <v>1</v>
      </c>
      <c r="D1592">
        <v>4</v>
      </c>
      <c r="E1592">
        <v>35</v>
      </c>
      <c r="F1592">
        <v>2</v>
      </c>
      <c r="G1592">
        <v>0</v>
      </c>
      <c r="H1592">
        <f>표4[[#This Row],[공격성공횟수]]/(표4[[#This Row],[공격실패횟수]]+표4[[#This Row],[공격성공횟수]])</f>
        <v>0.10256410256410256</v>
      </c>
    </row>
    <row r="1593" spans="1:8" hidden="1" x14ac:dyDescent="0.4">
      <c r="A1593">
        <v>796</v>
      </c>
      <c r="B1593" t="s">
        <v>2</v>
      </c>
      <c r="C1593">
        <v>0</v>
      </c>
      <c r="D1593">
        <v>2</v>
      </c>
      <c r="E1593">
        <v>37</v>
      </c>
      <c r="F1593">
        <v>4</v>
      </c>
      <c r="G1593">
        <v>1</v>
      </c>
      <c r="H1593">
        <f>표4[[#This Row],[공격성공횟수]]/(표4[[#This Row],[공격실패횟수]]+표4[[#This Row],[공격성공횟수]])</f>
        <v>5.128205128205128E-2</v>
      </c>
    </row>
    <row r="1594" spans="1:8" x14ac:dyDescent="0.4">
      <c r="A1594">
        <v>797</v>
      </c>
      <c r="B1594" t="s">
        <v>3</v>
      </c>
      <c r="C1594">
        <v>0</v>
      </c>
      <c r="D1594">
        <v>3</v>
      </c>
      <c r="E1594">
        <v>11</v>
      </c>
      <c r="F1594">
        <v>4</v>
      </c>
      <c r="G1594">
        <v>1</v>
      </c>
      <c r="H1594">
        <f>표4[[#This Row],[공격성공횟수]]/(표4[[#This Row],[공격실패횟수]]+표4[[#This Row],[공격성공횟수]])</f>
        <v>0.21428571428571427</v>
      </c>
    </row>
    <row r="1595" spans="1:8" hidden="1" x14ac:dyDescent="0.4">
      <c r="A1595">
        <v>797</v>
      </c>
      <c r="B1595" t="s">
        <v>2</v>
      </c>
      <c r="C1595">
        <v>1</v>
      </c>
      <c r="D1595">
        <v>4</v>
      </c>
      <c r="E1595">
        <v>16</v>
      </c>
      <c r="F1595">
        <v>3</v>
      </c>
      <c r="G1595">
        <v>0</v>
      </c>
      <c r="H1595">
        <f>표4[[#This Row],[공격성공횟수]]/(표4[[#This Row],[공격실패횟수]]+표4[[#This Row],[공격성공횟수]])</f>
        <v>0.2</v>
      </c>
    </row>
    <row r="1596" spans="1:8" x14ac:dyDescent="0.4">
      <c r="A1596">
        <v>798</v>
      </c>
      <c r="B1596" t="s">
        <v>3</v>
      </c>
      <c r="C1596">
        <v>1</v>
      </c>
      <c r="D1596">
        <v>4</v>
      </c>
      <c r="E1596">
        <v>12</v>
      </c>
      <c r="F1596">
        <v>1</v>
      </c>
      <c r="G1596">
        <v>0</v>
      </c>
      <c r="H1596">
        <f>표4[[#This Row],[공격성공횟수]]/(표4[[#This Row],[공격실패횟수]]+표4[[#This Row],[공격성공횟수]])</f>
        <v>0.25</v>
      </c>
    </row>
    <row r="1597" spans="1:8" hidden="1" x14ac:dyDescent="0.4">
      <c r="A1597">
        <v>798</v>
      </c>
      <c r="B1597" t="s">
        <v>2</v>
      </c>
      <c r="C1597">
        <v>0</v>
      </c>
      <c r="D1597">
        <v>1</v>
      </c>
      <c r="E1597">
        <v>14</v>
      </c>
      <c r="F1597">
        <v>4</v>
      </c>
      <c r="G1597">
        <v>1</v>
      </c>
      <c r="H1597">
        <f>표4[[#This Row],[공격성공횟수]]/(표4[[#This Row],[공격실패횟수]]+표4[[#This Row],[공격성공횟수]])</f>
        <v>6.6666666666666666E-2</v>
      </c>
    </row>
    <row r="1598" spans="1:8" x14ac:dyDescent="0.4">
      <c r="A1598">
        <v>799</v>
      </c>
      <c r="B1598" t="s">
        <v>3</v>
      </c>
      <c r="C1598">
        <v>1</v>
      </c>
      <c r="D1598">
        <v>4</v>
      </c>
      <c r="E1598">
        <v>13</v>
      </c>
      <c r="F1598">
        <v>3</v>
      </c>
      <c r="G1598">
        <v>0</v>
      </c>
      <c r="H1598">
        <f>표4[[#This Row],[공격성공횟수]]/(표4[[#This Row],[공격실패횟수]]+표4[[#This Row],[공격성공횟수]])</f>
        <v>0.23529411764705882</v>
      </c>
    </row>
    <row r="1599" spans="1:8" hidden="1" x14ac:dyDescent="0.4">
      <c r="A1599">
        <v>799</v>
      </c>
      <c r="B1599" t="s">
        <v>2</v>
      </c>
      <c r="C1599">
        <v>0</v>
      </c>
      <c r="D1599">
        <v>3</v>
      </c>
      <c r="E1599">
        <v>13</v>
      </c>
      <c r="F1599">
        <v>4</v>
      </c>
      <c r="G1599">
        <v>1</v>
      </c>
      <c r="H1599">
        <f>표4[[#This Row],[공격성공횟수]]/(표4[[#This Row],[공격실패횟수]]+표4[[#This Row],[공격성공횟수]])</f>
        <v>0.1875</v>
      </c>
    </row>
    <row r="1600" spans="1:8" x14ac:dyDescent="0.4">
      <c r="A1600">
        <v>800</v>
      </c>
      <c r="B1600" t="s">
        <v>3</v>
      </c>
      <c r="C1600">
        <v>0</v>
      </c>
      <c r="D1600">
        <v>1</v>
      </c>
      <c r="E1600">
        <v>24</v>
      </c>
      <c r="F1600">
        <v>4</v>
      </c>
      <c r="G1600">
        <v>1</v>
      </c>
      <c r="H1600">
        <f>표4[[#This Row],[공격성공횟수]]/(표4[[#This Row],[공격실패횟수]]+표4[[#This Row],[공격성공횟수]])</f>
        <v>0.04</v>
      </c>
    </row>
    <row r="1601" spans="1:8" hidden="1" x14ac:dyDescent="0.4">
      <c r="A1601">
        <v>800</v>
      </c>
      <c r="B1601" t="s">
        <v>2</v>
      </c>
      <c r="C1601">
        <v>1</v>
      </c>
      <c r="D1601">
        <v>4</v>
      </c>
      <c r="E1601">
        <v>28</v>
      </c>
      <c r="F1601">
        <v>1</v>
      </c>
      <c r="G1601">
        <v>0</v>
      </c>
      <c r="H1601">
        <f>표4[[#This Row],[공격성공횟수]]/(표4[[#This Row],[공격실패횟수]]+표4[[#This Row],[공격성공횟수]])</f>
        <v>0.125</v>
      </c>
    </row>
    <row r="1602" spans="1:8" x14ac:dyDescent="0.4">
      <c r="A1602">
        <v>801</v>
      </c>
      <c r="B1602" t="s">
        <v>3</v>
      </c>
      <c r="C1602">
        <v>0</v>
      </c>
      <c r="D1602">
        <v>0</v>
      </c>
      <c r="E1602">
        <v>3</v>
      </c>
      <c r="F1602">
        <v>4</v>
      </c>
      <c r="G1602">
        <v>1</v>
      </c>
      <c r="H1602">
        <f>표4[[#This Row],[공격성공횟수]]/(표4[[#This Row],[공격실패횟수]]+표4[[#This Row],[공격성공횟수]])</f>
        <v>0</v>
      </c>
    </row>
    <row r="1603" spans="1:8" hidden="1" x14ac:dyDescent="0.4">
      <c r="A1603">
        <v>801</v>
      </c>
      <c r="B1603" t="s">
        <v>2</v>
      </c>
      <c r="C1603">
        <v>1</v>
      </c>
      <c r="D1603">
        <v>4</v>
      </c>
      <c r="E1603">
        <v>11</v>
      </c>
      <c r="F1603">
        <v>0</v>
      </c>
      <c r="G1603">
        <v>0</v>
      </c>
      <c r="H1603">
        <f>표4[[#This Row],[공격성공횟수]]/(표4[[#This Row],[공격실패횟수]]+표4[[#This Row],[공격성공횟수]])</f>
        <v>0.26666666666666666</v>
      </c>
    </row>
    <row r="1604" spans="1:8" x14ac:dyDescent="0.4">
      <c r="A1604">
        <v>802</v>
      </c>
      <c r="B1604" t="s">
        <v>3</v>
      </c>
      <c r="C1604">
        <v>1</v>
      </c>
      <c r="D1604">
        <v>4</v>
      </c>
      <c r="E1604">
        <v>87</v>
      </c>
      <c r="F1604">
        <v>0</v>
      </c>
      <c r="G1604">
        <v>0</v>
      </c>
      <c r="H1604">
        <f>표4[[#This Row],[공격성공횟수]]/(표4[[#This Row],[공격실패횟수]]+표4[[#This Row],[공격성공횟수]])</f>
        <v>4.3956043956043959E-2</v>
      </c>
    </row>
    <row r="1605" spans="1:8" hidden="1" x14ac:dyDescent="0.4">
      <c r="A1605">
        <v>802</v>
      </c>
      <c r="B1605" t="s">
        <v>2</v>
      </c>
      <c r="C1605">
        <v>0</v>
      </c>
      <c r="D1605">
        <v>0</v>
      </c>
      <c r="E1605">
        <v>93</v>
      </c>
      <c r="F1605">
        <v>4</v>
      </c>
      <c r="G1605">
        <v>1</v>
      </c>
      <c r="H1605">
        <f>표4[[#This Row],[공격성공횟수]]/(표4[[#This Row],[공격실패횟수]]+표4[[#This Row],[공격성공횟수]])</f>
        <v>0</v>
      </c>
    </row>
    <row r="1606" spans="1:8" x14ac:dyDescent="0.4">
      <c r="A1606">
        <v>803</v>
      </c>
      <c r="B1606" t="s">
        <v>3</v>
      </c>
      <c r="C1606">
        <v>0</v>
      </c>
      <c r="D1606">
        <v>2</v>
      </c>
      <c r="E1606">
        <v>13</v>
      </c>
      <c r="F1606">
        <v>4</v>
      </c>
      <c r="G1606">
        <v>1</v>
      </c>
      <c r="H1606">
        <f>표4[[#This Row],[공격성공횟수]]/(표4[[#This Row],[공격실패횟수]]+표4[[#This Row],[공격성공횟수]])</f>
        <v>0.13333333333333333</v>
      </c>
    </row>
    <row r="1607" spans="1:8" hidden="1" x14ac:dyDescent="0.4">
      <c r="A1607">
        <v>803</v>
      </c>
      <c r="B1607" t="s">
        <v>2</v>
      </c>
      <c r="C1607">
        <v>1</v>
      </c>
      <c r="D1607">
        <v>4</v>
      </c>
      <c r="E1607">
        <v>12</v>
      </c>
      <c r="F1607">
        <v>2</v>
      </c>
      <c r="G1607">
        <v>0</v>
      </c>
      <c r="H1607">
        <f>표4[[#This Row],[공격성공횟수]]/(표4[[#This Row],[공격실패횟수]]+표4[[#This Row],[공격성공횟수]])</f>
        <v>0.25</v>
      </c>
    </row>
    <row r="1608" spans="1:8" x14ac:dyDescent="0.4">
      <c r="A1608">
        <v>804</v>
      </c>
      <c r="B1608" t="s">
        <v>3</v>
      </c>
      <c r="C1608">
        <v>1</v>
      </c>
      <c r="D1608">
        <v>4</v>
      </c>
      <c r="E1608">
        <v>11</v>
      </c>
      <c r="F1608">
        <v>3</v>
      </c>
      <c r="G1608">
        <v>0</v>
      </c>
      <c r="H1608">
        <f>표4[[#This Row],[공격성공횟수]]/(표4[[#This Row],[공격실패횟수]]+표4[[#This Row],[공격성공횟수]])</f>
        <v>0.26666666666666666</v>
      </c>
    </row>
    <row r="1609" spans="1:8" hidden="1" x14ac:dyDescent="0.4">
      <c r="A1609">
        <v>804</v>
      </c>
      <c r="B1609" t="s">
        <v>2</v>
      </c>
      <c r="C1609">
        <v>0</v>
      </c>
      <c r="D1609">
        <v>3</v>
      </c>
      <c r="E1609">
        <v>11</v>
      </c>
      <c r="F1609">
        <v>4</v>
      </c>
      <c r="G1609">
        <v>1</v>
      </c>
      <c r="H1609">
        <f>표4[[#This Row],[공격성공횟수]]/(표4[[#This Row],[공격실패횟수]]+표4[[#This Row],[공격성공횟수]])</f>
        <v>0.21428571428571427</v>
      </c>
    </row>
    <row r="1610" spans="1:8" x14ac:dyDescent="0.4">
      <c r="A1610">
        <v>805</v>
      </c>
      <c r="B1610" t="s">
        <v>3</v>
      </c>
      <c r="C1610">
        <v>1</v>
      </c>
      <c r="D1610">
        <v>4</v>
      </c>
      <c r="E1610">
        <v>7</v>
      </c>
      <c r="F1610">
        <v>0</v>
      </c>
      <c r="G1610">
        <v>0</v>
      </c>
      <c r="H1610">
        <f>표4[[#This Row],[공격성공횟수]]/(표4[[#This Row],[공격실패횟수]]+표4[[#This Row],[공격성공횟수]])</f>
        <v>0.36363636363636365</v>
      </c>
    </row>
    <row r="1611" spans="1:8" hidden="1" x14ac:dyDescent="0.4">
      <c r="A1611">
        <v>805</v>
      </c>
      <c r="B1611" t="s">
        <v>2</v>
      </c>
      <c r="C1611">
        <v>0</v>
      </c>
      <c r="D1611">
        <v>0</v>
      </c>
      <c r="E1611">
        <v>10</v>
      </c>
      <c r="F1611">
        <v>4</v>
      </c>
      <c r="G1611">
        <v>1</v>
      </c>
      <c r="H1611">
        <f>표4[[#This Row],[공격성공횟수]]/(표4[[#This Row],[공격실패횟수]]+표4[[#This Row],[공격성공횟수]])</f>
        <v>0</v>
      </c>
    </row>
    <row r="1612" spans="1:8" x14ac:dyDescent="0.4">
      <c r="A1612">
        <v>806</v>
      </c>
      <c r="B1612" t="s">
        <v>3</v>
      </c>
      <c r="C1612">
        <v>1</v>
      </c>
      <c r="D1612">
        <v>4</v>
      </c>
      <c r="E1612">
        <v>38</v>
      </c>
      <c r="F1612">
        <v>0</v>
      </c>
      <c r="G1612">
        <v>0</v>
      </c>
      <c r="H1612">
        <f>표4[[#This Row],[공격성공횟수]]/(표4[[#This Row],[공격실패횟수]]+표4[[#This Row],[공격성공횟수]])</f>
        <v>9.5238095238095233E-2</v>
      </c>
    </row>
    <row r="1613" spans="1:8" hidden="1" x14ac:dyDescent="0.4">
      <c r="A1613">
        <v>806</v>
      </c>
      <c r="B1613" t="s">
        <v>2</v>
      </c>
      <c r="C1613">
        <v>0</v>
      </c>
      <c r="D1613">
        <v>0</v>
      </c>
      <c r="E1613">
        <v>46</v>
      </c>
      <c r="F1613">
        <v>4</v>
      </c>
      <c r="G1613">
        <v>1</v>
      </c>
      <c r="H1613">
        <f>표4[[#This Row],[공격성공횟수]]/(표4[[#This Row],[공격실패횟수]]+표4[[#This Row],[공격성공횟수]])</f>
        <v>0</v>
      </c>
    </row>
    <row r="1614" spans="1:8" x14ac:dyDescent="0.4">
      <c r="A1614">
        <v>807</v>
      </c>
      <c r="B1614" t="s">
        <v>3</v>
      </c>
      <c r="C1614">
        <v>0</v>
      </c>
      <c r="D1614">
        <v>1</v>
      </c>
      <c r="E1614">
        <v>2</v>
      </c>
      <c r="F1614">
        <v>4</v>
      </c>
      <c r="G1614">
        <v>1</v>
      </c>
      <c r="H1614">
        <f>표4[[#This Row],[공격성공횟수]]/(표4[[#This Row],[공격실패횟수]]+표4[[#This Row],[공격성공횟수]])</f>
        <v>0.33333333333333331</v>
      </c>
    </row>
    <row r="1615" spans="1:8" hidden="1" x14ac:dyDescent="0.4">
      <c r="A1615">
        <v>807</v>
      </c>
      <c r="B1615" t="s">
        <v>2</v>
      </c>
      <c r="C1615">
        <v>1</v>
      </c>
      <c r="D1615">
        <v>4</v>
      </c>
      <c r="E1615">
        <v>11</v>
      </c>
      <c r="F1615">
        <v>1</v>
      </c>
      <c r="G1615">
        <v>0</v>
      </c>
      <c r="H1615">
        <f>표4[[#This Row],[공격성공횟수]]/(표4[[#This Row],[공격실패횟수]]+표4[[#This Row],[공격성공횟수]])</f>
        <v>0.26666666666666666</v>
      </c>
    </row>
    <row r="1616" spans="1:8" x14ac:dyDescent="0.4">
      <c r="A1616">
        <v>808</v>
      </c>
      <c r="B1616" t="s">
        <v>3</v>
      </c>
      <c r="C1616">
        <v>1</v>
      </c>
      <c r="D1616">
        <v>4</v>
      </c>
      <c r="E1616">
        <v>3</v>
      </c>
      <c r="F1616">
        <v>2</v>
      </c>
      <c r="G1616">
        <v>0</v>
      </c>
      <c r="H1616">
        <f>표4[[#This Row],[공격성공횟수]]/(표4[[#This Row],[공격실패횟수]]+표4[[#This Row],[공격성공횟수]])</f>
        <v>0.5714285714285714</v>
      </c>
    </row>
    <row r="1617" spans="1:8" hidden="1" x14ac:dyDescent="0.4">
      <c r="A1617">
        <v>808</v>
      </c>
      <c r="B1617" t="s">
        <v>2</v>
      </c>
      <c r="C1617">
        <v>0</v>
      </c>
      <c r="D1617">
        <v>2</v>
      </c>
      <c r="E1617">
        <v>4</v>
      </c>
      <c r="F1617">
        <v>4</v>
      </c>
      <c r="G1617">
        <v>1</v>
      </c>
      <c r="H1617">
        <f>표4[[#This Row],[공격성공횟수]]/(표4[[#This Row],[공격실패횟수]]+표4[[#This Row],[공격성공횟수]])</f>
        <v>0.33333333333333331</v>
      </c>
    </row>
    <row r="1618" spans="1:8" x14ac:dyDescent="0.4">
      <c r="A1618">
        <v>809</v>
      </c>
      <c r="B1618" t="s">
        <v>3</v>
      </c>
      <c r="C1618">
        <v>1</v>
      </c>
      <c r="D1618">
        <v>4</v>
      </c>
      <c r="E1618">
        <v>54</v>
      </c>
      <c r="F1618">
        <v>1</v>
      </c>
      <c r="G1618">
        <v>0</v>
      </c>
      <c r="H1618">
        <f>표4[[#This Row],[공격성공횟수]]/(표4[[#This Row],[공격실패횟수]]+표4[[#This Row],[공격성공횟수]])</f>
        <v>6.8965517241379309E-2</v>
      </c>
    </row>
    <row r="1619" spans="1:8" hidden="1" x14ac:dyDescent="0.4">
      <c r="A1619">
        <v>809</v>
      </c>
      <c r="B1619" t="s">
        <v>2</v>
      </c>
      <c r="C1619">
        <v>0</v>
      </c>
      <c r="D1619">
        <v>1</v>
      </c>
      <c r="E1619">
        <v>62</v>
      </c>
      <c r="F1619">
        <v>4</v>
      </c>
      <c r="G1619">
        <v>1</v>
      </c>
      <c r="H1619">
        <f>표4[[#This Row],[공격성공횟수]]/(표4[[#This Row],[공격실패횟수]]+표4[[#This Row],[공격성공횟수]])</f>
        <v>1.5873015873015872E-2</v>
      </c>
    </row>
    <row r="1620" spans="1:8" x14ac:dyDescent="0.4">
      <c r="A1620">
        <v>810</v>
      </c>
      <c r="B1620" t="s">
        <v>3</v>
      </c>
      <c r="C1620">
        <v>0</v>
      </c>
      <c r="D1620">
        <v>0</v>
      </c>
      <c r="E1620">
        <v>4</v>
      </c>
      <c r="F1620">
        <v>4</v>
      </c>
      <c r="G1620">
        <v>1</v>
      </c>
      <c r="H1620">
        <f>표4[[#This Row],[공격성공횟수]]/(표4[[#This Row],[공격실패횟수]]+표4[[#This Row],[공격성공횟수]])</f>
        <v>0</v>
      </c>
    </row>
    <row r="1621" spans="1:8" hidden="1" x14ac:dyDescent="0.4">
      <c r="A1621">
        <v>810</v>
      </c>
      <c r="B1621" t="s">
        <v>2</v>
      </c>
      <c r="C1621">
        <v>1</v>
      </c>
      <c r="D1621">
        <v>4</v>
      </c>
      <c r="E1621">
        <v>12</v>
      </c>
      <c r="F1621">
        <v>0</v>
      </c>
      <c r="G1621">
        <v>0</v>
      </c>
      <c r="H1621">
        <f>표4[[#This Row],[공격성공횟수]]/(표4[[#This Row],[공격실패횟수]]+표4[[#This Row],[공격성공횟수]])</f>
        <v>0.25</v>
      </c>
    </row>
    <row r="1622" spans="1:8" x14ac:dyDescent="0.4">
      <c r="A1622">
        <v>811</v>
      </c>
      <c r="B1622" t="s">
        <v>3</v>
      </c>
      <c r="C1622">
        <v>0</v>
      </c>
      <c r="D1622">
        <v>0</v>
      </c>
      <c r="E1622">
        <v>2</v>
      </c>
      <c r="F1622">
        <v>4</v>
      </c>
      <c r="G1622">
        <v>1</v>
      </c>
      <c r="H1622">
        <f>표4[[#This Row],[공격성공횟수]]/(표4[[#This Row],[공격실패횟수]]+표4[[#This Row],[공격성공횟수]])</f>
        <v>0</v>
      </c>
    </row>
    <row r="1623" spans="1:8" hidden="1" x14ac:dyDescent="0.4">
      <c r="A1623">
        <v>811</v>
      </c>
      <c r="B1623" t="s">
        <v>2</v>
      </c>
      <c r="C1623">
        <v>1</v>
      </c>
      <c r="D1623">
        <v>4</v>
      </c>
      <c r="E1623">
        <v>7</v>
      </c>
      <c r="F1623">
        <v>0</v>
      </c>
      <c r="G1623">
        <v>0</v>
      </c>
      <c r="H1623">
        <f>표4[[#This Row],[공격성공횟수]]/(표4[[#This Row],[공격실패횟수]]+표4[[#This Row],[공격성공횟수]])</f>
        <v>0.36363636363636365</v>
      </c>
    </row>
    <row r="1624" spans="1:8" x14ac:dyDescent="0.4">
      <c r="A1624">
        <v>812</v>
      </c>
      <c r="B1624" t="s">
        <v>3</v>
      </c>
      <c r="C1624">
        <v>1</v>
      </c>
      <c r="D1624">
        <v>4</v>
      </c>
      <c r="E1624">
        <v>9</v>
      </c>
      <c r="F1624">
        <v>0</v>
      </c>
      <c r="G1624">
        <v>0</v>
      </c>
      <c r="H1624">
        <f>표4[[#This Row],[공격성공횟수]]/(표4[[#This Row],[공격실패횟수]]+표4[[#This Row],[공격성공횟수]])</f>
        <v>0.30769230769230771</v>
      </c>
    </row>
    <row r="1625" spans="1:8" hidden="1" x14ac:dyDescent="0.4">
      <c r="A1625">
        <v>812</v>
      </c>
      <c r="B1625" t="s">
        <v>2</v>
      </c>
      <c r="C1625">
        <v>0</v>
      </c>
      <c r="D1625">
        <v>0</v>
      </c>
      <c r="E1625">
        <v>11</v>
      </c>
      <c r="F1625">
        <v>4</v>
      </c>
      <c r="G1625">
        <v>1</v>
      </c>
      <c r="H1625">
        <f>표4[[#This Row],[공격성공횟수]]/(표4[[#This Row],[공격실패횟수]]+표4[[#This Row],[공격성공횟수]])</f>
        <v>0</v>
      </c>
    </row>
    <row r="1626" spans="1:8" x14ac:dyDescent="0.4">
      <c r="A1626">
        <v>813</v>
      </c>
      <c r="B1626" t="s">
        <v>3</v>
      </c>
      <c r="C1626">
        <v>1</v>
      </c>
      <c r="D1626">
        <v>4</v>
      </c>
      <c r="E1626">
        <v>42</v>
      </c>
      <c r="F1626">
        <v>0</v>
      </c>
      <c r="G1626">
        <v>0</v>
      </c>
      <c r="H1626">
        <f>표4[[#This Row],[공격성공횟수]]/(표4[[#This Row],[공격실패횟수]]+표4[[#This Row],[공격성공횟수]])</f>
        <v>8.6956521739130432E-2</v>
      </c>
    </row>
    <row r="1627" spans="1:8" hidden="1" x14ac:dyDescent="0.4">
      <c r="A1627">
        <v>813</v>
      </c>
      <c r="B1627" t="s">
        <v>2</v>
      </c>
      <c r="C1627">
        <v>0</v>
      </c>
      <c r="D1627">
        <v>0</v>
      </c>
      <c r="E1627">
        <v>67</v>
      </c>
      <c r="F1627">
        <v>4</v>
      </c>
      <c r="G1627">
        <v>1</v>
      </c>
      <c r="H1627">
        <f>표4[[#This Row],[공격성공횟수]]/(표4[[#This Row],[공격실패횟수]]+표4[[#This Row],[공격성공횟수]])</f>
        <v>0</v>
      </c>
    </row>
    <row r="1628" spans="1:8" x14ac:dyDescent="0.4">
      <c r="A1628">
        <v>814</v>
      </c>
      <c r="B1628" t="s">
        <v>3</v>
      </c>
      <c r="C1628">
        <v>1</v>
      </c>
      <c r="D1628">
        <v>4</v>
      </c>
      <c r="E1628">
        <v>21</v>
      </c>
      <c r="F1628">
        <v>1</v>
      </c>
      <c r="G1628">
        <v>0</v>
      </c>
      <c r="H1628">
        <f>표4[[#This Row],[공격성공횟수]]/(표4[[#This Row],[공격실패횟수]]+표4[[#This Row],[공격성공횟수]])</f>
        <v>0.16</v>
      </c>
    </row>
    <row r="1629" spans="1:8" hidden="1" x14ac:dyDescent="0.4">
      <c r="A1629">
        <v>814</v>
      </c>
      <c r="B1629" t="s">
        <v>2</v>
      </c>
      <c r="C1629">
        <v>0</v>
      </c>
      <c r="D1629">
        <v>1</v>
      </c>
      <c r="E1629">
        <v>24</v>
      </c>
      <c r="F1629">
        <v>4</v>
      </c>
      <c r="G1629">
        <v>1</v>
      </c>
      <c r="H1629">
        <f>표4[[#This Row],[공격성공횟수]]/(표4[[#This Row],[공격실패횟수]]+표4[[#This Row],[공격성공횟수]])</f>
        <v>0.04</v>
      </c>
    </row>
    <row r="1630" spans="1:8" x14ac:dyDescent="0.4">
      <c r="A1630">
        <v>815</v>
      </c>
      <c r="B1630" t="s">
        <v>3</v>
      </c>
      <c r="C1630">
        <v>1</v>
      </c>
      <c r="D1630">
        <v>4</v>
      </c>
      <c r="E1630">
        <v>8</v>
      </c>
      <c r="F1630">
        <v>3</v>
      </c>
      <c r="G1630">
        <v>0</v>
      </c>
      <c r="H1630">
        <f>표4[[#This Row],[공격성공횟수]]/(표4[[#This Row],[공격실패횟수]]+표4[[#This Row],[공격성공횟수]])</f>
        <v>0.33333333333333331</v>
      </c>
    </row>
    <row r="1631" spans="1:8" hidden="1" x14ac:dyDescent="0.4">
      <c r="A1631">
        <v>815</v>
      </c>
      <c r="B1631" t="s">
        <v>2</v>
      </c>
      <c r="C1631">
        <v>0</v>
      </c>
      <c r="D1631">
        <v>3</v>
      </c>
      <c r="E1631">
        <v>8</v>
      </c>
      <c r="F1631">
        <v>4</v>
      </c>
      <c r="G1631">
        <v>1</v>
      </c>
      <c r="H1631">
        <f>표4[[#This Row],[공격성공횟수]]/(표4[[#This Row],[공격실패횟수]]+표4[[#This Row],[공격성공횟수]])</f>
        <v>0.27272727272727271</v>
      </c>
    </row>
    <row r="1632" spans="1:8" x14ac:dyDescent="0.4">
      <c r="A1632">
        <v>816</v>
      </c>
      <c r="B1632" t="s">
        <v>3</v>
      </c>
      <c r="C1632">
        <v>1</v>
      </c>
      <c r="D1632">
        <v>4</v>
      </c>
      <c r="E1632">
        <v>33</v>
      </c>
      <c r="F1632">
        <v>2</v>
      </c>
      <c r="G1632">
        <v>0</v>
      </c>
      <c r="H1632">
        <f>표4[[#This Row],[공격성공횟수]]/(표4[[#This Row],[공격실패횟수]]+표4[[#This Row],[공격성공횟수]])</f>
        <v>0.10810810810810811</v>
      </c>
    </row>
    <row r="1633" spans="1:8" hidden="1" x14ac:dyDescent="0.4">
      <c r="A1633">
        <v>816</v>
      </c>
      <c r="B1633" t="s">
        <v>2</v>
      </c>
      <c r="C1633">
        <v>0</v>
      </c>
      <c r="D1633">
        <v>2</v>
      </c>
      <c r="E1633">
        <v>34</v>
      </c>
      <c r="F1633">
        <v>4</v>
      </c>
      <c r="G1633">
        <v>1</v>
      </c>
      <c r="H1633">
        <f>표4[[#This Row],[공격성공횟수]]/(표4[[#This Row],[공격실패횟수]]+표4[[#This Row],[공격성공횟수]])</f>
        <v>5.5555555555555552E-2</v>
      </c>
    </row>
    <row r="1634" spans="1:8" x14ac:dyDescent="0.4">
      <c r="A1634">
        <v>817</v>
      </c>
      <c r="B1634" t="s">
        <v>3</v>
      </c>
      <c r="C1634">
        <v>1</v>
      </c>
      <c r="D1634">
        <v>4</v>
      </c>
      <c r="E1634">
        <v>10</v>
      </c>
      <c r="F1634">
        <v>3</v>
      </c>
      <c r="G1634">
        <v>0</v>
      </c>
      <c r="H1634">
        <f>표4[[#This Row],[공격성공횟수]]/(표4[[#This Row],[공격실패횟수]]+표4[[#This Row],[공격성공횟수]])</f>
        <v>0.2857142857142857</v>
      </c>
    </row>
    <row r="1635" spans="1:8" hidden="1" x14ac:dyDescent="0.4">
      <c r="A1635">
        <v>817</v>
      </c>
      <c r="B1635" t="s">
        <v>2</v>
      </c>
      <c r="C1635">
        <v>0</v>
      </c>
      <c r="D1635">
        <v>3</v>
      </c>
      <c r="E1635">
        <v>12</v>
      </c>
      <c r="F1635">
        <v>4</v>
      </c>
      <c r="G1635">
        <v>1</v>
      </c>
      <c r="H1635">
        <f>표4[[#This Row],[공격성공횟수]]/(표4[[#This Row],[공격실패횟수]]+표4[[#This Row],[공격성공횟수]])</f>
        <v>0.2</v>
      </c>
    </row>
    <row r="1636" spans="1:8" x14ac:dyDescent="0.4">
      <c r="A1636">
        <v>818</v>
      </c>
      <c r="B1636" t="s">
        <v>3</v>
      </c>
      <c r="C1636">
        <v>0</v>
      </c>
      <c r="D1636">
        <v>3</v>
      </c>
      <c r="E1636">
        <v>55</v>
      </c>
      <c r="F1636">
        <v>4</v>
      </c>
      <c r="G1636">
        <v>1</v>
      </c>
      <c r="H1636">
        <f>표4[[#This Row],[공격성공횟수]]/(표4[[#This Row],[공격실패횟수]]+표4[[#This Row],[공격성공횟수]])</f>
        <v>5.1724137931034482E-2</v>
      </c>
    </row>
    <row r="1637" spans="1:8" hidden="1" x14ac:dyDescent="0.4">
      <c r="A1637">
        <v>818</v>
      </c>
      <c r="B1637" t="s">
        <v>2</v>
      </c>
      <c r="C1637">
        <v>1</v>
      </c>
      <c r="D1637">
        <v>4</v>
      </c>
      <c r="E1637">
        <v>55</v>
      </c>
      <c r="F1637">
        <v>3</v>
      </c>
      <c r="G1637">
        <v>0</v>
      </c>
      <c r="H1637">
        <f>표4[[#This Row],[공격성공횟수]]/(표4[[#This Row],[공격실패횟수]]+표4[[#This Row],[공격성공횟수]])</f>
        <v>6.7796610169491525E-2</v>
      </c>
    </row>
    <row r="1638" spans="1:8" x14ac:dyDescent="0.4">
      <c r="A1638">
        <v>819</v>
      </c>
      <c r="B1638" t="s">
        <v>3</v>
      </c>
      <c r="C1638">
        <v>0</v>
      </c>
      <c r="D1638">
        <v>0</v>
      </c>
      <c r="E1638">
        <v>0</v>
      </c>
      <c r="F1638">
        <v>4</v>
      </c>
      <c r="G1638">
        <v>1</v>
      </c>
      <c r="H1638" t="e">
        <f>표4[[#This Row],[공격성공횟수]]/(표4[[#This Row],[공격실패횟수]]+표4[[#This Row],[공격성공횟수]])</f>
        <v>#DIV/0!</v>
      </c>
    </row>
    <row r="1639" spans="1:8" hidden="1" x14ac:dyDescent="0.4">
      <c r="A1639">
        <v>819</v>
      </c>
      <c r="B1639" t="s">
        <v>2</v>
      </c>
      <c r="C1639">
        <v>1</v>
      </c>
      <c r="D1639">
        <v>4</v>
      </c>
      <c r="E1639">
        <v>13</v>
      </c>
      <c r="F1639">
        <v>0</v>
      </c>
      <c r="G1639">
        <v>0</v>
      </c>
      <c r="H1639">
        <f>표4[[#This Row],[공격성공횟수]]/(표4[[#This Row],[공격실패횟수]]+표4[[#This Row],[공격성공횟수]])</f>
        <v>0.23529411764705882</v>
      </c>
    </row>
    <row r="1640" spans="1:8" x14ac:dyDescent="0.4">
      <c r="A1640">
        <v>820</v>
      </c>
      <c r="B1640" t="s">
        <v>3</v>
      </c>
      <c r="C1640">
        <v>1</v>
      </c>
      <c r="D1640">
        <v>4</v>
      </c>
      <c r="E1640">
        <v>27</v>
      </c>
      <c r="F1640">
        <v>1</v>
      </c>
      <c r="G1640">
        <v>0</v>
      </c>
      <c r="H1640">
        <f>표4[[#This Row],[공격성공횟수]]/(표4[[#This Row],[공격실패횟수]]+표4[[#This Row],[공격성공횟수]])</f>
        <v>0.12903225806451613</v>
      </c>
    </row>
    <row r="1641" spans="1:8" hidden="1" x14ac:dyDescent="0.4">
      <c r="A1641">
        <v>820</v>
      </c>
      <c r="B1641" t="s">
        <v>2</v>
      </c>
      <c r="C1641">
        <v>0</v>
      </c>
      <c r="D1641">
        <v>1</v>
      </c>
      <c r="E1641">
        <v>39</v>
      </c>
      <c r="F1641">
        <v>4</v>
      </c>
      <c r="G1641">
        <v>1</v>
      </c>
      <c r="H1641">
        <f>표4[[#This Row],[공격성공횟수]]/(표4[[#This Row],[공격실패횟수]]+표4[[#This Row],[공격성공횟수]])</f>
        <v>2.5000000000000001E-2</v>
      </c>
    </row>
    <row r="1642" spans="1:8" x14ac:dyDescent="0.4">
      <c r="A1642">
        <v>821</v>
      </c>
      <c r="B1642" t="s">
        <v>3</v>
      </c>
      <c r="C1642">
        <v>1</v>
      </c>
      <c r="D1642">
        <v>4</v>
      </c>
      <c r="E1642">
        <v>3</v>
      </c>
      <c r="F1642">
        <v>1</v>
      </c>
      <c r="G1642">
        <v>0</v>
      </c>
      <c r="H1642">
        <f>표4[[#This Row],[공격성공횟수]]/(표4[[#This Row],[공격실패횟수]]+표4[[#This Row],[공격성공횟수]])</f>
        <v>0.5714285714285714</v>
      </c>
    </row>
    <row r="1643" spans="1:8" hidden="1" x14ac:dyDescent="0.4">
      <c r="A1643">
        <v>821</v>
      </c>
      <c r="B1643" t="s">
        <v>2</v>
      </c>
      <c r="C1643">
        <v>0</v>
      </c>
      <c r="D1643">
        <v>1</v>
      </c>
      <c r="E1643">
        <v>6</v>
      </c>
      <c r="F1643">
        <v>4</v>
      </c>
      <c r="G1643">
        <v>1</v>
      </c>
      <c r="H1643">
        <f>표4[[#This Row],[공격성공횟수]]/(표4[[#This Row],[공격실패횟수]]+표4[[#This Row],[공격성공횟수]])</f>
        <v>0.14285714285714285</v>
      </c>
    </row>
    <row r="1644" spans="1:8" x14ac:dyDescent="0.4">
      <c r="A1644">
        <v>822</v>
      </c>
      <c r="B1644" t="s">
        <v>3</v>
      </c>
      <c r="C1644">
        <v>1</v>
      </c>
      <c r="D1644">
        <v>4</v>
      </c>
      <c r="E1644">
        <v>4</v>
      </c>
      <c r="F1644">
        <v>1</v>
      </c>
      <c r="G1644">
        <v>0</v>
      </c>
      <c r="H1644">
        <f>표4[[#This Row],[공격성공횟수]]/(표4[[#This Row],[공격실패횟수]]+표4[[#This Row],[공격성공횟수]])</f>
        <v>0.5</v>
      </c>
    </row>
    <row r="1645" spans="1:8" hidden="1" x14ac:dyDescent="0.4">
      <c r="A1645">
        <v>822</v>
      </c>
      <c r="B1645" t="s">
        <v>2</v>
      </c>
      <c r="C1645">
        <v>0</v>
      </c>
      <c r="D1645">
        <v>1</v>
      </c>
      <c r="E1645">
        <v>7</v>
      </c>
      <c r="F1645">
        <v>4</v>
      </c>
      <c r="G1645">
        <v>1</v>
      </c>
      <c r="H1645">
        <f>표4[[#This Row],[공격성공횟수]]/(표4[[#This Row],[공격실패횟수]]+표4[[#This Row],[공격성공횟수]])</f>
        <v>0.125</v>
      </c>
    </row>
    <row r="1646" spans="1:8" x14ac:dyDescent="0.4">
      <c r="A1646">
        <v>823</v>
      </c>
      <c r="B1646" t="s">
        <v>3</v>
      </c>
      <c r="C1646">
        <v>1</v>
      </c>
      <c r="D1646">
        <v>4</v>
      </c>
      <c r="E1646">
        <v>17</v>
      </c>
      <c r="F1646">
        <v>1</v>
      </c>
      <c r="G1646">
        <v>0</v>
      </c>
      <c r="H1646">
        <f>표4[[#This Row],[공격성공횟수]]/(표4[[#This Row],[공격실패횟수]]+표4[[#This Row],[공격성공횟수]])</f>
        <v>0.19047619047619047</v>
      </c>
    </row>
    <row r="1647" spans="1:8" hidden="1" x14ac:dyDescent="0.4">
      <c r="A1647">
        <v>823</v>
      </c>
      <c r="B1647" t="s">
        <v>2</v>
      </c>
      <c r="C1647">
        <v>0</v>
      </c>
      <c r="D1647">
        <v>1</v>
      </c>
      <c r="E1647">
        <v>19</v>
      </c>
      <c r="F1647">
        <v>4</v>
      </c>
      <c r="G1647">
        <v>1</v>
      </c>
      <c r="H1647">
        <f>표4[[#This Row],[공격성공횟수]]/(표4[[#This Row],[공격실패횟수]]+표4[[#This Row],[공격성공횟수]])</f>
        <v>0.05</v>
      </c>
    </row>
    <row r="1648" spans="1:8" x14ac:dyDescent="0.4">
      <c r="A1648">
        <v>824</v>
      </c>
      <c r="B1648" t="s">
        <v>3</v>
      </c>
      <c r="C1648">
        <v>1</v>
      </c>
      <c r="D1648">
        <v>4</v>
      </c>
      <c r="E1648">
        <v>17</v>
      </c>
      <c r="F1648">
        <v>1</v>
      </c>
      <c r="G1648">
        <v>0</v>
      </c>
      <c r="H1648">
        <f>표4[[#This Row],[공격성공횟수]]/(표4[[#This Row],[공격실패횟수]]+표4[[#This Row],[공격성공횟수]])</f>
        <v>0.19047619047619047</v>
      </c>
    </row>
    <row r="1649" spans="1:8" hidden="1" x14ac:dyDescent="0.4">
      <c r="A1649">
        <v>824</v>
      </c>
      <c r="B1649" t="s">
        <v>2</v>
      </c>
      <c r="C1649">
        <v>0</v>
      </c>
      <c r="D1649">
        <v>1</v>
      </c>
      <c r="E1649">
        <v>32</v>
      </c>
      <c r="F1649">
        <v>4</v>
      </c>
      <c r="G1649">
        <v>1</v>
      </c>
      <c r="H1649">
        <f>표4[[#This Row],[공격성공횟수]]/(표4[[#This Row],[공격실패횟수]]+표4[[#This Row],[공격성공횟수]])</f>
        <v>3.0303030303030304E-2</v>
      </c>
    </row>
    <row r="1650" spans="1:8" x14ac:dyDescent="0.4">
      <c r="A1650">
        <v>825</v>
      </c>
      <c r="B1650" t="s">
        <v>3</v>
      </c>
      <c r="C1650">
        <v>1</v>
      </c>
      <c r="D1650">
        <v>4</v>
      </c>
      <c r="E1650">
        <v>4</v>
      </c>
      <c r="F1650">
        <v>2</v>
      </c>
      <c r="G1650">
        <v>0</v>
      </c>
      <c r="H1650">
        <f>표4[[#This Row],[공격성공횟수]]/(표4[[#This Row],[공격실패횟수]]+표4[[#This Row],[공격성공횟수]])</f>
        <v>0.5</v>
      </c>
    </row>
    <row r="1651" spans="1:8" hidden="1" x14ac:dyDescent="0.4">
      <c r="A1651">
        <v>825</v>
      </c>
      <c r="B1651" t="s">
        <v>2</v>
      </c>
      <c r="C1651">
        <v>0</v>
      </c>
      <c r="D1651">
        <v>2</v>
      </c>
      <c r="E1651">
        <v>12</v>
      </c>
      <c r="F1651">
        <v>4</v>
      </c>
      <c r="G1651">
        <v>1</v>
      </c>
      <c r="H1651">
        <f>표4[[#This Row],[공격성공횟수]]/(표4[[#This Row],[공격실패횟수]]+표4[[#This Row],[공격성공횟수]])</f>
        <v>0.14285714285714285</v>
      </c>
    </row>
    <row r="1652" spans="1:8" x14ac:dyDescent="0.4">
      <c r="A1652">
        <v>826</v>
      </c>
      <c r="B1652" t="s">
        <v>3</v>
      </c>
      <c r="C1652">
        <v>0</v>
      </c>
      <c r="D1652">
        <v>3</v>
      </c>
      <c r="E1652">
        <v>10</v>
      </c>
      <c r="F1652">
        <v>4</v>
      </c>
      <c r="G1652">
        <v>1</v>
      </c>
      <c r="H1652">
        <f>표4[[#This Row],[공격성공횟수]]/(표4[[#This Row],[공격실패횟수]]+표4[[#This Row],[공격성공횟수]])</f>
        <v>0.23076923076923078</v>
      </c>
    </row>
    <row r="1653" spans="1:8" hidden="1" x14ac:dyDescent="0.4">
      <c r="A1653">
        <v>826</v>
      </c>
      <c r="B1653" t="s">
        <v>2</v>
      </c>
      <c r="C1653">
        <v>1</v>
      </c>
      <c r="D1653">
        <v>4</v>
      </c>
      <c r="E1653">
        <v>10</v>
      </c>
      <c r="F1653">
        <v>3</v>
      </c>
      <c r="G1653">
        <v>0</v>
      </c>
      <c r="H1653">
        <f>표4[[#This Row],[공격성공횟수]]/(표4[[#This Row],[공격실패횟수]]+표4[[#This Row],[공격성공횟수]])</f>
        <v>0.2857142857142857</v>
      </c>
    </row>
    <row r="1654" spans="1:8" x14ac:dyDescent="0.4">
      <c r="A1654">
        <v>827</v>
      </c>
      <c r="B1654" t="s">
        <v>3</v>
      </c>
      <c r="C1654">
        <v>1</v>
      </c>
      <c r="D1654">
        <v>4</v>
      </c>
      <c r="E1654">
        <v>3</v>
      </c>
      <c r="F1654">
        <v>2</v>
      </c>
      <c r="G1654">
        <v>0</v>
      </c>
      <c r="H1654">
        <f>표4[[#This Row],[공격성공횟수]]/(표4[[#This Row],[공격실패횟수]]+표4[[#This Row],[공격성공횟수]])</f>
        <v>0.5714285714285714</v>
      </c>
    </row>
    <row r="1655" spans="1:8" hidden="1" x14ac:dyDescent="0.4">
      <c r="A1655">
        <v>827</v>
      </c>
      <c r="B1655" t="s">
        <v>2</v>
      </c>
      <c r="C1655">
        <v>0</v>
      </c>
      <c r="D1655">
        <v>2</v>
      </c>
      <c r="E1655">
        <v>9</v>
      </c>
      <c r="F1655">
        <v>4</v>
      </c>
      <c r="G1655">
        <v>1</v>
      </c>
      <c r="H1655">
        <f>표4[[#This Row],[공격성공횟수]]/(표4[[#This Row],[공격실패횟수]]+표4[[#This Row],[공격성공횟수]])</f>
        <v>0.18181818181818182</v>
      </c>
    </row>
    <row r="1656" spans="1:8" x14ac:dyDescent="0.4">
      <c r="A1656">
        <v>828</v>
      </c>
      <c r="B1656" t="s">
        <v>3</v>
      </c>
      <c r="C1656">
        <v>0</v>
      </c>
      <c r="D1656">
        <v>2</v>
      </c>
      <c r="E1656">
        <v>8</v>
      </c>
      <c r="F1656">
        <v>4</v>
      </c>
      <c r="G1656">
        <v>1</v>
      </c>
      <c r="H1656">
        <f>표4[[#This Row],[공격성공횟수]]/(표4[[#This Row],[공격실패횟수]]+표4[[#This Row],[공격성공횟수]])</f>
        <v>0.2</v>
      </c>
    </row>
    <row r="1657" spans="1:8" hidden="1" x14ac:dyDescent="0.4">
      <c r="A1657">
        <v>828</v>
      </c>
      <c r="B1657" t="s">
        <v>2</v>
      </c>
      <c r="C1657">
        <v>1</v>
      </c>
      <c r="D1657">
        <v>4</v>
      </c>
      <c r="E1657">
        <v>20</v>
      </c>
      <c r="F1657">
        <v>2</v>
      </c>
      <c r="G1657">
        <v>0</v>
      </c>
      <c r="H1657">
        <f>표4[[#This Row],[공격성공횟수]]/(표4[[#This Row],[공격실패횟수]]+표4[[#This Row],[공격성공횟수]])</f>
        <v>0.16666666666666666</v>
      </c>
    </row>
    <row r="1658" spans="1:8" x14ac:dyDescent="0.4">
      <c r="A1658">
        <v>829</v>
      </c>
      <c r="B1658" t="s">
        <v>3</v>
      </c>
      <c r="C1658">
        <v>1</v>
      </c>
      <c r="D1658">
        <v>4</v>
      </c>
      <c r="E1658">
        <v>9</v>
      </c>
      <c r="F1658">
        <v>1</v>
      </c>
      <c r="G1658">
        <v>0</v>
      </c>
      <c r="H1658">
        <f>표4[[#This Row],[공격성공횟수]]/(표4[[#This Row],[공격실패횟수]]+표4[[#This Row],[공격성공횟수]])</f>
        <v>0.30769230769230771</v>
      </c>
    </row>
    <row r="1659" spans="1:8" hidden="1" x14ac:dyDescent="0.4">
      <c r="A1659">
        <v>829</v>
      </c>
      <c r="B1659" t="s">
        <v>2</v>
      </c>
      <c r="C1659">
        <v>0</v>
      </c>
      <c r="D1659">
        <v>1</v>
      </c>
      <c r="E1659">
        <v>11</v>
      </c>
      <c r="F1659">
        <v>4</v>
      </c>
      <c r="G1659">
        <v>1</v>
      </c>
      <c r="H1659">
        <f>표4[[#This Row],[공격성공횟수]]/(표4[[#This Row],[공격실패횟수]]+표4[[#This Row],[공격성공횟수]])</f>
        <v>8.3333333333333329E-2</v>
      </c>
    </row>
    <row r="1660" spans="1:8" x14ac:dyDescent="0.4">
      <c r="A1660">
        <v>830</v>
      </c>
      <c r="B1660" t="s">
        <v>3</v>
      </c>
      <c r="C1660">
        <v>0</v>
      </c>
      <c r="D1660">
        <v>1</v>
      </c>
      <c r="E1660">
        <v>4</v>
      </c>
      <c r="F1660">
        <v>4</v>
      </c>
      <c r="G1660">
        <v>1</v>
      </c>
      <c r="H1660">
        <f>표4[[#This Row],[공격성공횟수]]/(표4[[#This Row],[공격실패횟수]]+표4[[#This Row],[공격성공횟수]])</f>
        <v>0.2</v>
      </c>
    </row>
    <row r="1661" spans="1:8" hidden="1" x14ac:dyDescent="0.4">
      <c r="A1661">
        <v>830</v>
      </c>
      <c r="B1661" t="s">
        <v>2</v>
      </c>
      <c r="C1661">
        <v>1</v>
      </c>
      <c r="D1661">
        <v>4</v>
      </c>
      <c r="E1661">
        <v>24</v>
      </c>
      <c r="F1661">
        <v>1</v>
      </c>
      <c r="G1661">
        <v>0</v>
      </c>
      <c r="H1661">
        <f>표4[[#This Row],[공격성공횟수]]/(표4[[#This Row],[공격실패횟수]]+표4[[#This Row],[공격성공횟수]])</f>
        <v>0.14285714285714285</v>
      </c>
    </row>
    <row r="1662" spans="1:8" x14ac:dyDescent="0.4">
      <c r="A1662">
        <v>831</v>
      </c>
      <c r="B1662" t="s">
        <v>3</v>
      </c>
      <c r="C1662">
        <v>0</v>
      </c>
      <c r="D1662">
        <v>3</v>
      </c>
      <c r="E1662">
        <v>62</v>
      </c>
      <c r="F1662">
        <v>4</v>
      </c>
      <c r="G1662">
        <v>1</v>
      </c>
      <c r="H1662">
        <f>표4[[#This Row],[공격성공횟수]]/(표4[[#This Row],[공격실패횟수]]+표4[[#This Row],[공격성공횟수]])</f>
        <v>4.6153846153846156E-2</v>
      </c>
    </row>
    <row r="1663" spans="1:8" hidden="1" x14ac:dyDescent="0.4">
      <c r="A1663">
        <v>831</v>
      </c>
      <c r="B1663" t="s">
        <v>2</v>
      </c>
      <c r="C1663">
        <v>1</v>
      </c>
      <c r="D1663">
        <v>4</v>
      </c>
      <c r="E1663">
        <v>75</v>
      </c>
      <c r="F1663">
        <v>3</v>
      </c>
      <c r="G1663">
        <v>0</v>
      </c>
      <c r="H1663">
        <f>표4[[#This Row],[공격성공횟수]]/(표4[[#This Row],[공격실패횟수]]+표4[[#This Row],[공격성공횟수]])</f>
        <v>5.0632911392405063E-2</v>
      </c>
    </row>
    <row r="1664" spans="1:8" x14ac:dyDescent="0.4">
      <c r="A1664">
        <v>832</v>
      </c>
      <c r="B1664" t="s">
        <v>3</v>
      </c>
      <c r="C1664">
        <v>1</v>
      </c>
      <c r="D1664">
        <v>4</v>
      </c>
      <c r="E1664">
        <v>11</v>
      </c>
      <c r="F1664">
        <v>2</v>
      </c>
      <c r="G1664">
        <v>0</v>
      </c>
      <c r="H1664">
        <f>표4[[#This Row],[공격성공횟수]]/(표4[[#This Row],[공격실패횟수]]+표4[[#This Row],[공격성공횟수]])</f>
        <v>0.26666666666666666</v>
      </c>
    </row>
    <row r="1665" spans="1:8" hidden="1" x14ac:dyDescent="0.4">
      <c r="A1665">
        <v>832</v>
      </c>
      <c r="B1665" t="s">
        <v>2</v>
      </c>
      <c r="C1665">
        <v>0</v>
      </c>
      <c r="D1665">
        <v>2</v>
      </c>
      <c r="E1665">
        <v>11</v>
      </c>
      <c r="F1665">
        <v>4</v>
      </c>
      <c r="G1665">
        <v>1</v>
      </c>
      <c r="H1665">
        <f>표4[[#This Row],[공격성공횟수]]/(표4[[#This Row],[공격실패횟수]]+표4[[#This Row],[공격성공횟수]])</f>
        <v>0.15384615384615385</v>
      </c>
    </row>
    <row r="1666" spans="1:8" x14ac:dyDescent="0.4">
      <c r="A1666">
        <v>833</v>
      </c>
      <c r="B1666" t="s">
        <v>3</v>
      </c>
      <c r="C1666">
        <v>1</v>
      </c>
      <c r="D1666">
        <v>4</v>
      </c>
      <c r="E1666">
        <v>17</v>
      </c>
      <c r="F1666">
        <v>1</v>
      </c>
      <c r="G1666">
        <v>0</v>
      </c>
      <c r="H1666">
        <f>표4[[#This Row],[공격성공횟수]]/(표4[[#This Row],[공격실패횟수]]+표4[[#This Row],[공격성공횟수]])</f>
        <v>0.19047619047619047</v>
      </c>
    </row>
    <row r="1667" spans="1:8" hidden="1" x14ac:dyDescent="0.4">
      <c r="A1667">
        <v>833</v>
      </c>
      <c r="B1667" t="s">
        <v>2</v>
      </c>
      <c r="C1667">
        <v>0</v>
      </c>
      <c r="D1667">
        <v>1</v>
      </c>
      <c r="E1667">
        <v>20</v>
      </c>
      <c r="F1667">
        <v>4</v>
      </c>
      <c r="G1667">
        <v>1</v>
      </c>
      <c r="H1667">
        <f>표4[[#This Row],[공격성공횟수]]/(표4[[#This Row],[공격실패횟수]]+표4[[#This Row],[공격성공횟수]])</f>
        <v>4.7619047619047616E-2</v>
      </c>
    </row>
    <row r="1668" spans="1:8" x14ac:dyDescent="0.4">
      <c r="A1668">
        <v>834</v>
      </c>
      <c r="B1668" t="s">
        <v>3</v>
      </c>
      <c r="C1668">
        <v>0</v>
      </c>
      <c r="D1668">
        <v>1</v>
      </c>
      <c r="E1668">
        <v>3</v>
      </c>
      <c r="F1668">
        <v>4</v>
      </c>
      <c r="G1668">
        <v>1</v>
      </c>
      <c r="H1668">
        <f>표4[[#This Row],[공격성공횟수]]/(표4[[#This Row],[공격실패횟수]]+표4[[#This Row],[공격성공횟수]])</f>
        <v>0.25</v>
      </c>
    </row>
    <row r="1669" spans="1:8" hidden="1" x14ac:dyDescent="0.4">
      <c r="A1669">
        <v>834</v>
      </c>
      <c r="B1669" t="s">
        <v>2</v>
      </c>
      <c r="C1669">
        <v>1</v>
      </c>
      <c r="D1669">
        <v>4</v>
      </c>
      <c r="E1669">
        <v>6</v>
      </c>
      <c r="F1669">
        <v>1</v>
      </c>
      <c r="G1669">
        <v>0</v>
      </c>
      <c r="H1669">
        <f>표4[[#This Row],[공격성공횟수]]/(표4[[#This Row],[공격실패횟수]]+표4[[#This Row],[공격성공횟수]])</f>
        <v>0.4</v>
      </c>
    </row>
    <row r="1670" spans="1:8" x14ac:dyDescent="0.4">
      <c r="A1670">
        <v>835</v>
      </c>
      <c r="B1670" t="s">
        <v>3</v>
      </c>
      <c r="C1670">
        <v>1</v>
      </c>
      <c r="D1670">
        <v>4</v>
      </c>
      <c r="E1670">
        <v>18</v>
      </c>
      <c r="F1670">
        <v>3</v>
      </c>
      <c r="G1670">
        <v>0</v>
      </c>
      <c r="H1670">
        <f>표4[[#This Row],[공격성공횟수]]/(표4[[#This Row],[공격실패횟수]]+표4[[#This Row],[공격성공횟수]])</f>
        <v>0.18181818181818182</v>
      </c>
    </row>
    <row r="1671" spans="1:8" hidden="1" x14ac:dyDescent="0.4">
      <c r="A1671">
        <v>835</v>
      </c>
      <c r="B1671" t="s">
        <v>2</v>
      </c>
      <c r="C1671">
        <v>0</v>
      </c>
      <c r="D1671">
        <v>3</v>
      </c>
      <c r="E1671">
        <v>17</v>
      </c>
      <c r="F1671">
        <v>4</v>
      </c>
      <c r="G1671">
        <v>1</v>
      </c>
      <c r="H1671">
        <f>표4[[#This Row],[공격성공횟수]]/(표4[[#This Row],[공격실패횟수]]+표4[[#This Row],[공격성공횟수]])</f>
        <v>0.15</v>
      </c>
    </row>
    <row r="1672" spans="1:8" x14ac:dyDescent="0.4">
      <c r="A1672">
        <v>836</v>
      </c>
      <c r="B1672" t="s">
        <v>3</v>
      </c>
      <c r="C1672">
        <v>1</v>
      </c>
      <c r="D1672">
        <v>4</v>
      </c>
      <c r="E1672">
        <v>14</v>
      </c>
      <c r="F1672">
        <v>1</v>
      </c>
      <c r="G1672">
        <v>0</v>
      </c>
      <c r="H1672">
        <f>표4[[#This Row],[공격성공횟수]]/(표4[[#This Row],[공격실패횟수]]+표4[[#This Row],[공격성공횟수]])</f>
        <v>0.22222222222222221</v>
      </c>
    </row>
    <row r="1673" spans="1:8" hidden="1" x14ac:dyDescent="0.4">
      <c r="A1673">
        <v>836</v>
      </c>
      <c r="B1673" t="s">
        <v>2</v>
      </c>
      <c r="C1673">
        <v>0</v>
      </c>
      <c r="D1673">
        <v>1</v>
      </c>
      <c r="E1673">
        <v>16</v>
      </c>
      <c r="F1673">
        <v>4</v>
      </c>
      <c r="G1673">
        <v>1</v>
      </c>
      <c r="H1673">
        <f>표4[[#This Row],[공격성공횟수]]/(표4[[#This Row],[공격실패횟수]]+표4[[#This Row],[공격성공횟수]])</f>
        <v>5.8823529411764705E-2</v>
      </c>
    </row>
    <row r="1674" spans="1:8" x14ac:dyDescent="0.4">
      <c r="A1674">
        <v>837</v>
      </c>
      <c r="B1674" t="s">
        <v>3</v>
      </c>
      <c r="C1674">
        <v>1</v>
      </c>
      <c r="D1674">
        <v>4</v>
      </c>
      <c r="E1674">
        <v>5</v>
      </c>
      <c r="F1674">
        <v>2</v>
      </c>
      <c r="G1674">
        <v>0</v>
      </c>
      <c r="H1674">
        <f>표4[[#This Row],[공격성공횟수]]/(표4[[#This Row],[공격실패횟수]]+표4[[#This Row],[공격성공횟수]])</f>
        <v>0.44444444444444442</v>
      </c>
    </row>
    <row r="1675" spans="1:8" hidden="1" x14ac:dyDescent="0.4">
      <c r="A1675">
        <v>837</v>
      </c>
      <c r="B1675" t="s">
        <v>2</v>
      </c>
      <c r="C1675">
        <v>0</v>
      </c>
      <c r="D1675">
        <v>2</v>
      </c>
      <c r="E1675">
        <v>7</v>
      </c>
      <c r="F1675">
        <v>4</v>
      </c>
      <c r="G1675">
        <v>1</v>
      </c>
      <c r="H1675">
        <f>표4[[#This Row],[공격성공횟수]]/(표4[[#This Row],[공격실패횟수]]+표4[[#This Row],[공격성공횟수]])</f>
        <v>0.22222222222222221</v>
      </c>
    </row>
    <row r="1676" spans="1:8" x14ac:dyDescent="0.4">
      <c r="A1676">
        <v>838</v>
      </c>
      <c r="B1676" t="s">
        <v>3</v>
      </c>
      <c r="C1676">
        <v>1</v>
      </c>
      <c r="D1676">
        <v>4</v>
      </c>
      <c r="E1676">
        <v>30</v>
      </c>
      <c r="F1676">
        <v>1</v>
      </c>
      <c r="G1676">
        <v>0</v>
      </c>
      <c r="H1676">
        <f>표4[[#This Row],[공격성공횟수]]/(표4[[#This Row],[공격실패횟수]]+표4[[#This Row],[공격성공횟수]])</f>
        <v>0.11764705882352941</v>
      </c>
    </row>
    <row r="1677" spans="1:8" hidden="1" x14ac:dyDescent="0.4">
      <c r="A1677">
        <v>838</v>
      </c>
      <c r="B1677" t="s">
        <v>2</v>
      </c>
      <c r="C1677">
        <v>0</v>
      </c>
      <c r="D1677">
        <v>1</v>
      </c>
      <c r="E1677">
        <v>33</v>
      </c>
      <c r="F1677">
        <v>4</v>
      </c>
      <c r="G1677">
        <v>1</v>
      </c>
      <c r="H1677">
        <f>표4[[#This Row],[공격성공횟수]]/(표4[[#This Row],[공격실패횟수]]+표4[[#This Row],[공격성공횟수]])</f>
        <v>2.9411764705882353E-2</v>
      </c>
    </row>
    <row r="1678" spans="1:8" x14ac:dyDescent="0.4">
      <c r="A1678">
        <v>839</v>
      </c>
      <c r="B1678" t="s">
        <v>3</v>
      </c>
      <c r="C1678">
        <v>0</v>
      </c>
      <c r="D1678">
        <v>1</v>
      </c>
      <c r="E1678">
        <v>5</v>
      </c>
      <c r="F1678">
        <v>4</v>
      </c>
      <c r="G1678">
        <v>1</v>
      </c>
      <c r="H1678">
        <f>표4[[#This Row],[공격성공횟수]]/(표4[[#This Row],[공격실패횟수]]+표4[[#This Row],[공격성공횟수]])</f>
        <v>0.16666666666666666</v>
      </c>
    </row>
    <row r="1679" spans="1:8" hidden="1" x14ac:dyDescent="0.4">
      <c r="A1679">
        <v>839</v>
      </c>
      <c r="B1679" t="s">
        <v>2</v>
      </c>
      <c r="C1679">
        <v>1</v>
      </c>
      <c r="D1679">
        <v>4</v>
      </c>
      <c r="E1679">
        <v>25</v>
      </c>
      <c r="F1679">
        <v>1</v>
      </c>
      <c r="G1679">
        <v>0</v>
      </c>
      <c r="H1679">
        <f>표4[[#This Row],[공격성공횟수]]/(표4[[#This Row],[공격실패횟수]]+표4[[#This Row],[공격성공횟수]])</f>
        <v>0.13793103448275862</v>
      </c>
    </row>
    <row r="1680" spans="1:8" x14ac:dyDescent="0.4">
      <c r="A1680">
        <v>840</v>
      </c>
      <c r="B1680" t="s">
        <v>3</v>
      </c>
      <c r="C1680">
        <v>0</v>
      </c>
      <c r="D1680">
        <v>1</v>
      </c>
      <c r="E1680">
        <v>8</v>
      </c>
      <c r="F1680">
        <v>4</v>
      </c>
      <c r="G1680">
        <v>1</v>
      </c>
      <c r="H1680">
        <f>표4[[#This Row],[공격성공횟수]]/(표4[[#This Row],[공격실패횟수]]+표4[[#This Row],[공격성공횟수]])</f>
        <v>0.1111111111111111</v>
      </c>
    </row>
    <row r="1681" spans="1:8" hidden="1" x14ac:dyDescent="0.4">
      <c r="A1681">
        <v>840</v>
      </c>
      <c r="B1681" t="s">
        <v>2</v>
      </c>
      <c r="C1681">
        <v>1</v>
      </c>
      <c r="D1681">
        <v>4</v>
      </c>
      <c r="E1681">
        <v>5</v>
      </c>
      <c r="F1681">
        <v>1</v>
      </c>
      <c r="G1681">
        <v>0</v>
      </c>
      <c r="H1681">
        <f>표4[[#This Row],[공격성공횟수]]/(표4[[#This Row],[공격실패횟수]]+표4[[#This Row],[공격성공횟수]])</f>
        <v>0.44444444444444442</v>
      </c>
    </row>
    <row r="1682" spans="1:8" x14ac:dyDescent="0.4">
      <c r="A1682">
        <v>841</v>
      </c>
      <c r="B1682" t="s">
        <v>3</v>
      </c>
      <c r="C1682">
        <v>1</v>
      </c>
      <c r="D1682">
        <v>4</v>
      </c>
      <c r="E1682">
        <v>12</v>
      </c>
      <c r="F1682">
        <v>1</v>
      </c>
      <c r="G1682">
        <v>0</v>
      </c>
      <c r="H1682">
        <f>표4[[#This Row],[공격성공횟수]]/(표4[[#This Row],[공격실패횟수]]+표4[[#This Row],[공격성공횟수]])</f>
        <v>0.25</v>
      </c>
    </row>
    <row r="1683" spans="1:8" hidden="1" x14ac:dyDescent="0.4">
      <c r="A1683">
        <v>841</v>
      </c>
      <c r="B1683" t="s">
        <v>2</v>
      </c>
      <c r="C1683">
        <v>0</v>
      </c>
      <c r="D1683">
        <v>1</v>
      </c>
      <c r="E1683">
        <v>14</v>
      </c>
      <c r="F1683">
        <v>4</v>
      </c>
      <c r="G1683">
        <v>1</v>
      </c>
      <c r="H1683">
        <f>표4[[#This Row],[공격성공횟수]]/(표4[[#This Row],[공격실패횟수]]+표4[[#This Row],[공격성공횟수]])</f>
        <v>6.6666666666666666E-2</v>
      </c>
    </row>
    <row r="1684" spans="1:8" x14ac:dyDescent="0.4">
      <c r="A1684">
        <v>842</v>
      </c>
      <c r="B1684" t="s">
        <v>3</v>
      </c>
      <c r="C1684">
        <v>1</v>
      </c>
      <c r="D1684">
        <v>4</v>
      </c>
      <c r="E1684">
        <v>6</v>
      </c>
      <c r="F1684">
        <v>0</v>
      </c>
      <c r="G1684">
        <v>0</v>
      </c>
      <c r="H1684">
        <f>표4[[#This Row],[공격성공횟수]]/(표4[[#This Row],[공격실패횟수]]+표4[[#This Row],[공격성공횟수]])</f>
        <v>0.4</v>
      </c>
    </row>
    <row r="1685" spans="1:8" hidden="1" x14ac:dyDescent="0.4">
      <c r="A1685">
        <v>842</v>
      </c>
      <c r="B1685" t="s">
        <v>2</v>
      </c>
      <c r="C1685">
        <v>0</v>
      </c>
      <c r="D1685">
        <v>0</v>
      </c>
      <c r="E1685">
        <v>15</v>
      </c>
      <c r="F1685">
        <v>4</v>
      </c>
      <c r="G1685">
        <v>1</v>
      </c>
      <c r="H1685">
        <f>표4[[#This Row],[공격성공횟수]]/(표4[[#This Row],[공격실패횟수]]+표4[[#This Row],[공격성공횟수]])</f>
        <v>0</v>
      </c>
    </row>
    <row r="1686" spans="1:8" x14ac:dyDescent="0.4">
      <c r="A1686">
        <v>843</v>
      </c>
      <c r="B1686" t="s">
        <v>3</v>
      </c>
      <c r="C1686">
        <v>1</v>
      </c>
      <c r="D1686">
        <v>4</v>
      </c>
      <c r="E1686">
        <v>18</v>
      </c>
      <c r="F1686">
        <v>0</v>
      </c>
      <c r="G1686">
        <v>0</v>
      </c>
      <c r="H1686">
        <f>표4[[#This Row],[공격성공횟수]]/(표4[[#This Row],[공격실패횟수]]+표4[[#This Row],[공격성공횟수]])</f>
        <v>0.18181818181818182</v>
      </c>
    </row>
    <row r="1687" spans="1:8" hidden="1" x14ac:dyDescent="0.4">
      <c r="A1687">
        <v>843</v>
      </c>
      <c r="B1687" t="s">
        <v>2</v>
      </c>
      <c r="C1687">
        <v>0</v>
      </c>
      <c r="D1687">
        <v>0</v>
      </c>
      <c r="E1687">
        <v>26</v>
      </c>
      <c r="F1687">
        <v>4</v>
      </c>
      <c r="G1687">
        <v>1</v>
      </c>
      <c r="H1687">
        <f>표4[[#This Row],[공격성공횟수]]/(표4[[#This Row],[공격실패횟수]]+표4[[#This Row],[공격성공횟수]])</f>
        <v>0</v>
      </c>
    </row>
    <row r="1688" spans="1:8" x14ac:dyDescent="0.4">
      <c r="A1688">
        <v>844</v>
      </c>
      <c r="B1688" t="s">
        <v>3</v>
      </c>
      <c r="C1688">
        <v>0</v>
      </c>
      <c r="D1688">
        <v>2</v>
      </c>
      <c r="E1688">
        <v>7</v>
      </c>
      <c r="F1688">
        <v>4</v>
      </c>
      <c r="G1688">
        <v>1</v>
      </c>
      <c r="H1688">
        <f>표4[[#This Row],[공격성공횟수]]/(표4[[#This Row],[공격실패횟수]]+표4[[#This Row],[공격성공횟수]])</f>
        <v>0.22222222222222221</v>
      </c>
    </row>
    <row r="1689" spans="1:8" hidden="1" x14ac:dyDescent="0.4">
      <c r="A1689">
        <v>844</v>
      </c>
      <c r="B1689" t="s">
        <v>2</v>
      </c>
      <c r="C1689">
        <v>1</v>
      </c>
      <c r="D1689">
        <v>4</v>
      </c>
      <c r="E1689">
        <v>10</v>
      </c>
      <c r="F1689">
        <v>2</v>
      </c>
      <c r="G1689">
        <v>0</v>
      </c>
      <c r="H1689">
        <f>표4[[#This Row],[공격성공횟수]]/(표4[[#This Row],[공격실패횟수]]+표4[[#This Row],[공격성공횟수]])</f>
        <v>0.2857142857142857</v>
      </c>
    </row>
    <row r="1690" spans="1:8" x14ac:dyDescent="0.4">
      <c r="A1690">
        <v>845</v>
      </c>
      <c r="B1690" t="s">
        <v>3</v>
      </c>
      <c r="C1690">
        <v>1</v>
      </c>
      <c r="D1690">
        <v>4</v>
      </c>
      <c r="E1690">
        <v>65</v>
      </c>
      <c r="F1690">
        <v>0</v>
      </c>
      <c r="G1690">
        <v>0</v>
      </c>
      <c r="H1690">
        <f>표4[[#This Row],[공격성공횟수]]/(표4[[#This Row],[공격실패횟수]]+표4[[#This Row],[공격성공횟수]])</f>
        <v>5.7971014492753624E-2</v>
      </c>
    </row>
    <row r="1691" spans="1:8" hidden="1" x14ac:dyDescent="0.4">
      <c r="A1691">
        <v>845</v>
      </c>
      <c r="B1691" t="s">
        <v>2</v>
      </c>
      <c r="C1691">
        <v>0</v>
      </c>
      <c r="D1691">
        <v>0</v>
      </c>
      <c r="E1691">
        <v>76</v>
      </c>
      <c r="F1691">
        <v>4</v>
      </c>
      <c r="G1691">
        <v>1</v>
      </c>
      <c r="H1691">
        <f>표4[[#This Row],[공격성공횟수]]/(표4[[#This Row],[공격실패횟수]]+표4[[#This Row],[공격성공횟수]])</f>
        <v>0</v>
      </c>
    </row>
    <row r="1692" spans="1:8" x14ac:dyDescent="0.4">
      <c r="A1692">
        <v>846</v>
      </c>
      <c r="B1692" t="s">
        <v>3</v>
      </c>
      <c r="C1692">
        <v>1</v>
      </c>
      <c r="D1692">
        <v>4</v>
      </c>
      <c r="E1692">
        <v>53</v>
      </c>
      <c r="F1692">
        <v>0</v>
      </c>
      <c r="G1692">
        <v>0</v>
      </c>
      <c r="H1692">
        <f>표4[[#This Row],[공격성공횟수]]/(표4[[#This Row],[공격실패횟수]]+표4[[#This Row],[공격성공횟수]])</f>
        <v>7.0175438596491224E-2</v>
      </c>
    </row>
    <row r="1693" spans="1:8" hidden="1" x14ac:dyDescent="0.4">
      <c r="A1693">
        <v>846</v>
      </c>
      <c r="B1693" t="s">
        <v>2</v>
      </c>
      <c r="C1693">
        <v>0</v>
      </c>
      <c r="D1693">
        <v>0</v>
      </c>
      <c r="E1693">
        <v>60</v>
      </c>
      <c r="F1693">
        <v>4</v>
      </c>
      <c r="G1693">
        <v>1</v>
      </c>
      <c r="H1693">
        <f>표4[[#This Row],[공격성공횟수]]/(표4[[#This Row],[공격실패횟수]]+표4[[#This Row],[공격성공횟수]])</f>
        <v>0</v>
      </c>
    </row>
    <row r="1694" spans="1:8" x14ac:dyDescent="0.4">
      <c r="A1694">
        <v>847</v>
      </c>
      <c r="B1694" t="s">
        <v>3</v>
      </c>
      <c r="C1694">
        <v>1</v>
      </c>
      <c r="D1694">
        <v>4</v>
      </c>
      <c r="E1694">
        <v>9</v>
      </c>
      <c r="F1694">
        <v>1</v>
      </c>
      <c r="G1694">
        <v>0</v>
      </c>
      <c r="H1694">
        <f>표4[[#This Row],[공격성공횟수]]/(표4[[#This Row],[공격실패횟수]]+표4[[#This Row],[공격성공횟수]])</f>
        <v>0.30769230769230771</v>
      </c>
    </row>
    <row r="1695" spans="1:8" hidden="1" x14ac:dyDescent="0.4">
      <c r="A1695">
        <v>847</v>
      </c>
      <c r="B1695" t="s">
        <v>2</v>
      </c>
      <c r="C1695">
        <v>0</v>
      </c>
      <c r="D1695">
        <v>1</v>
      </c>
      <c r="E1695">
        <v>13</v>
      </c>
      <c r="F1695">
        <v>4</v>
      </c>
      <c r="G1695">
        <v>1</v>
      </c>
      <c r="H1695">
        <f>표4[[#This Row],[공격성공횟수]]/(표4[[#This Row],[공격실패횟수]]+표4[[#This Row],[공격성공횟수]])</f>
        <v>7.1428571428571425E-2</v>
      </c>
    </row>
    <row r="1696" spans="1:8" x14ac:dyDescent="0.4">
      <c r="A1696">
        <v>848</v>
      </c>
      <c r="B1696" t="s">
        <v>3</v>
      </c>
      <c r="C1696">
        <v>1</v>
      </c>
      <c r="D1696">
        <v>4</v>
      </c>
      <c r="E1696">
        <v>6</v>
      </c>
      <c r="F1696">
        <v>3</v>
      </c>
      <c r="G1696">
        <v>0</v>
      </c>
      <c r="H1696">
        <f>표4[[#This Row],[공격성공횟수]]/(표4[[#This Row],[공격실패횟수]]+표4[[#This Row],[공격성공횟수]])</f>
        <v>0.4</v>
      </c>
    </row>
    <row r="1697" spans="1:8" hidden="1" x14ac:dyDescent="0.4">
      <c r="A1697">
        <v>848</v>
      </c>
      <c r="B1697" t="s">
        <v>2</v>
      </c>
      <c r="C1697">
        <v>0</v>
      </c>
      <c r="D1697">
        <v>3</v>
      </c>
      <c r="E1697">
        <v>7</v>
      </c>
      <c r="F1697">
        <v>4</v>
      </c>
      <c r="G1697">
        <v>1</v>
      </c>
      <c r="H1697">
        <f>표4[[#This Row],[공격성공횟수]]/(표4[[#This Row],[공격실패횟수]]+표4[[#This Row],[공격성공횟수]])</f>
        <v>0.3</v>
      </c>
    </row>
    <row r="1698" spans="1:8" x14ac:dyDescent="0.4">
      <c r="A1698">
        <v>849</v>
      </c>
      <c r="B1698" t="s">
        <v>3</v>
      </c>
      <c r="C1698">
        <v>1</v>
      </c>
      <c r="D1698">
        <v>4</v>
      </c>
      <c r="E1698">
        <v>11</v>
      </c>
      <c r="F1698">
        <v>2</v>
      </c>
      <c r="G1698">
        <v>0</v>
      </c>
      <c r="H1698">
        <f>표4[[#This Row],[공격성공횟수]]/(표4[[#This Row],[공격실패횟수]]+표4[[#This Row],[공격성공횟수]])</f>
        <v>0.26666666666666666</v>
      </c>
    </row>
    <row r="1699" spans="1:8" hidden="1" x14ac:dyDescent="0.4">
      <c r="A1699">
        <v>849</v>
      </c>
      <c r="B1699" t="s">
        <v>2</v>
      </c>
      <c r="C1699">
        <v>0</v>
      </c>
      <c r="D1699">
        <v>2</v>
      </c>
      <c r="E1699">
        <v>13</v>
      </c>
      <c r="F1699">
        <v>4</v>
      </c>
      <c r="G1699">
        <v>1</v>
      </c>
      <c r="H1699">
        <f>표4[[#This Row],[공격성공횟수]]/(표4[[#This Row],[공격실패횟수]]+표4[[#This Row],[공격성공횟수]])</f>
        <v>0.13333333333333333</v>
      </c>
    </row>
    <row r="1700" spans="1:8" x14ac:dyDescent="0.4">
      <c r="A1700">
        <v>850</v>
      </c>
      <c r="B1700" t="s">
        <v>3</v>
      </c>
      <c r="C1700">
        <v>1</v>
      </c>
      <c r="D1700">
        <v>4</v>
      </c>
      <c r="E1700">
        <v>10</v>
      </c>
      <c r="F1700">
        <v>1</v>
      </c>
      <c r="G1700">
        <v>0</v>
      </c>
      <c r="H1700">
        <f>표4[[#This Row],[공격성공횟수]]/(표4[[#This Row],[공격실패횟수]]+표4[[#This Row],[공격성공횟수]])</f>
        <v>0.2857142857142857</v>
      </c>
    </row>
    <row r="1701" spans="1:8" hidden="1" x14ac:dyDescent="0.4">
      <c r="A1701">
        <v>850</v>
      </c>
      <c r="B1701" t="s">
        <v>2</v>
      </c>
      <c r="C1701">
        <v>0</v>
      </c>
      <c r="D1701">
        <v>1</v>
      </c>
      <c r="E1701">
        <v>13</v>
      </c>
      <c r="F1701">
        <v>4</v>
      </c>
      <c r="G1701">
        <v>1</v>
      </c>
      <c r="H1701">
        <f>표4[[#This Row],[공격성공횟수]]/(표4[[#This Row],[공격실패횟수]]+표4[[#This Row],[공격성공횟수]])</f>
        <v>7.1428571428571425E-2</v>
      </c>
    </row>
    <row r="1702" spans="1:8" x14ac:dyDescent="0.4">
      <c r="A1702">
        <v>851</v>
      </c>
      <c r="B1702" t="s">
        <v>3</v>
      </c>
      <c r="C1702">
        <v>0</v>
      </c>
      <c r="D1702">
        <v>2</v>
      </c>
      <c r="E1702">
        <v>9</v>
      </c>
      <c r="F1702">
        <v>4</v>
      </c>
      <c r="G1702">
        <v>1</v>
      </c>
      <c r="H1702">
        <f>표4[[#This Row],[공격성공횟수]]/(표4[[#This Row],[공격실패횟수]]+표4[[#This Row],[공격성공횟수]])</f>
        <v>0.18181818181818182</v>
      </c>
    </row>
    <row r="1703" spans="1:8" hidden="1" x14ac:dyDescent="0.4">
      <c r="A1703">
        <v>851</v>
      </c>
      <c r="B1703" t="s">
        <v>2</v>
      </c>
      <c r="C1703">
        <v>1</v>
      </c>
      <c r="D1703">
        <v>4</v>
      </c>
      <c r="E1703">
        <v>20</v>
      </c>
      <c r="F1703">
        <v>2</v>
      </c>
      <c r="G1703">
        <v>0</v>
      </c>
      <c r="H1703">
        <f>표4[[#This Row],[공격성공횟수]]/(표4[[#This Row],[공격실패횟수]]+표4[[#This Row],[공격성공횟수]])</f>
        <v>0.16666666666666666</v>
      </c>
    </row>
    <row r="1704" spans="1:8" x14ac:dyDescent="0.4">
      <c r="A1704">
        <v>852</v>
      </c>
      <c r="B1704" t="s">
        <v>3</v>
      </c>
      <c r="C1704">
        <v>1</v>
      </c>
      <c r="D1704">
        <v>4</v>
      </c>
      <c r="E1704">
        <v>6</v>
      </c>
      <c r="F1704">
        <v>2</v>
      </c>
      <c r="G1704">
        <v>0</v>
      </c>
      <c r="H1704">
        <f>표4[[#This Row],[공격성공횟수]]/(표4[[#This Row],[공격실패횟수]]+표4[[#This Row],[공격성공횟수]])</f>
        <v>0.4</v>
      </c>
    </row>
    <row r="1705" spans="1:8" hidden="1" x14ac:dyDescent="0.4">
      <c r="A1705">
        <v>852</v>
      </c>
      <c r="B1705" t="s">
        <v>2</v>
      </c>
      <c r="C1705">
        <v>0</v>
      </c>
      <c r="D1705">
        <v>2</v>
      </c>
      <c r="E1705">
        <v>7</v>
      </c>
      <c r="F1705">
        <v>4</v>
      </c>
      <c r="G1705">
        <v>1</v>
      </c>
      <c r="H1705">
        <f>표4[[#This Row],[공격성공횟수]]/(표4[[#This Row],[공격실패횟수]]+표4[[#This Row],[공격성공횟수]])</f>
        <v>0.22222222222222221</v>
      </c>
    </row>
    <row r="1706" spans="1:8" x14ac:dyDescent="0.4">
      <c r="A1706">
        <v>853</v>
      </c>
      <c r="B1706" t="s">
        <v>3</v>
      </c>
      <c r="C1706">
        <v>1</v>
      </c>
      <c r="D1706">
        <v>4</v>
      </c>
      <c r="E1706">
        <v>3</v>
      </c>
      <c r="F1706">
        <v>2</v>
      </c>
      <c r="G1706">
        <v>0</v>
      </c>
      <c r="H1706">
        <f>표4[[#This Row],[공격성공횟수]]/(표4[[#This Row],[공격실패횟수]]+표4[[#This Row],[공격성공횟수]])</f>
        <v>0.5714285714285714</v>
      </c>
    </row>
    <row r="1707" spans="1:8" hidden="1" x14ac:dyDescent="0.4">
      <c r="A1707">
        <v>853</v>
      </c>
      <c r="B1707" t="s">
        <v>2</v>
      </c>
      <c r="C1707">
        <v>0</v>
      </c>
      <c r="D1707">
        <v>2</v>
      </c>
      <c r="E1707">
        <v>11</v>
      </c>
      <c r="F1707">
        <v>4</v>
      </c>
      <c r="G1707">
        <v>1</v>
      </c>
      <c r="H1707">
        <f>표4[[#This Row],[공격성공횟수]]/(표4[[#This Row],[공격실패횟수]]+표4[[#This Row],[공격성공횟수]])</f>
        <v>0.15384615384615385</v>
      </c>
    </row>
    <row r="1708" spans="1:8" x14ac:dyDescent="0.4">
      <c r="A1708">
        <v>854</v>
      </c>
      <c r="B1708" t="s">
        <v>3</v>
      </c>
      <c r="C1708">
        <v>1</v>
      </c>
      <c r="D1708">
        <v>4</v>
      </c>
      <c r="E1708">
        <v>22</v>
      </c>
      <c r="F1708">
        <v>2</v>
      </c>
      <c r="G1708">
        <v>0</v>
      </c>
      <c r="H1708">
        <f>표4[[#This Row],[공격성공횟수]]/(표4[[#This Row],[공격실패횟수]]+표4[[#This Row],[공격성공횟수]])</f>
        <v>0.15384615384615385</v>
      </c>
    </row>
    <row r="1709" spans="1:8" hidden="1" x14ac:dyDescent="0.4">
      <c r="A1709">
        <v>854</v>
      </c>
      <c r="B1709" t="s">
        <v>2</v>
      </c>
      <c r="C1709">
        <v>0</v>
      </c>
      <c r="D1709">
        <v>2</v>
      </c>
      <c r="E1709">
        <v>28</v>
      </c>
      <c r="F1709">
        <v>4</v>
      </c>
      <c r="G1709">
        <v>1</v>
      </c>
      <c r="H1709">
        <f>표4[[#This Row],[공격성공횟수]]/(표4[[#This Row],[공격실패횟수]]+표4[[#This Row],[공격성공횟수]])</f>
        <v>6.6666666666666666E-2</v>
      </c>
    </row>
    <row r="1710" spans="1:8" x14ac:dyDescent="0.4">
      <c r="A1710">
        <v>855</v>
      </c>
      <c r="B1710" t="s">
        <v>3</v>
      </c>
      <c r="C1710">
        <v>1</v>
      </c>
      <c r="D1710">
        <v>4</v>
      </c>
      <c r="E1710">
        <v>5</v>
      </c>
      <c r="F1710">
        <v>1</v>
      </c>
      <c r="G1710">
        <v>0</v>
      </c>
      <c r="H1710">
        <f>표4[[#This Row],[공격성공횟수]]/(표4[[#This Row],[공격실패횟수]]+표4[[#This Row],[공격성공횟수]])</f>
        <v>0.44444444444444442</v>
      </c>
    </row>
    <row r="1711" spans="1:8" hidden="1" x14ac:dyDescent="0.4">
      <c r="A1711">
        <v>855</v>
      </c>
      <c r="B1711" t="s">
        <v>2</v>
      </c>
      <c r="C1711">
        <v>0</v>
      </c>
      <c r="D1711">
        <v>1</v>
      </c>
      <c r="E1711">
        <v>8</v>
      </c>
      <c r="F1711">
        <v>4</v>
      </c>
      <c r="G1711">
        <v>1</v>
      </c>
      <c r="H1711">
        <f>표4[[#This Row],[공격성공횟수]]/(표4[[#This Row],[공격실패횟수]]+표4[[#This Row],[공격성공횟수]])</f>
        <v>0.1111111111111111</v>
      </c>
    </row>
    <row r="1712" spans="1:8" x14ac:dyDescent="0.4">
      <c r="A1712">
        <v>856</v>
      </c>
      <c r="B1712" t="s">
        <v>3</v>
      </c>
      <c r="C1712">
        <v>1</v>
      </c>
      <c r="D1712">
        <v>4</v>
      </c>
      <c r="E1712">
        <v>9</v>
      </c>
      <c r="F1712">
        <v>1</v>
      </c>
      <c r="G1712">
        <v>0</v>
      </c>
      <c r="H1712">
        <f>표4[[#This Row],[공격성공횟수]]/(표4[[#This Row],[공격실패횟수]]+표4[[#This Row],[공격성공횟수]])</f>
        <v>0.30769230769230771</v>
      </c>
    </row>
    <row r="1713" spans="1:8" hidden="1" x14ac:dyDescent="0.4">
      <c r="A1713">
        <v>856</v>
      </c>
      <c r="B1713" t="s">
        <v>2</v>
      </c>
      <c r="C1713">
        <v>0</v>
      </c>
      <c r="D1713">
        <v>1</v>
      </c>
      <c r="E1713">
        <v>11</v>
      </c>
      <c r="F1713">
        <v>4</v>
      </c>
      <c r="G1713">
        <v>1</v>
      </c>
      <c r="H1713">
        <f>표4[[#This Row],[공격성공횟수]]/(표4[[#This Row],[공격실패횟수]]+표4[[#This Row],[공격성공횟수]])</f>
        <v>8.3333333333333329E-2</v>
      </c>
    </row>
    <row r="1714" spans="1:8" x14ac:dyDescent="0.4">
      <c r="A1714">
        <v>857</v>
      </c>
      <c r="B1714" t="s">
        <v>3</v>
      </c>
      <c r="C1714">
        <v>0</v>
      </c>
      <c r="D1714">
        <v>0</v>
      </c>
      <c r="E1714">
        <v>3</v>
      </c>
      <c r="F1714">
        <v>4</v>
      </c>
      <c r="G1714">
        <v>1</v>
      </c>
      <c r="H1714">
        <f>표4[[#This Row],[공격성공횟수]]/(표4[[#This Row],[공격실패횟수]]+표4[[#This Row],[공격성공횟수]])</f>
        <v>0</v>
      </c>
    </row>
    <row r="1715" spans="1:8" hidden="1" x14ac:dyDescent="0.4">
      <c r="A1715">
        <v>857</v>
      </c>
      <c r="B1715" t="s">
        <v>2</v>
      </c>
      <c r="C1715">
        <v>1</v>
      </c>
      <c r="D1715">
        <v>4</v>
      </c>
      <c r="E1715">
        <v>6</v>
      </c>
      <c r="F1715">
        <v>0</v>
      </c>
      <c r="G1715">
        <v>0</v>
      </c>
      <c r="H1715">
        <f>표4[[#This Row],[공격성공횟수]]/(표4[[#This Row],[공격실패횟수]]+표4[[#This Row],[공격성공횟수]])</f>
        <v>0.4</v>
      </c>
    </row>
    <row r="1716" spans="1:8" x14ac:dyDescent="0.4">
      <c r="A1716">
        <v>858</v>
      </c>
      <c r="B1716" t="s">
        <v>3</v>
      </c>
      <c r="C1716">
        <v>1</v>
      </c>
      <c r="D1716">
        <v>4</v>
      </c>
      <c r="E1716">
        <v>2</v>
      </c>
      <c r="F1716">
        <v>2</v>
      </c>
      <c r="G1716">
        <v>0</v>
      </c>
      <c r="H1716">
        <f>표4[[#This Row],[공격성공횟수]]/(표4[[#This Row],[공격실패횟수]]+표4[[#This Row],[공격성공횟수]])</f>
        <v>0.66666666666666663</v>
      </c>
    </row>
    <row r="1717" spans="1:8" hidden="1" x14ac:dyDescent="0.4">
      <c r="A1717">
        <v>858</v>
      </c>
      <c r="B1717" t="s">
        <v>2</v>
      </c>
      <c r="C1717">
        <v>0</v>
      </c>
      <c r="D1717">
        <v>2</v>
      </c>
      <c r="E1717">
        <v>3</v>
      </c>
      <c r="F1717">
        <v>4</v>
      </c>
      <c r="G1717">
        <v>1</v>
      </c>
      <c r="H1717">
        <f>표4[[#This Row],[공격성공횟수]]/(표4[[#This Row],[공격실패횟수]]+표4[[#This Row],[공격성공횟수]])</f>
        <v>0.4</v>
      </c>
    </row>
    <row r="1718" spans="1:8" x14ac:dyDescent="0.4">
      <c r="A1718">
        <v>859</v>
      </c>
      <c r="B1718" t="s">
        <v>3</v>
      </c>
      <c r="C1718">
        <v>1</v>
      </c>
      <c r="D1718">
        <v>4</v>
      </c>
      <c r="E1718">
        <v>11</v>
      </c>
      <c r="F1718">
        <v>2</v>
      </c>
      <c r="G1718">
        <v>0</v>
      </c>
      <c r="H1718">
        <f>표4[[#This Row],[공격성공횟수]]/(표4[[#This Row],[공격실패횟수]]+표4[[#This Row],[공격성공횟수]])</f>
        <v>0.26666666666666666</v>
      </c>
    </row>
    <row r="1719" spans="1:8" hidden="1" x14ac:dyDescent="0.4">
      <c r="A1719">
        <v>859</v>
      </c>
      <c r="B1719" t="s">
        <v>2</v>
      </c>
      <c r="C1719">
        <v>0</v>
      </c>
      <c r="D1719">
        <v>2</v>
      </c>
      <c r="E1719">
        <v>17</v>
      </c>
      <c r="F1719">
        <v>4</v>
      </c>
      <c r="G1719">
        <v>1</v>
      </c>
      <c r="H1719">
        <f>표4[[#This Row],[공격성공횟수]]/(표4[[#This Row],[공격실패횟수]]+표4[[#This Row],[공격성공횟수]])</f>
        <v>0.10526315789473684</v>
      </c>
    </row>
    <row r="1720" spans="1:8" x14ac:dyDescent="0.4">
      <c r="A1720">
        <v>860</v>
      </c>
      <c r="B1720" t="s">
        <v>3</v>
      </c>
      <c r="C1720">
        <v>0</v>
      </c>
      <c r="D1720">
        <v>3</v>
      </c>
      <c r="E1720">
        <v>7</v>
      </c>
      <c r="F1720">
        <v>4</v>
      </c>
      <c r="G1720">
        <v>1</v>
      </c>
      <c r="H1720">
        <f>표4[[#This Row],[공격성공횟수]]/(표4[[#This Row],[공격실패횟수]]+표4[[#This Row],[공격성공횟수]])</f>
        <v>0.3</v>
      </c>
    </row>
    <row r="1721" spans="1:8" hidden="1" x14ac:dyDescent="0.4">
      <c r="A1721">
        <v>860</v>
      </c>
      <c r="B1721" t="s">
        <v>2</v>
      </c>
      <c r="C1721">
        <v>1</v>
      </c>
      <c r="D1721">
        <v>4</v>
      </c>
      <c r="E1721">
        <v>7</v>
      </c>
      <c r="F1721">
        <v>3</v>
      </c>
      <c r="G1721">
        <v>0</v>
      </c>
      <c r="H1721">
        <f>표4[[#This Row],[공격성공횟수]]/(표4[[#This Row],[공격실패횟수]]+표4[[#This Row],[공격성공횟수]])</f>
        <v>0.36363636363636365</v>
      </c>
    </row>
    <row r="1722" spans="1:8" x14ac:dyDescent="0.4">
      <c r="A1722">
        <v>861</v>
      </c>
      <c r="B1722" t="s">
        <v>3</v>
      </c>
      <c r="C1722">
        <v>1</v>
      </c>
      <c r="D1722">
        <v>4</v>
      </c>
      <c r="E1722">
        <v>23</v>
      </c>
      <c r="F1722">
        <v>2</v>
      </c>
      <c r="G1722">
        <v>0</v>
      </c>
      <c r="H1722">
        <f>표4[[#This Row],[공격성공횟수]]/(표4[[#This Row],[공격실패횟수]]+표4[[#This Row],[공격성공횟수]])</f>
        <v>0.14814814814814814</v>
      </c>
    </row>
    <row r="1723" spans="1:8" hidden="1" x14ac:dyDescent="0.4">
      <c r="A1723">
        <v>861</v>
      </c>
      <c r="B1723" t="s">
        <v>2</v>
      </c>
      <c r="C1723">
        <v>0</v>
      </c>
      <c r="D1723">
        <v>2</v>
      </c>
      <c r="E1723">
        <v>22</v>
      </c>
      <c r="F1723">
        <v>4</v>
      </c>
      <c r="G1723">
        <v>1</v>
      </c>
      <c r="H1723">
        <f>표4[[#This Row],[공격성공횟수]]/(표4[[#This Row],[공격실패횟수]]+표4[[#This Row],[공격성공횟수]])</f>
        <v>8.3333333333333329E-2</v>
      </c>
    </row>
    <row r="1724" spans="1:8" x14ac:dyDescent="0.4">
      <c r="A1724">
        <v>862</v>
      </c>
      <c r="B1724" t="s">
        <v>3</v>
      </c>
      <c r="C1724">
        <v>0</v>
      </c>
      <c r="D1724">
        <v>1</v>
      </c>
      <c r="E1724">
        <v>6</v>
      </c>
      <c r="F1724">
        <v>4</v>
      </c>
      <c r="G1724">
        <v>1</v>
      </c>
      <c r="H1724">
        <f>표4[[#This Row],[공격성공횟수]]/(표4[[#This Row],[공격실패횟수]]+표4[[#This Row],[공격성공횟수]])</f>
        <v>0.14285714285714285</v>
      </c>
    </row>
    <row r="1725" spans="1:8" hidden="1" x14ac:dyDescent="0.4">
      <c r="A1725">
        <v>862</v>
      </c>
      <c r="B1725" t="s">
        <v>2</v>
      </c>
      <c r="C1725">
        <v>1</v>
      </c>
      <c r="D1725">
        <v>4</v>
      </c>
      <c r="E1725">
        <v>7</v>
      </c>
      <c r="F1725">
        <v>1</v>
      </c>
      <c r="G1725">
        <v>0</v>
      </c>
      <c r="H1725">
        <f>표4[[#This Row],[공격성공횟수]]/(표4[[#This Row],[공격실패횟수]]+표4[[#This Row],[공격성공횟수]])</f>
        <v>0.36363636363636365</v>
      </c>
    </row>
    <row r="1726" spans="1:8" x14ac:dyDescent="0.4">
      <c r="A1726">
        <v>863</v>
      </c>
      <c r="B1726" t="s">
        <v>3</v>
      </c>
      <c r="C1726">
        <v>0</v>
      </c>
      <c r="D1726">
        <v>1</v>
      </c>
      <c r="E1726">
        <v>9</v>
      </c>
      <c r="F1726">
        <v>4</v>
      </c>
      <c r="G1726">
        <v>1</v>
      </c>
      <c r="H1726">
        <f>표4[[#This Row],[공격성공횟수]]/(표4[[#This Row],[공격실패횟수]]+표4[[#This Row],[공격성공횟수]])</f>
        <v>0.1</v>
      </c>
    </row>
    <row r="1727" spans="1:8" hidden="1" x14ac:dyDescent="0.4">
      <c r="A1727">
        <v>863</v>
      </c>
      <c r="B1727" t="s">
        <v>2</v>
      </c>
      <c r="C1727">
        <v>1</v>
      </c>
      <c r="D1727">
        <v>4</v>
      </c>
      <c r="E1727">
        <v>21</v>
      </c>
      <c r="F1727">
        <v>1</v>
      </c>
      <c r="G1727">
        <v>0</v>
      </c>
      <c r="H1727">
        <f>표4[[#This Row],[공격성공횟수]]/(표4[[#This Row],[공격실패횟수]]+표4[[#This Row],[공격성공횟수]])</f>
        <v>0.16</v>
      </c>
    </row>
    <row r="1728" spans="1:8" x14ac:dyDescent="0.4">
      <c r="A1728">
        <v>864</v>
      </c>
      <c r="B1728" t="s">
        <v>3</v>
      </c>
      <c r="C1728">
        <v>1</v>
      </c>
      <c r="D1728">
        <v>4</v>
      </c>
      <c r="E1728">
        <v>7</v>
      </c>
      <c r="F1728">
        <v>1</v>
      </c>
      <c r="G1728">
        <v>0</v>
      </c>
      <c r="H1728">
        <f>표4[[#This Row],[공격성공횟수]]/(표4[[#This Row],[공격실패횟수]]+표4[[#This Row],[공격성공횟수]])</f>
        <v>0.36363636363636365</v>
      </c>
    </row>
    <row r="1729" spans="1:8" hidden="1" x14ac:dyDescent="0.4">
      <c r="A1729">
        <v>864</v>
      </c>
      <c r="B1729" t="s">
        <v>2</v>
      </c>
      <c r="C1729">
        <v>0</v>
      </c>
      <c r="D1729">
        <v>1</v>
      </c>
      <c r="E1729">
        <v>9</v>
      </c>
      <c r="F1729">
        <v>4</v>
      </c>
      <c r="G1729">
        <v>1</v>
      </c>
      <c r="H1729">
        <f>표4[[#This Row],[공격성공횟수]]/(표4[[#This Row],[공격실패횟수]]+표4[[#This Row],[공격성공횟수]])</f>
        <v>0.1</v>
      </c>
    </row>
    <row r="1730" spans="1:8" x14ac:dyDescent="0.4">
      <c r="A1730">
        <v>865</v>
      </c>
      <c r="B1730" t="s">
        <v>3</v>
      </c>
      <c r="C1730">
        <v>0</v>
      </c>
      <c r="D1730">
        <v>1</v>
      </c>
      <c r="E1730">
        <v>21</v>
      </c>
      <c r="F1730">
        <v>4</v>
      </c>
      <c r="G1730">
        <v>1</v>
      </c>
      <c r="H1730">
        <f>표4[[#This Row],[공격성공횟수]]/(표4[[#This Row],[공격실패횟수]]+표4[[#This Row],[공격성공횟수]])</f>
        <v>4.5454545454545456E-2</v>
      </c>
    </row>
    <row r="1731" spans="1:8" hidden="1" x14ac:dyDescent="0.4">
      <c r="A1731">
        <v>865</v>
      </c>
      <c r="B1731" t="s">
        <v>2</v>
      </c>
      <c r="C1731">
        <v>1</v>
      </c>
      <c r="D1731">
        <v>4</v>
      </c>
      <c r="E1731">
        <v>21</v>
      </c>
      <c r="F1731">
        <v>1</v>
      </c>
      <c r="G1731">
        <v>0</v>
      </c>
      <c r="H1731">
        <f>표4[[#This Row],[공격성공횟수]]/(표4[[#This Row],[공격실패횟수]]+표4[[#This Row],[공격성공횟수]])</f>
        <v>0.16</v>
      </c>
    </row>
    <row r="1732" spans="1:8" x14ac:dyDescent="0.4">
      <c r="A1732">
        <v>866</v>
      </c>
      <c r="B1732" t="s">
        <v>3</v>
      </c>
      <c r="C1732">
        <v>1</v>
      </c>
      <c r="D1732">
        <v>4</v>
      </c>
      <c r="E1732">
        <v>7</v>
      </c>
      <c r="F1732">
        <v>2</v>
      </c>
      <c r="G1732">
        <v>0</v>
      </c>
      <c r="H1732">
        <f>표4[[#This Row],[공격성공횟수]]/(표4[[#This Row],[공격실패횟수]]+표4[[#This Row],[공격성공횟수]])</f>
        <v>0.36363636363636365</v>
      </c>
    </row>
    <row r="1733" spans="1:8" hidden="1" x14ac:dyDescent="0.4">
      <c r="A1733">
        <v>866</v>
      </c>
      <c r="B1733" t="s">
        <v>2</v>
      </c>
      <c r="C1733">
        <v>0</v>
      </c>
      <c r="D1733">
        <v>2</v>
      </c>
      <c r="E1733">
        <v>8</v>
      </c>
      <c r="F1733">
        <v>4</v>
      </c>
      <c r="G1733">
        <v>1</v>
      </c>
      <c r="H1733">
        <f>표4[[#This Row],[공격성공횟수]]/(표4[[#This Row],[공격실패횟수]]+표4[[#This Row],[공격성공횟수]])</f>
        <v>0.2</v>
      </c>
    </row>
    <row r="1734" spans="1:8" x14ac:dyDescent="0.4">
      <c r="A1734">
        <v>867</v>
      </c>
      <c r="B1734" t="s">
        <v>3</v>
      </c>
      <c r="C1734">
        <v>1</v>
      </c>
      <c r="D1734">
        <v>4</v>
      </c>
      <c r="E1734">
        <v>13</v>
      </c>
      <c r="F1734">
        <v>2</v>
      </c>
      <c r="G1734">
        <v>0</v>
      </c>
      <c r="H1734">
        <f>표4[[#This Row],[공격성공횟수]]/(표4[[#This Row],[공격실패횟수]]+표4[[#This Row],[공격성공횟수]])</f>
        <v>0.23529411764705882</v>
      </c>
    </row>
    <row r="1735" spans="1:8" hidden="1" x14ac:dyDescent="0.4">
      <c r="A1735">
        <v>867</v>
      </c>
      <c r="B1735" t="s">
        <v>2</v>
      </c>
      <c r="C1735">
        <v>0</v>
      </c>
      <c r="D1735">
        <v>2</v>
      </c>
      <c r="E1735">
        <v>25</v>
      </c>
      <c r="F1735">
        <v>4</v>
      </c>
      <c r="G1735">
        <v>1</v>
      </c>
      <c r="H1735">
        <f>표4[[#This Row],[공격성공횟수]]/(표4[[#This Row],[공격실패횟수]]+표4[[#This Row],[공격성공횟수]])</f>
        <v>7.407407407407407E-2</v>
      </c>
    </row>
    <row r="1736" spans="1:8" x14ac:dyDescent="0.4">
      <c r="A1736">
        <v>868</v>
      </c>
      <c r="B1736" t="s">
        <v>3</v>
      </c>
      <c r="C1736">
        <v>0</v>
      </c>
      <c r="D1736">
        <v>1</v>
      </c>
      <c r="E1736">
        <v>6</v>
      </c>
      <c r="F1736">
        <v>4</v>
      </c>
      <c r="G1736">
        <v>1</v>
      </c>
      <c r="H1736">
        <f>표4[[#This Row],[공격성공횟수]]/(표4[[#This Row],[공격실패횟수]]+표4[[#This Row],[공격성공횟수]])</f>
        <v>0.14285714285714285</v>
      </c>
    </row>
    <row r="1737" spans="1:8" hidden="1" x14ac:dyDescent="0.4">
      <c r="A1737">
        <v>868</v>
      </c>
      <c r="B1737" t="s">
        <v>2</v>
      </c>
      <c r="C1737">
        <v>1</v>
      </c>
      <c r="D1737">
        <v>4</v>
      </c>
      <c r="E1737">
        <v>18</v>
      </c>
      <c r="F1737">
        <v>1</v>
      </c>
      <c r="G1737">
        <v>0</v>
      </c>
      <c r="H1737">
        <f>표4[[#This Row],[공격성공횟수]]/(표4[[#This Row],[공격실패횟수]]+표4[[#This Row],[공격성공횟수]])</f>
        <v>0.18181818181818182</v>
      </c>
    </row>
    <row r="1738" spans="1:8" x14ac:dyDescent="0.4">
      <c r="A1738">
        <v>869</v>
      </c>
      <c r="B1738" t="s">
        <v>3</v>
      </c>
      <c r="C1738">
        <v>0</v>
      </c>
      <c r="D1738">
        <v>1</v>
      </c>
      <c r="E1738">
        <v>60</v>
      </c>
      <c r="F1738">
        <v>4</v>
      </c>
      <c r="G1738">
        <v>1</v>
      </c>
      <c r="H1738">
        <f>표4[[#This Row],[공격성공횟수]]/(표4[[#This Row],[공격실패횟수]]+표4[[#This Row],[공격성공횟수]])</f>
        <v>1.6393442622950821E-2</v>
      </c>
    </row>
    <row r="1739" spans="1:8" hidden="1" x14ac:dyDescent="0.4">
      <c r="A1739">
        <v>869</v>
      </c>
      <c r="B1739" t="s">
        <v>2</v>
      </c>
      <c r="C1739">
        <v>1</v>
      </c>
      <c r="D1739">
        <v>4</v>
      </c>
      <c r="E1739">
        <v>66</v>
      </c>
      <c r="F1739">
        <v>1</v>
      </c>
      <c r="G1739">
        <v>0</v>
      </c>
      <c r="H1739">
        <f>표4[[#This Row],[공격성공횟수]]/(표4[[#This Row],[공격실패횟수]]+표4[[#This Row],[공격성공횟수]])</f>
        <v>5.7142857142857141E-2</v>
      </c>
    </row>
    <row r="1740" spans="1:8" x14ac:dyDescent="0.4">
      <c r="A1740">
        <v>870</v>
      </c>
      <c r="B1740" t="s">
        <v>3</v>
      </c>
      <c r="C1740">
        <v>0</v>
      </c>
      <c r="D1740">
        <v>2</v>
      </c>
      <c r="E1740">
        <v>34</v>
      </c>
      <c r="F1740">
        <v>4</v>
      </c>
      <c r="G1740">
        <v>1</v>
      </c>
      <c r="H1740">
        <f>표4[[#This Row],[공격성공횟수]]/(표4[[#This Row],[공격실패횟수]]+표4[[#This Row],[공격성공횟수]])</f>
        <v>5.5555555555555552E-2</v>
      </c>
    </row>
    <row r="1741" spans="1:8" hidden="1" x14ac:dyDescent="0.4">
      <c r="A1741">
        <v>870</v>
      </c>
      <c r="B1741" t="s">
        <v>2</v>
      </c>
      <c r="C1741">
        <v>1</v>
      </c>
      <c r="D1741">
        <v>4</v>
      </c>
      <c r="E1741">
        <v>35</v>
      </c>
      <c r="F1741">
        <v>2</v>
      </c>
      <c r="G1741">
        <v>0</v>
      </c>
      <c r="H1741">
        <f>표4[[#This Row],[공격성공횟수]]/(표4[[#This Row],[공격실패횟수]]+표4[[#This Row],[공격성공횟수]])</f>
        <v>0.10256410256410256</v>
      </c>
    </row>
    <row r="1742" spans="1:8" x14ac:dyDescent="0.4">
      <c r="A1742">
        <v>871</v>
      </c>
      <c r="B1742" t="s">
        <v>3</v>
      </c>
      <c r="C1742">
        <v>0</v>
      </c>
      <c r="D1742">
        <v>3</v>
      </c>
      <c r="E1742">
        <v>9</v>
      </c>
      <c r="F1742">
        <v>4</v>
      </c>
      <c r="G1742">
        <v>1</v>
      </c>
      <c r="H1742">
        <f>표4[[#This Row],[공격성공횟수]]/(표4[[#This Row],[공격실패횟수]]+표4[[#This Row],[공격성공횟수]])</f>
        <v>0.25</v>
      </c>
    </row>
    <row r="1743" spans="1:8" hidden="1" x14ac:dyDescent="0.4">
      <c r="A1743">
        <v>871</v>
      </c>
      <c r="B1743" t="s">
        <v>2</v>
      </c>
      <c r="C1743">
        <v>1</v>
      </c>
      <c r="D1743">
        <v>4</v>
      </c>
      <c r="E1743">
        <v>18</v>
      </c>
      <c r="F1743">
        <v>3</v>
      </c>
      <c r="G1743">
        <v>0</v>
      </c>
      <c r="H1743">
        <f>표4[[#This Row],[공격성공횟수]]/(표4[[#This Row],[공격실패횟수]]+표4[[#This Row],[공격성공횟수]])</f>
        <v>0.18181818181818182</v>
      </c>
    </row>
    <row r="1744" spans="1:8" x14ac:dyDescent="0.4">
      <c r="A1744">
        <v>872</v>
      </c>
      <c r="B1744" t="s">
        <v>3</v>
      </c>
      <c r="C1744">
        <v>1</v>
      </c>
      <c r="D1744">
        <v>4</v>
      </c>
      <c r="E1744">
        <v>43</v>
      </c>
      <c r="F1744">
        <v>1</v>
      </c>
      <c r="G1744">
        <v>0</v>
      </c>
      <c r="H1744">
        <f>표4[[#This Row],[공격성공횟수]]/(표4[[#This Row],[공격실패횟수]]+표4[[#This Row],[공격성공횟수]])</f>
        <v>8.5106382978723402E-2</v>
      </c>
    </row>
    <row r="1745" spans="1:8" hidden="1" x14ac:dyDescent="0.4">
      <c r="A1745">
        <v>872</v>
      </c>
      <c r="B1745" t="s">
        <v>2</v>
      </c>
      <c r="C1745">
        <v>0</v>
      </c>
      <c r="D1745">
        <v>1</v>
      </c>
      <c r="E1745">
        <v>48</v>
      </c>
      <c r="F1745">
        <v>4</v>
      </c>
      <c r="G1745">
        <v>1</v>
      </c>
      <c r="H1745">
        <f>표4[[#This Row],[공격성공횟수]]/(표4[[#This Row],[공격실패횟수]]+표4[[#This Row],[공격성공횟수]])</f>
        <v>2.0408163265306121E-2</v>
      </c>
    </row>
    <row r="1746" spans="1:8" x14ac:dyDescent="0.4">
      <c r="A1746">
        <v>873</v>
      </c>
      <c r="B1746" t="s">
        <v>3</v>
      </c>
      <c r="C1746">
        <v>0</v>
      </c>
      <c r="D1746">
        <v>0</v>
      </c>
      <c r="E1746">
        <v>6</v>
      </c>
      <c r="F1746">
        <v>4</v>
      </c>
      <c r="G1746">
        <v>1</v>
      </c>
      <c r="H1746">
        <f>표4[[#This Row],[공격성공횟수]]/(표4[[#This Row],[공격실패횟수]]+표4[[#This Row],[공격성공횟수]])</f>
        <v>0</v>
      </c>
    </row>
    <row r="1747" spans="1:8" hidden="1" x14ac:dyDescent="0.4">
      <c r="A1747">
        <v>873</v>
      </c>
      <c r="B1747" t="s">
        <v>2</v>
      </c>
      <c r="C1747">
        <v>1</v>
      </c>
      <c r="D1747">
        <v>4</v>
      </c>
      <c r="E1747">
        <v>19</v>
      </c>
      <c r="F1747">
        <v>0</v>
      </c>
      <c r="G1747">
        <v>0</v>
      </c>
      <c r="H1747">
        <f>표4[[#This Row],[공격성공횟수]]/(표4[[#This Row],[공격실패횟수]]+표4[[#This Row],[공격성공횟수]])</f>
        <v>0.17391304347826086</v>
      </c>
    </row>
    <row r="1748" spans="1:8" x14ac:dyDescent="0.4">
      <c r="A1748">
        <v>874</v>
      </c>
      <c r="B1748" t="s">
        <v>3</v>
      </c>
      <c r="C1748">
        <v>1</v>
      </c>
      <c r="D1748">
        <v>4</v>
      </c>
      <c r="E1748">
        <v>12</v>
      </c>
      <c r="F1748">
        <v>3</v>
      </c>
      <c r="G1748">
        <v>0</v>
      </c>
      <c r="H1748">
        <f>표4[[#This Row],[공격성공횟수]]/(표4[[#This Row],[공격실패횟수]]+표4[[#This Row],[공격성공횟수]])</f>
        <v>0.25</v>
      </c>
    </row>
    <row r="1749" spans="1:8" hidden="1" x14ac:dyDescent="0.4">
      <c r="A1749">
        <v>874</v>
      </c>
      <c r="B1749" t="s">
        <v>2</v>
      </c>
      <c r="C1749">
        <v>0</v>
      </c>
      <c r="D1749">
        <v>3</v>
      </c>
      <c r="E1749">
        <v>11</v>
      </c>
      <c r="F1749">
        <v>4</v>
      </c>
      <c r="G1749">
        <v>1</v>
      </c>
      <c r="H1749">
        <f>표4[[#This Row],[공격성공횟수]]/(표4[[#This Row],[공격실패횟수]]+표4[[#This Row],[공격성공횟수]])</f>
        <v>0.21428571428571427</v>
      </c>
    </row>
    <row r="1750" spans="1:8" x14ac:dyDescent="0.4">
      <c r="A1750">
        <v>875</v>
      </c>
      <c r="B1750" t="s">
        <v>3</v>
      </c>
      <c r="C1750">
        <v>1</v>
      </c>
      <c r="D1750">
        <v>4</v>
      </c>
      <c r="E1750">
        <v>26</v>
      </c>
      <c r="F1750">
        <v>1</v>
      </c>
      <c r="G1750">
        <v>0</v>
      </c>
      <c r="H1750">
        <f>표4[[#This Row],[공격성공횟수]]/(표4[[#This Row],[공격실패횟수]]+표4[[#This Row],[공격성공횟수]])</f>
        <v>0.13333333333333333</v>
      </c>
    </row>
    <row r="1751" spans="1:8" hidden="1" x14ac:dyDescent="0.4">
      <c r="A1751">
        <v>875</v>
      </c>
      <c r="B1751" t="s">
        <v>2</v>
      </c>
      <c r="C1751">
        <v>0</v>
      </c>
      <c r="D1751">
        <v>1</v>
      </c>
      <c r="E1751">
        <v>30</v>
      </c>
      <c r="F1751">
        <v>4</v>
      </c>
      <c r="G1751">
        <v>1</v>
      </c>
      <c r="H1751">
        <f>표4[[#This Row],[공격성공횟수]]/(표4[[#This Row],[공격실패횟수]]+표4[[#This Row],[공격성공횟수]])</f>
        <v>3.2258064516129031E-2</v>
      </c>
    </row>
    <row r="1752" spans="1:8" x14ac:dyDescent="0.4">
      <c r="A1752">
        <v>876</v>
      </c>
      <c r="B1752" t="s">
        <v>3</v>
      </c>
      <c r="C1752">
        <v>0</v>
      </c>
      <c r="D1752">
        <v>3</v>
      </c>
      <c r="E1752">
        <v>101</v>
      </c>
      <c r="F1752">
        <v>3</v>
      </c>
      <c r="G1752">
        <v>0</v>
      </c>
      <c r="H1752">
        <f>표4[[#This Row],[공격성공횟수]]/(표4[[#This Row],[공격실패횟수]]+표4[[#This Row],[공격성공횟수]])</f>
        <v>2.8846153846153848E-2</v>
      </c>
    </row>
    <row r="1753" spans="1:8" hidden="1" x14ac:dyDescent="0.4">
      <c r="A1753">
        <v>876</v>
      </c>
      <c r="B1753" t="s">
        <v>2</v>
      </c>
      <c r="C1753">
        <v>0</v>
      </c>
      <c r="D1753">
        <v>3</v>
      </c>
      <c r="E1753">
        <v>112</v>
      </c>
      <c r="F1753">
        <v>3</v>
      </c>
      <c r="G1753">
        <v>0</v>
      </c>
      <c r="H1753">
        <f>표4[[#This Row],[공격성공횟수]]/(표4[[#This Row],[공격실패횟수]]+표4[[#This Row],[공격성공횟수]])</f>
        <v>2.6086956521739129E-2</v>
      </c>
    </row>
    <row r="1754" spans="1:8" x14ac:dyDescent="0.4">
      <c r="A1754">
        <v>877</v>
      </c>
      <c r="B1754" t="s">
        <v>3</v>
      </c>
      <c r="C1754">
        <v>0</v>
      </c>
      <c r="D1754">
        <v>2</v>
      </c>
      <c r="E1754">
        <v>12</v>
      </c>
      <c r="F1754">
        <v>4</v>
      </c>
      <c r="G1754">
        <v>1</v>
      </c>
      <c r="H1754">
        <f>표4[[#This Row],[공격성공횟수]]/(표4[[#This Row],[공격실패횟수]]+표4[[#This Row],[공격성공횟수]])</f>
        <v>0.14285714285714285</v>
      </c>
    </row>
    <row r="1755" spans="1:8" hidden="1" x14ac:dyDescent="0.4">
      <c r="A1755">
        <v>877</v>
      </c>
      <c r="B1755" t="s">
        <v>2</v>
      </c>
      <c r="C1755">
        <v>1</v>
      </c>
      <c r="D1755">
        <v>4</v>
      </c>
      <c r="E1755">
        <v>12</v>
      </c>
      <c r="F1755">
        <v>2</v>
      </c>
      <c r="G1755">
        <v>0</v>
      </c>
      <c r="H1755">
        <f>표4[[#This Row],[공격성공횟수]]/(표4[[#This Row],[공격실패횟수]]+표4[[#This Row],[공격성공횟수]])</f>
        <v>0.25</v>
      </c>
    </row>
    <row r="1756" spans="1:8" x14ac:dyDescent="0.4">
      <c r="A1756">
        <v>878</v>
      </c>
      <c r="B1756" t="s">
        <v>3</v>
      </c>
      <c r="C1756">
        <v>1</v>
      </c>
      <c r="D1756">
        <v>4</v>
      </c>
      <c r="E1756">
        <v>99</v>
      </c>
      <c r="F1756">
        <v>1</v>
      </c>
      <c r="G1756">
        <v>0</v>
      </c>
      <c r="H1756">
        <f>표4[[#This Row],[공격성공횟수]]/(표4[[#This Row],[공격실패횟수]]+표4[[#This Row],[공격성공횟수]])</f>
        <v>3.8834951456310676E-2</v>
      </c>
    </row>
    <row r="1757" spans="1:8" hidden="1" x14ac:dyDescent="0.4">
      <c r="A1757">
        <v>878</v>
      </c>
      <c r="B1757" t="s">
        <v>2</v>
      </c>
      <c r="C1757">
        <v>0</v>
      </c>
      <c r="D1757">
        <v>1</v>
      </c>
      <c r="E1757">
        <v>103</v>
      </c>
      <c r="F1757">
        <v>4</v>
      </c>
      <c r="G1757">
        <v>1</v>
      </c>
      <c r="H1757">
        <f>표4[[#This Row],[공격성공횟수]]/(표4[[#This Row],[공격실패횟수]]+표4[[#This Row],[공격성공횟수]])</f>
        <v>9.6153846153846159E-3</v>
      </c>
    </row>
    <row r="1758" spans="1:8" x14ac:dyDescent="0.4">
      <c r="A1758">
        <v>879</v>
      </c>
      <c r="B1758" t="s">
        <v>3</v>
      </c>
      <c r="C1758">
        <v>1</v>
      </c>
      <c r="D1758">
        <v>4</v>
      </c>
      <c r="E1758">
        <v>68</v>
      </c>
      <c r="F1758">
        <v>2</v>
      </c>
      <c r="G1758">
        <v>0</v>
      </c>
      <c r="H1758">
        <f>표4[[#This Row],[공격성공횟수]]/(표4[[#This Row],[공격실패횟수]]+표4[[#This Row],[공격성공횟수]])</f>
        <v>5.5555555555555552E-2</v>
      </c>
    </row>
    <row r="1759" spans="1:8" hidden="1" x14ac:dyDescent="0.4">
      <c r="A1759">
        <v>879</v>
      </c>
      <c r="B1759" t="s">
        <v>2</v>
      </c>
      <c r="C1759">
        <v>0</v>
      </c>
      <c r="D1759">
        <v>2</v>
      </c>
      <c r="E1759">
        <v>84</v>
      </c>
      <c r="F1759">
        <v>4</v>
      </c>
      <c r="G1759">
        <v>1</v>
      </c>
      <c r="H1759">
        <f>표4[[#This Row],[공격성공횟수]]/(표4[[#This Row],[공격실패횟수]]+표4[[#This Row],[공격성공횟수]])</f>
        <v>2.3255813953488372E-2</v>
      </c>
    </row>
    <row r="1760" spans="1:8" x14ac:dyDescent="0.4">
      <c r="A1760">
        <v>880</v>
      </c>
      <c r="B1760" t="s">
        <v>3</v>
      </c>
      <c r="C1760">
        <v>1</v>
      </c>
      <c r="D1760">
        <v>4</v>
      </c>
      <c r="E1760">
        <v>6</v>
      </c>
      <c r="F1760">
        <v>2</v>
      </c>
      <c r="G1760">
        <v>0</v>
      </c>
      <c r="H1760">
        <f>표4[[#This Row],[공격성공횟수]]/(표4[[#This Row],[공격실패횟수]]+표4[[#This Row],[공격성공횟수]])</f>
        <v>0.4</v>
      </c>
    </row>
    <row r="1761" spans="1:8" hidden="1" x14ac:dyDescent="0.4">
      <c r="A1761">
        <v>880</v>
      </c>
      <c r="B1761" t="s">
        <v>2</v>
      </c>
      <c r="C1761">
        <v>0</v>
      </c>
      <c r="D1761">
        <v>2</v>
      </c>
      <c r="E1761">
        <v>8</v>
      </c>
      <c r="F1761">
        <v>4</v>
      </c>
      <c r="G1761">
        <v>1</v>
      </c>
      <c r="H1761">
        <f>표4[[#This Row],[공격성공횟수]]/(표4[[#This Row],[공격실패횟수]]+표4[[#This Row],[공격성공횟수]])</f>
        <v>0.2</v>
      </c>
    </row>
    <row r="1762" spans="1:8" x14ac:dyDescent="0.4">
      <c r="A1762">
        <v>881</v>
      </c>
      <c r="B1762" t="s">
        <v>3</v>
      </c>
      <c r="C1762">
        <v>1</v>
      </c>
      <c r="D1762">
        <v>4</v>
      </c>
      <c r="E1762">
        <v>5</v>
      </c>
      <c r="F1762">
        <v>2</v>
      </c>
      <c r="G1762">
        <v>0</v>
      </c>
      <c r="H1762">
        <f>표4[[#This Row],[공격성공횟수]]/(표4[[#This Row],[공격실패횟수]]+표4[[#This Row],[공격성공횟수]])</f>
        <v>0.44444444444444442</v>
      </c>
    </row>
    <row r="1763" spans="1:8" hidden="1" x14ac:dyDescent="0.4">
      <c r="A1763">
        <v>881</v>
      </c>
      <c r="B1763" t="s">
        <v>2</v>
      </c>
      <c r="C1763">
        <v>0</v>
      </c>
      <c r="D1763">
        <v>2</v>
      </c>
      <c r="E1763">
        <v>7</v>
      </c>
      <c r="F1763">
        <v>4</v>
      </c>
      <c r="G1763">
        <v>1</v>
      </c>
      <c r="H1763">
        <f>표4[[#This Row],[공격성공횟수]]/(표4[[#This Row],[공격실패횟수]]+표4[[#This Row],[공격성공횟수]])</f>
        <v>0.22222222222222221</v>
      </c>
    </row>
    <row r="1764" spans="1:8" x14ac:dyDescent="0.4">
      <c r="A1764">
        <v>882</v>
      </c>
      <c r="B1764" t="s">
        <v>3</v>
      </c>
      <c r="C1764">
        <v>0</v>
      </c>
      <c r="D1764">
        <v>2</v>
      </c>
      <c r="E1764">
        <v>6</v>
      </c>
      <c r="F1764">
        <v>4</v>
      </c>
      <c r="G1764">
        <v>1</v>
      </c>
      <c r="H1764">
        <f>표4[[#This Row],[공격성공횟수]]/(표4[[#This Row],[공격실패횟수]]+표4[[#This Row],[공격성공횟수]])</f>
        <v>0.25</v>
      </c>
    </row>
    <row r="1765" spans="1:8" hidden="1" x14ac:dyDescent="0.4">
      <c r="A1765">
        <v>882</v>
      </c>
      <c r="B1765" t="s">
        <v>2</v>
      </c>
      <c r="C1765">
        <v>1</v>
      </c>
      <c r="D1765">
        <v>4</v>
      </c>
      <c r="E1765">
        <v>12</v>
      </c>
      <c r="F1765">
        <v>2</v>
      </c>
      <c r="G1765">
        <v>0</v>
      </c>
      <c r="H1765">
        <f>표4[[#This Row],[공격성공횟수]]/(표4[[#This Row],[공격실패횟수]]+표4[[#This Row],[공격성공횟수]])</f>
        <v>0.25</v>
      </c>
    </row>
    <row r="1766" spans="1:8" x14ac:dyDescent="0.4">
      <c r="A1766">
        <v>883</v>
      </c>
      <c r="B1766" t="s">
        <v>3</v>
      </c>
      <c r="C1766">
        <v>1</v>
      </c>
      <c r="D1766">
        <v>4</v>
      </c>
      <c r="E1766">
        <v>22</v>
      </c>
      <c r="F1766">
        <v>2</v>
      </c>
      <c r="G1766">
        <v>0</v>
      </c>
      <c r="H1766">
        <f>표4[[#This Row],[공격성공횟수]]/(표4[[#This Row],[공격실패횟수]]+표4[[#This Row],[공격성공횟수]])</f>
        <v>0.15384615384615385</v>
      </c>
    </row>
    <row r="1767" spans="1:8" hidden="1" x14ac:dyDescent="0.4">
      <c r="A1767">
        <v>883</v>
      </c>
      <c r="B1767" t="s">
        <v>2</v>
      </c>
      <c r="C1767">
        <v>0</v>
      </c>
      <c r="D1767">
        <v>2</v>
      </c>
      <c r="E1767">
        <v>30</v>
      </c>
      <c r="F1767">
        <v>4</v>
      </c>
      <c r="G1767">
        <v>1</v>
      </c>
      <c r="H1767">
        <f>표4[[#This Row],[공격성공횟수]]/(표4[[#This Row],[공격실패횟수]]+표4[[#This Row],[공격성공횟수]])</f>
        <v>6.25E-2</v>
      </c>
    </row>
    <row r="1768" spans="1:8" x14ac:dyDescent="0.4">
      <c r="A1768">
        <v>884</v>
      </c>
      <c r="B1768" t="s">
        <v>3</v>
      </c>
      <c r="C1768">
        <v>0</v>
      </c>
      <c r="D1768">
        <v>1</v>
      </c>
      <c r="E1768">
        <v>68</v>
      </c>
      <c r="F1768">
        <v>4</v>
      </c>
      <c r="G1768">
        <v>1</v>
      </c>
      <c r="H1768">
        <f>표4[[#This Row],[공격성공횟수]]/(표4[[#This Row],[공격실패횟수]]+표4[[#This Row],[공격성공횟수]])</f>
        <v>1.4492753623188406E-2</v>
      </c>
    </row>
    <row r="1769" spans="1:8" hidden="1" x14ac:dyDescent="0.4">
      <c r="A1769">
        <v>884</v>
      </c>
      <c r="B1769" t="s">
        <v>2</v>
      </c>
      <c r="C1769">
        <v>1</v>
      </c>
      <c r="D1769">
        <v>4</v>
      </c>
      <c r="E1769">
        <v>82</v>
      </c>
      <c r="F1769">
        <v>1</v>
      </c>
      <c r="G1769">
        <v>0</v>
      </c>
      <c r="H1769">
        <f>표4[[#This Row],[공격성공횟수]]/(표4[[#This Row],[공격실패횟수]]+표4[[#This Row],[공격성공횟수]])</f>
        <v>4.6511627906976744E-2</v>
      </c>
    </row>
    <row r="1770" spans="1:8" x14ac:dyDescent="0.4">
      <c r="A1770">
        <v>885</v>
      </c>
      <c r="B1770" t="s">
        <v>3</v>
      </c>
      <c r="C1770">
        <v>0</v>
      </c>
      <c r="D1770">
        <v>0</v>
      </c>
      <c r="E1770">
        <v>12</v>
      </c>
      <c r="F1770">
        <v>4</v>
      </c>
      <c r="G1770">
        <v>1</v>
      </c>
      <c r="H1770">
        <f>표4[[#This Row],[공격성공횟수]]/(표4[[#This Row],[공격실패횟수]]+표4[[#This Row],[공격성공횟수]])</f>
        <v>0</v>
      </c>
    </row>
    <row r="1771" spans="1:8" hidden="1" x14ac:dyDescent="0.4">
      <c r="A1771">
        <v>885</v>
      </c>
      <c r="B1771" t="s">
        <v>2</v>
      </c>
      <c r="C1771">
        <v>1</v>
      </c>
      <c r="D1771">
        <v>4</v>
      </c>
      <c r="E1771">
        <v>7</v>
      </c>
      <c r="F1771">
        <v>0</v>
      </c>
      <c r="G1771">
        <v>0</v>
      </c>
      <c r="H1771">
        <f>표4[[#This Row],[공격성공횟수]]/(표4[[#This Row],[공격실패횟수]]+표4[[#This Row],[공격성공횟수]])</f>
        <v>0.36363636363636365</v>
      </c>
    </row>
    <row r="1772" spans="1:8" x14ac:dyDescent="0.4">
      <c r="A1772">
        <v>886</v>
      </c>
      <c r="B1772" t="s">
        <v>3</v>
      </c>
      <c r="C1772">
        <v>1</v>
      </c>
      <c r="D1772">
        <v>4</v>
      </c>
      <c r="E1772">
        <v>5</v>
      </c>
      <c r="F1772">
        <v>0</v>
      </c>
      <c r="G1772">
        <v>0</v>
      </c>
      <c r="H1772">
        <f>표4[[#This Row],[공격성공횟수]]/(표4[[#This Row],[공격실패횟수]]+표4[[#This Row],[공격성공횟수]])</f>
        <v>0.44444444444444442</v>
      </c>
    </row>
    <row r="1773" spans="1:8" hidden="1" x14ac:dyDescent="0.4">
      <c r="A1773">
        <v>886</v>
      </c>
      <c r="B1773" t="s">
        <v>2</v>
      </c>
      <c r="C1773">
        <v>0</v>
      </c>
      <c r="D1773">
        <v>0</v>
      </c>
      <c r="E1773">
        <v>8</v>
      </c>
      <c r="F1773">
        <v>4</v>
      </c>
      <c r="G1773">
        <v>1</v>
      </c>
      <c r="H1773">
        <f>표4[[#This Row],[공격성공횟수]]/(표4[[#This Row],[공격실패횟수]]+표4[[#This Row],[공격성공횟수]])</f>
        <v>0</v>
      </c>
    </row>
    <row r="1774" spans="1:8" x14ac:dyDescent="0.4">
      <c r="A1774">
        <v>887</v>
      </c>
      <c r="B1774" t="s">
        <v>3</v>
      </c>
      <c r="C1774">
        <v>0</v>
      </c>
      <c r="D1774">
        <v>3</v>
      </c>
      <c r="E1774">
        <v>9</v>
      </c>
      <c r="F1774">
        <v>4</v>
      </c>
      <c r="G1774">
        <v>1</v>
      </c>
      <c r="H1774">
        <f>표4[[#This Row],[공격성공횟수]]/(표4[[#This Row],[공격실패횟수]]+표4[[#This Row],[공격성공횟수]])</f>
        <v>0.25</v>
      </c>
    </row>
    <row r="1775" spans="1:8" hidden="1" x14ac:dyDescent="0.4">
      <c r="A1775">
        <v>887</v>
      </c>
      <c r="B1775" t="s">
        <v>2</v>
      </c>
      <c r="C1775">
        <v>1</v>
      </c>
      <c r="D1775">
        <v>4</v>
      </c>
      <c r="E1775">
        <v>28</v>
      </c>
      <c r="F1775">
        <v>3</v>
      </c>
      <c r="G1775">
        <v>0</v>
      </c>
      <c r="H1775">
        <f>표4[[#This Row],[공격성공횟수]]/(표4[[#This Row],[공격실패횟수]]+표4[[#This Row],[공격성공횟수]])</f>
        <v>0.125</v>
      </c>
    </row>
    <row r="1776" spans="1:8" x14ac:dyDescent="0.4">
      <c r="A1776">
        <v>888</v>
      </c>
      <c r="B1776" t="s">
        <v>3</v>
      </c>
      <c r="C1776">
        <v>1</v>
      </c>
      <c r="D1776">
        <v>4</v>
      </c>
      <c r="E1776">
        <v>19</v>
      </c>
      <c r="F1776">
        <v>1</v>
      </c>
      <c r="G1776">
        <v>0</v>
      </c>
      <c r="H1776">
        <f>표4[[#This Row],[공격성공횟수]]/(표4[[#This Row],[공격실패횟수]]+표4[[#This Row],[공격성공횟수]])</f>
        <v>0.17391304347826086</v>
      </c>
    </row>
    <row r="1777" spans="1:8" hidden="1" x14ac:dyDescent="0.4">
      <c r="A1777">
        <v>888</v>
      </c>
      <c r="B1777" t="s">
        <v>2</v>
      </c>
      <c r="C1777">
        <v>0</v>
      </c>
      <c r="D1777">
        <v>1</v>
      </c>
      <c r="E1777">
        <v>20</v>
      </c>
      <c r="F1777">
        <v>4</v>
      </c>
      <c r="G1777">
        <v>1</v>
      </c>
      <c r="H1777">
        <f>표4[[#This Row],[공격성공횟수]]/(표4[[#This Row],[공격실패횟수]]+표4[[#This Row],[공격성공횟수]])</f>
        <v>4.7619047619047616E-2</v>
      </c>
    </row>
    <row r="1778" spans="1:8" x14ac:dyDescent="0.4">
      <c r="A1778">
        <v>889</v>
      </c>
      <c r="B1778" t="s">
        <v>3</v>
      </c>
      <c r="C1778">
        <v>0</v>
      </c>
      <c r="D1778">
        <v>2</v>
      </c>
      <c r="E1778">
        <v>39</v>
      </c>
      <c r="F1778">
        <v>4</v>
      </c>
      <c r="G1778">
        <v>1</v>
      </c>
      <c r="H1778">
        <f>표4[[#This Row],[공격성공횟수]]/(표4[[#This Row],[공격실패횟수]]+표4[[#This Row],[공격성공횟수]])</f>
        <v>4.878048780487805E-2</v>
      </c>
    </row>
    <row r="1779" spans="1:8" hidden="1" x14ac:dyDescent="0.4">
      <c r="A1779">
        <v>889</v>
      </c>
      <c r="B1779" t="s">
        <v>2</v>
      </c>
      <c r="C1779">
        <v>1</v>
      </c>
      <c r="D1779">
        <v>4</v>
      </c>
      <c r="E1779">
        <v>65</v>
      </c>
      <c r="F1779">
        <v>2</v>
      </c>
      <c r="G1779">
        <v>0</v>
      </c>
      <c r="H1779">
        <f>표4[[#This Row],[공격성공횟수]]/(표4[[#This Row],[공격실패횟수]]+표4[[#This Row],[공격성공횟수]])</f>
        <v>5.7971014492753624E-2</v>
      </c>
    </row>
    <row r="1780" spans="1:8" x14ac:dyDescent="0.4">
      <c r="A1780">
        <v>890</v>
      </c>
      <c r="B1780" t="s">
        <v>3</v>
      </c>
      <c r="C1780">
        <v>1</v>
      </c>
      <c r="D1780">
        <v>4</v>
      </c>
      <c r="E1780">
        <v>5</v>
      </c>
      <c r="F1780">
        <v>1</v>
      </c>
      <c r="G1780">
        <v>0</v>
      </c>
      <c r="H1780">
        <f>표4[[#This Row],[공격성공횟수]]/(표4[[#This Row],[공격실패횟수]]+표4[[#This Row],[공격성공횟수]])</f>
        <v>0.44444444444444442</v>
      </c>
    </row>
    <row r="1781" spans="1:8" hidden="1" x14ac:dyDescent="0.4">
      <c r="A1781">
        <v>890</v>
      </c>
      <c r="B1781" t="s">
        <v>2</v>
      </c>
      <c r="C1781">
        <v>0</v>
      </c>
      <c r="D1781">
        <v>1</v>
      </c>
      <c r="E1781">
        <v>7</v>
      </c>
      <c r="F1781">
        <v>4</v>
      </c>
      <c r="G1781">
        <v>1</v>
      </c>
      <c r="H1781">
        <f>표4[[#This Row],[공격성공횟수]]/(표4[[#This Row],[공격실패횟수]]+표4[[#This Row],[공격성공횟수]])</f>
        <v>0.125</v>
      </c>
    </row>
    <row r="1782" spans="1:8" x14ac:dyDescent="0.4">
      <c r="A1782">
        <v>891</v>
      </c>
      <c r="B1782" t="s">
        <v>3</v>
      </c>
      <c r="C1782">
        <v>1</v>
      </c>
      <c r="D1782">
        <v>4</v>
      </c>
      <c r="E1782">
        <v>9</v>
      </c>
      <c r="F1782">
        <v>3</v>
      </c>
      <c r="G1782">
        <v>0</v>
      </c>
      <c r="H1782">
        <f>표4[[#This Row],[공격성공횟수]]/(표4[[#This Row],[공격실패횟수]]+표4[[#This Row],[공격성공횟수]])</f>
        <v>0.30769230769230771</v>
      </c>
    </row>
    <row r="1783" spans="1:8" hidden="1" x14ac:dyDescent="0.4">
      <c r="A1783">
        <v>891</v>
      </c>
      <c r="B1783" t="s">
        <v>2</v>
      </c>
      <c r="C1783">
        <v>0</v>
      </c>
      <c r="D1783">
        <v>3</v>
      </c>
      <c r="E1783">
        <v>10</v>
      </c>
      <c r="F1783">
        <v>4</v>
      </c>
      <c r="G1783">
        <v>1</v>
      </c>
      <c r="H1783">
        <f>표4[[#This Row],[공격성공횟수]]/(표4[[#This Row],[공격실패횟수]]+표4[[#This Row],[공격성공횟수]])</f>
        <v>0.23076923076923078</v>
      </c>
    </row>
    <row r="1784" spans="1:8" x14ac:dyDescent="0.4">
      <c r="A1784">
        <v>892</v>
      </c>
      <c r="B1784" t="s">
        <v>3</v>
      </c>
      <c r="C1784">
        <v>1</v>
      </c>
      <c r="D1784">
        <v>4</v>
      </c>
      <c r="E1784">
        <v>17</v>
      </c>
      <c r="F1784">
        <v>2</v>
      </c>
      <c r="G1784">
        <v>0</v>
      </c>
      <c r="H1784">
        <f>표4[[#This Row],[공격성공횟수]]/(표4[[#This Row],[공격실패횟수]]+표4[[#This Row],[공격성공횟수]])</f>
        <v>0.19047619047619047</v>
      </c>
    </row>
    <row r="1785" spans="1:8" hidden="1" x14ac:dyDescent="0.4">
      <c r="A1785">
        <v>892</v>
      </c>
      <c r="B1785" t="s">
        <v>2</v>
      </c>
      <c r="C1785">
        <v>0</v>
      </c>
      <c r="D1785">
        <v>2</v>
      </c>
      <c r="E1785">
        <v>17</v>
      </c>
      <c r="F1785">
        <v>4</v>
      </c>
      <c r="G1785">
        <v>1</v>
      </c>
      <c r="H1785">
        <f>표4[[#This Row],[공격성공횟수]]/(표4[[#This Row],[공격실패횟수]]+표4[[#This Row],[공격성공횟수]])</f>
        <v>0.10526315789473684</v>
      </c>
    </row>
    <row r="1786" spans="1:8" x14ac:dyDescent="0.4">
      <c r="A1786">
        <v>893</v>
      </c>
      <c r="B1786" t="s">
        <v>3</v>
      </c>
      <c r="C1786">
        <v>1</v>
      </c>
      <c r="D1786">
        <v>4</v>
      </c>
      <c r="E1786">
        <v>45</v>
      </c>
      <c r="F1786">
        <v>1</v>
      </c>
      <c r="G1786">
        <v>0</v>
      </c>
      <c r="H1786">
        <f>표4[[#This Row],[공격성공횟수]]/(표4[[#This Row],[공격실패횟수]]+표4[[#This Row],[공격성공횟수]])</f>
        <v>8.1632653061224483E-2</v>
      </c>
    </row>
    <row r="1787" spans="1:8" hidden="1" x14ac:dyDescent="0.4">
      <c r="A1787">
        <v>893</v>
      </c>
      <c r="B1787" t="s">
        <v>2</v>
      </c>
      <c r="C1787">
        <v>0</v>
      </c>
      <c r="D1787">
        <v>1</v>
      </c>
      <c r="E1787">
        <v>49</v>
      </c>
      <c r="F1787">
        <v>4</v>
      </c>
      <c r="G1787">
        <v>1</v>
      </c>
      <c r="H1787">
        <f>표4[[#This Row],[공격성공횟수]]/(표4[[#This Row],[공격실패횟수]]+표4[[#This Row],[공격성공횟수]])</f>
        <v>0.02</v>
      </c>
    </row>
    <row r="1788" spans="1:8" x14ac:dyDescent="0.4">
      <c r="A1788">
        <v>894</v>
      </c>
      <c r="B1788" t="s">
        <v>3</v>
      </c>
      <c r="C1788">
        <v>1</v>
      </c>
      <c r="D1788">
        <v>4</v>
      </c>
      <c r="E1788">
        <v>18</v>
      </c>
      <c r="F1788">
        <v>3</v>
      </c>
      <c r="G1788">
        <v>0</v>
      </c>
      <c r="H1788">
        <f>표4[[#This Row],[공격성공횟수]]/(표4[[#This Row],[공격실패횟수]]+표4[[#This Row],[공격성공횟수]])</f>
        <v>0.18181818181818182</v>
      </c>
    </row>
    <row r="1789" spans="1:8" hidden="1" x14ac:dyDescent="0.4">
      <c r="A1789">
        <v>894</v>
      </c>
      <c r="B1789" t="s">
        <v>2</v>
      </c>
      <c r="C1789">
        <v>0</v>
      </c>
      <c r="D1789">
        <v>3</v>
      </c>
      <c r="E1789">
        <v>19</v>
      </c>
      <c r="F1789">
        <v>4</v>
      </c>
      <c r="G1789">
        <v>1</v>
      </c>
      <c r="H1789">
        <f>표4[[#This Row],[공격성공횟수]]/(표4[[#This Row],[공격실패횟수]]+표4[[#This Row],[공격성공횟수]])</f>
        <v>0.13636363636363635</v>
      </c>
    </row>
    <row r="1790" spans="1:8" x14ac:dyDescent="0.4">
      <c r="A1790">
        <v>895</v>
      </c>
      <c r="B1790" t="s">
        <v>3</v>
      </c>
      <c r="C1790">
        <v>1</v>
      </c>
      <c r="D1790">
        <v>4</v>
      </c>
      <c r="E1790">
        <v>12</v>
      </c>
      <c r="F1790">
        <v>2</v>
      </c>
      <c r="G1790">
        <v>0</v>
      </c>
      <c r="H1790">
        <f>표4[[#This Row],[공격성공횟수]]/(표4[[#This Row],[공격실패횟수]]+표4[[#This Row],[공격성공횟수]])</f>
        <v>0.25</v>
      </c>
    </row>
    <row r="1791" spans="1:8" hidden="1" x14ac:dyDescent="0.4">
      <c r="A1791">
        <v>895</v>
      </c>
      <c r="B1791" t="s">
        <v>2</v>
      </c>
      <c r="C1791">
        <v>0</v>
      </c>
      <c r="D1791">
        <v>2</v>
      </c>
      <c r="E1791">
        <v>23</v>
      </c>
      <c r="F1791">
        <v>4</v>
      </c>
      <c r="G1791">
        <v>1</v>
      </c>
      <c r="H1791">
        <f>표4[[#This Row],[공격성공횟수]]/(표4[[#This Row],[공격실패횟수]]+표4[[#This Row],[공격성공횟수]])</f>
        <v>0.08</v>
      </c>
    </row>
    <row r="1792" spans="1:8" x14ac:dyDescent="0.4">
      <c r="A1792">
        <v>896</v>
      </c>
      <c r="B1792" t="s">
        <v>3</v>
      </c>
      <c r="C1792">
        <v>1</v>
      </c>
      <c r="D1792">
        <v>4</v>
      </c>
      <c r="E1792">
        <v>7</v>
      </c>
      <c r="F1792">
        <v>2</v>
      </c>
      <c r="G1792">
        <v>0</v>
      </c>
      <c r="H1792">
        <f>표4[[#This Row],[공격성공횟수]]/(표4[[#This Row],[공격실패횟수]]+표4[[#This Row],[공격성공횟수]])</f>
        <v>0.36363636363636365</v>
      </c>
    </row>
    <row r="1793" spans="1:8" hidden="1" x14ac:dyDescent="0.4">
      <c r="A1793">
        <v>896</v>
      </c>
      <c r="B1793" t="s">
        <v>2</v>
      </c>
      <c r="C1793">
        <v>0</v>
      </c>
      <c r="D1793">
        <v>2</v>
      </c>
      <c r="E1793">
        <v>10</v>
      </c>
      <c r="F1793">
        <v>4</v>
      </c>
      <c r="G1793">
        <v>1</v>
      </c>
      <c r="H1793">
        <f>표4[[#This Row],[공격성공횟수]]/(표4[[#This Row],[공격실패횟수]]+표4[[#This Row],[공격성공횟수]])</f>
        <v>0.16666666666666666</v>
      </c>
    </row>
    <row r="1794" spans="1:8" x14ac:dyDescent="0.4">
      <c r="A1794">
        <v>897</v>
      </c>
      <c r="B1794" t="s">
        <v>3</v>
      </c>
      <c r="C1794">
        <v>1</v>
      </c>
      <c r="D1794">
        <v>4</v>
      </c>
      <c r="E1794">
        <v>56</v>
      </c>
      <c r="F1794">
        <v>3</v>
      </c>
      <c r="G1794">
        <v>0</v>
      </c>
      <c r="H1794">
        <f>표4[[#This Row],[공격성공횟수]]/(표4[[#This Row],[공격실패횟수]]+표4[[#This Row],[공격성공횟수]])</f>
        <v>6.6666666666666666E-2</v>
      </c>
    </row>
    <row r="1795" spans="1:8" hidden="1" x14ac:dyDescent="0.4">
      <c r="A1795">
        <v>897</v>
      </c>
      <c r="B1795" t="s">
        <v>2</v>
      </c>
      <c r="C1795">
        <v>0</v>
      </c>
      <c r="D1795">
        <v>3</v>
      </c>
      <c r="E1795">
        <v>61</v>
      </c>
      <c r="F1795">
        <v>4</v>
      </c>
      <c r="G1795">
        <v>1</v>
      </c>
      <c r="H1795">
        <f>표4[[#This Row],[공격성공횟수]]/(표4[[#This Row],[공격실패횟수]]+표4[[#This Row],[공격성공횟수]])</f>
        <v>4.6875E-2</v>
      </c>
    </row>
    <row r="1796" spans="1:8" x14ac:dyDescent="0.4">
      <c r="A1796">
        <v>898</v>
      </c>
      <c r="B1796" t="s">
        <v>3</v>
      </c>
      <c r="C1796">
        <v>0</v>
      </c>
      <c r="D1796">
        <v>1</v>
      </c>
      <c r="E1796">
        <v>7</v>
      </c>
      <c r="F1796">
        <v>4</v>
      </c>
      <c r="G1796">
        <v>1</v>
      </c>
      <c r="H1796">
        <f>표4[[#This Row],[공격성공횟수]]/(표4[[#This Row],[공격실패횟수]]+표4[[#This Row],[공격성공횟수]])</f>
        <v>0.125</v>
      </c>
    </row>
    <row r="1797" spans="1:8" hidden="1" x14ac:dyDescent="0.4">
      <c r="A1797">
        <v>898</v>
      </c>
      <c r="B1797" t="s">
        <v>2</v>
      </c>
      <c r="C1797">
        <v>1</v>
      </c>
      <c r="D1797">
        <v>4</v>
      </c>
      <c r="E1797">
        <v>16</v>
      </c>
      <c r="F1797">
        <v>1</v>
      </c>
      <c r="G1797">
        <v>0</v>
      </c>
      <c r="H1797">
        <f>표4[[#This Row],[공격성공횟수]]/(표4[[#This Row],[공격실패횟수]]+표4[[#This Row],[공격성공횟수]])</f>
        <v>0.2</v>
      </c>
    </row>
    <row r="1798" spans="1:8" x14ac:dyDescent="0.4">
      <c r="A1798">
        <v>899</v>
      </c>
      <c r="B1798" t="s">
        <v>3</v>
      </c>
      <c r="C1798">
        <v>1</v>
      </c>
      <c r="D1798">
        <v>4</v>
      </c>
      <c r="E1798">
        <v>13</v>
      </c>
      <c r="F1798">
        <v>3</v>
      </c>
      <c r="G1798">
        <v>0</v>
      </c>
      <c r="H1798">
        <f>표4[[#This Row],[공격성공횟수]]/(표4[[#This Row],[공격실패횟수]]+표4[[#This Row],[공격성공횟수]])</f>
        <v>0.23529411764705882</v>
      </c>
    </row>
    <row r="1799" spans="1:8" hidden="1" x14ac:dyDescent="0.4">
      <c r="A1799">
        <v>899</v>
      </c>
      <c r="B1799" t="s">
        <v>2</v>
      </c>
      <c r="C1799">
        <v>0</v>
      </c>
      <c r="D1799">
        <v>3</v>
      </c>
      <c r="E1799">
        <v>17</v>
      </c>
      <c r="F1799">
        <v>4</v>
      </c>
      <c r="G1799">
        <v>1</v>
      </c>
      <c r="H1799">
        <f>표4[[#This Row],[공격성공횟수]]/(표4[[#This Row],[공격실패횟수]]+표4[[#This Row],[공격성공횟수]])</f>
        <v>0.15</v>
      </c>
    </row>
    <row r="1800" spans="1:8" x14ac:dyDescent="0.4">
      <c r="A1800">
        <v>900</v>
      </c>
      <c r="B1800" t="s">
        <v>3</v>
      </c>
      <c r="C1800">
        <v>1</v>
      </c>
      <c r="D1800">
        <v>4</v>
      </c>
      <c r="E1800">
        <v>8</v>
      </c>
      <c r="F1800">
        <v>2</v>
      </c>
      <c r="G1800">
        <v>0</v>
      </c>
      <c r="H1800">
        <f>표4[[#This Row],[공격성공횟수]]/(표4[[#This Row],[공격실패횟수]]+표4[[#This Row],[공격성공횟수]])</f>
        <v>0.33333333333333331</v>
      </c>
    </row>
    <row r="1801" spans="1:8" hidden="1" x14ac:dyDescent="0.4">
      <c r="A1801">
        <v>900</v>
      </c>
      <c r="B1801" t="s">
        <v>2</v>
      </c>
      <c r="C1801">
        <v>0</v>
      </c>
      <c r="D1801">
        <v>2</v>
      </c>
      <c r="E1801">
        <v>20</v>
      </c>
      <c r="F1801">
        <v>4</v>
      </c>
      <c r="G1801">
        <v>1</v>
      </c>
      <c r="H1801">
        <f>표4[[#This Row],[공격성공횟수]]/(표4[[#This Row],[공격실패횟수]]+표4[[#This Row],[공격성공횟수]])</f>
        <v>9.0909090909090912E-2</v>
      </c>
    </row>
    <row r="1802" spans="1:8" x14ac:dyDescent="0.4">
      <c r="A1802">
        <v>901</v>
      </c>
      <c r="B1802" t="s">
        <v>3</v>
      </c>
      <c r="C1802">
        <v>1</v>
      </c>
      <c r="D1802">
        <v>4</v>
      </c>
      <c r="E1802">
        <v>15</v>
      </c>
      <c r="F1802">
        <v>3</v>
      </c>
      <c r="G1802">
        <v>0</v>
      </c>
      <c r="H1802">
        <f>표4[[#This Row],[공격성공횟수]]/(표4[[#This Row],[공격실패횟수]]+표4[[#This Row],[공격성공횟수]])</f>
        <v>0.21052631578947367</v>
      </c>
    </row>
    <row r="1803" spans="1:8" hidden="1" x14ac:dyDescent="0.4">
      <c r="A1803">
        <v>901</v>
      </c>
      <c r="B1803" t="s">
        <v>2</v>
      </c>
      <c r="C1803">
        <v>0</v>
      </c>
      <c r="D1803">
        <v>3</v>
      </c>
      <c r="E1803">
        <v>15</v>
      </c>
      <c r="F1803">
        <v>4</v>
      </c>
      <c r="G1803">
        <v>1</v>
      </c>
      <c r="H1803">
        <f>표4[[#This Row],[공격성공횟수]]/(표4[[#This Row],[공격실패횟수]]+표4[[#This Row],[공격성공횟수]])</f>
        <v>0.16666666666666666</v>
      </c>
    </row>
    <row r="1804" spans="1:8" x14ac:dyDescent="0.4">
      <c r="A1804">
        <v>902</v>
      </c>
      <c r="B1804" t="s">
        <v>3</v>
      </c>
      <c r="C1804">
        <v>1</v>
      </c>
      <c r="D1804">
        <v>4</v>
      </c>
      <c r="E1804">
        <v>14</v>
      </c>
      <c r="F1804">
        <v>1</v>
      </c>
      <c r="G1804">
        <v>0</v>
      </c>
      <c r="H1804">
        <f>표4[[#This Row],[공격성공횟수]]/(표4[[#This Row],[공격실패횟수]]+표4[[#This Row],[공격성공횟수]])</f>
        <v>0.22222222222222221</v>
      </c>
    </row>
    <row r="1805" spans="1:8" hidden="1" x14ac:dyDescent="0.4">
      <c r="A1805">
        <v>902</v>
      </c>
      <c r="B1805" t="s">
        <v>2</v>
      </c>
      <c r="C1805">
        <v>0</v>
      </c>
      <c r="D1805">
        <v>1</v>
      </c>
      <c r="E1805">
        <v>17</v>
      </c>
      <c r="F1805">
        <v>4</v>
      </c>
      <c r="G1805">
        <v>1</v>
      </c>
      <c r="H1805">
        <f>표4[[#This Row],[공격성공횟수]]/(표4[[#This Row],[공격실패횟수]]+표4[[#This Row],[공격성공횟수]])</f>
        <v>5.5555555555555552E-2</v>
      </c>
    </row>
    <row r="1806" spans="1:8" x14ac:dyDescent="0.4">
      <c r="A1806">
        <v>903</v>
      </c>
      <c r="B1806" t="s">
        <v>3</v>
      </c>
      <c r="C1806">
        <v>1</v>
      </c>
      <c r="D1806">
        <v>4</v>
      </c>
      <c r="E1806">
        <v>18</v>
      </c>
      <c r="F1806">
        <v>1</v>
      </c>
      <c r="G1806">
        <v>0</v>
      </c>
      <c r="H1806">
        <f>표4[[#This Row],[공격성공횟수]]/(표4[[#This Row],[공격실패횟수]]+표4[[#This Row],[공격성공횟수]])</f>
        <v>0.18181818181818182</v>
      </c>
    </row>
    <row r="1807" spans="1:8" hidden="1" x14ac:dyDescent="0.4">
      <c r="A1807">
        <v>903</v>
      </c>
      <c r="B1807" t="s">
        <v>2</v>
      </c>
      <c r="C1807">
        <v>0</v>
      </c>
      <c r="D1807">
        <v>1</v>
      </c>
      <c r="E1807">
        <v>20</v>
      </c>
      <c r="F1807">
        <v>4</v>
      </c>
      <c r="G1807">
        <v>1</v>
      </c>
      <c r="H1807">
        <f>표4[[#This Row],[공격성공횟수]]/(표4[[#This Row],[공격실패횟수]]+표4[[#This Row],[공격성공횟수]])</f>
        <v>4.7619047619047616E-2</v>
      </c>
    </row>
    <row r="1808" spans="1:8" x14ac:dyDescent="0.4">
      <c r="A1808">
        <v>904</v>
      </c>
      <c r="B1808" t="s">
        <v>3</v>
      </c>
      <c r="C1808">
        <v>0</v>
      </c>
      <c r="D1808">
        <v>1</v>
      </c>
      <c r="E1808">
        <v>8</v>
      </c>
      <c r="F1808">
        <v>4</v>
      </c>
      <c r="G1808">
        <v>1</v>
      </c>
      <c r="H1808">
        <f>표4[[#This Row],[공격성공횟수]]/(표4[[#This Row],[공격실패횟수]]+표4[[#This Row],[공격성공횟수]])</f>
        <v>0.1111111111111111</v>
      </c>
    </row>
    <row r="1809" spans="1:8" hidden="1" x14ac:dyDescent="0.4">
      <c r="A1809">
        <v>904</v>
      </c>
      <c r="B1809" t="s">
        <v>2</v>
      </c>
      <c r="C1809">
        <v>1</v>
      </c>
      <c r="D1809">
        <v>4</v>
      </c>
      <c r="E1809">
        <v>6</v>
      </c>
      <c r="F1809">
        <v>1</v>
      </c>
      <c r="G1809">
        <v>0</v>
      </c>
      <c r="H1809">
        <f>표4[[#This Row],[공격성공횟수]]/(표4[[#This Row],[공격실패횟수]]+표4[[#This Row],[공격성공횟수]])</f>
        <v>0.4</v>
      </c>
    </row>
    <row r="1810" spans="1:8" x14ac:dyDescent="0.4">
      <c r="A1810">
        <v>905</v>
      </c>
      <c r="B1810" t="s">
        <v>3</v>
      </c>
      <c r="C1810">
        <v>1</v>
      </c>
      <c r="D1810">
        <v>4</v>
      </c>
      <c r="E1810">
        <v>3</v>
      </c>
      <c r="F1810">
        <v>3</v>
      </c>
      <c r="G1810">
        <v>0</v>
      </c>
      <c r="H1810">
        <f>표4[[#This Row],[공격성공횟수]]/(표4[[#This Row],[공격실패횟수]]+표4[[#This Row],[공격성공횟수]])</f>
        <v>0.5714285714285714</v>
      </c>
    </row>
    <row r="1811" spans="1:8" hidden="1" x14ac:dyDescent="0.4">
      <c r="A1811">
        <v>905</v>
      </c>
      <c r="B1811" t="s">
        <v>2</v>
      </c>
      <c r="C1811">
        <v>0</v>
      </c>
      <c r="D1811">
        <v>3</v>
      </c>
      <c r="E1811">
        <v>2</v>
      </c>
      <c r="F1811">
        <v>4</v>
      </c>
      <c r="G1811">
        <v>1</v>
      </c>
      <c r="H1811">
        <f>표4[[#This Row],[공격성공횟수]]/(표4[[#This Row],[공격실패횟수]]+표4[[#This Row],[공격성공횟수]])</f>
        <v>0.6</v>
      </c>
    </row>
    <row r="1812" spans="1:8" x14ac:dyDescent="0.4">
      <c r="A1812">
        <v>906</v>
      </c>
      <c r="B1812" t="s">
        <v>3</v>
      </c>
      <c r="C1812">
        <v>1</v>
      </c>
      <c r="D1812">
        <v>4</v>
      </c>
      <c r="E1812">
        <v>5</v>
      </c>
      <c r="F1812">
        <v>1</v>
      </c>
      <c r="G1812">
        <v>0</v>
      </c>
      <c r="H1812">
        <f>표4[[#This Row],[공격성공횟수]]/(표4[[#This Row],[공격실패횟수]]+표4[[#This Row],[공격성공횟수]])</f>
        <v>0.44444444444444442</v>
      </c>
    </row>
    <row r="1813" spans="1:8" hidden="1" x14ac:dyDescent="0.4">
      <c r="A1813">
        <v>906</v>
      </c>
      <c r="B1813" t="s">
        <v>2</v>
      </c>
      <c r="C1813">
        <v>0</v>
      </c>
      <c r="D1813">
        <v>1</v>
      </c>
      <c r="E1813">
        <v>16</v>
      </c>
      <c r="F1813">
        <v>4</v>
      </c>
      <c r="G1813">
        <v>1</v>
      </c>
      <c r="H1813">
        <f>표4[[#This Row],[공격성공횟수]]/(표4[[#This Row],[공격실패횟수]]+표4[[#This Row],[공격성공횟수]])</f>
        <v>5.8823529411764705E-2</v>
      </c>
    </row>
    <row r="1814" spans="1:8" x14ac:dyDescent="0.4">
      <c r="A1814">
        <v>907</v>
      </c>
      <c r="B1814" t="s">
        <v>3</v>
      </c>
      <c r="C1814">
        <v>1</v>
      </c>
      <c r="D1814">
        <v>4</v>
      </c>
      <c r="E1814">
        <v>13</v>
      </c>
      <c r="F1814">
        <v>0</v>
      </c>
      <c r="G1814">
        <v>0</v>
      </c>
      <c r="H1814">
        <f>표4[[#This Row],[공격성공횟수]]/(표4[[#This Row],[공격실패횟수]]+표4[[#This Row],[공격성공횟수]])</f>
        <v>0.23529411764705882</v>
      </c>
    </row>
    <row r="1815" spans="1:8" hidden="1" x14ac:dyDescent="0.4">
      <c r="A1815">
        <v>907</v>
      </c>
      <c r="B1815" t="s">
        <v>2</v>
      </c>
      <c r="C1815">
        <v>0</v>
      </c>
      <c r="D1815">
        <v>0</v>
      </c>
      <c r="E1815">
        <v>17</v>
      </c>
      <c r="F1815">
        <v>4</v>
      </c>
      <c r="G1815">
        <v>1</v>
      </c>
      <c r="H1815">
        <f>표4[[#This Row],[공격성공횟수]]/(표4[[#This Row],[공격실패횟수]]+표4[[#This Row],[공격성공횟수]])</f>
        <v>0</v>
      </c>
    </row>
    <row r="1816" spans="1:8" x14ac:dyDescent="0.4">
      <c r="A1816">
        <v>908</v>
      </c>
      <c r="B1816" t="s">
        <v>3</v>
      </c>
      <c r="C1816">
        <v>1</v>
      </c>
      <c r="D1816">
        <v>4</v>
      </c>
      <c r="E1816">
        <v>16</v>
      </c>
      <c r="F1816">
        <v>3</v>
      </c>
      <c r="G1816">
        <v>0</v>
      </c>
      <c r="H1816">
        <f>표4[[#This Row],[공격성공횟수]]/(표4[[#This Row],[공격실패횟수]]+표4[[#This Row],[공격성공횟수]])</f>
        <v>0.2</v>
      </c>
    </row>
    <row r="1817" spans="1:8" hidden="1" x14ac:dyDescent="0.4">
      <c r="A1817">
        <v>908</v>
      </c>
      <c r="B1817" t="s">
        <v>2</v>
      </c>
      <c r="C1817">
        <v>0</v>
      </c>
      <c r="D1817">
        <v>3</v>
      </c>
      <c r="E1817">
        <v>16</v>
      </c>
      <c r="F1817">
        <v>4</v>
      </c>
      <c r="G1817">
        <v>1</v>
      </c>
      <c r="H1817">
        <f>표4[[#This Row],[공격성공횟수]]/(표4[[#This Row],[공격실패횟수]]+표4[[#This Row],[공격성공횟수]])</f>
        <v>0.15789473684210525</v>
      </c>
    </row>
    <row r="1818" spans="1:8" x14ac:dyDescent="0.4">
      <c r="A1818">
        <v>909</v>
      </c>
      <c r="B1818" t="s">
        <v>3</v>
      </c>
      <c r="C1818">
        <v>1</v>
      </c>
      <c r="D1818">
        <v>4</v>
      </c>
      <c r="E1818">
        <v>17</v>
      </c>
      <c r="F1818">
        <v>3</v>
      </c>
      <c r="G1818">
        <v>0</v>
      </c>
      <c r="H1818">
        <f>표4[[#This Row],[공격성공횟수]]/(표4[[#This Row],[공격실패횟수]]+표4[[#This Row],[공격성공횟수]])</f>
        <v>0.19047619047619047</v>
      </c>
    </row>
    <row r="1819" spans="1:8" hidden="1" x14ac:dyDescent="0.4">
      <c r="A1819">
        <v>909</v>
      </c>
      <c r="B1819" t="s">
        <v>2</v>
      </c>
      <c r="C1819">
        <v>0</v>
      </c>
      <c r="D1819">
        <v>3</v>
      </c>
      <c r="E1819">
        <v>28</v>
      </c>
      <c r="F1819">
        <v>4</v>
      </c>
      <c r="G1819">
        <v>1</v>
      </c>
      <c r="H1819">
        <f>표4[[#This Row],[공격성공횟수]]/(표4[[#This Row],[공격실패횟수]]+표4[[#This Row],[공격성공횟수]])</f>
        <v>9.6774193548387094E-2</v>
      </c>
    </row>
    <row r="1820" spans="1:8" x14ac:dyDescent="0.4">
      <c r="A1820">
        <v>910</v>
      </c>
      <c r="B1820" t="s">
        <v>3</v>
      </c>
      <c r="C1820">
        <v>1</v>
      </c>
      <c r="D1820">
        <v>4</v>
      </c>
      <c r="E1820">
        <v>70</v>
      </c>
      <c r="F1820">
        <v>0</v>
      </c>
      <c r="G1820">
        <v>0</v>
      </c>
      <c r="H1820">
        <f>표4[[#This Row],[공격성공횟수]]/(표4[[#This Row],[공격실패횟수]]+표4[[#This Row],[공격성공횟수]])</f>
        <v>5.4054054054054057E-2</v>
      </c>
    </row>
    <row r="1821" spans="1:8" hidden="1" x14ac:dyDescent="0.4">
      <c r="A1821">
        <v>910</v>
      </c>
      <c r="B1821" t="s">
        <v>2</v>
      </c>
      <c r="C1821">
        <v>0</v>
      </c>
      <c r="D1821">
        <v>0</v>
      </c>
      <c r="E1821">
        <v>88</v>
      </c>
      <c r="F1821">
        <v>4</v>
      </c>
      <c r="G1821">
        <v>1</v>
      </c>
      <c r="H1821">
        <f>표4[[#This Row],[공격성공횟수]]/(표4[[#This Row],[공격실패횟수]]+표4[[#This Row],[공격성공횟수]])</f>
        <v>0</v>
      </c>
    </row>
    <row r="1822" spans="1:8" x14ac:dyDescent="0.4">
      <c r="A1822">
        <v>911</v>
      </c>
      <c r="B1822" t="s">
        <v>3</v>
      </c>
      <c r="C1822">
        <v>1</v>
      </c>
      <c r="D1822">
        <v>4</v>
      </c>
      <c r="E1822">
        <v>17</v>
      </c>
      <c r="F1822">
        <v>1</v>
      </c>
      <c r="G1822">
        <v>0</v>
      </c>
      <c r="H1822">
        <f>표4[[#This Row],[공격성공횟수]]/(표4[[#This Row],[공격실패횟수]]+표4[[#This Row],[공격성공횟수]])</f>
        <v>0.19047619047619047</v>
      </c>
    </row>
    <row r="1823" spans="1:8" hidden="1" x14ac:dyDescent="0.4">
      <c r="A1823">
        <v>911</v>
      </c>
      <c r="B1823" t="s">
        <v>2</v>
      </c>
      <c r="C1823">
        <v>0</v>
      </c>
      <c r="D1823">
        <v>1</v>
      </c>
      <c r="E1823">
        <v>20</v>
      </c>
      <c r="F1823">
        <v>4</v>
      </c>
      <c r="G1823">
        <v>1</v>
      </c>
      <c r="H1823">
        <f>표4[[#This Row],[공격성공횟수]]/(표4[[#This Row],[공격실패횟수]]+표4[[#This Row],[공격성공횟수]])</f>
        <v>4.7619047619047616E-2</v>
      </c>
    </row>
    <row r="1824" spans="1:8" x14ac:dyDescent="0.4">
      <c r="A1824">
        <v>912</v>
      </c>
      <c r="B1824" t="s">
        <v>3</v>
      </c>
      <c r="C1824">
        <v>1</v>
      </c>
      <c r="D1824">
        <v>4</v>
      </c>
      <c r="E1824">
        <v>30</v>
      </c>
      <c r="F1824">
        <v>2</v>
      </c>
      <c r="G1824">
        <v>0</v>
      </c>
      <c r="H1824">
        <f>표4[[#This Row],[공격성공횟수]]/(표4[[#This Row],[공격실패횟수]]+표4[[#This Row],[공격성공횟수]])</f>
        <v>0.11764705882352941</v>
      </c>
    </row>
    <row r="1825" spans="1:8" hidden="1" x14ac:dyDescent="0.4">
      <c r="A1825">
        <v>912</v>
      </c>
      <c r="B1825" t="s">
        <v>2</v>
      </c>
      <c r="C1825">
        <v>0</v>
      </c>
      <c r="D1825">
        <v>2</v>
      </c>
      <c r="E1825">
        <v>38</v>
      </c>
      <c r="F1825">
        <v>4</v>
      </c>
      <c r="G1825">
        <v>1</v>
      </c>
      <c r="H1825">
        <f>표4[[#This Row],[공격성공횟수]]/(표4[[#This Row],[공격실패횟수]]+표4[[#This Row],[공격성공횟수]])</f>
        <v>0.05</v>
      </c>
    </row>
    <row r="1826" spans="1:8" x14ac:dyDescent="0.4">
      <c r="A1826">
        <v>913</v>
      </c>
      <c r="B1826" t="s">
        <v>3</v>
      </c>
      <c r="C1826">
        <v>0</v>
      </c>
      <c r="D1826">
        <v>2</v>
      </c>
      <c r="E1826">
        <v>11</v>
      </c>
      <c r="F1826">
        <v>4</v>
      </c>
      <c r="G1826">
        <v>1</v>
      </c>
      <c r="H1826">
        <f>표4[[#This Row],[공격성공횟수]]/(표4[[#This Row],[공격실패횟수]]+표4[[#This Row],[공격성공횟수]])</f>
        <v>0.15384615384615385</v>
      </c>
    </row>
    <row r="1827" spans="1:8" hidden="1" x14ac:dyDescent="0.4">
      <c r="A1827">
        <v>913</v>
      </c>
      <c r="B1827" t="s">
        <v>2</v>
      </c>
      <c r="C1827">
        <v>1</v>
      </c>
      <c r="D1827">
        <v>4</v>
      </c>
      <c r="E1827">
        <v>12</v>
      </c>
      <c r="F1827">
        <v>2</v>
      </c>
      <c r="G1827">
        <v>0</v>
      </c>
      <c r="H1827">
        <f>표4[[#This Row],[공격성공횟수]]/(표4[[#This Row],[공격실패횟수]]+표4[[#This Row],[공격성공횟수]])</f>
        <v>0.25</v>
      </c>
    </row>
    <row r="1828" spans="1:8" x14ac:dyDescent="0.4">
      <c r="A1828">
        <v>914</v>
      </c>
      <c r="B1828" t="s">
        <v>3</v>
      </c>
      <c r="C1828">
        <v>0</v>
      </c>
      <c r="D1828">
        <v>1</v>
      </c>
      <c r="E1828">
        <v>10</v>
      </c>
      <c r="F1828">
        <v>4</v>
      </c>
      <c r="G1828">
        <v>1</v>
      </c>
      <c r="H1828">
        <f>표4[[#This Row],[공격성공횟수]]/(표4[[#This Row],[공격실패횟수]]+표4[[#This Row],[공격성공횟수]])</f>
        <v>9.0909090909090912E-2</v>
      </c>
    </row>
    <row r="1829" spans="1:8" hidden="1" x14ac:dyDescent="0.4">
      <c r="A1829">
        <v>914</v>
      </c>
      <c r="B1829" t="s">
        <v>2</v>
      </c>
      <c r="C1829">
        <v>1</v>
      </c>
      <c r="D1829">
        <v>4</v>
      </c>
      <c r="E1829">
        <v>7</v>
      </c>
      <c r="F1829">
        <v>1</v>
      </c>
      <c r="G1829">
        <v>0</v>
      </c>
      <c r="H1829">
        <f>표4[[#This Row],[공격성공횟수]]/(표4[[#This Row],[공격실패횟수]]+표4[[#This Row],[공격성공횟수]])</f>
        <v>0.36363636363636365</v>
      </c>
    </row>
    <row r="1830" spans="1:8" x14ac:dyDescent="0.4">
      <c r="A1830">
        <v>915</v>
      </c>
      <c r="B1830" t="s">
        <v>3</v>
      </c>
      <c r="C1830">
        <v>1</v>
      </c>
      <c r="D1830">
        <v>4</v>
      </c>
      <c r="E1830">
        <v>7</v>
      </c>
      <c r="F1830">
        <v>1</v>
      </c>
      <c r="G1830">
        <v>0</v>
      </c>
      <c r="H1830">
        <f>표4[[#This Row],[공격성공횟수]]/(표4[[#This Row],[공격실패횟수]]+표4[[#This Row],[공격성공횟수]])</f>
        <v>0.36363636363636365</v>
      </c>
    </row>
    <row r="1831" spans="1:8" hidden="1" x14ac:dyDescent="0.4">
      <c r="A1831">
        <v>915</v>
      </c>
      <c r="B1831" t="s">
        <v>2</v>
      </c>
      <c r="C1831">
        <v>0</v>
      </c>
      <c r="D1831">
        <v>1</v>
      </c>
      <c r="E1831">
        <v>8</v>
      </c>
      <c r="F1831">
        <v>4</v>
      </c>
      <c r="G1831">
        <v>1</v>
      </c>
      <c r="H1831">
        <f>표4[[#This Row],[공격성공횟수]]/(표4[[#This Row],[공격실패횟수]]+표4[[#This Row],[공격성공횟수]])</f>
        <v>0.1111111111111111</v>
      </c>
    </row>
    <row r="1832" spans="1:8" x14ac:dyDescent="0.4">
      <c r="A1832">
        <v>916</v>
      </c>
      <c r="B1832" t="s">
        <v>3</v>
      </c>
      <c r="C1832">
        <v>1</v>
      </c>
      <c r="D1832">
        <v>4</v>
      </c>
      <c r="E1832">
        <v>7</v>
      </c>
      <c r="F1832">
        <v>0</v>
      </c>
      <c r="G1832">
        <v>0</v>
      </c>
      <c r="H1832">
        <f>표4[[#This Row],[공격성공횟수]]/(표4[[#This Row],[공격실패횟수]]+표4[[#This Row],[공격성공횟수]])</f>
        <v>0.36363636363636365</v>
      </c>
    </row>
    <row r="1833" spans="1:8" hidden="1" x14ac:dyDescent="0.4">
      <c r="A1833">
        <v>916</v>
      </c>
      <c r="B1833" t="s">
        <v>2</v>
      </c>
      <c r="C1833">
        <v>0</v>
      </c>
      <c r="D1833">
        <v>0</v>
      </c>
      <c r="E1833">
        <v>11</v>
      </c>
      <c r="F1833">
        <v>4</v>
      </c>
      <c r="G1833">
        <v>1</v>
      </c>
      <c r="H1833">
        <f>표4[[#This Row],[공격성공횟수]]/(표4[[#This Row],[공격실패횟수]]+표4[[#This Row],[공격성공횟수]])</f>
        <v>0</v>
      </c>
    </row>
    <row r="1834" spans="1:8" x14ac:dyDescent="0.4">
      <c r="A1834">
        <v>917</v>
      </c>
      <c r="B1834" t="s">
        <v>3</v>
      </c>
      <c r="C1834">
        <v>1</v>
      </c>
      <c r="D1834">
        <v>4</v>
      </c>
      <c r="E1834">
        <v>12</v>
      </c>
      <c r="F1834">
        <v>1</v>
      </c>
      <c r="G1834">
        <v>0</v>
      </c>
      <c r="H1834">
        <f>표4[[#This Row],[공격성공횟수]]/(표4[[#This Row],[공격실패횟수]]+표4[[#This Row],[공격성공횟수]])</f>
        <v>0.25</v>
      </c>
    </row>
    <row r="1835" spans="1:8" hidden="1" x14ac:dyDescent="0.4">
      <c r="A1835">
        <v>917</v>
      </c>
      <c r="B1835" t="s">
        <v>2</v>
      </c>
      <c r="C1835">
        <v>0</v>
      </c>
      <c r="D1835">
        <v>1</v>
      </c>
      <c r="E1835">
        <v>14</v>
      </c>
      <c r="F1835">
        <v>4</v>
      </c>
      <c r="G1835">
        <v>1</v>
      </c>
      <c r="H1835">
        <f>표4[[#This Row],[공격성공횟수]]/(표4[[#This Row],[공격실패횟수]]+표4[[#This Row],[공격성공횟수]])</f>
        <v>6.6666666666666666E-2</v>
      </c>
    </row>
    <row r="1836" spans="1:8" x14ac:dyDescent="0.4">
      <c r="A1836">
        <v>918</v>
      </c>
      <c r="B1836" t="s">
        <v>3</v>
      </c>
      <c r="C1836">
        <v>0</v>
      </c>
      <c r="D1836">
        <v>2</v>
      </c>
      <c r="E1836">
        <v>9</v>
      </c>
      <c r="F1836">
        <v>4</v>
      </c>
      <c r="G1836">
        <v>1</v>
      </c>
      <c r="H1836">
        <f>표4[[#This Row],[공격성공횟수]]/(표4[[#This Row],[공격실패횟수]]+표4[[#This Row],[공격성공횟수]])</f>
        <v>0.18181818181818182</v>
      </c>
    </row>
    <row r="1837" spans="1:8" hidden="1" x14ac:dyDescent="0.4">
      <c r="A1837">
        <v>918</v>
      </c>
      <c r="B1837" t="s">
        <v>2</v>
      </c>
      <c r="C1837">
        <v>1</v>
      </c>
      <c r="D1837">
        <v>4</v>
      </c>
      <c r="E1837">
        <v>8</v>
      </c>
      <c r="F1837">
        <v>2</v>
      </c>
      <c r="G1837">
        <v>0</v>
      </c>
      <c r="H1837">
        <f>표4[[#This Row],[공격성공횟수]]/(표4[[#This Row],[공격실패횟수]]+표4[[#This Row],[공격성공횟수]])</f>
        <v>0.33333333333333331</v>
      </c>
    </row>
    <row r="1838" spans="1:8" x14ac:dyDescent="0.4">
      <c r="A1838">
        <v>919</v>
      </c>
      <c r="B1838" t="s">
        <v>3</v>
      </c>
      <c r="C1838">
        <v>0</v>
      </c>
      <c r="D1838">
        <v>3</v>
      </c>
      <c r="E1838">
        <v>4</v>
      </c>
      <c r="F1838">
        <v>4</v>
      </c>
      <c r="G1838">
        <v>1</v>
      </c>
      <c r="H1838">
        <f>표4[[#This Row],[공격성공횟수]]/(표4[[#This Row],[공격실패횟수]]+표4[[#This Row],[공격성공횟수]])</f>
        <v>0.42857142857142855</v>
      </c>
    </row>
    <row r="1839" spans="1:8" hidden="1" x14ac:dyDescent="0.4">
      <c r="A1839">
        <v>919</v>
      </c>
      <c r="B1839" t="s">
        <v>2</v>
      </c>
      <c r="C1839">
        <v>1</v>
      </c>
      <c r="D1839">
        <v>4</v>
      </c>
      <c r="E1839">
        <v>19</v>
      </c>
      <c r="F1839">
        <v>3</v>
      </c>
      <c r="G1839">
        <v>0</v>
      </c>
      <c r="H1839">
        <f>표4[[#This Row],[공격성공횟수]]/(표4[[#This Row],[공격실패횟수]]+표4[[#This Row],[공격성공횟수]])</f>
        <v>0.17391304347826086</v>
      </c>
    </row>
    <row r="1840" spans="1:8" x14ac:dyDescent="0.4">
      <c r="A1840">
        <v>920</v>
      </c>
      <c r="B1840" t="s">
        <v>3</v>
      </c>
      <c r="C1840">
        <v>1</v>
      </c>
      <c r="D1840">
        <v>4</v>
      </c>
      <c r="E1840">
        <v>5</v>
      </c>
      <c r="F1840">
        <v>3</v>
      </c>
      <c r="G1840">
        <v>0</v>
      </c>
      <c r="H1840">
        <f>표4[[#This Row],[공격성공횟수]]/(표4[[#This Row],[공격실패횟수]]+표4[[#This Row],[공격성공횟수]])</f>
        <v>0.44444444444444442</v>
      </c>
    </row>
    <row r="1841" spans="1:8" hidden="1" x14ac:dyDescent="0.4">
      <c r="A1841">
        <v>920</v>
      </c>
      <c r="B1841" t="s">
        <v>2</v>
      </c>
      <c r="C1841">
        <v>0</v>
      </c>
      <c r="D1841">
        <v>3</v>
      </c>
      <c r="E1841">
        <v>15</v>
      </c>
      <c r="F1841">
        <v>4</v>
      </c>
      <c r="G1841">
        <v>1</v>
      </c>
      <c r="H1841">
        <f>표4[[#This Row],[공격성공횟수]]/(표4[[#This Row],[공격실패횟수]]+표4[[#This Row],[공격성공횟수]])</f>
        <v>0.16666666666666666</v>
      </c>
    </row>
    <row r="1842" spans="1:8" x14ac:dyDescent="0.4">
      <c r="A1842">
        <v>921</v>
      </c>
      <c r="B1842" t="s">
        <v>3</v>
      </c>
      <c r="C1842">
        <v>0</v>
      </c>
      <c r="D1842">
        <v>0</v>
      </c>
      <c r="E1842">
        <v>13</v>
      </c>
      <c r="F1842">
        <v>4</v>
      </c>
      <c r="G1842">
        <v>1</v>
      </c>
      <c r="H1842">
        <f>표4[[#This Row],[공격성공횟수]]/(표4[[#This Row],[공격실패횟수]]+표4[[#This Row],[공격성공횟수]])</f>
        <v>0</v>
      </c>
    </row>
    <row r="1843" spans="1:8" hidden="1" x14ac:dyDescent="0.4">
      <c r="A1843">
        <v>921</v>
      </c>
      <c r="B1843" t="s">
        <v>2</v>
      </c>
      <c r="C1843">
        <v>1</v>
      </c>
      <c r="D1843">
        <v>4</v>
      </c>
      <c r="E1843">
        <v>10</v>
      </c>
      <c r="F1843">
        <v>0</v>
      </c>
      <c r="G1843">
        <v>0</v>
      </c>
      <c r="H1843">
        <f>표4[[#This Row],[공격성공횟수]]/(표4[[#This Row],[공격실패횟수]]+표4[[#This Row],[공격성공횟수]])</f>
        <v>0.2857142857142857</v>
      </c>
    </row>
    <row r="1844" spans="1:8" x14ac:dyDescent="0.4">
      <c r="A1844">
        <v>922</v>
      </c>
      <c r="B1844" t="s">
        <v>3</v>
      </c>
      <c r="C1844">
        <v>1</v>
      </c>
      <c r="D1844">
        <v>4</v>
      </c>
      <c r="E1844">
        <v>7</v>
      </c>
      <c r="F1844">
        <v>0</v>
      </c>
      <c r="G1844">
        <v>0</v>
      </c>
      <c r="H1844">
        <f>표4[[#This Row],[공격성공횟수]]/(표4[[#This Row],[공격실패횟수]]+표4[[#This Row],[공격성공횟수]])</f>
        <v>0.36363636363636365</v>
      </c>
    </row>
    <row r="1845" spans="1:8" hidden="1" x14ac:dyDescent="0.4">
      <c r="A1845">
        <v>922</v>
      </c>
      <c r="B1845" t="s">
        <v>2</v>
      </c>
      <c r="C1845">
        <v>0</v>
      </c>
      <c r="D1845">
        <v>0</v>
      </c>
      <c r="E1845">
        <v>10</v>
      </c>
      <c r="F1845">
        <v>4</v>
      </c>
      <c r="G1845">
        <v>1</v>
      </c>
      <c r="H1845">
        <f>표4[[#This Row],[공격성공횟수]]/(표4[[#This Row],[공격실패횟수]]+표4[[#This Row],[공격성공횟수]])</f>
        <v>0</v>
      </c>
    </row>
    <row r="1846" spans="1:8" x14ac:dyDescent="0.4">
      <c r="A1846">
        <v>923</v>
      </c>
      <c r="B1846" t="s">
        <v>3</v>
      </c>
      <c r="C1846">
        <v>1</v>
      </c>
      <c r="D1846">
        <v>4</v>
      </c>
      <c r="E1846">
        <v>47</v>
      </c>
      <c r="F1846">
        <v>1</v>
      </c>
      <c r="G1846">
        <v>0</v>
      </c>
      <c r="H1846">
        <f>표4[[#This Row],[공격성공횟수]]/(표4[[#This Row],[공격실패횟수]]+표4[[#This Row],[공격성공횟수]])</f>
        <v>7.8431372549019607E-2</v>
      </c>
    </row>
    <row r="1847" spans="1:8" hidden="1" x14ac:dyDescent="0.4">
      <c r="A1847">
        <v>923</v>
      </c>
      <c r="B1847" t="s">
        <v>2</v>
      </c>
      <c r="C1847">
        <v>0</v>
      </c>
      <c r="D1847">
        <v>1</v>
      </c>
      <c r="E1847">
        <v>52</v>
      </c>
      <c r="F1847">
        <v>4</v>
      </c>
      <c r="G1847">
        <v>1</v>
      </c>
      <c r="H1847">
        <f>표4[[#This Row],[공격성공횟수]]/(표4[[#This Row],[공격실패횟수]]+표4[[#This Row],[공격성공횟수]])</f>
        <v>1.8867924528301886E-2</v>
      </c>
    </row>
    <row r="1848" spans="1:8" x14ac:dyDescent="0.4">
      <c r="A1848">
        <v>924</v>
      </c>
      <c r="B1848" t="s">
        <v>3</v>
      </c>
      <c r="C1848">
        <v>1</v>
      </c>
      <c r="D1848">
        <v>4</v>
      </c>
      <c r="E1848">
        <v>11</v>
      </c>
      <c r="F1848">
        <v>0</v>
      </c>
      <c r="G1848">
        <v>0</v>
      </c>
      <c r="H1848">
        <f>표4[[#This Row],[공격성공횟수]]/(표4[[#This Row],[공격실패횟수]]+표4[[#This Row],[공격성공횟수]])</f>
        <v>0.26666666666666666</v>
      </c>
    </row>
    <row r="1849" spans="1:8" hidden="1" x14ac:dyDescent="0.4">
      <c r="A1849">
        <v>924</v>
      </c>
      <c r="B1849" t="s">
        <v>2</v>
      </c>
      <c r="C1849">
        <v>0</v>
      </c>
      <c r="D1849">
        <v>0</v>
      </c>
      <c r="E1849">
        <v>14</v>
      </c>
      <c r="F1849">
        <v>4</v>
      </c>
      <c r="G1849">
        <v>1</v>
      </c>
      <c r="H1849">
        <f>표4[[#This Row],[공격성공횟수]]/(표4[[#This Row],[공격실패횟수]]+표4[[#This Row],[공격성공횟수]])</f>
        <v>0</v>
      </c>
    </row>
    <row r="1850" spans="1:8" x14ac:dyDescent="0.4">
      <c r="A1850">
        <v>925</v>
      </c>
      <c r="B1850" t="s">
        <v>3</v>
      </c>
      <c r="C1850">
        <v>1</v>
      </c>
      <c r="D1850">
        <v>4</v>
      </c>
      <c r="E1850">
        <v>4</v>
      </c>
      <c r="F1850">
        <v>0</v>
      </c>
      <c r="G1850">
        <v>0</v>
      </c>
      <c r="H1850">
        <f>표4[[#This Row],[공격성공횟수]]/(표4[[#This Row],[공격실패횟수]]+표4[[#This Row],[공격성공횟수]])</f>
        <v>0.5</v>
      </c>
    </row>
    <row r="1851" spans="1:8" hidden="1" x14ac:dyDescent="0.4">
      <c r="A1851">
        <v>925</v>
      </c>
      <c r="B1851" t="s">
        <v>2</v>
      </c>
      <c r="C1851">
        <v>0</v>
      </c>
      <c r="D1851">
        <v>0</v>
      </c>
      <c r="E1851">
        <v>8</v>
      </c>
      <c r="F1851">
        <v>4</v>
      </c>
      <c r="G1851">
        <v>1</v>
      </c>
      <c r="H1851">
        <f>표4[[#This Row],[공격성공횟수]]/(표4[[#This Row],[공격실패횟수]]+표4[[#This Row],[공격성공횟수]])</f>
        <v>0</v>
      </c>
    </row>
    <row r="1852" spans="1:8" x14ac:dyDescent="0.4">
      <c r="A1852">
        <v>926</v>
      </c>
      <c r="B1852" t="s">
        <v>3</v>
      </c>
      <c r="C1852">
        <v>1</v>
      </c>
      <c r="D1852">
        <v>4</v>
      </c>
      <c r="E1852">
        <v>1</v>
      </c>
      <c r="F1852">
        <v>3</v>
      </c>
      <c r="G1852">
        <v>0</v>
      </c>
      <c r="H1852">
        <f>표4[[#This Row],[공격성공횟수]]/(표4[[#This Row],[공격실패횟수]]+표4[[#This Row],[공격성공횟수]])</f>
        <v>0.8</v>
      </c>
    </row>
    <row r="1853" spans="1:8" hidden="1" x14ac:dyDescent="0.4">
      <c r="A1853">
        <v>926</v>
      </c>
      <c r="B1853" t="s">
        <v>2</v>
      </c>
      <c r="C1853">
        <v>0</v>
      </c>
      <c r="D1853">
        <v>3</v>
      </c>
      <c r="E1853">
        <v>2</v>
      </c>
      <c r="F1853">
        <v>4</v>
      </c>
      <c r="G1853">
        <v>1</v>
      </c>
      <c r="H1853">
        <f>표4[[#This Row],[공격성공횟수]]/(표4[[#This Row],[공격실패횟수]]+표4[[#This Row],[공격성공횟수]])</f>
        <v>0.6</v>
      </c>
    </row>
    <row r="1854" spans="1:8" x14ac:dyDescent="0.4">
      <c r="A1854">
        <v>927</v>
      </c>
      <c r="B1854" t="s">
        <v>3</v>
      </c>
      <c r="C1854">
        <v>1</v>
      </c>
      <c r="D1854">
        <v>4</v>
      </c>
      <c r="E1854">
        <v>8</v>
      </c>
      <c r="F1854">
        <v>2</v>
      </c>
      <c r="G1854">
        <v>0</v>
      </c>
      <c r="H1854">
        <f>표4[[#This Row],[공격성공횟수]]/(표4[[#This Row],[공격실패횟수]]+표4[[#This Row],[공격성공횟수]])</f>
        <v>0.33333333333333331</v>
      </c>
    </row>
    <row r="1855" spans="1:8" hidden="1" x14ac:dyDescent="0.4">
      <c r="A1855">
        <v>927</v>
      </c>
      <c r="B1855" t="s">
        <v>2</v>
      </c>
      <c r="C1855">
        <v>0</v>
      </c>
      <c r="D1855">
        <v>2</v>
      </c>
      <c r="E1855">
        <v>10</v>
      </c>
      <c r="F1855">
        <v>4</v>
      </c>
      <c r="G1855">
        <v>1</v>
      </c>
      <c r="H1855">
        <f>표4[[#This Row],[공격성공횟수]]/(표4[[#This Row],[공격실패횟수]]+표4[[#This Row],[공격성공횟수]])</f>
        <v>0.16666666666666666</v>
      </c>
    </row>
    <row r="1856" spans="1:8" x14ac:dyDescent="0.4">
      <c r="A1856">
        <v>928</v>
      </c>
      <c r="B1856" t="s">
        <v>3</v>
      </c>
      <c r="C1856">
        <v>1</v>
      </c>
      <c r="D1856">
        <v>4</v>
      </c>
      <c r="E1856">
        <v>1</v>
      </c>
      <c r="F1856">
        <v>3</v>
      </c>
      <c r="G1856">
        <v>0</v>
      </c>
      <c r="H1856">
        <f>표4[[#This Row],[공격성공횟수]]/(표4[[#This Row],[공격실패횟수]]+표4[[#This Row],[공격성공횟수]])</f>
        <v>0.8</v>
      </c>
    </row>
    <row r="1857" spans="1:8" hidden="1" x14ac:dyDescent="0.4">
      <c r="A1857">
        <v>928</v>
      </c>
      <c r="B1857" t="s">
        <v>2</v>
      </c>
      <c r="C1857">
        <v>0</v>
      </c>
      <c r="D1857">
        <v>3</v>
      </c>
      <c r="E1857">
        <v>18</v>
      </c>
      <c r="F1857">
        <v>4</v>
      </c>
      <c r="G1857">
        <v>1</v>
      </c>
      <c r="H1857">
        <f>표4[[#This Row],[공격성공횟수]]/(표4[[#This Row],[공격실패횟수]]+표4[[#This Row],[공격성공횟수]])</f>
        <v>0.14285714285714285</v>
      </c>
    </row>
    <row r="1858" spans="1:8" x14ac:dyDescent="0.4">
      <c r="A1858">
        <v>929</v>
      </c>
      <c r="B1858" t="s">
        <v>3</v>
      </c>
      <c r="C1858">
        <v>1</v>
      </c>
      <c r="D1858">
        <v>4</v>
      </c>
      <c r="E1858">
        <v>15</v>
      </c>
      <c r="F1858">
        <v>1</v>
      </c>
      <c r="G1858">
        <v>0</v>
      </c>
      <c r="H1858">
        <f>표4[[#This Row],[공격성공횟수]]/(표4[[#This Row],[공격실패횟수]]+표4[[#This Row],[공격성공횟수]])</f>
        <v>0.21052631578947367</v>
      </c>
    </row>
    <row r="1859" spans="1:8" hidden="1" x14ac:dyDescent="0.4">
      <c r="A1859">
        <v>929</v>
      </c>
      <c r="B1859" t="s">
        <v>2</v>
      </c>
      <c r="C1859">
        <v>0</v>
      </c>
      <c r="D1859">
        <v>1</v>
      </c>
      <c r="E1859">
        <v>18</v>
      </c>
      <c r="F1859">
        <v>4</v>
      </c>
      <c r="G1859">
        <v>1</v>
      </c>
      <c r="H1859">
        <f>표4[[#This Row],[공격성공횟수]]/(표4[[#This Row],[공격실패횟수]]+표4[[#This Row],[공격성공횟수]])</f>
        <v>5.2631578947368418E-2</v>
      </c>
    </row>
    <row r="1860" spans="1:8" x14ac:dyDescent="0.4">
      <c r="A1860">
        <v>930</v>
      </c>
      <c r="B1860" t="s">
        <v>3</v>
      </c>
      <c r="C1860">
        <v>1</v>
      </c>
      <c r="D1860">
        <v>4</v>
      </c>
      <c r="E1860">
        <v>18</v>
      </c>
      <c r="F1860">
        <v>1</v>
      </c>
      <c r="G1860">
        <v>0</v>
      </c>
      <c r="H1860">
        <f>표4[[#This Row],[공격성공횟수]]/(표4[[#This Row],[공격실패횟수]]+표4[[#This Row],[공격성공횟수]])</f>
        <v>0.18181818181818182</v>
      </c>
    </row>
    <row r="1861" spans="1:8" hidden="1" x14ac:dyDescent="0.4">
      <c r="A1861">
        <v>930</v>
      </c>
      <c r="B1861" t="s">
        <v>2</v>
      </c>
      <c r="C1861">
        <v>0</v>
      </c>
      <c r="D1861">
        <v>1</v>
      </c>
      <c r="E1861">
        <v>45</v>
      </c>
      <c r="F1861">
        <v>4</v>
      </c>
      <c r="G1861">
        <v>1</v>
      </c>
      <c r="H1861">
        <f>표4[[#This Row],[공격성공횟수]]/(표4[[#This Row],[공격실패횟수]]+표4[[#This Row],[공격성공횟수]])</f>
        <v>2.1739130434782608E-2</v>
      </c>
    </row>
    <row r="1862" spans="1:8" x14ac:dyDescent="0.4">
      <c r="A1862">
        <v>931</v>
      </c>
      <c r="B1862" t="s">
        <v>3</v>
      </c>
      <c r="C1862">
        <v>1</v>
      </c>
      <c r="D1862">
        <v>4</v>
      </c>
      <c r="E1862">
        <v>5</v>
      </c>
      <c r="F1862">
        <v>2</v>
      </c>
      <c r="G1862">
        <v>0</v>
      </c>
      <c r="H1862">
        <f>표4[[#This Row],[공격성공횟수]]/(표4[[#This Row],[공격실패횟수]]+표4[[#This Row],[공격성공횟수]])</f>
        <v>0.44444444444444442</v>
      </c>
    </row>
    <row r="1863" spans="1:8" hidden="1" x14ac:dyDescent="0.4">
      <c r="A1863">
        <v>931</v>
      </c>
      <c r="B1863" t="s">
        <v>2</v>
      </c>
      <c r="C1863">
        <v>0</v>
      </c>
      <c r="D1863">
        <v>2</v>
      </c>
      <c r="E1863">
        <v>6</v>
      </c>
      <c r="F1863">
        <v>4</v>
      </c>
      <c r="G1863">
        <v>1</v>
      </c>
      <c r="H1863">
        <f>표4[[#This Row],[공격성공횟수]]/(표4[[#This Row],[공격실패횟수]]+표4[[#This Row],[공격성공횟수]])</f>
        <v>0.25</v>
      </c>
    </row>
    <row r="1864" spans="1:8" x14ac:dyDescent="0.4">
      <c r="A1864">
        <v>932</v>
      </c>
      <c r="B1864" t="s">
        <v>3</v>
      </c>
      <c r="C1864">
        <v>1</v>
      </c>
      <c r="D1864">
        <v>4</v>
      </c>
      <c r="E1864">
        <v>8</v>
      </c>
      <c r="F1864">
        <v>1</v>
      </c>
      <c r="G1864">
        <v>0</v>
      </c>
      <c r="H1864">
        <f>표4[[#This Row],[공격성공횟수]]/(표4[[#This Row],[공격실패횟수]]+표4[[#This Row],[공격성공횟수]])</f>
        <v>0.33333333333333331</v>
      </c>
    </row>
    <row r="1865" spans="1:8" hidden="1" x14ac:dyDescent="0.4">
      <c r="A1865">
        <v>932</v>
      </c>
      <c r="B1865" t="s">
        <v>2</v>
      </c>
      <c r="C1865">
        <v>0</v>
      </c>
      <c r="D1865">
        <v>1</v>
      </c>
      <c r="E1865">
        <v>16</v>
      </c>
      <c r="F1865">
        <v>4</v>
      </c>
      <c r="G1865">
        <v>1</v>
      </c>
      <c r="H1865">
        <f>표4[[#This Row],[공격성공횟수]]/(표4[[#This Row],[공격실패횟수]]+표4[[#This Row],[공격성공횟수]])</f>
        <v>5.8823529411764705E-2</v>
      </c>
    </row>
    <row r="1866" spans="1:8" x14ac:dyDescent="0.4">
      <c r="A1866">
        <v>933</v>
      </c>
      <c r="B1866" t="s">
        <v>3</v>
      </c>
      <c r="C1866">
        <v>0</v>
      </c>
      <c r="D1866">
        <v>3</v>
      </c>
      <c r="E1866">
        <v>10</v>
      </c>
      <c r="F1866">
        <v>4</v>
      </c>
      <c r="G1866">
        <v>1</v>
      </c>
      <c r="H1866">
        <f>표4[[#This Row],[공격성공횟수]]/(표4[[#This Row],[공격실패횟수]]+표4[[#This Row],[공격성공횟수]])</f>
        <v>0.23076923076923078</v>
      </c>
    </row>
    <row r="1867" spans="1:8" hidden="1" x14ac:dyDescent="0.4">
      <c r="A1867">
        <v>933</v>
      </c>
      <c r="B1867" t="s">
        <v>2</v>
      </c>
      <c r="C1867">
        <v>1</v>
      </c>
      <c r="D1867">
        <v>4</v>
      </c>
      <c r="E1867">
        <v>10</v>
      </c>
      <c r="F1867">
        <v>3</v>
      </c>
      <c r="G1867">
        <v>0</v>
      </c>
      <c r="H1867">
        <f>표4[[#This Row],[공격성공횟수]]/(표4[[#This Row],[공격실패횟수]]+표4[[#This Row],[공격성공횟수]])</f>
        <v>0.2857142857142857</v>
      </c>
    </row>
    <row r="1868" spans="1:8" x14ac:dyDescent="0.4">
      <c r="A1868">
        <v>934</v>
      </c>
      <c r="B1868" t="s">
        <v>3</v>
      </c>
      <c r="C1868">
        <v>1</v>
      </c>
      <c r="D1868">
        <v>4</v>
      </c>
      <c r="E1868">
        <v>20</v>
      </c>
      <c r="F1868">
        <v>2</v>
      </c>
      <c r="G1868">
        <v>0</v>
      </c>
      <c r="H1868">
        <f>표4[[#This Row],[공격성공횟수]]/(표4[[#This Row],[공격실패횟수]]+표4[[#This Row],[공격성공횟수]])</f>
        <v>0.16666666666666666</v>
      </c>
    </row>
    <row r="1869" spans="1:8" hidden="1" x14ac:dyDescent="0.4">
      <c r="A1869">
        <v>934</v>
      </c>
      <c r="B1869" t="s">
        <v>2</v>
      </c>
      <c r="C1869">
        <v>0</v>
      </c>
      <c r="D1869">
        <v>2</v>
      </c>
      <c r="E1869">
        <v>20</v>
      </c>
      <c r="F1869">
        <v>4</v>
      </c>
      <c r="G1869">
        <v>1</v>
      </c>
      <c r="H1869">
        <f>표4[[#This Row],[공격성공횟수]]/(표4[[#This Row],[공격실패횟수]]+표4[[#This Row],[공격성공횟수]])</f>
        <v>9.0909090909090912E-2</v>
      </c>
    </row>
    <row r="1870" spans="1:8" x14ac:dyDescent="0.4">
      <c r="A1870">
        <v>935</v>
      </c>
      <c r="B1870" t="s">
        <v>3</v>
      </c>
      <c r="C1870">
        <v>1</v>
      </c>
      <c r="D1870">
        <v>4</v>
      </c>
      <c r="E1870">
        <v>1</v>
      </c>
      <c r="F1870">
        <v>0</v>
      </c>
      <c r="G1870">
        <v>0</v>
      </c>
      <c r="H1870">
        <f>표4[[#This Row],[공격성공횟수]]/(표4[[#This Row],[공격실패횟수]]+표4[[#This Row],[공격성공횟수]])</f>
        <v>0.8</v>
      </c>
    </row>
    <row r="1871" spans="1:8" hidden="1" x14ac:dyDescent="0.4">
      <c r="A1871">
        <v>935</v>
      </c>
      <c r="B1871" t="s">
        <v>2</v>
      </c>
      <c r="C1871">
        <v>0</v>
      </c>
      <c r="D1871">
        <v>0</v>
      </c>
      <c r="E1871">
        <v>4</v>
      </c>
      <c r="F1871">
        <v>4</v>
      </c>
      <c r="G1871">
        <v>1</v>
      </c>
      <c r="H1871">
        <f>표4[[#This Row],[공격성공횟수]]/(표4[[#This Row],[공격실패횟수]]+표4[[#This Row],[공격성공횟수]])</f>
        <v>0</v>
      </c>
    </row>
    <row r="1872" spans="1:8" x14ac:dyDescent="0.4">
      <c r="A1872">
        <v>936</v>
      </c>
      <c r="B1872" t="s">
        <v>3</v>
      </c>
      <c r="C1872">
        <v>1</v>
      </c>
      <c r="D1872">
        <v>4</v>
      </c>
      <c r="E1872">
        <v>6</v>
      </c>
      <c r="F1872">
        <v>1</v>
      </c>
      <c r="G1872">
        <v>0</v>
      </c>
      <c r="H1872">
        <f>표4[[#This Row],[공격성공횟수]]/(표4[[#This Row],[공격실패횟수]]+표4[[#This Row],[공격성공횟수]])</f>
        <v>0.4</v>
      </c>
    </row>
    <row r="1873" spans="1:8" hidden="1" x14ac:dyDescent="0.4">
      <c r="A1873">
        <v>936</v>
      </c>
      <c r="B1873" t="s">
        <v>2</v>
      </c>
      <c r="C1873">
        <v>0</v>
      </c>
      <c r="D1873">
        <v>1</v>
      </c>
      <c r="E1873">
        <v>9</v>
      </c>
      <c r="F1873">
        <v>4</v>
      </c>
      <c r="G1873">
        <v>1</v>
      </c>
      <c r="H1873">
        <f>표4[[#This Row],[공격성공횟수]]/(표4[[#This Row],[공격실패횟수]]+표4[[#This Row],[공격성공횟수]])</f>
        <v>0.1</v>
      </c>
    </row>
    <row r="1874" spans="1:8" x14ac:dyDescent="0.4">
      <c r="A1874">
        <v>937</v>
      </c>
      <c r="B1874" t="s">
        <v>3</v>
      </c>
      <c r="C1874">
        <v>1</v>
      </c>
      <c r="D1874">
        <v>4</v>
      </c>
      <c r="E1874">
        <v>7</v>
      </c>
      <c r="F1874">
        <v>2</v>
      </c>
      <c r="G1874">
        <v>0</v>
      </c>
      <c r="H1874">
        <f>표4[[#This Row],[공격성공횟수]]/(표4[[#This Row],[공격실패횟수]]+표4[[#This Row],[공격성공횟수]])</f>
        <v>0.36363636363636365</v>
      </c>
    </row>
    <row r="1875" spans="1:8" hidden="1" x14ac:dyDescent="0.4">
      <c r="A1875">
        <v>937</v>
      </c>
      <c r="B1875" t="s">
        <v>2</v>
      </c>
      <c r="C1875">
        <v>0</v>
      </c>
      <c r="D1875">
        <v>2</v>
      </c>
      <c r="E1875">
        <v>9</v>
      </c>
      <c r="F1875">
        <v>4</v>
      </c>
      <c r="G1875">
        <v>1</v>
      </c>
      <c r="H1875">
        <f>표4[[#This Row],[공격성공횟수]]/(표4[[#This Row],[공격실패횟수]]+표4[[#This Row],[공격성공횟수]])</f>
        <v>0.18181818181818182</v>
      </c>
    </row>
    <row r="1876" spans="1:8" x14ac:dyDescent="0.4">
      <c r="A1876">
        <v>938</v>
      </c>
      <c r="B1876" t="s">
        <v>3</v>
      </c>
      <c r="C1876">
        <v>0</v>
      </c>
      <c r="D1876">
        <v>2</v>
      </c>
      <c r="E1876">
        <v>4</v>
      </c>
      <c r="F1876">
        <v>4</v>
      </c>
      <c r="G1876">
        <v>1</v>
      </c>
      <c r="H1876">
        <f>표4[[#This Row],[공격성공횟수]]/(표4[[#This Row],[공격실패횟수]]+표4[[#This Row],[공격성공횟수]])</f>
        <v>0.33333333333333331</v>
      </c>
    </row>
    <row r="1877" spans="1:8" hidden="1" x14ac:dyDescent="0.4">
      <c r="A1877">
        <v>938</v>
      </c>
      <c r="B1877" t="s">
        <v>2</v>
      </c>
      <c r="C1877">
        <v>1</v>
      </c>
      <c r="D1877">
        <v>4</v>
      </c>
      <c r="E1877">
        <v>12</v>
      </c>
      <c r="F1877">
        <v>2</v>
      </c>
      <c r="G1877">
        <v>0</v>
      </c>
      <c r="H1877">
        <f>표4[[#This Row],[공격성공횟수]]/(표4[[#This Row],[공격실패횟수]]+표4[[#This Row],[공격성공횟수]])</f>
        <v>0.25</v>
      </c>
    </row>
    <row r="1878" spans="1:8" x14ac:dyDescent="0.4">
      <c r="A1878">
        <v>939</v>
      </c>
      <c r="B1878" t="s">
        <v>3</v>
      </c>
      <c r="C1878">
        <v>1</v>
      </c>
      <c r="D1878">
        <v>4</v>
      </c>
      <c r="E1878">
        <v>30</v>
      </c>
      <c r="F1878">
        <v>2</v>
      </c>
      <c r="G1878">
        <v>0</v>
      </c>
      <c r="H1878">
        <f>표4[[#This Row],[공격성공횟수]]/(표4[[#This Row],[공격실패횟수]]+표4[[#This Row],[공격성공횟수]])</f>
        <v>0.11764705882352941</v>
      </c>
    </row>
    <row r="1879" spans="1:8" hidden="1" x14ac:dyDescent="0.4">
      <c r="A1879">
        <v>939</v>
      </c>
      <c r="B1879" t="s">
        <v>2</v>
      </c>
      <c r="C1879">
        <v>0</v>
      </c>
      <c r="D1879">
        <v>2</v>
      </c>
      <c r="E1879">
        <v>37</v>
      </c>
      <c r="F1879">
        <v>4</v>
      </c>
      <c r="G1879">
        <v>1</v>
      </c>
      <c r="H1879">
        <f>표4[[#This Row],[공격성공횟수]]/(표4[[#This Row],[공격실패횟수]]+표4[[#This Row],[공격성공횟수]])</f>
        <v>5.128205128205128E-2</v>
      </c>
    </row>
    <row r="1880" spans="1:8" x14ac:dyDescent="0.4">
      <c r="A1880">
        <v>940</v>
      </c>
      <c r="B1880" t="s">
        <v>3</v>
      </c>
      <c r="C1880">
        <v>1</v>
      </c>
      <c r="D1880">
        <v>4</v>
      </c>
      <c r="E1880">
        <v>40</v>
      </c>
      <c r="F1880">
        <v>2</v>
      </c>
      <c r="G1880">
        <v>0</v>
      </c>
      <c r="H1880">
        <f>표4[[#This Row],[공격성공횟수]]/(표4[[#This Row],[공격실패횟수]]+표4[[#This Row],[공격성공횟수]])</f>
        <v>9.0909090909090912E-2</v>
      </c>
    </row>
    <row r="1881" spans="1:8" hidden="1" x14ac:dyDescent="0.4">
      <c r="A1881">
        <v>940</v>
      </c>
      <c r="B1881" t="s">
        <v>2</v>
      </c>
      <c r="C1881">
        <v>0</v>
      </c>
      <c r="D1881">
        <v>2</v>
      </c>
      <c r="E1881">
        <v>44</v>
      </c>
      <c r="F1881">
        <v>4</v>
      </c>
      <c r="G1881">
        <v>1</v>
      </c>
      <c r="H1881">
        <f>표4[[#This Row],[공격성공횟수]]/(표4[[#This Row],[공격실패횟수]]+표4[[#This Row],[공격성공횟수]])</f>
        <v>4.3478260869565216E-2</v>
      </c>
    </row>
    <row r="1882" spans="1:8" x14ac:dyDescent="0.4">
      <c r="A1882">
        <v>941</v>
      </c>
      <c r="B1882" t="s">
        <v>3</v>
      </c>
      <c r="C1882">
        <v>1</v>
      </c>
      <c r="D1882">
        <v>4</v>
      </c>
      <c r="E1882">
        <v>11</v>
      </c>
      <c r="F1882">
        <v>2</v>
      </c>
      <c r="G1882">
        <v>0</v>
      </c>
      <c r="H1882">
        <f>표4[[#This Row],[공격성공횟수]]/(표4[[#This Row],[공격실패횟수]]+표4[[#This Row],[공격성공횟수]])</f>
        <v>0.26666666666666666</v>
      </c>
    </row>
    <row r="1883" spans="1:8" hidden="1" x14ac:dyDescent="0.4">
      <c r="A1883">
        <v>941</v>
      </c>
      <c r="B1883" t="s">
        <v>2</v>
      </c>
      <c r="C1883">
        <v>0</v>
      </c>
      <c r="D1883">
        <v>2</v>
      </c>
      <c r="E1883">
        <v>13</v>
      </c>
      <c r="F1883">
        <v>4</v>
      </c>
      <c r="G1883">
        <v>1</v>
      </c>
      <c r="H1883">
        <f>표4[[#This Row],[공격성공횟수]]/(표4[[#This Row],[공격실패횟수]]+표4[[#This Row],[공격성공횟수]])</f>
        <v>0.13333333333333333</v>
      </c>
    </row>
    <row r="1884" spans="1:8" x14ac:dyDescent="0.4">
      <c r="A1884">
        <v>942</v>
      </c>
      <c r="B1884" t="s">
        <v>3</v>
      </c>
      <c r="C1884">
        <v>1</v>
      </c>
      <c r="D1884">
        <v>4</v>
      </c>
      <c r="E1884">
        <v>6</v>
      </c>
      <c r="F1884">
        <v>0</v>
      </c>
      <c r="G1884">
        <v>0</v>
      </c>
      <c r="H1884">
        <f>표4[[#This Row],[공격성공횟수]]/(표4[[#This Row],[공격실패횟수]]+표4[[#This Row],[공격성공횟수]])</f>
        <v>0.4</v>
      </c>
    </row>
    <row r="1885" spans="1:8" hidden="1" x14ac:dyDescent="0.4">
      <c r="A1885">
        <v>942</v>
      </c>
      <c r="B1885" t="s">
        <v>2</v>
      </c>
      <c r="C1885">
        <v>0</v>
      </c>
      <c r="D1885">
        <v>0</v>
      </c>
      <c r="E1885">
        <v>14</v>
      </c>
      <c r="F1885">
        <v>4</v>
      </c>
      <c r="G1885">
        <v>1</v>
      </c>
      <c r="H1885">
        <f>표4[[#This Row],[공격성공횟수]]/(표4[[#This Row],[공격실패횟수]]+표4[[#This Row],[공격성공횟수]])</f>
        <v>0</v>
      </c>
    </row>
    <row r="1886" spans="1:8" x14ac:dyDescent="0.4">
      <c r="A1886">
        <v>943</v>
      </c>
      <c r="B1886" t="s">
        <v>3</v>
      </c>
      <c r="C1886">
        <v>1</v>
      </c>
      <c r="D1886">
        <v>4</v>
      </c>
      <c r="E1886">
        <v>14</v>
      </c>
      <c r="F1886">
        <v>0</v>
      </c>
      <c r="G1886">
        <v>0</v>
      </c>
      <c r="H1886">
        <f>표4[[#This Row],[공격성공횟수]]/(표4[[#This Row],[공격실패횟수]]+표4[[#This Row],[공격성공횟수]])</f>
        <v>0.22222222222222221</v>
      </c>
    </row>
    <row r="1887" spans="1:8" hidden="1" x14ac:dyDescent="0.4">
      <c r="A1887">
        <v>943</v>
      </c>
      <c r="B1887" t="s">
        <v>2</v>
      </c>
      <c r="C1887">
        <v>0</v>
      </c>
      <c r="D1887">
        <v>0</v>
      </c>
      <c r="E1887">
        <v>27</v>
      </c>
      <c r="F1887">
        <v>4</v>
      </c>
      <c r="G1887">
        <v>1</v>
      </c>
      <c r="H1887">
        <f>표4[[#This Row],[공격성공횟수]]/(표4[[#This Row],[공격실패횟수]]+표4[[#This Row],[공격성공횟수]])</f>
        <v>0</v>
      </c>
    </row>
    <row r="1888" spans="1:8" x14ac:dyDescent="0.4">
      <c r="A1888">
        <v>944</v>
      </c>
      <c r="B1888" t="s">
        <v>3</v>
      </c>
      <c r="C1888">
        <v>1</v>
      </c>
      <c r="D1888">
        <v>4</v>
      </c>
      <c r="E1888">
        <v>5</v>
      </c>
      <c r="F1888">
        <v>0</v>
      </c>
      <c r="G1888">
        <v>0</v>
      </c>
      <c r="H1888">
        <f>표4[[#This Row],[공격성공횟수]]/(표4[[#This Row],[공격실패횟수]]+표4[[#This Row],[공격성공횟수]])</f>
        <v>0.44444444444444442</v>
      </c>
    </row>
    <row r="1889" spans="1:8" hidden="1" x14ac:dyDescent="0.4">
      <c r="A1889">
        <v>944</v>
      </c>
      <c r="B1889" t="s">
        <v>2</v>
      </c>
      <c r="C1889">
        <v>0</v>
      </c>
      <c r="D1889">
        <v>0</v>
      </c>
      <c r="E1889">
        <v>9</v>
      </c>
      <c r="F1889">
        <v>4</v>
      </c>
      <c r="G1889">
        <v>1</v>
      </c>
      <c r="H1889">
        <f>표4[[#This Row],[공격성공횟수]]/(표4[[#This Row],[공격실패횟수]]+표4[[#This Row],[공격성공횟수]])</f>
        <v>0</v>
      </c>
    </row>
    <row r="1890" spans="1:8" x14ac:dyDescent="0.4">
      <c r="A1890">
        <v>945</v>
      </c>
      <c r="B1890" t="s">
        <v>3</v>
      </c>
      <c r="C1890">
        <v>1</v>
      </c>
      <c r="D1890">
        <v>4</v>
      </c>
      <c r="E1890">
        <v>57</v>
      </c>
      <c r="F1890">
        <v>1</v>
      </c>
      <c r="G1890">
        <v>0</v>
      </c>
      <c r="H1890">
        <f>표4[[#This Row],[공격성공횟수]]/(표4[[#This Row],[공격실패횟수]]+표4[[#This Row],[공격성공횟수]])</f>
        <v>6.5573770491803282E-2</v>
      </c>
    </row>
    <row r="1891" spans="1:8" hidden="1" x14ac:dyDescent="0.4">
      <c r="A1891">
        <v>945</v>
      </c>
      <c r="B1891" t="s">
        <v>2</v>
      </c>
      <c r="C1891">
        <v>0</v>
      </c>
      <c r="D1891">
        <v>1</v>
      </c>
      <c r="E1891">
        <v>70</v>
      </c>
      <c r="F1891">
        <v>4</v>
      </c>
      <c r="G1891">
        <v>1</v>
      </c>
      <c r="H1891">
        <f>표4[[#This Row],[공격성공횟수]]/(표4[[#This Row],[공격실패횟수]]+표4[[#This Row],[공격성공횟수]])</f>
        <v>1.4084507042253521E-2</v>
      </c>
    </row>
    <row r="1892" spans="1:8" x14ac:dyDescent="0.4">
      <c r="A1892">
        <v>946</v>
      </c>
      <c r="B1892" t="s">
        <v>3</v>
      </c>
      <c r="C1892">
        <v>1</v>
      </c>
      <c r="D1892">
        <v>4</v>
      </c>
      <c r="E1892">
        <v>12</v>
      </c>
      <c r="F1892">
        <v>3</v>
      </c>
      <c r="G1892">
        <v>0</v>
      </c>
      <c r="H1892">
        <f>표4[[#This Row],[공격성공횟수]]/(표4[[#This Row],[공격실패횟수]]+표4[[#This Row],[공격성공횟수]])</f>
        <v>0.25</v>
      </c>
    </row>
    <row r="1893" spans="1:8" hidden="1" x14ac:dyDescent="0.4">
      <c r="A1893">
        <v>946</v>
      </c>
      <c r="B1893" t="s">
        <v>2</v>
      </c>
      <c r="C1893">
        <v>0</v>
      </c>
      <c r="D1893">
        <v>3</v>
      </c>
      <c r="E1893">
        <v>12</v>
      </c>
      <c r="F1893">
        <v>4</v>
      </c>
      <c r="G1893">
        <v>1</v>
      </c>
      <c r="H1893">
        <f>표4[[#This Row],[공격성공횟수]]/(표4[[#This Row],[공격실패횟수]]+표4[[#This Row],[공격성공횟수]])</f>
        <v>0.2</v>
      </c>
    </row>
    <row r="1894" spans="1:8" x14ac:dyDescent="0.4">
      <c r="A1894">
        <v>947</v>
      </c>
      <c r="B1894" t="s">
        <v>3</v>
      </c>
      <c r="C1894">
        <v>1</v>
      </c>
      <c r="D1894">
        <v>4</v>
      </c>
      <c r="E1894">
        <v>8</v>
      </c>
      <c r="F1894">
        <v>1</v>
      </c>
      <c r="G1894">
        <v>0</v>
      </c>
      <c r="H1894">
        <f>표4[[#This Row],[공격성공횟수]]/(표4[[#This Row],[공격실패횟수]]+표4[[#This Row],[공격성공횟수]])</f>
        <v>0.33333333333333331</v>
      </c>
    </row>
    <row r="1895" spans="1:8" hidden="1" x14ac:dyDescent="0.4">
      <c r="A1895">
        <v>947</v>
      </c>
      <c r="B1895" t="s">
        <v>2</v>
      </c>
      <c r="C1895">
        <v>0</v>
      </c>
      <c r="D1895">
        <v>1</v>
      </c>
      <c r="E1895">
        <v>11</v>
      </c>
      <c r="F1895">
        <v>4</v>
      </c>
      <c r="G1895">
        <v>1</v>
      </c>
      <c r="H1895">
        <f>표4[[#This Row],[공격성공횟수]]/(표4[[#This Row],[공격실패횟수]]+표4[[#This Row],[공격성공횟수]])</f>
        <v>8.3333333333333329E-2</v>
      </c>
    </row>
    <row r="1896" spans="1:8" x14ac:dyDescent="0.4">
      <c r="A1896">
        <v>948</v>
      </c>
      <c r="B1896" t="s">
        <v>3</v>
      </c>
      <c r="C1896">
        <v>1</v>
      </c>
      <c r="D1896">
        <v>4</v>
      </c>
      <c r="E1896">
        <v>42</v>
      </c>
      <c r="F1896">
        <v>3</v>
      </c>
      <c r="G1896">
        <v>0</v>
      </c>
      <c r="H1896">
        <f>표4[[#This Row],[공격성공횟수]]/(표4[[#This Row],[공격실패횟수]]+표4[[#This Row],[공격성공횟수]])</f>
        <v>8.6956521739130432E-2</v>
      </c>
    </row>
    <row r="1897" spans="1:8" hidden="1" x14ac:dyDescent="0.4">
      <c r="A1897">
        <v>948</v>
      </c>
      <c r="B1897" t="s">
        <v>2</v>
      </c>
      <c r="C1897">
        <v>0</v>
      </c>
      <c r="D1897">
        <v>3</v>
      </c>
      <c r="E1897">
        <v>44</v>
      </c>
      <c r="F1897">
        <v>4</v>
      </c>
      <c r="G1897">
        <v>1</v>
      </c>
      <c r="H1897">
        <f>표4[[#This Row],[공격성공횟수]]/(표4[[#This Row],[공격실패횟수]]+표4[[#This Row],[공격성공횟수]])</f>
        <v>6.3829787234042548E-2</v>
      </c>
    </row>
    <row r="1898" spans="1:8" x14ac:dyDescent="0.4">
      <c r="A1898">
        <v>949</v>
      </c>
      <c r="B1898" t="s">
        <v>3</v>
      </c>
      <c r="C1898">
        <v>0</v>
      </c>
      <c r="D1898">
        <v>1</v>
      </c>
      <c r="E1898">
        <v>3</v>
      </c>
      <c r="F1898">
        <v>4</v>
      </c>
      <c r="G1898">
        <v>1</v>
      </c>
      <c r="H1898">
        <f>표4[[#This Row],[공격성공횟수]]/(표4[[#This Row],[공격실패횟수]]+표4[[#This Row],[공격성공횟수]])</f>
        <v>0.25</v>
      </c>
    </row>
    <row r="1899" spans="1:8" hidden="1" x14ac:dyDescent="0.4">
      <c r="A1899">
        <v>949</v>
      </c>
      <c r="B1899" t="s">
        <v>2</v>
      </c>
      <c r="C1899">
        <v>1</v>
      </c>
      <c r="D1899">
        <v>4</v>
      </c>
      <c r="E1899">
        <v>41</v>
      </c>
      <c r="F1899">
        <v>1</v>
      </c>
      <c r="G1899">
        <v>0</v>
      </c>
      <c r="H1899">
        <f>표4[[#This Row],[공격성공횟수]]/(표4[[#This Row],[공격실패횟수]]+표4[[#This Row],[공격성공횟수]])</f>
        <v>8.8888888888888892E-2</v>
      </c>
    </row>
    <row r="1900" spans="1:8" x14ac:dyDescent="0.4">
      <c r="A1900">
        <v>950</v>
      </c>
      <c r="B1900" t="s">
        <v>3</v>
      </c>
      <c r="C1900">
        <v>1</v>
      </c>
      <c r="D1900">
        <v>4</v>
      </c>
      <c r="E1900">
        <v>14</v>
      </c>
      <c r="F1900">
        <v>1</v>
      </c>
      <c r="G1900">
        <v>0</v>
      </c>
      <c r="H1900">
        <f>표4[[#This Row],[공격성공횟수]]/(표4[[#This Row],[공격실패횟수]]+표4[[#This Row],[공격성공횟수]])</f>
        <v>0.22222222222222221</v>
      </c>
    </row>
    <row r="1901" spans="1:8" hidden="1" x14ac:dyDescent="0.4">
      <c r="A1901">
        <v>950</v>
      </c>
      <c r="B1901" t="s">
        <v>2</v>
      </c>
      <c r="C1901">
        <v>0</v>
      </c>
      <c r="D1901">
        <v>1</v>
      </c>
      <c r="E1901">
        <v>15</v>
      </c>
      <c r="F1901">
        <v>4</v>
      </c>
      <c r="G1901">
        <v>1</v>
      </c>
      <c r="H1901">
        <f>표4[[#This Row],[공격성공횟수]]/(표4[[#This Row],[공격실패횟수]]+표4[[#This Row],[공격성공횟수]])</f>
        <v>6.25E-2</v>
      </c>
    </row>
    <row r="1902" spans="1:8" x14ac:dyDescent="0.4">
      <c r="A1902">
        <v>951</v>
      </c>
      <c r="B1902" t="s">
        <v>3</v>
      </c>
      <c r="C1902">
        <v>1</v>
      </c>
      <c r="D1902">
        <v>4</v>
      </c>
      <c r="E1902">
        <v>7</v>
      </c>
      <c r="F1902">
        <v>0</v>
      </c>
      <c r="G1902">
        <v>0</v>
      </c>
      <c r="H1902">
        <f>표4[[#This Row],[공격성공횟수]]/(표4[[#This Row],[공격실패횟수]]+표4[[#This Row],[공격성공횟수]])</f>
        <v>0.36363636363636365</v>
      </c>
    </row>
    <row r="1903" spans="1:8" hidden="1" x14ac:dyDescent="0.4">
      <c r="A1903">
        <v>951</v>
      </c>
      <c r="B1903" t="s">
        <v>2</v>
      </c>
      <c r="C1903">
        <v>0</v>
      </c>
      <c r="D1903">
        <v>0</v>
      </c>
      <c r="E1903">
        <v>11</v>
      </c>
      <c r="F1903">
        <v>4</v>
      </c>
      <c r="G1903">
        <v>1</v>
      </c>
      <c r="H1903">
        <f>표4[[#This Row],[공격성공횟수]]/(표4[[#This Row],[공격실패횟수]]+표4[[#This Row],[공격성공횟수]])</f>
        <v>0</v>
      </c>
    </row>
    <row r="1904" spans="1:8" x14ac:dyDescent="0.4">
      <c r="A1904">
        <v>952</v>
      </c>
      <c r="B1904" t="s">
        <v>3</v>
      </c>
      <c r="C1904">
        <v>1</v>
      </c>
      <c r="D1904">
        <v>4</v>
      </c>
      <c r="E1904">
        <v>11</v>
      </c>
      <c r="F1904">
        <v>1</v>
      </c>
      <c r="G1904">
        <v>0</v>
      </c>
      <c r="H1904">
        <f>표4[[#This Row],[공격성공횟수]]/(표4[[#This Row],[공격실패횟수]]+표4[[#This Row],[공격성공횟수]])</f>
        <v>0.26666666666666666</v>
      </c>
    </row>
    <row r="1905" spans="1:8" hidden="1" x14ac:dyDescent="0.4">
      <c r="A1905">
        <v>952</v>
      </c>
      <c r="B1905" t="s">
        <v>2</v>
      </c>
      <c r="C1905">
        <v>0</v>
      </c>
      <c r="D1905">
        <v>1</v>
      </c>
      <c r="E1905">
        <v>13</v>
      </c>
      <c r="F1905">
        <v>4</v>
      </c>
      <c r="G1905">
        <v>1</v>
      </c>
      <c r="H1905">
        <f>표4[[#This Row],[공격성공횟수]]/(표4[[#This Row],[공격실패횟수]]+표4[[#This Row],[공격성공횟수]])</f>
        <v>7.1428571428571425E-2</v>
      </c>
    </row>
    <row r="1906" spans="1:8" x14ac:dyDescent="0.4">
      <c r="A1906">
        <v>953</v>
      </c>
      <c r="B1906" t="s">
        <v>3</v>
      </c>
      <c r="C1906">
        <v>1</v>
      </c>
      <c r="D1906">
        <v>4</v>
      </c>
      <c r="E1906">
        <v>4</v>
      </c>
      <c r="F1906">
        <v>1</v>
      </c>
      <c r="G1906">
        <v>0</v>
      </c>
      <c r="H1906">
        <f>표4[[#This Row],[공격성공횟수]]/(표4[[#This Row],[공격실패횟수]]+표4[[#This Row],[공격성공횟수]])</f>
        <v>0.5</v>
      </c>
    </row>
    <row r="1907" spans="1:8" hidden="1" x14ac:dyDescent="0.4">
      <c r="A1907">
        <v>953</v>
      </c>
      <c r="B1907" t="s">
        <v>2</v>
      </c>
      <c r="C1907">
        <v>0</v>
      </c>
      <c r="D1907">
        <v>1</v>
      </c>
      <c r="E1907">
        <v>7</v>
      </c>
      <c r="F1907">
        <v>4</v>
      </c>
      <c r="G1907">
        <v>1</v>
      </c>
      <c r="H1907">
        <f>표4[[#This Row],[공격성공횟수]]/(표4[[#This Row],[공격실패횟수]]+표4[[#This Row],[공격성공횟수]])</f>
        <v>0.125</v>
      </c>
    </row>
    <row r="1908" spans="1:8" x14ac:dyDescent="0.4">
      <c r="A1908">
        <v>954</v>
      </c>
      <c r="B1908" t="s">
        <v>3</v>
      </c>
      <c r="C1908">
        <v>1</v>
      </c>
      <c r="D1908">
        <v>4</v>
      </c>
      <c r="E1908">
        <v>3</v>
      </c>
      <c r="F1908">
        <v>1</v>
      </c>
      <c r="G1908">
        <v>0</v>
      </c>
      <c r="H1908">
        <f>표4[[#This Row],[공격성공횟수]]/(표4[[#This Row],[공격실패횟수]]+표4[[#This Row],[공격성공횟수]])</f>
        <v>0.5714285714285714</v>
      </c>
    </row>
    <row r="1909" spans="1:8" hidden="1" x14ac:dyDescent="0.4">
      <c r="A1909">
        <v>954</v>
      </c>
      <c r="B1909" t="s">
        <v>2</v>
      </c>
      <c r="C1909">
        <v>0</v>
      </c>
      <c r="D1909">
        <v>1</v>
      </c>
      <c r="E1909">
        <v>6</v>
      </c>
      <c r="F1909">
        <v>4</v>
      </c>
      <c r="G1909">
        <v>1</v>
      </c>
      <c r="H1909">
        <f>표4[[#This Row],[공격성공횟수]]/(표4[[#This Row],[공격실패횟수]]+표4[[#This Row],[공격성공횟수]])</f>
        <v>0.14285714285714285</v>
      </c>
    </row>
    <row r="1910" spans="1:8" x14ac:dyDescent="0.4">
      <c r="A1910">
        <v>955</v>
      </c>
      <c r="B1910" t="s">
        <v>3</v>
      </c>
      <c r="C1910">
        <v>1</v>
      </c>
      <c r="D1910">
        <v>4</v>
      </c>
      <c r="E1910">
        <v>9</v>
      </c>
      <c r="F1910">
        <v>0</v>
      </c>
      <c r="G1910">
        <v>0</v>
      </c>
      <c r="H1910">
        <f>표4[[#This Row],[공격성공횟수]]/(표4[[#This Row],[공격실패횟수]]+표4[[#This Row],[공격성공횟수]])</f>
        <v>0.30769230769230771</v>
      </c>
    </row>
    <row r="1911" spans="1:8" hidden="1" x14ac:dyDescent="0.4">
      <c r="A1911">
        <v>955</v>
      </c>
      <c r="B1911" t="s">
        <v>2</v>
      </c>
      <c r="C1911">
        <v>0</v>
      </c>
      <c r="D1911">
        <v>0</v>
      </c>
      <c r="E1911">
        <v>14</v>
      </c>
      <c r="F1911">
        <v>4</v>
      </c>
      <c r="G1911">
        <v>1</v>
      </c>
      <c r="H1911">
        <f>표4[[#This Row],[공격성공횟수]]/(표4[[#This Row],[공격실패횟수]]+표4[[#This Row],[공격성공횟수]])</f>
        <v>0</v>
      </c>
    </row>
    <row r="1912" spans="1:8" x14ac:dyDescent="0.4">
      <c r="A1912">
        <v>956</v>
      </c>
      <c r="B1912" t="s">
        <v>3</v>
      </c>
      <c r="C1912">
        <v>1</v>
      </c>
      <c r="D1912">
        <v>4</v>
      </c>
      <c r="E1912">
        <v>18</v>
      </c>
      <c r="F1912">
        <v>1</v>
      </c>
      <c r="G1912">
        <v>0</v>
      </c>
      <c r="H1912">
        <f>표4[[#This Row],[공격성공횟수]]/(표4[[#This Row],[공격실패횟수]]+표4[[#This Row],[공격성공횟수]])</f>
        <v>0.18181818181818182</v>
      </c>
    </row>
    <row r="1913" spans="1:8" hidden="1" x14ac:dyDescent="0.4">
      <c r="A1913">
        <v>956</v>
      </c>
      <c r="B1913" t="s">
        <v>2</v>
      </c>
      <c r="C1913">
        <v>0</v>
      </c>
      <c r="D1913">
        <v>1</v>
      </c>
      <c r="E1913">
        <v>21</v>
      </c>
      <c r="F1913">
        <v>4</v>
      </c>
      <c r="G1913">
        <v>1</v>
      </c>
      <c r="H1913">
        <f>표4[[#This Row],[공격성공횟수]]/(표4[[#This Row],[공격실패횟수]]+표4[[#This Row],[공격성공횟수]])</f>
        <v>4.5454545454545456E-2</v>
      </c>
    </row>
    <row r="1914" spans="1:8" x14ac:dyDescent="0.4">
      <c r="A1914">
        <v>957</v>
      </c>
      <c r="B1914" t="s">
        <v>3</v>
      </c>
      <c r="C1914">
        <v>1</v>
      </c>
      <c r="D1914">
        <v>4</v>
      </c>
      <c r="E1914">
        <v>7</v>
      </c>
      <c r="F1914">
        <v>2</v>
      </c>
      <c r="G1914">
        <v>0</v>
      </c>
      <c r="H1914">
        <f>표4[[#This Row],[공격성공횟수]]/(표4[[#This Row],[공격실패횟수]]+표4[[#This Row],[공격성공횟수]])</f>
        <v>0.36363636363636365</v>
      </c>
    </row>
    <row r="1915" spans="1:8" hidden="1" x14ac:dyDescent="0.4">
      <c r="A1915">
        <v>957</v>
      </c>
      <c r="B1915" t="s">
        <v>2</v>
      </c>
      <c r="C1915">
        <v>0</v>
      </c>
      <c r="D1915">
        <v>2</v>
      </c>
      <c r="E1915">
        <v>8</v>
      </c>
      <c r="F1915">
        <v>4</v>
      </c>
      <c r="G1915">
        <v>1</v>
      </c>
      <c r="H1915">
        <f>표4[[#This Row],[공격성공횟수]]/(표4[[#This Row],[공격실패횟수]]+표4[[#This Row],[공격성공횟수]])</f>
        <v>0.2</v>
      </c>
    </row>
    <row r="1916" spans="1:8" x14ac:dyDescent="0.4">
      <c r="A1916">
        <v>958</v>
      </c>
      <c r="B1916" t="s">
        <v>3</v>
      </c>
      <c r="C1916">
        <v>0</v>
      </c>
      <c r="D1916">
        <v>2</v>
      </c>
      <c r="E1916">
        <v>19</v>
      </c>
      <c r="F1916">
        <v>4</v>
      </c>
      <c r="G1916">
        <v>1</v>
      </c>
      <c r="H1916">
        <f>표4[[#This Row],[공격성공횟수]]/(표4[[#This Row],[공격실패횟수]]+표4[[#This Row],[공격성공횟수]])</f>
        <v>9.5238095238095233E-2</v>
      </c>
    </row>
    <row r="1917" spans="1:8" hidden="1" x14ac:dyDescent="0.4">
      <c r="A1917">
        <v>958</v>
      </c>
      <c r="B1917" t="s">
        <v>2</v>
      </c>
      <c r="C1917">
        <v>1</v>
      </c>
      <c r="D1917">
        <v>4</v>
      </c>
      <c r="E1917">
        <v>18</v>
      </c>
      <c r="F1917">
        <v>2</v>
      </c>
      <c r="G1917">
        <v>0</v>
      </c>
      <c r="H1917">
        <f>표4[[#This Row],[공격성공횟수]]/(표4[[#This Row],[공격실패횟수]]+표4[[#This Row],[공격성공횟수]])</f>
        <v>0.18181818181818182</v>
      </c>
    </row>
    <row r="1918" spans="1:8" x14ac:dyDescent="0.4">
      <c r="A1918">
        <v>959</v>
      </c>
      <c r="B1918" t="s">
        <v>3</v>
      </c>
      <c r="C1918">
        <v>1</v>
      </c>
      <c r="D1918">
        <v>4</v>
      </c>
      <c r="E1918">
        <v>16</v>
      </c>
      <c r="F1918">
        <v>1</v>
      </c>
      <c r="G1918">
        <v>0</v>
      </c>
      <c r="H1918">
        <f>표4[[#This Row],[공격성공횟수]]/(표4[[#This Row],[공격실패횟수]]+표4[[#This Row],[공격성공횟수]])</f>
        <v>0.2</v>
      </c>
    </row>
    <row r="1919" spans="1:8" hidden="1" x14ac:dyDescent="0.4">
      <c r="A1919">
        <v>959</v>
      </c>
      <c r="B1919" t="s">
        <v>2</v>
      </c>
      <c r="C1919">
        <v>0</v>
      </c>
      <c r="D1919">
        <v>1</v>
      </c>
      <c r="E1919">
        <v>23</v>
      </c>
      <c r="F1919">
        <v>4</v>
      </c>
      <c r="G1919">
        <v>1</v>
      </c>
      <c r="H1919">
        <f>표4[[#This Row],[공격성공횟수]]/(표4[[#This Row],[공격실패횟수]]+표4[[#This Row],[공격성공횟수]])</f>
        <v>4.1666666666666664E-2</v>
      </c>
    </row>
    <row r="1920" spans="1:8" x14ac:dyDescent="0.4">
      <c r="A1920">
        <v>960</v>
      </c>
      <c r="B1920" t="s">
        <v>3</v>
      </c>
      <c r="C1920">
        <v>1</v>
      </c>
      <c r="D1920">
        <v>4</v>
      </c>
      <c r="E1920">
        <v>16</v>
      </c>
      <c r="F1920">
        <v>0</v>
      </c>
      <c r="G1920">
        <v>0</v>
      </c>
      <c r="H1920">
        <f>표4[[#This Row],[공격성공횟수]]/(표4[[#This Row],[공격실패횟수]]+표4[[#This Row],[공격성공횟수]])</f>
        <v>0.2</v>
      </c>
    </row>
    <row r="1921" spans="1:8" hidden="1" x14ac:dyDescent="0.4">
      <c r="A1921">
        <v>960</v>
      </c>
      <c r="B1921" t="s">
        <v>2</v>
      </c>
      <c r="C1921">
        <v>0</v>
      </c>
      <c r="D1921">
        <v>0</v>
      </c>
      <c r="E1921">
        <v>19</v>
      </c>
      <c r="F1921">
        <v>4</v>
      </c>
      <c r="G1921">
        <v>1</v>
      </c>
      <c r="H1921">
        <f>표4[[#This Row],[공격성공횟수]]/(표4[[#This Row],[공격실패횟수]]+표4[[#This Row],[공격성공횟수]])</f>
        <v>0</v>
      </c>
    </row>
    <row r="1922" spans="1:8" x14ac:dyDescent="0.4">
      <c r="A1922">
        <v>961</v>
      </c>
      <c r="B1922" t="s">
        <v>3</v>
      </c>
      <c r="C1922">
        <v>1</v>
      </c>
      <c r="D1922">
        <v>4</v>
      </c>
      <c r="E1922">
        <v>17</v>
      </c>
      <c r="F1922">
        <v>2</v>
      </c>
      <c r="G1922">
        <v>0</v>
      </c>
      <c r="H1922">
        <f>표4[[#This Row],[공격성공횟수]]/(표4[[#This Row],[공격실패횟수]]+표4[[#This Row],[공격성공횟수]])</f>
        <v>0.19047619047619047</v>
      </c>
    </row>
    <row r="1923" spans="1:8" hidden="1" x14ac:dyDescent="0.4">
      <c r="A1923">
        <v>961</v>
      </c>
      <c r="B1923" t="s">
        <v>2</v>
      </c>
      <c r="C1923">
        <v>0</v>
      </c>
      <c r="D1923">
        <v>2</v>
      </c>
      <c r="E1923">
        <v>19</v>
      </c>
      <c r="F1923">
        <v>4</v>
      </c>
      <c r="G1923">
        <v>1</v>
      </c>
      <c r="H1923">
        <f>표4[[#This Row],[공격성공횟수]]/(표4[[#This Row],[공격실패횟수]]+표4[[#This Row],[공격성공횟수]])</f>
        <v>9.5238095238095233E-2</v>
      </c>
    </row>
    <row r="1924" spans="1:8" x14ac:dyDescent="0.4">
      <c r="A1924">
        <v>962</v>
      </c>
      <c r="B1924" t="s">
        <v>3</v>
      </c>
      <c r="C1924">
        <v>0</v>
      </c>
      <c r="D1924">
        <v>2</v>
      </c>
      <c r="E1924">
        <v>6</v>
      </c>
      <c r="F1924">
        <v>4</v>
      </c>
      <c r="G1924">
        <v>1</v>
      </c>
      <c r="H1924">
        <f>표4[[#This Row],[공격성공횟수]]/(표4[[#This Row],[공격실패횟수]]+표4[[#This Row],[공격성공횟수]])</f>
        <v>0.25</v>
      </c>
    </row>
    <row r="1925" spans="1:8" hidden="1" x14ac:dyDescent="0.4">
      <c r="A1925">
        <v>962</v>
      </c>
      <c r="B1925" t="s">
        <v>2</v>
      </c>
      <c r="C1925">
        <v>1</v>
      </c>
      <c r="D1925">
        <v>4</v>
      </c>
      <c r="E1925">
        <v>4</v>
      </c>
      <c r="F1925">
        <v>2</v>
      </c>
      <c r="G1925">
        <v>0</v>
      </c>
      <c r="H1925">
        <f>표4[[#This Row],[공격성공횟수]]/(표4[[#This Row],[공격실패횟수]]+표4[[#This Row],[공격성공횟수]])</f>
        <v>0.5</v>
      </c>
    </row>
    <row r="1926" spans="1:8" x14ac:dyDescent="0.4">
      <c r="A1926">
        <v>963</v>
      </c>
      <c r="B1926" t="s">
        <v>3</v>
      </c>
      <c r="C1926">
        <v>0</v>
      </c>
      <c r="D1926">
        <v>3</v>
      </c>
      <c r="E1926">
        <v>17</v>
      </c>
      <c r="F1926">
        <v>4</v>
      </c>
      <c r="G1926">
        <v>1</v>
      </c>
      <c r="H1926">
        <f>표4[[#This Row],[공격성공횟수]]/(표4[[#This Row],[공격실패횟수]]+표4[[#This Row],[공격성공횟수]])</f>
        <v>0.15</v>
      </c>
    </row>
    <row r="1927" spans="1:8" hidden="1" x14ac:dyDescent="0.4">
      <c r="A1927">
        <v>963</v>
      </c>
      <c r="B1927" t="s">
        <v>2</v>
      </c>
      <c r="C1927">
        <v>1</v>
      </c>
      <c r="D1927">
        <v>4</v>
      </c>
      <c r="E1927">
        <v>29</v>
      </c>
      <c r="F1927">
        <v>3</v>
      </c>
      <c r="G1927">
        <v>0</v>
      </c>
      <c r="H1927">
        <f>표4[[#This Row],[공격성공횟수]]/(표4[[#This Row],[공격실패횟수]]+표4[[#This Row],[공격성공횟수]])</f>
        <v>0.12121212121212122</v>
      </c>
    </row>
    <row r="1928" spans="1:8" x14ac:dyDescent="0.4">
      <c r="A1928">
        <v>964</v>
      </c>
      <c r="B1928" t="s">
        <v>3</v>
      </c>
      <c r="C1928">
        <v>1</v>
      </c>
      <c r="D1928">
        <v>4</v>
      </c>
      <c r="E1928">
        <v>18</v>
      </c>
      <c r="F1928">
        <v>0</v>
      </c>
      <c r="G1928">
        <v>0</v>
      </c>
      <c r="H1928">
        <f>표4[[#This Row],[공격성공횟수]]/(표4[[#This Row],[공격실패횟수]]+표4[[#This Row],[공격성공횟수]])</f>
        <v>0.18181818181818182</v>
      </c>
    </row>
    <row r="1929" spans="1:8" hidden="1" x14ac:dyDescent="0.4">
      <c r="A1929">
        <v>964</v>
      </c>
      <c r="B1929" t="s">
        <v>2</v>
      </c>
      <c r="C1929">
        <v>0</v>
      </c>
      <c r="D1929">
        <v>0</v>
      </c>
      <c r="E1929">
        <v>25</v>
      </c>
      <c r="F1929">
        <v>4</v>
      </c>
      <c r="G1929">
        <v>1</v>
      </c>
      <c r="H1929">
        <f>표4[[#This Row],[공격성공횟수]]/(표4[[#This Row],[공격실패횟수]]+표4[[#This Row],[공격성공횟수]])</f>
        <v>0</v>
      </c>
    </row>
    <row r="1930" spans="1:8" x14ac:dyDescent="0.4">
      <c r="A1930">
        <v>965</v>
      </c>
      <c r="B1930" t="s">
        <v>3</v>
      </c>
      <c r="C1930">
        <v>1</v>
      </c>
      <c r="D1930">
        <v>4</v>
      </c>
      <c r="E1930">
        <v>4</v>
      </c>
      <c r="F1930">
        <v>0</v>
      </c>
      <c r="G1930">
        <v>0</v>
      </c>
      <c r="H1930">
        <f>표4[[#This Row],[공격성공횟수]]/(표4[[#This Row],[공격실패횟수]]+표4[[#This Row],[공격성공횟수]])</f>
        <v>0.5</v>
      </c>
    </row>
    <row r="1931" spans="1:8" hidden="1" x14ac:dyDescent="0.4">
      <c r="A1931">
        <v>965</v>
      </c>
      <c r="B1931" t="s">
        <v>2</v>
      </c>
      <c r="C1931">
        <v>0</v>
      </c>
      <c r="D1931">
        <v>0</v>
      </c>
      <c r="E1931">
        <v>8</v>
      </c>
      <c r="F1931">
        <v>4</v>
      </c>
      <c r="G1931">
        <v>1</v>
      </c>
      <c r="H1931">
        <f>표4[[#This Row],[공격성공횟수]]/(표4[[#This Row],[공격실패횟수]]+표4[[#This Row],[공격성공횟수]])</f>
        <v>0</v>
      </c>
    </row>
    <row r="1932" spans="1:8" x14ac:dyDescent="0.4">
      <c r="A1932">
        <v>966</v>
      </c>
      <c r="B1932" t="s">
        <v>3</v>
      </c>
      <c r="C1932">
        <v>1</v>
      </c>
      <c r="D1932">
        <v>4</v>
      </c>
      <c r="E1932">
        <v>6</v>
      </c>
      <c r="F1932">
        <v>0</v>
      </c>
      <c r="G1932">
        <v>0</v>
      </c>
      <c r="H1932">
        <f>표4[[#This Row],[공격성공횟수]]/(표4[[#This Row],[공격실패횟수]]+표4[[#This Row],[공격성공횟수]])</f>
        <v>0.4</v>
      </c>
    </row>
    <row r="1933" spans="1:8" hidden="1" x14ac:dyDescent="0.4">
      <c r="A1933">
        <v>966</v>
      </c>
      <c r="B1933" t="s">
        <v>2</v>
      </c>
      <c r="C1933">
        <v>0</v>
      </c>
      <c r="D1933">
        <v>0</v>
      </c>
      <c r="E1933">
        <v>10</v>
      </c>
      <c r="F1933">
        <v>4</v>
      </c>
      <c r="G1933">
        <v>1</v>
      </c>
      <c r="H1933">
        <f>표4[[#This Row],[공격성공횟수]]/(표4[[#This Row],[공격실패횟수]]+표4[[#This Row],[공격성공횟수]])</f>
        <v>0</v>
      </c>
    </row>
    <row r="1934" spans="1:8" x14ac:dyDescent="0.4">
      <c r="A1934">
        <v>967</v>
      </c>
      <c r="B1934" t="s">
        <v>3</v>
      </c>
      <c r="C1934">
        <v>1</v>
      </c>
      <c r="D1934">
        <v>4</v>
      </c>
      <c r="E1934">
        <v>36</v>
      </c>
      <c r="F1934">
        <v>0</v>
      </c>
      <c r="G1934">
        <v>0</v>
      </c>
      <c r="H1934">
        <f>표4[[#This Row],[공격성공횟수]]/(표4[[#This Row],[공격실패횟수]]+표4[[#This Row],[공격성공횟수]])</f>
        <v>0.1</v>
      </c>
    </row>
    <row r="1935" spans="1:8" hidden="1" x14ac:dyDescent="0.4">
      <c r="A1935">
        <v>967</v>
      </c>
      <c r="B1935" t="s">
        <v>2</v>
      </c>
      <c r="C1935">
        <v>0</v>
      </c>
      <c r="D1935">
        <v>0</v>
      </c>
      <c r="E1935">
        <v>39</v>
      </c>
      <c r="F1935">
        <v>4</v>
      </c>
      <c r="G1935">
        <v>1</v>
      </c>
      <c r="H1935">
        <f>표4[[#This Row],[공격성공횟수]]/(표4[[#This Row],[공격실패횟수]]+표4[[#This Row],[공격성공횟수]])</f>
        <v>0</v>
      </c>
    </row>
    <row r="1936" spans="1:8" x14ac:dyDescent="0.4">
      <c r="A1936">
        <v>968</v>
      </c>
      <c r="B1936" t="s">
        <v>3</v>
      </c>
      <c r="C1936">
        <v>1</v>
      </c>
      <c r="D1936">
        <v>4</v>
      </c>
      <c r="E1936">
        <v>8</v>
      </c>
      <c r="F1936">
        <v>2</v>
      </c>
      <c r="G1936">
        <v>0</v>
      </c>
      <c r="H1936">
        <f>표4[[#This Row],[공격성공횟수]]/(표4[[#This Row],[공격실패횟수]]+표4[[#This Row],[공격성공횟수]])</f>
        <v>0.33333333333333331</v>
      </c>
    </row>
    <row r="1937" spans="1:8" hidden="1" x14ac:dyDescent="0.4">
      <c r="A1937">
        <v>968</v>
      </c>
      <c r="B1937" t="s">
        <v>2</v>
      </c>
      <c r="C1937">
        <v>0</v>
      </c>
      <c r="D1937">
        <v>2</v>
      </c>
      <c r="E1937">
        <v>11</v>
      </c>
      <c r="F1937">
        <v>4</v>
      </c>
      <c r="G1937">
        <v>1</v>
      </c>
      <c r="H1937">
        <f>표4[[#This Row],[공격성공횟수]]/(표4[[#This Row],[공격실패횟수]]+표4[[#This Row],[공격성공횟수]])</f>
        <v>0.15384615384615385</v>
      </c>
    </row>
    <row r="1938" spans="1:8" x14ac:dyDescent="0.4">
      <c r="A1938">
        <v>969</v>
      </c>
      <c r="B1938" t="s">
        <v>3</v>
      </c>
      <c r="C1938">
        <v>1</v>
      </c>
      <c r="D1938">
        <v>4</v>
      </c>
      <c r="E1938">
        <v>8</v>
      </c>
      <c r="F1938">
        <v>2</v>
      </c>
      <c r="G1938">
        <v>0</v>
      </c>
      <c r="H1938">
        <f>표4[[#This Row],[공격성공횟수]]/(표4[[#This Row],[공격실패횟수]]+표4[[#This Row],[공격성공횟수]])</f>
        <v>0.33333333333333331</v>
      </c>
    </row>
    <row r="1939" spans="1:8" hidden="1" x14ac:dyDescent="0.4">
      <c r="A1939">
        <v>969</v>
      </c>
      <c r="B1939" t="s">
        <v>2</v>
      </c>
      <c r="C1939">
        <v>0</v>
      </c>
      <c r="D1939">
        <v>2</v>
      </c>
      <c r="E1939">
        <v>10</v>
      </c>
      <c r="F1939">
        <v>4</v>
      </c>
      <c r="G1939">
        <v>1</v>
      </c>
      <c r="H1939">
        <f>표4[[#This Row],[공격성공횟수]]/(표4[[#This Row],[공격실패횟수]]+표4[[#This Row],[공격성공횟수]])</f>
        <v>0.16666666666666666</v>
      </c>
    </row>
    <row r="1940" spans="1:8" x14ac:dyDescent="0.4">
      <c r="A1940">
        <v>970</v>
      </c>
      <c r="B1940" t="s">
        <v>3</v>
      </c>
      <c r="C1940">
        <v>1</v>
      </c>
      <c r="D1940">
        <v>4</v>
      </c>
      <c r="E1940">
        <v>7</v>
      </c>
      <c r="F1940">
        <v>2</v>
      </c>
      <c r="G1940">
        <v>0</v>
      </c>
      <c r="H1940">
        <f>표4[[#This Row],[공격성공횟수]]/(표4[[#This Row],[공격실패횟수]]+표4[[#This Row],[공격성공횟수]])</f>
        <v>0.36363636363636365</v>
      </c>
    </row>
    <row r="1941" spans="1:8" hidden="1" x14ac:dyDescent="0.4">
      <c r="A1941">
        <v>970</v>
      </c>
      <c r="B1941" t="s">
        <v>2</v>
      </c>
      <c r="C1941">
        <v>0</v>
      </c>
      <c r="D1941">
        <v>2</v>
      </c>
      <c r="E1941">
        <v>9</v>
      </c>
      <c r="F1941">
        <v>4</v>
      </c>
      <c r="G1941">
        <v>1</v>
      </c>
      <c r="H1941">
        <f>표4[[#This Row],[공격성공횟수]]/(표4[[#This Row],[공격실패횟수]]+표4[[#This Row],[공격성공횟수]])</f>
        <v>0.18181818181818182</v>
      </c>
    </row>
    <row r="1942" spans="1:8" x14ac:dyDescent="0.4">
      <c r="A1942">
        <v>971</v>
      </c>
      <c r="B1942" t="s">
        <v>3</v>
      </c>
      <c r="C1942">
        <v>1</v>
      </c>
      <c r="D1942">
        <v>4</v>
      </c>
      <c r="E1942">
        <v>16</v>
      </c>
      <c r="F1942">
        <v>3</v>
      </c>
      <c r="G1942">
        <v>0</v>
      </c>
      <c r="H1942">
        <f>표4[[#This Row],[공격성공횟수]]/(표4[[#This Row],[공격실패횟수]]+표4[[#This Row],[공격성공횟수]])</f>
        <v>0.2</v>
      </c>
    </row>
    <row r="1943" spans="1:8" hidden="1" x14ac:dyDescent="0.4">
      <c r="A1943">
        <v>971</v>
      </c>
      <c r="B1943" t="s">
        <v>2</v>
      </c>
      <c r="C1943">
        <v>0</v>
      </c>
      <c r="D1943">
        <v>3</v>
      </c>
      <c r="E1943">
        <v>16</v>
      </c>
      <c r="F1943">
        <v>4</v>
      </c>
      <c r="G1943">
        <v>1</v>
      </c>
      <c r="H1943">
        <f>표4[[#This Row],[공격성공횟수]]/(표4[[#This Row],[공격실패횟수]]+표4[[#This Row],[공격성공횟수]])</f>
        <v>0.15789473684210525</v>
      </c>
    </row>
    <row r="1944" spans="1:8" x14ac:dyDescent="0.4">
      <c r="A1944">
        <v>972</v>
      </c>
      <c r="B1944" t="s">
        <v>3</v>
      </c>
      <c r="C1944">
        <v>1</v>
      </c>
      <c r="D1944">
        <v>4</v>
      </c>
      <c r="E1944">
        <v>37</v>
      </c>
      <c r="F1944">
        <v>1</v>
      </c>
      <c r="G1944">
        <v>0</v>
      </c>
      <c r="H1944">
        <f>표4[[#This Row],[공격성공횟수]]/(표4[[#This Row],[공격실패횟수]]+표4[[#This Row],[공격성공횟수]])</f>
        <v>9.7560975609756101E-2</v>
      </c>
    </row>
    <row r="1945" spans="1:8" hidden="1" x14ac:dyDescent="0.4">
      <c r="A1945">
        <v>972</v>
      </c>
      <c r="B1945" t="s">
        <v>2</v>
      </c>
      <c r="C1945">
        <v>0</v>
      </c>
      <c r="D1945">
        <v>1</v>
      </c>
      <c r="E1945">
        <v>48</v>
      </c>
      <c r="F1945">
        <v>4</v>
      </c>
      <c r="G1945">
        <v>1</v>
      </c>
      <c r="H1945">
        <f>표4[[#This Row],[공격성공횟수]]/(표4[[#This Row],[공격실패횟수]]+표4[[#This Row],[공격성공횟수]])</f>
        <v>2.0408163265306121E-2</v>
      </c>
    </row>
    <row r="1946" spans="1:8" x14ac:dyDescent="0.4">
      <c r="A1946">
        <v>973</v>
      </c>
      <c r="B1946" t="s">
        <v>3</v>
      </c>
      <c r="C1946">
        <v>1</v>
      </c>
      <c r="D1946">
        <v>4</v>
      </c>
      <c r="E1946">
        <v>4</v>
      </c>
      <c r="F1946">
        <v>1</v>
      </c>
      <c r="G1946">
        <v>0</v>
      </c>
      <c r="H1946">
        <f>표4[[#This Row],[공격성공횟수]]/(표4[[#This Row],[공격실패횟수]]+표4[[#This Row],[공격성공횟수]])</f>
        <v>0.5</v>
      </c>
    </row>
    <row r="1947" spans="1:8" hidden="1" x14ac:dyDescent="0.4">
      <c r="A1947">
        <v>973</v>
      </c>
      <c r="B1947" t="s">
        <v>2</v>
      </c>
      <c r="C1947">
        <v>0</v>
      </c>
      <c r="D1947">
        <v>1</v>
      </c>
      <c r="E1947">
        <v>7</v>
      </c>
      <c r="F1947">
        <v>4</v>
      </c>
      <c r="G1947">
        <v>1</v>
      </c>
      <c r="H1947">
        <f>표4[[#This Row],[공격성공횟수]]/(표4[[#This Row],[공격실패횟수]]+표4[[#This Row],[공격성공횟수]])</f>
        <v>0.125</v>
      </c>
    </row>
    <row r="1948" spans="1:8" x14ac:dyDescent="0.4">
      <c r="A1948">
        <v>974</v>
      </c>
      <c r="B1948" t="s">
        <v>3</v>
      </c>
      <c r="C1948">
        <v>1</v>
      </c>
      <c r="D1948">
        <v>4</v>
      </c>
      <c r="E1948">
        <v>13</v>
      </c>
      <c r="F1948">
        <v>1</v>
      </c>
      <c r="G1948">
        <v>0</v>
      </c>
      <c r="H1948">
        <f>표4[[#This Row],[공격성공횟수]]/(표4[[#This Row],[공격실패횟수]]+표4[[#This Row],[공격성공횟수]])</f>
        <v>0.23529411764705882</v>
      </c>
    </row>
    <row r="1949" spans="1:8" hidden="1" x14ac:dyDescent="0.4">
      <c r="A1949">
        <v>974</v>
      </c>
      <c r="B1949" t="s">
        <v>2</v>
      </c>
      <c r="C1949">
        <v>0</v>
      </c>
      <c r="D1949">
        <v>1</v>
      </c>
      <c r="E1949">
        <v>17</v>
      </c>
      <c r="F1949">
        <v>4</v>
      </c>
      <c r="G1949">
        <v>1</v>
      </c>
      <c r="H1949">
        <f>표4[[#This Row],[공격성공횟수]]/(표4[[#This Row],[공격실패횟수]]+표4[[#This Row],[공격성공횟수]])</f>
        <v>5.5555555555555552E-2</v>
      </c>
    </row>
    <row r="1950" spans="1:8" x14ac:dyDescent="0.4">
      <c r="A1950">
        <v>975</v>
      </c>
      <c r="B1950" t="s">
        <v>3</v>
      </c>
      <c r="C1950">
        <v>1</v>
      </c>
      <c r="D1950">
        <v>4</v>
      </c>
      <c r="E1950">
        <v>5</v>
      </c>
      <c r="F1950">
        <v>2</v>
      </c>
      <c r="G1950">
        <v>0</v>
      </c>
      <c r="H1950">
        <f>표4[[#This Row],[공격성공횟수]]/(표4[[#This Row],[공격실패횟수]]+표4[[#This Row],[공격성공횟수]])</f>
        <v>0.44444444444444442</v>
      </c>
    </row>
    <row r="1951" spans="1:8" hidden="1" x14ac:dyDescent="0.4">
      <c r="A1951">
        <v>975</v>
      </c>
      <c r="B1951" t="s">
        <v>2</v>
      </c>
      <c r="C1951">
        <v>0</v>
      </c>
      <c r="D1951">
        <v>2</v>
      </c>
      <c r="E1951">
        <v>12</v>
      </c>
      <c r="F1951">
        <v>4</v>
      </c>
      <c r="G1951">
        <v>1</v>
      </c>
      <c r="H1951">
        <f>표4[[#This Row],[공격성공횟수]]/(표4[[#This Row],[공격실패횟수]]+표4[[#This Row],[공격성공횟수]])</f>
        <v>0.14285714285714285</v>
      </c>
    </row>
    <row r="1952" spans="1:8" x14ac:dyDescent="0.4">
      <c r="A1952">
        <v>976</v>
      </c>
      <c r="B1952" t="s">
        <v>3</v>
      </c>
      <c r="C1952">
        <v>1</v>
      </c>
      <c r="D1952">
        <v>4</v>
      </c>
      <c r="E1952">
        <v>4</v>
      </c>
      <c r="F1952">
        <v>0</v>
      </c>
      <c r="G1952">
        <v>0</v>
      </c>
      <c r="H1952">
        <f>표4[[#This Row],[공격성공횟수]]/(표4[[#This Row],[공격실패횟수]]+표4[[#This Row],[공격성공횟수]])</f>
        <v>0.5</v>
      </c>
    </row>
    <row r="1953" spans="1:8" hidden="1" x14ac:dyDescent="0.4">
      <c r="A1953">
        <v>976</v>
      </c>
      <c r="B1953" t="s">
        <v>2</v>
      </c>
      <c r="C1953">
        <v>0</v>
      </c>
      <c r="D1953">
        <v>0</v>
      </c>
      <c r="E1953">
        <v>8</v>
      </c>
      <c r="F1953">
        <v>4</v>
      </c>
      <c r="G1953">
        <v>1</v>
      </c>
      <c r="H1953">
        <f>표4[[#This Row],[공격성공횟수]]/(표4[[#This Row],[공격실패횟수]]+표4[[#This Row],[공격성공횟수]])</f>
        <v>0</v>
      </c>
    </row>
    <row r="1954" spans="1:8" x14ac:dyDescent="0.4">
      <c r="A1954">
        <v>977</v>
      </c>
      <c r="B1954" t="s">
        <v>3</v>
      </c>
      <c r="C1954">
        <v>0</v>
      </c>
      <c r="D1954">
        <v>0</v>
      </c>
      <c r="E1954">
        <v>8</v>
      </c>
      <c r="F1954">
        <v>4</v>
      </c>
      <c r="G1954">
        <v>1</v>
      </c>
      <c r="H1954">
        <f>표4[[#This Row],[공격성공횟수]]/(표4[[#This Row],[공격실패횟수]]+표4[[#This Row],[공격성공횟수]])</f>
        <v>0</v>
      </c>
    </row>
    <row r="1955" spans="1:8" hidden="1" x14ac:dyDescent="0.4">
      <c r="A1955">
        <v>977</v>
      </c>
      <c r="B1955" t="s">
        <v>2</v>
      </c>
      <c r="C1955">
        <v>1</v>
      </c>
      <c r="D1955">
        <v>4</v>
      </c>
      <c r="E1955">
        <v>5</v>
      </c>
      <c r="F1955">
        <v>0</v>
      </c>
      <c r="G1955">
        <v>0</v>
      </c>
      <c r="H1955">
        <f>표4[[#This Row],[공격성공횟수]]/(표4[[#This Row],[공격실패횟수]]+표4[[#This Row],[공격성공횟수]])</f>
        <v>0.44444444444444442</v>
      </c>
    </row>
    <row r="1956" spans="1:8" x14ac:dyDescent="0.4">
      <c r="A1956">
        <v>978</v>
      </c>
      <c r="B1956" t="s">
        <v>3</v>
      </c>
      <c r="C1956">
        <v>1</v>
      </c>
      <c r="D1956">
        <v>4</v>
      </c>
      <c r="E1956">
        <v>35</v>
      </c>
      <c r="F1956">
        <v>0</v>
      </c>
      <c r="G1956">
        <v>0</v>
      </c>
      <c r="H1956">
        <f>표4[[#This Row],[공격성공횟수]]/(표4[[#This Row],[공격실패횟수]]+표4[[#This Row],[공격성공횟수]])</f>
        <v>0.10256410256410256</v>
      </c>
    </row>
    <row r="1957" spans="1:8" hidden="1" x14ac:dyDescent="0.4">
      <c r="A1957">
        <v>978</v>
      </c>
      <c r="B1957" t="s">
        <v>2</v>
      </c>
      <c r="C1957">
        <v>0</v>
      </c>
      <c r="D1957">
        <v>0</v>
      </c>
      <c r="E1957">
        <v>37</v>
      </c>
      <c r="F1957">
        <v>4</v>
      </c>
      <c r="G1957">
        <v>1</v>
      </c>
      <c r="H1957">
        <f>표4[[#This Row],[공격성공횟수]]/(표4[[#This Row],[공격실패횟수]]+표4[[#This Row],[공격성공횟수]])</f>
        <v>0</v>
      </c>
    </row>
    <row r="1958" spans="1:8" x14ac:dyDescent="0.4">
      <c r="A1958">
        <v>979</v>
      </c>
      <c r="B1958" t="s">
        <v>3</v>
      </c>
      <c r="C1958">
        <v>1</v>
      </c>
      <c r="D1958">
        <v>4</v>
      </c>
      <c r="E1958">
        <v>8</v>
      </c>
      <c r="F1958">
        <v>0</v>
      </c>
      <c r="G1958">
        <v>0</v>
      </c>
      <c r="H1958">
        <f>표4[[#This Row],[공격성공횟수]]/(표4[[#This Row],[공격실패횟수]]+표4[[#This Row],[공격성공횟수]])</f>
        <v>0.33333333333333331</v>
      </c>
    </row>
    <row r="1959" spans="1:8" hidden="1" x14ac:dyDescent="0.4">
      <c r="A1959">
        <v>979</v>
      </c>
      <c r="B1959" t="s">
        <v>2</v>
      </c>
      <c r="C1959">
        <v>0</v>
      </c>
      <c r="D1959">
        <v>0</v>
      </c>
      <c r="E1959">
        <v>11</v>
      </c>
      <c r="F1959">
        <v>4</v>
      </c>
      <c r="G1959">
        <v>1</v>
      </c>
      <c r="H1959">
        <f>표4[[#This Row],[공격성공횟수]]/(표4[[#This Row],[공격실패횟수]]+표4[[#This Row],[공격성공횟수]])</f>
        <v>0</v>
      </c>
    </row>
    <row r="1960" spans="1:8" x14ac:dyDescent="0.4">
      <c r="A1960">
        <v>980</v>
      </c>
      <c r="B1960" t="s">
        <v>3</v>
      </c>
      <c r="C1960">
        <v>1</v>
      </c>
      <c r="D1960">
        <v>4</v>
      </c>
      <c r="E1960">
        <v>51</v>
      </c>
      <c r="F1960">
        <v>1</v>
      </c>
      <c r="G1960">
        <v>0</v>
      </c>
      <c r="H1960">
        <f>표4[[#This Row],[공격성공횟수]]/(표4[[#This Row],[공격실패횟수]]+표4[[#This Row],[공격성공횟수]])</f>
        <v>7.2727272727272724E-2</v>
      </c>
    </row>
    <row r="1961" spans="1:8" hidden="1" x14ac:dyDescent="0.4">
      <c r="A1961">
        <v>980</v>
      </c>
      <c r="B1961" t="s">
        <v>2</v>
      </c>
      <c r="C1961">
        <v>0</v>
      </c>
      <c r="D1961">
        <v>1</v>
      </c>
      <c r="E1961">
        <v>80</v>
      </c>
      <c r="F1961">
        <v>4</v>
      </c>
      <c r="G1961">
        <v>1</v>
      </c>
      <c r="H1961">
        <f>표4[[#This Row],[공격성공횟수]]/(표4[[#This Row],[공격실패횟수]]+표4[[#This Row],[공격성공횟수]])</f>
        <v>1.2345679012345678E-2</v>
      </c>
    </row>
    <row r="1962" spans="1:8" x14ac:dyDescent="0.4">
      <c r="A1962">
        <v>981</v>
      </c>
      <c r="B1962" t="s">
        <v>3</v>
      </c>
      <c r="C1962">
        <v>1</v>
      </c>
      <c r="D1962">
        <v>4</v>
      </c>
      <c r="E1962">
        <v>43</v>
      </c>
      <c r="F1962">
        <v>3</v>
      </c>
      <c r="G1962">
        <v>0</v>
      </c>
      <c r="H1962">
        <f>표4[[#This Row],[공격성공횟수]]/(표4[[#This Row],[공격실패횟수]]+표4[[#This Row],[공격성공횟수]])</f>
        <v>8.5106382978723402E-2</v>
      </c>
    </row>
    <row r="1963" spans="1:8" hidden="1" x14ac:dyDescent="0.4">
      <c r="A1963">
        <v>981</v>
      </c>
      <c r="B1963" t="s">
        <v>2</v>
      </c>
      <c r="C1963">
        <v>0</v>
      </c>
      <c r="D1963">
        <v>3</v>
      </c>
      <c r="E1963">
        <v>52</v>
      </c>
      <c r="F1963">
        <v>4</v>
      </c>
      <c r="G1963">
        <v>1</v>
      </c>
      <c r="H1963">
        <f>표4[[#This Row],[공격성공횟수]]/(표4[[#This Row],[공격실패횟수]]+표4[[#This Row],[공격성공횟수]])</f>
        <v>5.4545454545454543E-2</v>
      </c>
    </row>
    <row r="1964" spans="1:8" x14ac:dyDescent="0.4">
      <c r="A1964">
        <v>982</v>
      </c>
      <c r="B1964" t="s">
        <v>3</v>
      </c>
      <c r="C1964">
        <v>0</v>
      </c>
      <c r="D1964">
        <v>3</v>
      </c>
      <c r="E1964">
        <v>6</v>
      </c>
      <c r="F1964">
        <v>4</v>
      </c>
      <c r="G1964">
        <v>1</v>
      </c>
      <c r="H1964">
        <f>표4[[#This Row],[공격성공횟수]]/(표4[[#This Row],[공격실패횟수]]+표4[[#This Row],[공격성공횟수]])</f>
        <v>0.33333333333333331</v>
      </c>
    </row>
    <row r="1965" spans="1:8" hidden="1" x14ac:dyDescent="0.4">
      <c r="A1965">
        <v>982</v>
      </c>
      <c r="B1965" t="s">
        <v>2</v>
      </c>
      <c r="C1965">
        <v>1</v>
      </c>
      <c r="D1965">
        <v>4</v>
      </c>
      <c r="E1965">
        <v>5</v>
      </c>
      <c r="F1965">
        <v>3</v>
      </c>
      <c r="G1965">
        <v>0</v>
      </c>
      <c r="H1965">
        <f>표4[[#This Row],[공격성공횟수]]/(표4[[#This Row],[공격실패횟수]]+표4[[#This Row],[공격성공횟수]])</f>
        <v>0.44444444444444442</v>
      </c>
    </row>
    <row r="1966" spans="1:8" x14ac:dyDescent="0.4">
      <c r="A1966">
        <v>983</v>
      </c>
      <c r="B1966" t="s">
        <v>3</v>
      </c>
      <c r="C1966">
        <v>1</v>
      </c>
      <c r="D1966">
        <v>4</v>
      </c>
      <c r="E1966">
        <v>5</v>
      </c>
      <c r="F1966">
        <v>1</v>
      </c>
      <c r="G1966">
        <v>0</v>
      </c>
      <c r="H1966">
        <f>표4[[#This Row],[공격성공횟수]]/(표4[[#This Row],[공격실패횟수]]+표4[[#This Row],[공격성공횟수]])</f>
        <v>0.44444444444444442</v>
      </c>
    </row>
    <row r="1967" spans="1:8" hidden="1" x14ac:dyDescent="0.4">
      <c r="A1967">
        <v>983</v>
      </c>
      <c r="B1967" t="s">
        <v>2</v>
      </c>
      <c r="C1967">
        <v>0</v>
      </c>
      <c r="D1967">
        <v>1</v>
      </c>
      <c r="E1967">
        <v>7</v>
      </c>
      <c r="F1967">
        <v>4</v>
      </c>
      <c r="G1967">
        <v>1</v>
      </c>
      <c r="H1967">
        <f>표4[[#This Row],[공격성공횟수]]/(표4[[#This Row],[공격실패횟수]]+표4[[#This Row],[공격성공횟수]])</f>
        <v>0.125</v>
      </c>
    </row>
    <row r="1968" spans="1:8" x14ac:dyDescent="0.4">
      <c r="A1968">
        <v>984</v>
      </c>
      <c r="B1968" t="s">
        <v>3</v>
      </c>
      <c r="C1968">
        <v>1</v>
      </c>
      <c r="D1968">
        <v>4</v>
      </c>
      <c r="E1968">
        <v>3</v>
      </c>
      <c r="F1968">
        <v>3</v>
      </c>
      <c r="G1968">
        <v>0</v>
      </c>
      <c r="H1968">
        <f>표4[[#This Row],[공격성공횟수]]/(표4[[#This Row],[공격실패횟수]]+표4[[#This Row],[공격성공횟수]])</f>
        <v>0.5714285714285714</v>
      </c>
    </row>
    <row r="1969" spans="1:8" hidden="1" x14ac:dyDescent="0.4">
      <c r="A1969">
        <v>984</v>
      </c>
      <c r="B1969" t="s">
        <v>2</v>
      </c>
      <c r="C1969">
        <v>0</v>
      </c>
      <c r="D1969">
        <v>3</v>
      </c>
      <c r="E1969">
        <v>5</v>
      </c>
      <c r="F1969">
        <v>4</v>
      </c>
      <c r="G1969">
        <v>1</v>
      </c>
      <c r="H1969">
        <f>표4[[#This Row],[공격성공횟수]]/(표4[[#This Row],[공격실패횟수]]+표4[[#This Row],[공격성공횟수]])</f>
        <v>0.375</v>
      </c>
    </row>
    <row r="1970" spans="1:8" x14ac:dyDescent="0.4">
      <c r="A1970">
        <v>985</v>
      </c>
      <c r="B1970" t="s">
        <v>3</v>
      </c>
      <c r="C1970">
        <v>1</v>
      </c>
      <c r="D1970">
        <v>4</v>
      </c>
      <c r="E1970">
        <v>8</v>
      </c>
      <c r="F1970">
        <v>2</v>
      </c>
      <c r="G1970">
        <v>0</v>
      </c>
      <c r="H1970">
        <f>표4[[#This Row],[공격성공횟수]]/(표4[[#This Row],[공격실패횟수]]+표4[[#This Row],[공격성공횟수]])</f>
        <v>0.33333333333333331</v>
      </c>
    </row>
    <row r="1971" spans="1:8" hidden="1" x14ac:dyDescent="0.4">
      <c r="A1971">
        <v>985</v>
      </c>
      <c r="B1971" t="s">
        <v>2</v>
      </c>
      <c r="C1971">
        <v>0</v>
      </c>
      <c r="D1971">
        <v>2</v>
      </c>
      <c r="E1971">
        <v>9</v>
      </c>
      <c r="F1971">
        <v>4</v>
      </c>
      <c r="G1971">
        <v>1</v>
      </c>
      <c r="H1971">
        <f>표4[[#This Row],[공격성공횟수]]/(표4[[#This Row],[공격실패횟수]]+표4[[#This Row],[공격성공횟수]])</f>
        <v>0.18181818181818182</v>
      </c>
    </row>
    <row r="1972" spans="1:8" x14ac:dyDescent="0.4">
      <c r="A1972">
        <v>986</v>
      </c>
      <c r="B1972" t="s">
        <v>3</v>
      </c>
      <c r="C1972">
        <v>1</v>
      </c>
      <c r="D1972">
        <v>4</v>
      </c>
      <c r="E1972">
        <v>2</v>
      </c>
      <c r="F1972">
        <v>1</v>
      </c>
      <c r="G1972">
        <v>0</v>
      </c>
      <c r="H1972">
        <f>표4[[#This Row],[공격성공횟수]]/(표4[[#This Row],[공격실패횟수]]+표4[[#This Row],[공격성공횟수]])</f>
        <v>0.66666666666666663</v>
      </c>
    </row>
    <row r="1973" spans="1:8" hidden="1" x14ac:dyDescent="0.4">
      <c r="A1973">
        <v>986</v>
      </c>
      <c r="B1973" t="s">
        <v>2</v>
      </c>
      <c r="C1973">
        <v>0</v>
      </c>
      <c r="D1973">
        <v>1</v>
      </c>
      <c r="E1973">
        <v>5</v>
      </c>
      <c r="F1973">
        <v>4</v>
      </c>
      <c r="G1973">
        <v>1</v>
      </c>
      <c r="H1973">
        <f>표4[[#This Row],[공격성공횟수]]/(표4[[#This Row],[공격실패횟수]]+표4[[#This Row],[공격성공횟수]])</f>
        <v>0.16666666666666666</v>
      </c>
    </row>
    <row r="1974" spans="1:8" x14ac:dyDescent="0.4">
      <c r="A1974">
        <v>987</v>
      </c>
      <c r="B1974" t="s">
        <v>3</v>
      </c>
      <c r="C1974">
        <v>1</v>
      </c>
      <c r="D1974">
        <v>4</v>
      </c>
      <c r="E1974">
        <v>8</v>
      </c>
      <c r="F1974">
        <v>0</v>
      </c>
      <c r="G1974">
        <v>0</v>
      </c>
      <c r="H1974">
        <f>표4[[#This Row],[공격성공횟수]]/(표4[[#This Row],[공격실패횟수]]+표4[[#This Row],[공격성공횟수]])</f>
        <v>0.33333333333333331</v>
      </c>
    </row>
    <row r="1975" spans="1:8" hidden="1" x14ac:dyDescent="0.4">
      <c r="A1975">
        <v>987</v>
      </c>
      <c r="B1975" t="s">
        <v>2</v>
      </c>
      <c r="C1975">
        <v>0</v>
      </c>
      <c r="D1975">
        <v>0</v>
      </c>
      <c r="E1975">
        <v>11</v>
      </c>
      <c r="F1975">
        <v>4</v>
      </c>
      <c r="G1975">
        <v>1</v>
      </c>
      <c r="H1975">
        <f>표4[[#This Row],[공격성공횟수]]/(표4[[#This Row],[공격실패횟수]]+표4[[#This Row],[공격성공횟수]])</f>
        <v>0</v>
      </c>
    </row>
    <row r="1976" spans="1:8" x14ac:dyDescent="0.4">
      <c r="A1976">
        <v>988</v>
      </c>
      <c r="B1976" t="s">
        <v>3</v>
      </c>
      <c r="C1976">
        <v>1</v>
      </c>
      <c r="D1976">
        <v>4</v>
      </c>
      <c r="E1976">
        <v>3</v>
      </c>
      <c r="F1976">
        <v>1</v>
      </c>
      <c r="G1976">
        <v>0</v>
      </c>
      <c r="H1976">
        <f>표4[[#This Row],[공격성공횟수]]/(표4[[#This Row],[공격실패횟수]]+표4[[#This Row],[공격성공횟수]])</f>
        <v>0.5714285714285714</v>
      </c>
    </row>
    <row r="1977" spans="1:8" hidden="1" x14ac:dyDescent="0.4">
      <c r="A1977">
        <v>988</v>
      </c>
      <c r="B1977" t="s">
        <v>2</v>
      </c>
      <c r="C1977">
        <v>0</v>
      </c>
      <c r="D1977">
        <v>1</v>
      </c>
      <c r="E1977">
        <v>6</v>
      </c>
      <c r="F1977">
        <v>4</v>
      </c>
      <c r="G1977">
        <v>1</v>
      </c>
      <c r="H1977">
        <f>표4[[#This Row],[공격성공횟수]]/(표4[[#This Row],[공격실패횟수]]+표4[[#This Row],[공격성공횟수]])</f>
        <v>0.14285714285714285</v>
      </c>
    </row>
    <row r="1978" spans="1:8" x14ac:dyDescent="0.4">
      <c r="A1978">
        <v>989</v>
      </c>
      <c r="B1978" t="s">
        <v>3</v>
      </c>
      <c r="C1978">
        <v>1</v>
      </c>
      <c r="D1978">
        <v>4</v>
      </c>
      <c r="E1978">
        <v>9</v>
      </c>
      <c r="F1978">
        <v>2</v>
      </c>
      <c r="G1978">
        <v>0</v>
      </c>
      <c r="H1978">
        <f>표4[[#This Row],[공격성공횟수]]/(표4[[#This Row],[공격실패횟수]]+표4[[#This Row],[공격성공횟수]])</f>
        <v>0.30769230769230771</v>
      </c>
    </row>
    <row r="1979" spans="1:8" hidden="1" x14ac:dyDescent="0.4">
      <c r="A1979">
        <v>989</v>
      </c>
      <c r="B1979" t="s">
        <v>2</v>
      </c>
      <c r="C1979">
        <v>0</v>
      </c>
      <c r="D1979">
        <v>2</v>
      </c>
      <c r="E1979">
        <v>11</v>
      </c>
      <c r="F1979">
        <v>4</v>
      </c>
      <c r="G1979">
        <v>1</v>
      </c>
      <c r="H1979">
        <f>표4[[#This Row],[공격성공횟수]]/(표4[[#This Row],[공격실패횟수]]+표4[[#This Row],[공격성공횟수]])</f>
        <v>0.15384615384615385</v>
      </c>
    </row>
    <row r="1980" spans="1:8" x14ac:dyDescent="0.4">
      <c r="A1980">
        <v>990</v>
      </c>
      <c r="B1980" t="s">
        <v>3</v>
      </c>
      <c r="C1980">
        <v>1</v>
      </c>
      <c r="D1980">
        <v>4</v>
      </c>
      <c r="E1980">
        <v>58</v>
      </c>
      <c r="F1980">
        <v>3</v>
      </c>
      <c r="G1980">
        <v>0</v>
      </c>
      <c r="H1980">
        <f>표4[[#This Row],[공격성공횟수]]/(표4[[#This Row],[공격실패횟수]]+표4[[#This Row],[공격성공횟수]])</f>
        <v>6.4516129032258063E-2</v>
      </c>
    </row>
    <row r="1981" spans="1:8" hidden="1" x14ac:dyDescent="0.4">
      <c r="A1981">
        <v>990</v>
      </c>
      <c r="B1981" t="s">
        <v>2</v>
      </c>
      <c r="C1981">
        <v>0</v>
      </c>
      <c r="D1981">
        <v>3</v>
      </c>
      <c r="E1981">
        <v>67</v>
      </c>
      <c r="F1981">
        <v>4</v>
      </c>
      <c r="G1981">
        <v>1</v>
      </c>
      <c r="H1981">
        <f>표4[[#This Row],[공격성공횟수]]/(표4[[#This Row],[공격실패횟수]]+표4[[#This Row],[공격성공횟수]])</f>
        <v>4.2857142857142858E-2</v>
      </c>
    </row>
    <row r="1982" spans="1:8" x14ac:dyDescent="0.4">
      <c r="A1982">
        <v>991</v>
      </c>
      <c r="B1982" t="s">
        <v>3</v>
      </c>
      <c r="C1982">
        <v>1</v>
      </c>
      <c r="D1982">
        <v>4</v>
      </c>
      <c r="E1982">
        <v>18</v>
      </c>
      <c r="F1982">
        <v>1</v>
      </c>
      <c r="G1982">
        <v>0</v>
      </c>
      <c r="H1982">
        <f>표4[[#This Row],[공격성공횟수]]/(표4[[#This Row],[공격실패횟수]]+표4[[#This Row],[공격성공횟수]])</f>
        <v>0.18181818181818182</v>
      </c>
    </row>
    <row r="1983" spans="1:8" hidden="1" x14ac:dyDescent="0.4">
      <c r="A1983">
        <v>991</v>
      </c>
      <c r="B1983" t="s">
        <v>2</v>
      </c>
      <c r="C1983">
        <v>0</v>
      </c>
      <c r="D1983">
        <v>1</v>
      </c>
      <c r="E1983">
        <v>20</v>
      </c>
      <c r="F1983">
        <v>4</v>
      </c>
      <c r="G1983">
        <v>1</v>
      </c>
      <c r="H1983">
        <f>표4[[#This Row],[공격성공횟수]]/(표4[[#This Row],[공격실패횟수]]+표4[[#This Row],[공격성공횟수]])</f>
        <v>4.7619047619047616E-2</v>
      </c>
    </row>
    <row r="1984" spans="1:8" x14ac:dyDescent="0.4">
      <c r="A1984">
        <v>992</v>
      </c>
      <c r="B1984" t="s">
        <v>3</v>
      </c>
      <c r="C1984">
        <v>1</v>
      </c>
      <c r="D1984">
        <v>4</v>
      </c>
      <c r="E1984">
        <v>10</v>
      </c>
      <c r="F1984">
        <v>2</v>
      </c>
      <c r="G1984">
        <v>0</v>
      </c>
      <c r="H1984">
        <f>표4[[#This Row],[공격성공횟수]]/(표4[[#This Row],[공격실패횟수]]+표4[[#This Row],[공격성공횟수]])</f>
        <v>0.2857142857142857</v>
      </c>
    </row>
    <row r="1985" spans="1:8" hidden="1" x14ac:dyDescent="0.4">
      <c r="A1985">
        <v>992</v>
      </c>
      <c r="B1985" t="s">
        <v>2</v>
      </c>
      <c r="C1985">
        <v>0</v>
      </c>
      <c r="D1985">
        <v>2</v>
      </c>
      <c r="E1985">
        <v>11</v>
      </c>
      <c r="F1985">
        <v>4</v>
      </c>
      <c r="G1985">
        <v>1</v>
      </c>
      <c r="H1985">
        <f>표4[[#This Row],[공격성공횟수]]/(표4[[#This Row],[공격실패횟수]]+표4[[#This Row],[공격성공횟수]])</f>
        <v>0.15384615384615385</v>
      </c>
    </row>
    <row r="1986" spans="1:8" x14ac:dyDescent="0.4">
      <c r="A1986">
        <v>993</v>
      </c>
      <c r="B1986" t="s">
        <v>3</v>
      </c>
      <c r="C1986">
        <v>1</v>
      </c>
      <c r="D1986">
        <v>4</v>
      </c>
      <c r="E1986">
        <v>8</v>
      </c>
      <c r="F1986">
        <v>0</v>
      </c>
      <c r="G1986">
        <v>0</v>
      </c>
      <c r="H1986">
        <f>표4[[#This Row],[공격성공횟수]]/(표4[[#This Row],[공격실패횟수]]+표4[[#This Row],[공격성공횟수]])</f>
        <v>0.33333333333333331</v>
      </c>
    </row>
    <row r="1987" spans="1:8" hidden="1" x14ac:dyDescent="0.4">
      <c r="A1987">
        <v>993</v>
      </c>
      <c r="B1987" t="s">
        <v>2</v>
      </c>
      <c r="C1987">
        <v>0</v>
      </c>
      <c r="D1987">
        <v>0</v>
      </c>
      <c r="E1987">
        <v>19</v>
      </c>
      <c r="F1987">
        <v>4</v>
      </c>
      <c r="G1987">
        <v>1</v>
      </c>
      <c r="H1987">
        <f>표4[[#This Row],[공격성공횟수]]/(표4[[#This Row],[공격실패횟수]]+표4[[#This Row],[공격성공횟수]])</f>
        <v>0</v>
      </c>
    </row>
    <row r="1988" spans="1:8" x14ac:dyDescent="0.4">
      <c r="A1988">
        <v>994</v>
      </c>
      <c r="B1988" t="s">
        <v>3</v>
      </c>
      <c r="C1988">
        <v>1</v>
      </c>
      <c r="D1988">
        <v>4</v>
      </c>
      <c r="E1988">
        <v>11</v>
      </c>
      <c r="F1988">
        <v>3</v>
      </c>
      <c r="G1988">
        <v>0</v>
      </c>
      <c r="H1988">
        <f>표4[[#This Row],[공격성공횟수]]/(표4[[#This Row],[공격실패횟수]]+표4[[#This Row],[공격성공횟수]])</f>
        <v>0.26666666666666666</v>
      </c>
    </row>
    <row r="1989" spans="1:8" hidden="1" x14ac:dyDescent="0.4">
      <c r="A1989">
        <v>994</v>
      </c>
      <c r="B1989" t="s">
        <v>2</v>
      </c>
      <c r="C1989">
        <v>0</v>
      </c>
      <c r="D1989">
        <v>3</v>
      </c>
      <c r="E1989">
        <v>12</v>
      </c>
      <c r="F1989">
        <v>4</v>
      </c>
      <c r="G1989">
        <v>1</v>
      </c>
      <c r="H1989">
        <f>표4[[#This Row],[공격성공횟수]]/(표4[[#This Row],[공격실패횟수]]+표4[[#This Row],[공격성공횟수]])</f>
        <v>0.2</v>
      </c>
    </row>
    <row r="1990" spans="1:8" x14ac:dyDescent="0.4">
      <c r="A1990">
        <v>995</v>
      </c>
      <c r="B1990" t="s">
        <v>3</v>
      </c>
      <c r="C1990">
        <v>1</v>
      </c>
      <c r="D1990">
        <v>4</v>
      </c>
      <c r="E1990">
        <v>3</v>
      </c>
      <c r="F1990">
        <v>3</v>
      </c>
      <c r="G1990">
        <v>0</v>
      </c>
      <c r="H1990">
        <f>표4[[#This Row],[공격성공횟수]]/(표4[[#This Row],[공격실패횟수]]+표4[[#This Row],[공격성공횟수]])</f>
        <v>0.5714285714285714</v>
      </c>
    </row>
    <row r="1991" spans="1:8" hidden="1" x14ac:dyDescent="0.4">
      <c r="A1991">
        <v>995</v>
      </c>
      <c r="B1991" t="s">
        <v>2</v>
      </c>
      <c r="C1991">
        <v>0</v>
      </c>
      <c r="D1991">
        <v>3</v>
      </c>
      <c r="E1991">
        <v>4</v>
      </c>
      <c r="F1991">
        <v>4</v>
      </c>
      <c r="G1991">
        <v>1</v>
      </c>
      <c r="H1991">
        <f>표4[[#This Row],[공격성공횟수]]/(표4[[#This Row],[공격실패횟수]]+표4[[#This Row],[공격성공횟수]])</f>
        <v>0.42857142857142855</v>
      </c>
    </row>
    <row r="1992" spans="1:8" x14ac:dyDescent="0.4">
      <c r="A1992">
        <v>996</v>
      </c>
      <c r="B1992" t="s">
        <v>3</v>
      </c>
      <c r="C1992">
        <v>1</v>
      </c>
      <c r="D1992">
        <v>4</v>
      </c>
      <c r="E1992">
        <v>7</v>
      </c>
      <c r="F1992">
        <v>2</v>
      </c>
      <c r="G1992">
        <v>0</v>
      </c>
      <c r="H1992">
        <f>표4[[#This Row],[공격성공횟수]]/(표4[[#This Row],[공격실패횟수]]+표4[[#This Row],[공격성공횟수]])</f>
        <v>0.36363636363636365</v>
      </c>
    </row>
    <row r="1993" spans="1:8" hidden="1" x14ac:dyDescent="0.4">
      <c r="A1993">
        <v>996</v>
      </c>
      <c r="B1993" t="s">
        <v>2</v>
      </c>
      <c r="C1993">
        <v>0</v>
      </c>
      <c r="D1993">
        <v>2</v>
      </c>
      <c r="E1993">
        <v>8</v>
      </c>
      <c r="F1993">
        <v>4</v>
      </c>
      <c r="G1993">
        <v>1</v>
      </c>
      <c r="H1993">
        <f>표4[[#This Row],[공격성공횟수]]/(표4[[#This Row],[공격실패횟수]]+표4[[#This Row],[공격성공횟수]])</f>
        <v>0.2</v>
      </c>
    </row>
    <row r="1994" spans="1:8" x14ac:dyDescent="0.4">
      <c r="A1994">
        <v>997</v>
      </c>
      <c r="B1994" t="s">
        <v>3</v>
      </c>
      <c r="C1994">
        <v>0</v>
      </c>
      <c r="D1994">
        <v>3</v>
      </c>
      <c r="E1994">
        <v>7</v>
      </c>
      <c r="F1994">
        <v>4</v>
      </c>
      <c r="G1994">
        <v>1</v>
      </c>
      <c r="H1994">
        <f>표4[[#This Row],[공격성공횟수]]/(표4[[#This Row],[공격실패횟수]]+표4[[#This Row],[공격성공횟수]])</f>
        <v>0.3</v>
      </c>
    </row>
    <row r="1995" spans="1:8" hidden="1" x14ac:dyDescent="0.4">
      <c r="A1995">
        <v>997</v>
      </c>
      <c r="B1995" t="s">
        <v>2</v>
      </c>
      <c r="C1995">
        <v>1</v>
      </c>
      <c r="D1995">
        <v>4</v>
      </c>
      <c r="E1995">
        <v>59</v>
      </c>
      <c r="F1995">
        <v>3</v>
      </c>
      <c r="G1995">
        <v>0</v>
      </c>
      <c r="H1995">
        <f>표4[[#This Row],[공격성공횟수]]/(표4[[#This Row],[공격실패횟수]]+표4[[#This Row],[공격성공횟수]])</f>
        <v>6.3492063492063489E-2</v>
      </c>
    </row>
    <row r="1996" spans="1:8" x14ac:dyDescent="0.4">
      <c r="A1996">
        <v>998</v>
      </c>
      <c r="B1996" t="s">
        <v>3</v>
      </c>
      <c r="C1996">
        <v>0</v>
      </c>
      <c r="D1996">
        <v>2</v>
      </c>
      <c r="E1996">
        <v>9</v>
      </c>
      <c r="F1996">
        <v>4</v>
      </c>
      <c r="G1996">
        <v>1</v>
      </c>
      <c r="H1996">
        <f>표4[[#This Row],[공격성공횟수]]/(표4[[#This Row],[공격실패횟수]]+표4[[#This Row],[공격성공횟수]])</f>
        <v>0.18181818181818182</v>
      </c>
    </row>
    <row r="1997" spans="1:8" hidden="1" x14ac:dyDescent="0.4">
      <c r="A1997">
        <v>998</v>
      </c>
      <c r="B1997" t="s">
        <v>2</v>
      </c>
      <c r="C1997">
        <v>1</v>
      </c>
      <c r="D1997">
        <v>4</v>
      </c>
      <c r="E1997">
        <v>7</v>
      </c>
      <c r="F1997">
        <v>2</v>
      </c>
      <c r="G1997">
        <v>0</v>
      </c>
      <c r="H1997">
        <f>표4[[#This Row],[공격성공횟수]]/(표4[[#This Row],[공격실패횟수]]+표4[[#This Row],[공격성공횟수]])</f>
        <v>0.36363636363636365</v>
      </c>
    </row>
    <row r="1998" spans="1:8" x14ac:dyDescent="0.4">
      <c r="A1998">
        <v>999</v>
      </c>
      <c r="B1998" t="s">
        <v>3</v>
      </c>
      <c r="C1998">
        <v>1</v>
      </c>
      <c r="D1998">
        <v>4</v>
      </c>
      <c r="E1998">
        <v>11</v>
      </c>
      <c r="F1998">
        <v>1</v>
      </c>
      <c r="G1998">
        <v>0</v>
      </c>
      <c r="H1998">
        <f>표4[[#This Row],[공격성공횟수]]/(표4[[#This Row],[공격실패횟수]]+표4[[#This Row],[공격성공횟수]])</f>
        <v>0.26666666666666666</v>
      </c>
    </row>
    <row r="1999" spans="1:8" hidden="1" x14ac:dyDescent="0.4">
      <c r="A1999">
        <v>999</v>
      </c>
      <c r="B1999" t="s">
        <v>2</v>
      </c>
      <c r="C1999">
        <v>0</v>
      </c>
      <c r="D1999">
        <v>1</v>
      </c>
      <c r="E1999">
        <v>24</v>
      </c>
      <c r="F1999">
        <v>4</v>
      </c>
      <c r="G1999">
        <v>1</v>
      </c>
      <c r="H1999">
        <f>표4[[#This Row],[공격성공횟수]]/(표4[[#This Row],[공격실패횟수]]+표4[[#This Row],[공격성공횟수]])</f>
        <v>0.04</v>
      </c>
    </row>
    <row r="2000" spans="1:8" x14ac:dyDescent="0.4">
      <c r="A2000">
        <v>1000</v>
      </c>
      <c r="B2000" t="s">
        <v>3</v>
      </c>
      <c r="C2000">
        <v>1</v>
      </c>
      <c r="D2000">
        <v>4</v>
      </c>
      <c r="E2000">
        <v>10</v>
      </c>
      <c r="F2000">
        <v>0</v>
      </c>
      <c r="G2000">
        <v>0</v>
      </c>
      <c r="H2000">
        <f>표4[[#This Row],[공격성공횟수]]/(표4[[#This Row],[공격실패횟수]]+표4[[#This Row],[공격성공횟수]])</f>
        <v>0.2857142857142857</v>
      </c>
    </row>
    <row r="2001" spans="1:10" hidden="1" x14ac:dyDescent="0.4">
      <c r="A2001">
        <v>1000</v>
      </c>
      <c r="B2001" t="s">
        <v>2</v>
      </c>
      <c r="C2001">
        <v>0</v>
      </c>
      <c r="D2001">
        <v>0</v>
      </c>
      <c r="E2001">
        <v>13</v>
      </c>
      <c r="F2001">
        <v>4</v>
      </c>
      <c r="G2001">
        <v>1</v>
      </c>
      <c r="H2001">
        <f>표4[[#This Row],[공격성공횟수]]/(표4[[#This Row],[공격실패횟수]]+표4[[#This Row],[공격성공횟수]])</f>
        <v>0</v>
      </c>
    </row>
    <row r="2002" spans="1:10" x14ac:dyDescent="0.4">
      <c r="C2002">
        <f xml:space="preserve"> SUBTOTAL(9,C1:C2001)</f>
        <v>725</v>
      </c>
      <c r="D2002">
        <f xml:space="preserve"> SUBTOTAL(9,D1:D2001)</f>
        <v>3339</v>
      </c>
      <c r="E2002">
        <f xml:space="preserve"> SUBTOTAL(9,E1:E2001)</f>
        <v>16665</v>
      </c>
      <c r="F2002">
        <f xml:space="preserve"> SUBTOTAL(9,F1:F2001)</f>
        <v>2027</v>
      </c>
      <c r="G2002">
        <f xml:space="preserve"> SUBTOTAL(9,G1:G2001)</f>
        <v>261</v>
      </c>
      <c r="I2002" t="s">
        <v>5</v>
      </c>
      <c r="J2002">
        <f xml:space="preserve"> 표4[[#Totals],[공격성공횟수]]+표4[[#Totals],[공격실패횟수]]</f>
        <v>20004</v>
      </c>
    </row>
    <row r="2003" spans="1:10" x14ac:dyDescent="0.4">
      <c r="H2003" t="s">
        <v>6</v>
      </c>
      <c r="I2003">
        <f>표4[[#Totals],[공격성공횟수]]/J2002</f>
        <v>0.16691661667666466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DADD6-2352-424A-AE4A-204506E0619D}">
  <dimension ref="A1:J15"/>
  <sheetViews>
    <sheetView workbookViewId="0">
      <selection activeCell="I6" sqref="I6"/>
    </sheetView>
  </sheetViews>
  <sheetFormatPr defaultRowHeight="17.399999999999999" x14ac:dyDescent="0.4"/>
  <cols>
    <col min="1" max="4" width="13.59765625" customWidth="1"/>
    <col min="6" max="6" width="14.59765625" customWidth="1"/>
    <col min="7" max="10" width="14.3984375" customWidth="1"/>
  </cols>
  <sheetData>
    <row r="1" spans="1:10" ht="51.75" customHeight="1" x14ac:dyDescent="0.4">
      <c r="A1" s="14" t="s">
        <v>8</v>
      </c>
      <c r="B1" s="15"/>
      <c r="C1" s="15"/>
      <c r="D1" s="15"/>
      <c r="G1" s="17" t="s">
        <v>7</v>
      </c>
      <c r="H1" s="17"/>
      <c r="I1" s="17"/>
      <c r="J1" s="17"/>
    </row>
    <row r="2" spans="1:10" x14ac:dyDescent="0.4">
      <c r="A2" s="16" t="s">
        <v>13</v>
      </c>
      <c r="B2" s="16"/>
      <c r="C2" s="16" t="s">
        <v>14</v>
      </c>
      <c r="D2" s="16"/>
      <c r="G2" s="18" t="s">
        <v>13</v>
      </c>
      <c r="H2" s="19"/>
      <c r="I2" s="18" t="s">
        <v>14</v>
      </c>
      <c r="J2" s="19"/>
    </row>
    <row r="3" spans="1:10" x14ac:dyDescent="0.4">
      <c r="A3" s="1" t="s">
        <v>10</v>
      </c>
      <c r="B3" s="1" t="s">
        <v>11</v>
      </c>
      <c r="C3" s="1" t="s">
        <v>10</v>
      </c>
      <c r="D3" s="1" t="s">
        <v>11</v>
      </c>
      <c r="G3" s="1" t="s">
        <v>10</v>
      </c>
      <c r="H3" s="1" t="s">
        <v>11</v>
      </c>
      <c r="I3" s="1" t="s">
        <v>10</v>
      </c>
      <c r="J3" s="1" t="s">
        <v>11</v>
      </c>
    </row>
    <row r="4" spans="1:10" x14ac:dyDescent="0.4">
      <c r="A4">
        <v>0.82</v>
      </c>
      <c r="B4">
        <v>0.79700000000000004</v>
      </c>
      <c r="C4">
        <v>0.82699999999999996</v>
      </c>
      <c r="D4">
        <v>0.72499999999999998</v>
      </c>
      <c r="F4" s="2" t="s">
        <v>15</v>
      </c>
      <c r="G4" s="3">
        <v>0.19244624563773499</v>
      </c>
      <c r="H4" s="3">
        <v>0.15798349161267419</v>
      </c>
      <c r="I4" s="4">
        <v>0.20262708370147847</v>
      </c>
      <c r="J4" s="4">
        <v>0.16691661667666466</v>
      </c>
    </row>
    <row r="5" spans="1:10" x14ac:dyDescent="0.4">
      <c r="F5" s="2" t="s">
        <v>16</v>
      </c>
      <c r="G5" s="3">
        <v>0.2368915210169002</v>
      </c>
      <c r="H5" s="3">
        <v>0.18073586938035036</v>
      </c>
      <c r="I5" s="4">
        <v>0.24289595418165799</v>
      </c>
      <c r="J5" s="4">
        <v>0.19953213155359845</v>
      </c>
    </row>
    <row r="6" spans="1:10" x14ac:dyDescent="0.4">
      <c r="F6" s="2" t="s">
        <v>17</v>
      </c>
      <c r="G6" s="3">
        <v>3.545918367346939E-2</v>
      </c>
      <c r="H6" s="3">
        <v>7.5995914198161388E-2</v>
      </c>
      <c r="I6" s="4">
        <v>3.9309112567004166E-2</v>
      </c>
      <c r="J6" s="4">
        <v>8.0255941499085923E-2</v>
      </c>
    </row>
    <row r="10" spans="1:10" ht="27.6" x14ac:dyDescent="0.4">
      <c r="A10" s="14" t="s">
        <v>8</v>
      </c>
      <c r="B10" s="15"/>
      <c r="C10" s="15"/>
      <c r="D10" s="15"/>
      <c r="G10" s="17" t="s">
        <v>7</v>
      </c>
      <c r="H10" s="17"/>
      <c r="I10" s="17"/>
      <c r="J10" s="17"/>
    </row>
    <row r="11" spans="1:10" x14ac:dyDescent="0.4">
      <c r="A11" s="16" t="s">
        <v>18</v>
      </c>
      <c r="B11" s="16"/>
      <c r="C11" s="16" t="s">
        <v>19</v>
      </c>
      <c r="D11" s="16"/>
      <c r="G11" s="16" t="s">
        <v>18</v>
      </c>
      <c r="H11" s="16"/>
      <c r="I11" s="16" t="s">
        <v>19</v>
      </c>
      <c r="J11" s="16"/>
    </row>
    <row r="12" spans="1:10" x14ac:dyDescent="0.4">
      <c r="A12" s="1" t="s">
        <v>9</v>
      </c>
      <c r="B12" s="1" t="s">
        <v>12</v>
      </c>
      <c r="C12" s="1" t="s">
        <v>9</v>
      </c>
      <c r="D12" s="1" t="s">
        <v>12</v>
      </c>
      <c r="G12" s="1" t="s">
        <v>9</v>
      </c>
      <c r="H12" s="1" t="s">
        <v>12</v>
      </c>
      <c r="I12" s="1" t="s">
        <v>9</v>
      </c>
      <c r="J12" s="1" t="s">
        <v>12</v>
      </c>
    </row>
    <row r="13" spans="1:10" x14ac:dyDescent="0.4">
      <c r="A13">
        <f>1-A4</f>
        <v>0.18000000000000005</v>
      </c>
      <c r="B13">
        <f>1-C4</f>
        <v>0.17300000000000004</v>
      </c>
      <c r="C13">
        <f>1-B4</f>
        <v>0.20299999999999996</v>
      </c>
      <c r="D13">
        <f>1-D4</f>
        <v>0.27500000000000002</v>
      </c>
      <c r="F13" s="2" t="s">
        <v>15</v>
      </c>
      <c r="G13" s="3">
        <v>8.7453956914834249E-2</v>
      </c>
      <c r="H13" s="3">
        <v>8.9818965015425814E-2</v>
      </c>
      <c r="I13" s="5">
        <v>8.3825994882202423E-2</v>
      </c>
      <c r="J13" s="7">
        <v>8.5103703081702911E-2</v>
      </c>
    </row>
    <row r="14" spans="1:10" x14ac:dyDescent="0.4">
      <c r="F14" s="2" t="s">
        <v>16</v>
      </c>
      <c r="G14" s="3">
        <v>0.18036072144288579</v>
      </c>
      <c r="H14" s="6">
        <v>0.18186596583442838</v>
      </c>
      <c r="I14" s="4">
        <v>0.18262287444677383</v>
      </c>
      <c r="J14" s="5">
        <v>0.16849580374435119</v>
      </c>
    </row>
    <row r="15" spans="1:10" x14ac:dyDescent="0.4">
      <c r="F15" s="2" t="s">
        <v>17</v>
      </c>
      <c r="G15" s="3">
        <v>6.0821484992101105E-2</v>
      </c>
      <c r="H15" s="6">
        <v>6.3630925676686101E-2</v>
      </c>
      <c r="I15" s="5">
        <v>6.0741305176073589E-2</v>
      </c>
      <c r="J15" s="7">
        <v>5.5782544546589492E-2</v>
      </c>
    </row>
  </sheetData>
  <mergeCells count="12">
    <mergeCell ref="A10:D10"/>
    <mergeCell ref="A11:B11"/>
    <mergeCell ref="C11:D11"/>
    <mergeCell ref="G10:J10"/>
    <mergeCell ref="G11:H11"/>
    <mergeCell ref="I11:J11"/>
    <mergeCell ref="A1:D1"/>
    <mergeCell ref="A2:B2"/>
    <mergeCell ref="C2:D2"/>
    <mergeCell ref="G1:J1"/>
    <mergeCell ref="G2:H2"/>
    <mergeCell ref="I2:J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F4F7C-F580-4B81-A093-C6C2B825D42A}">
  <dimension ref="A1:Q2006"/>
  <sheetViews>
    <sheetView tabSelected="1" topLeftCell="A3" zoomScale="70" zoomScaleNormal="70" workbookViewId="0">
      <selection activeCell="AB12" sqref="AB12"/>
    </sheetView>
  </sheetViews>
  <sheetFormatPr defaultRowHeight="17.399999999999999" x14ac:dyDescent="0.4"/>
  <sheetData>
    <row r="1" spans="1:17" ht="83.4" x14ac:dyDescent="0.4">
      <c r="A1" s="12" t="s">
        <v>39</v>
      </c>
      <c r="B1" t="s">
        <v>32</v>
      </c>
      <c r="E1" s="21" t="s">
        <v>37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13" t="s">
        <v>38</v>
      </c>
    </row>
    <row r="2" spans="1:17" x14ac:dyDescent="0.4">
      <c r="A2" s="12" t="s">
        <v>40</v>
      </c>
      <c r="B2" t="s">
        <v>33</v>
      </c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7" x14ac:dyDescent="0.4">
      <c r="A3" t="s">
        <v>41</v>
      </c>
      <c r="B3" t="s">
        <v>34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4" spans="1:17" x14ac:dyDescent="0.4">
      <c r="A4" t="s">
        <v>42</v>
      </c>
      <c r="B4" t="s">
        <v>35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1:17" x14ac:dyDescent="0.4">
      <c r="A5" s="20" t="s">
        <v>43</v>
      </c>
      <c r="B5" s="20"/>
      <c r="C5" s="20" t="s">
        <v>44</v>
      </c>
      <c r="D5" s="20"/>
      <c r="E5" s="20" t="s">
        <v>45</v>
      </c>
      <c r="F5" s="20"/>
      <c r="G5" s="20" t="s">
        <v>46</v>
      </c>
      <c r="H5" s="20"/>
      <c r="I5" s="20" t="s">
        <v>36</v>
      </c>
      <c r="J5" s="20"/>
      <c r="K5" s="20"/>
      <c r="L5" s="20"/>
      <c r="M5" s="20"/>
      <c r="N5" s="20"/>
      <c r="O5" s="20"/>
      <c r="P5" s="20"/>
    </row>
    <row r="6" spans="1:17" x14ac:dyDescent="0.4">
      <c r="A6" s="12" t="s">
        <v>39</v>
      </c>
      <c r="B6" s="12" t="s">
        <v>40</v>
      </c>
      <c r="C6" s="12" t="s">
        <v>39</v>
      </c>
      <c r="D6" s="12" t="s">
        <v>40</v>
      </c>
      <c r="E6" t="s">
        <v>41</v>
      </c>
      <c r="F6" t="s">
        <v>42</v>
      </c>
      <c r="G6" t="s">
        <v>41</v>
      </c>
      <c r="H6" t="s">
        <v>42</v>
      </c>
      <c r="I6" s="20"/>
      <c r="J6" s="20"/>
      <c r="K6" s="20"/>
      <c r="L6" s="20"/>
      <c r="M6" s="20"/>
      <c r="N6" s="20"/>
      <c r="O6" s="20"/>
      <c r="P6" s="20"/>
    </row>
    <row r="7" spans="1:17" x14ac:dyDescent="0.4">
      <c r="A7">
        <v>0.25</v>
      </c>
      <c r="B7">
        <v>0.36363636363636365</v>
      </c>
      <c r="C7" s="23">
        <v>0.23529411764705882</v>
      </c>
      <c r="D7">
        <v>0</v>
      </c>
      <c r="E7">
        <v>0.15384615384615385</v>
      </c>
      <c r="F7">
        <v>5.8823529411764705E-2</v>
      </c>
      <c r="G7">
        <v>0.22222222222222221</v>
      </c>
      <c r="H7">
        <v>0.12903225806451613</v>
      </c>
      <c r="I7">
        <f t="shared" ref="I7:P7" si="0">IF(A7&gt;1, 1, A7)</f>
        <v>0.25</v>
      </c>
      <c r="J7">
        <f t="shared" si="0"/>
        <v>0.36363636363636365</v>
      </c>
      <c r="K7">
        <f t="shared" si="0"/>
        <v>0.23529411764705882</v>
      </c>
      <c r="L7">
        <f t="shared" si="0"/>
        <v>0</v>
      </c>
      <c r="M7">
        <f t="shared" si="0"/>
        <v>0.15384615384615385</v>
      </c>
      <c r="N7">
        <f t="shared" si="0"/>
        <v>5.8823529411764705E-2</v>
      </c>
      <c r="O7">
        <f t="shared" si="0"/>
        <v>0.22222222222222221</v>
      </c>
      <c r="P7">
        <f t="shared" si="0"/>
        <v>0.12903225806451613</v>
      </c>
    </row>
    <row r="8" spans="1:17" x14ac:dyDescent="0.4">
      <c r="A8">
        <v>0.4</v>
      </c>
      <c r="B8">
        <v>0.33333333333333331</v>
      </c>
      <c r="C8" s="24">
        <v>0.22222222222222221</v>
      </c>
      <c r="D8">
        <v>7.8431372549019607E-2</v>
      </c>
      <c r="E8">
        <v>0</v>
      </c>
      <c r="F8">
        <v>0</v>
      </c>
      <c r="G8">
        <v>0.22222222222222221</v>
      </c>
      <c r="H8">
        <v>1.7241379310344827E-2</v>
      </c>
      <c r="I8">
        <f t="shared" ref="I8:I71" si="1">IF(A8&gt;1, 1, A8)</f>
        <v>0.4</v>
      </c>
      <c r="J8">
        <f t="shared" ref="J8:J71" si="2">IF(B8&gt;1, 1, B8)</f>
        <v>0.33333333333333331</v>
      </c>
      <c r="K8">
        <f t="shared" ref="K8:K71" si="3">IF(C8&gt;1, 1, C8)</f>
        <v>0.22222222222222221</v>
      </c>
      <c r="L8">
        <f t="shared" ref="L8:L71" si="4">IF(D8&gt;1, 1, D8)</f>
        <v>7.8431372549019607E-2</v>
      </c>
      <c r="M8">
        <f t="shared" ref="M8:M71" si="5">IF(E8&gt;1, 1, E8)</f>
        <v>0</v>
      </c>
      <c r="N8">
        <f t="shared" ref="N8:N71" si="6">IF(F8&gt;1, 1, F8)</f>
        <v>0</v>
      </c>
      <c r="O8">
        <f t="shared" ref="O8:O71" si="7">IF(G8&gt;1, 1, G8)</f>
        <v>0.22222222222222221</v>
      </c>
      <c r="P8">
        <f t="shared" ref="P8:P71" si="8">IF(H8&gt;1, 1, H8)</f>
        <v>1.7241379310344827E-2</v>
      </c>
    </row>
    <row r="9" spans="1:17" x14ac:dyDescent="0.4">
      <c r="A9">
        <v>0</v>
      </c>
      <c r="B9">
        <v>0</v>
      </c>
      <c r="C9" s="23">
        <v>9.5238095238095233E-2</v>
      </c>
      <c r="D9">
        <v>0</v>
      </c>
      <c r="E9">
        <v>0.25</v>
      </c>
      <c r="F9">
        <v>2.5000000000000001E-2</v>
      </c>
      <c r="G9">
        <v>0.22222222222222221</v>
      </c>
      <c r="H9">
        <v>1</v>
      </c>
      <c r="I9">
        <f t="shared" si="1"/>
        <v>0</v>
      </c>
      <c r="J9">
        <f t="shared" si="2"/>
        <v>0</v>
      </c>
      <c r="K9">
        <f t="shared" si="3"/>
        <v>9.5238095238095233E-2</v>
      </c>
      <c r="L9">
        <f t="shared" si="4"/>
        <v>0</v>
      </c>
      <c r="M9">
        <f t="shared" si="5"/>
        <v>0.25</v>
      </c>
      <c r="N9">
        <f t="shared" si="6"/>
        <v>2.5000000000000001E-2</v>
      </c>
      <c r="O9">
        <f t="shared" si="7"/>
        <v>0.22222222222222221</v>
      </c>
      <c r="P9">
        <f t="shared" si="8"/>
        <v>1</v>
      </c>
    </row>
    <row r="10" spans="1:17" x14ac:dyDescent="0.4">
      <c r="A10">
        <v>0.2857142857142857</v>
      </c>
      <c r="B10">
        <v>3.4482758620689655E-2</v>
      </c>
      <c r="C10" s="24">
        <v>0.13333333333333333</v>
      </c>
      <c r="D10">
        <v>0.26666666666666666</v>
      </c>
      <c r="E10">
        <v>8.3333333333333329E-2</v>
      </c>
      <c r="F10">
        <v>7.1428571428571425E-2</v>
      </c>
      <c r="G10">
        <v>0.13333333333333333</v>
      </c>
      <c r="H10">
        <v>7.1428571428571425E-2</v>
      </c>
      <c r="I10">
        <f t="shared" si="1"/>
        <v>0.2857142857142857</v>
      </c>
      <c r="J10">
        <f t="shared" si="2"/>
        <v>3.4482758620689655E-2</v>
      </c>
      <c r="K10">
        <f t="shared" si="3"/>
        <v>0.13333333333333333</v>
      </c>
      <c r="L10">
        <f t="shared" si="4"/>
        <v>0.26666666666666666</v>
      </c>
      <c r="M10">
        <f t="shared" si="5"/>
        <v>8.3333333333333329E-2</v>
      </c>
      <c r="N10">
        <f t="shared" si="6"/>
        <v>7.1428571428571425E-2</v>
      </c>
      <c r="O10">
        <f t="shared" si="7"/>
        <v>0.13333333333333333</v>
      </c>
      <c r="P10">
        <f t="shared" si="8"/>
        <v>7.1428571428571425E-2</v>
      </c>
    </row>
    <row r="11" spans="1:17" x14ac:dyDescent="0.4">
      <c r="A11">
        <v>0.36363636363636365</v>
      </c>
      <c r="B11">
        <v>0.25</v>
      </c>
      <c r="C11" s="23">
        <v>6.4516129032258063E-2</v>
      </c>
      <c r="D11">
        <v>7.1428571428571425E-2</v>
      </c>
      <c r="E11">
        <v>0</v>
      </c>
      <c r="F11">
        <v>0.13793103448275862</v>
      </c>
      <c r="G11">
        <v>7.1428571428571425E-2</v>
      </c>
      <c r="H11">
        <v>0.13793103448275862</v>
      </c>
      <c r="I11">
        <f t="shared" si="1"/>
        <v>0.36363636363636365</v>
      </c>
      <c r="J11">
        <f t="shared" si="2"/>
        <v>0.25</v>
      </c>
      <c r="K11">
        <f t="shared" si="3"/>
        <v>6.4516129032258063E-2</v>
      </c>
      <c r="L11">
        <f t="shared" si="4"/>
        <v>7.1428571428571425E-2</v>
      </c>
      <c r="M11">
        <f t="shared" si="5"/>
        <v>0</v>
      </c>
      <c r="N11">
        <f t="shared" si="6"/>
        <v>0.13793103448275862</v>
      </c>
      <c r="O11">
        <f t="shared" si="7"/>
        <v>7.1428571428571425E-2</v>
      </c>
      <c r="P11">
        <f t="shared" si="8"/>
        <v>0.13793103448275862</v>
      </c>
    </row>
    <row r="12" spans="1:17" x14ac:dyDescent="0.4">
      <c r="A12">
        <v>0.4</v>
      </c>
      <c r="B12">
        <v>0.2857142857142857</v>
      </c>
      <c r="C12" s="24">
        <v>0.125</v>
      </c>
      <c r="D12">
        <v>0.125</v>
      </c>
      <c r="E12">
        <v>0</v>
      </c>
      <c r="F12">
        <v>0.8</v>
      </c>
      <c r="G12">
        <v>8.3333333333333329E-2</v>
      </c>
      <c r="H12">
        <v>0.33333333333333331</v>
      </c>
      <c r="I12">
        <f t="shared" si="1"/>
        <v>0.4</v>
      </c>
      <c r="J12">
        <f t="shared" si="2"/>
        <v>0.2857142857142857</v>
      </c>
      <c r="K12">
        <f t="shared" si="3"/>
        <v>0.125</v>
      </c>
      <c r="L12">
        <f t="shared" si="4"/>
        <v>0.125</v>
      </c>
      <c r="M12">
        <f t="shared" si="5"/>
        <v>0</v>
      </c>
      <c r="N12">
        <f t="shared" si="6"/>
        <v>0.8</v>
      </c>
      <c r="O12">
        <f t="shared" si="7"/>
        <v>8.3333333333333329E-2</v>
      </c>
      <c r="P12">
        <f t="shared" si="8"/>
        <v>0.33333333333333331</v>
      </c>
    </row>
    <row r="13" spans="1:17" x14ac:dyDescent="0.4">
      <c r="A13">
        <v>0.36363636363636365</v>
      </c>
      <c r="B13">
        <v>0.23529411764705882</v>
      </c>
      <c r="C13" s="23">
        <v>0.33333333333333331</v>
      </c>
      <c r="D13">
        <v>1.4925373134328358E-2</v>
      </c>
      <c r="E13">
        <v>9.0909090909090912E-2</v>
      </c>
      <c r="F13">
        <v>0</v>
      </c>
      <c r="G13">
        <v>6.6666666666666666E-2</v>
      </c>
      <c r="H13">
        <v>5.3333333333333337E-2</v>
      </c>
      <c r="I13">
        <f t="shared" si="1"/>
        <v>0.36363636363636365</v>
      </c>
      <c r="J13">
        <f t="shared" si="2"/>
        <v>0.23529411764705882</v>
      </c>
      <c r="K13">
        <f t="shared" si="3"/>
        <v>0.33333333333333331</v>
      </c>
      <c r="L13">
        <f t="shared" si="4"/>
        <v>1.4925373134328358E-2</v>
      </c>
      <c r="M13">
        <f t="shared" si="5"/>
        <v>9.0909090909090912E-2</v>
      </c>
      <c r="N13">
        <f t="shared" si="6"/>
        <v>0</v>
      </c>
      <c r="O13">
        <f t="shared" si="7"/>
        <v>6.6666666666666666E-2</v>
      </c>
      <c r="P13">
        <f t="shared" si="8"/>
        <v>5.3333333333333337E-2</v>
      </c>
    </row>
    <row r="14" spans="1:17" x14ac:dyDescent="0.4">
      <c r="A14">
        <v>0.4</v>
      </c>
      <c r="B14">
        <v>0.30769230769230771</v>
      </c>
      <c r="C14" s="24">
        <v>0.44444444444444442</v>
      </c>
      <c r="D14">
        <v>0.1111111111111111</v>
      </c>
      <c r="E14">
        <v>0</v>
      </c>
      <c r="F14">
        <v>0.1111111111111111</v>
      </c>
      <c r="G14">
        <v>8.3333333333333329E-2</v>
      </c>
      <c r="H14">
        <v>0.8</v>
      </c>
      <c r="I14">
        <f t="shared" si="1"/>
        <v>0.4</v>
      </c>
      <c r="J14">
        <f t="shared" si="2"/>
        <v>0.30769230769230771</v>
      </c>
      <c r="K14">
        <f t="shared" si="3"/>
        <v>0.44444444444444442</v>
      </c>
      <c r="L14">
        <f t="shared" si="4"/>
        <v>0.1111111111111111</v>
      </c>
      <c r="M14">
        <f t="shared" si="5"/>
        <v>0</v>
      </c>
      <c r="N14">
        <f t="shared" si="6"/>
        <v>0.1111111111111111</v>
      </c>
      <c r="O14">
        <f t="shared" si="7"/>
        <v>8.3333333333333329E-2</v>
      </c>
      <c r="P14">
        <f t="shared" si="8"/>
        <v>0.8</v>
      </c>
    </row>
    <row r="15" spans="1:17" x14ac:dyDescent="0.4">
      <c r="A15">
        <v>0.2857142857142857</v>
      </c>
      <c r="B15">
        <v>0.2</v>
      </c>
      <c r="C15" s="23">
        <v>0.5</v>
      </c>
      <c r="D15">
        <v>0.30769230769230771</v>
      </c>
      <c r="E15">
        <v>0</v>
      </c>
      <c r="F15">
        <v>0</v>
      </c>
      <c r="G15">
        <v>5.8823529411764705E-2</v>
      </c>
      <c r="H15">
        <v>0.2</v>
      </c>
      <c r="I15">
        <f t="shared" si="1"/>
        <v>0.2857142857142857</v>
      </c>
      <c r="J15">
        <f t="shared" si="2"/>
        <v>0.2</v>
      </c>
      <c r="K15">
        <f t="shared" si="3"/>
        <v>0.5</v>
      </c>
      <c r="L15">
        <f t="shared" si="4"/>
        <v>0.30769230769230771</v>
      </c>
      <c r="M15">
        <f t="shared" si="5"/>
        <v>0</v>
      </c>
      <c r="N15">
        <f t="shared" si="6"/>
        <v>0</v>
      </c>
      <c r="O15">
        <f t="shared" si="7"/>
        <v>5.8823529411764705E-2</v>
      </c>
      <c r="P15">
        <f t="shared" si="8"/>
        <v>0.2</v>
      </c>
    </row>
    <row r="16" spans="1:17" x14ac:dyDescent="0.4">
      <c r="A16">
        <v>0</v>
      </c>
      <c r="B16">
        <v>0.30769230769230771</v>
      </c>
      <c r="C16" s="24">
        <v>0.36363636363636365</v>
      </c>
      <c r="D16">
        <v>0.23529411764705882</v>
      </c>
      <c r="E16">
        <v>0.23529411764705882</v>
      </c>
      <c r="F16">
        <v>0.375</v>
      </c>
      <c r="G16">
        <v>0</v>
      </c>
      <c r="H16">
        <v>0.13333333333333333</v>
      </c>
      <c r="I16">
        <f t="shared" si="1"/>
        <v>0</v>
      </c>
      <c r="J16">
        <f t="shared" si="2"/>
        <v>0.30769230769230771</v>
      </c>
      <c r="K16">
        <f t="shared" si="3"/>
        <v>0.36363636363636365</v>
      </c>
      <c r="L16">
        <f t="shared" si="4"/>
        <v>0.23529411764705882</v>
      </c>
      <c r="M16">
        <f t="shared" si="5"/>
        <v>0.23529411764705882</v>
      </c>
      <c r="N16">
        <f t="shared" si="6"/>
        <v>0.375</v>
      </c>
      <c r="O16">
        <f t="shared" si="7"/>
        <v>0</v>
      </c>
      <c r="P16">
        <f t="shared" si="8"/>
        <v>0.13333333333333333</v>
      </c>
    </row>
    <row r="17" spans="1:16" x14ac:dyDescent="0.4">
      <c r="A17">
        <v>0.11764705882352941</v>
      </c>
      <c r="B17">
        <v>0.21052631578947367</v>
      </c>
      <c r="C17" s="23">
        <v>0.30769230769230771</v>
      </c>
      <c r="D17">
        <v>0.44444444444444442</v>
      </c>
      <c r="E17">
        <v>6.6666666666666666E-2</v>
      </c>
      <c r="F17">
        <v>0.25</v>
      </c>
      <c r="G17">
        <v>0.125</v>
      </c>
      <c r="H17">
        <v>0.33333333333333331</v>
      </c>
      <c r="I17">
        <f t="shared" si="1"/>
        <v>0.11764705882352941</v>
      </c>
      <c r="J17">
        <f t="shared" si="2"/>
        <v>0.21052631578947367</v>
      </c>
      <c r="K17">
        <f t="shared" si="3"/>
        <v>0.30769230769230771</v>
      </c>
      <c r="L17">
        <f t="shared" si="4"/>
        <v>0.44444444444444442</v>
      </c>
      <c r="M17">
        <f t="shared" si="5"/>
        <v>6.6666666666666666E-2</v>
      </c>
      <c r="N17">
        <f t="shared" si="6"/>
        <v>0.25</v>
      </c>
      <c r="O17">
        <f t="shared" si="7"/>
        <v>0.125</v>
      </c>
      <c r="P17">
        <f t="shared" si="8"/>
        <v>0.33333333333333331</v>
      </c>
    </row>
    <row r="18" spans="1:16" x14ac:dyDescent="0.4">
      <c r="A18">
        <v>0.19047619047619047</v>
      </c>
      <c r="B18">
        <v>0.33333333333333331</v>
      </c>
      <c r="C18" s="24">
        <v>0.2857142857142857</v>
      </c>
      <c r="D18">
        <v>0.10526315789473684</v>
      </c>
      <c r="E18">
        <v>0.05</v>
      </c>
      <c r="F18">
        <v>0</v>
      </c>
      <c r="G18">
        <v>0.2</v>
      </c>
      <c r="H18">
        <v>2.2727272727272728E-2</v>
      </c>
      <c r="I18">
        <f t="shared" si="1"/>
        <v>0.19047619047619047</v>
      </c>
      <c r="J18">
        <f t="shared" si="2"/>
        <v>0.33333333333333331</v>
      </c>
      <c r="K18">
        <f t="shared" si="3"/>
        <v>0.2857142857142857</v>
      </c>
      <c r="L18">
        <f t="shared" si="4"/>
        <v>0.10526315789473684</v>
      </c>
      <c r="M18">
        <f t="shared" si="5"/>
        <v>0.05</v>
      </c>
      <c r="N18">
        <f t="shared" si="6"/>
        <v>0</v>
      </c>
      <c r="O18">
        <f t="shared" si="7"/>
        <v>0.2</v>
      </c>
      <c r="P18">
        <f t="shared" si="8"/>
        <v>2.2727272727272728E-2</v>
      </c>
    </row>
    <row r="19" spans="1:16" x14ac:dyDescent="0.4">
      <c r="A19">
        <v>0.5</v>
      </c>
      <c r="B19">
        <v>0</v>
      </c>
      <c r="C19" s="23">
        <v>0.16666666666666666</v>
      </c>
      <c r="D19">
        <v>0.4</v>
      </c>
      <c r="E19">
        <v>0</v>
      </c>
      <c r="F19">
        <v>4.3478260869565216E-2</v>
      </c>
      <c r="G19">
        <v>0.25</v>
      </c>
      <c r="H19">
        <v>0.25</v>
      </c>
      <c r="I19">
        <f t="shared" si="1"/>
        <v>0.5</v>
      </c>
      <c r="J19">
        <f t="shared" si="2"/>
        <v>0</v>
      </c>
      <c r="K19">
        <f t="shared" si="3"/>
        <v>0.16666666666666666</v>
      </c>
      <c r="L19">
        <f t="shared" si="4"/>
        <v>0.4</v>
      </c>
      <c r="M19">
        <f t="shared" si="5"/>
        <v>0</v>
      </c>
      <c r="N19">
        <f t="shared" si="6"/>
        <v>4.3478260869565216E-2</v>
      </c>
      <c r="O19">
        <f t="shared" si="7"/>
        <v>0.25</v>
      </c>
      <c r="P19">
        <f t="shared" si="8"/>
        <v>0.25</v>
      </c>
    </row>
    <row r="20" spans="1:16" x14ac:dyDescent="0.4">
      <c r="A20">
        <v>0.30769230769230771</v>
      </c>
      <c r="B20">
        <v>0.15384615384615385</v>
      </c>
      <c r="C20" s="24">
        <v>0.4</v>
      </c>
      <c r="D20">
        <v>0</v>
      </c>
      <c r="E20">
        <v>0.33333333333333331</v>
      </c>
      <c r="F20">
        <v>0</v>
      </c>
      <c r="G20">
        <v>0</v>
      </c>
      <c r="H20">
        <v>0.36363636363636365</v>
      </c>
      <c r="I20">
        <f t="shared" si="1"/>
        <v>0.30769230769230771</v>
      </c>
      <c r="J20">
        <f t="shared" si="2"/>
        <v>0.15384615384615385</v>
      </c>
      <c r="K20">
        <f t="shared" si="3"/>
        <v>0.4</v>
      </c>
      <c r="L20">
        <f t="shared" si="4"/>
        <v>0</v>
      </c>
      <c r="M20">
        <f t="shared" si="5"/>
        <v>0.33333333333333331</v>
      </c>
      <c r="N20">
        <f t="shared" si="6"/>
        <v>0</v>
      </c>
      <c r="O20">
        <f t="shared" si="7"/>
        <v>0</v>
      </c>
      <c r="P20">
        <f t="shared" si="8"/>
        <v>0.36363636363636365</v>
      </c>
    </row>
    <row r="21" spans="1:16" x14ac:dyDescent="0.4">
      <c r="A21">
        <v>0.44444444444444442</v>
      </c>
      <c r="B21">
        <v>0.4</v>
      </c>
      <c r="C21" s="23">
        <v>8.6956521739130432E-2</v>
      </c>
      <c r="D21">
        <v>0.1111111111111111</v>
      </c>
      <c r="E21">
        <v>0.125</v>
      </c>
      <c r="F21">
        <v>0.19047619047619047</v>
      </c>
      <c r="G21">
        <v>0.125</v>
      </c>
      <c r="H21">
        <v>0.8</v>
      </c>
      <c r="I21">
        <f t="shared" si="1"/>
        <v>0.44444444444444442</v>
      </c>
      <c r="J21">
        <f t="shared" si="2"/>
        <v>0.4</v>
      </c>
      <c r="K21">
        <f t="shared" si="3"/>
        <v>8.6956521739130432E-2</v>
      </c>
      <c r="L21">
        <f t="shared" si="4"/>
        <v>0.1111111111111111</v>
      </c>
      <c r="M21">
        <f t="shared" si="5"/>
        <v>0.125</v>
      </c>
      <c r="N21">
        <f t="shared" si="6"/>
        <v>0.19047619047619047</v>
      </c>
      <c r="O21">
        <f t="shared" si="7"/>
        <v>0.125</v>
      </c>
      <c r="P21">
        <f t="shared" si="8"/>
        <v>0.8</v>
      </c>
    </row>
    <row r="22" spans="1:16" x14ac:dyDescent="0.4">
      <c r="A22">
        <v>0.5</v>
      </c>
      <c r="B22">
        <v>0.44444444444444442</v>
      </c>
      <c r="C22" s="24">
        <v>0.26666666666666666</v>
      </c>
      <c r="D22">
        <v>0.04</v>
      </c>
      <c r="E22">
        <v>0.33333333333333331</v>
      </c>
      <c r="F22">
        <v>0.15384615384615385</v>
      </c>
      <c r="G22">
        <v>0.5</v>
      </c>
      <c r="H22">
        <v>8.6956521739130432E-2</v>
      </c>
      <c r="I22">
        <f t="shared" si="1"/>
        <v>0.5</v>
      </c>
      <c r="J22">
        <f t="shared" si="2"/>
        <v>0.44444444444444442</v>
      </c>
      <c r="K22">
        <f t="shared" si="3"/>
        <v>0.26666666666666666</v>
      </c>
      <c r="L22">
        <f t="shared" si="4"/>
        <v>0.04</v>
      </c>
      <c r="M22">
        <f t="shared" si="5"/>
        <v>0.33333333333333331</v>
      </c>
      <c r="N22">
        <f t="shared" si="6"/>
        <v>0.15384615384615385</v>
      </c>
      <c r="O22">
        <f t="shared" si="7"/>
        <v>0.5</v>
      </c>
      <c r="P22">
        <f t="shared" si="8"/>
        <v>8.6956521739130432E-2</v>
      </c>
    </row>
    <row r="23" spans="1:16" x14ac:dyDescent="0.4">
      <c r="A23">
        <v>0</v>
      </c>
      <c r="B23">
        <v>0</v>
      </c>
      <c r="C23" s="23">
        <v>0.21052631578947367</v>
      </c>
      <c r="D23">
        <v>0.23529411764705882</v>
      </c>
      <c r="E23">
        <v>0.5714285714285714</v>
      </c>
      <c r="F23">
        <v>5.2631578947368418E-2</v>
      </c>
      <c r="G23">
        <v>0.13793103448275862</v>
      </c>
      <c r="H23">
        <v>0.1111111111111111</v>
      </c>
      <c r="I23">
        <f t="shared" si="1"/>
        <v>0</v>
      </c>
      <c r="J23">
        <f t="shared" si="2"/>
        <v>0</v>
      </c>
      <c r="K23">
        <f t="shared" si="3"/>
        <v>0.21052631578947367</v>
      </c>
      <c r="L23">
        <f t="shared" si="4"/>
        <v>0.23529411764705882</v>
      </c>
      <c r="M23">
        <f t="shared" si="5"/>
        <v>0.5714285714285714</v>
      </c>
      <c r="N23">
        <f t="shared" si="6"/>
        <v>5.2631578947368418E-2</v>
      </c>
      <c r="O23">
        <f t="shared" si="7"/>
        <v>0.13793103448275862</v>
      </c>
      <c r="P23">
        <f t="shared" si="8"/>
        <v>0.1111111111111111</v>
      </c>
    </row>
    <row r="24" spans="1:16" x14ac:dyDescent="0.4">
      <c r="A24">
        <v>0.2857142857142857</v>
      </c>
      <c r="B24">
        <v>0.4</v>
      </c>
      <c r="C24" s="24">
        <v>0.23529411764705882</v>
      </c>
      <c r="D24">
        <v>0.22222222222222221</v>
      </c>
      <c r="E24">
        <v>0.27272727272727271</v>
      </c>
      <c r="F24">
        <v>6.25E-2</v>
      </c>
      <c r="G24">
        <v>0.125</v>
      </c>
      <c r="H24">
        <v>0.13333333333333333</v>
      </c>
      <c r="I24">
        <f t="shared" si="1"/>
        <v>0.2857142857142857</v>
      </c>
      <c r="J24">
        <f t="shared" si="2"/>
        <v>0.4</v>
      </c>
      <c r="K24">
        <f t="shared" si="3"/>
        <v>0.23529411764705882</v>
      </c>
      <c r="L24">
        <f t="shared" si="4"/>
        <v>0.22222222222222221</v>
      </c>
      <c r="M24">
        <f t="shared" si="5"/>
        <v>0.27272727272727271</v>
      </c>
      <c r="N24">
        <f t="shared" si="6"/>
        <v>6.25E-2</v>
      </c>
      <c r="O24">
        <f t="shared" si="7"/>
        <v>0.125</v>
      </c>
      <c r="P24">
        <f t="shared" si="8"/>
        <v>0.13333333333333333</v>
      </c>
    </row>
    <row r="25" spans="1:16" x14ac:dyDescent="0.4">
      <c r="A25">
        <v>0.33333333333333331</v>
      </c>
      <c r="B25">
        <v>0.4</v>
      </c>
      <c r="C25" s="23">
        <v>0.44444444444444442</v>
      </c>
      <c r="D25">
        <v>9.7560975609756101E-2</v>
      </c>
      <c r="E25">
        <v>0</v>
      </c>
      <c r="F25">
        <v>0.25</v>
      </c>
      <c r="G25">
        <v>0</v>
      </c>
      <c r="H25">
        <v>0</v>
      </c>
      <c r="I25">
        <f t="shared" si="1"/>
        <v>0.33333333333333331</v>
      </c>
      <c r="J25">
        <f t="shared" si="2"/>
        <v>0.4</v>
      </c>
      <c r="K25">
        <f t="shared" si="3"/>
        <v>0.44444444444444442</v>
      </c>
      <c r="L25">
        <f t="shared" si="4"/>
        <v>9.7560975609756101E-2</v>
      </c>
      <c r="M25">
        <f t="shared" si="5"/>
        <v>0</v>
      </c>
      <c r="N25">
        <f t="shared" si="6"/>
        <v>0.25</v>
      </c>
      <c r="O25">
        <f t="shared" si="7"/>
        <v>0</v>
      </c>
      <c r="P25">
        <f t="shared" si="8"/>
        <v>0</v>
      </c>
    </row>
    <row r="26" spans="1:16" x14ac:dyDescent="0.4">
      <c r="A26">
        <v>0.16666666666666666</v>
      </c>
      <c r="B26">
        <v>0.13333333333333333</v>
      </c>
      <c r="C26" s="24">
        <v>0.2857142857142857</v>
      </c>
      <c r="D26">
        <v>0.19047619047619047</v>
      </c>
      <c r="E26">
        <v>9.0909090909090912E-2</v>
      </c>
      <c r="F26">
        <v>0</v>
      </c>
      <c r="G26">
        <v>3.5714285714285712E-2</v>
      </c>
      <c r="H26">
        <v>0.10526315789473684</v>
      </c>
      <c r="I26">
        <f t="shared" si="1"/>
        <v>0.16666666666666666</v>
      </c>
      <c r="J26">
        <f t="shared" si="2"/>
        <v>0.13333333333333333</v>
      </c>
      <c r="K26">
        <f t="shared" si="3"/>
        <v>0.2857142857142857</v>
      </c>
      <c r="L26">
        <f t="shared" si="4"/>
        <v>0.19047619047619047</v>
      </c>
      <c r="M26">
        <f t="shared" si="5"/>
        <v>9.0909090909090912E-2</v>
      </c>
      <c r="N26">
        <f t="shared" si="6"/>
        <v>0</v>
      </c>
      <c r="O26">
        <f t="shared" si="7"/>
        <v>3.5714285714285712E-2</v>
      </c>
      <c r="P26">
        <f t="shared" si="8"/>
        <v>0.10526315789473684</v>
      </c>
    </row>
    <row r="27" spans="1:16" x14ac:dyDescent="0.4">
      <c r="A27">
        <v>0.4</v>
      </c>
      <c r="B27">
        <v>0.30769230769230771</v>
      </c>
      <c r="C27" s="23">
        <v>0.11428571428571428</v>
      </c>
      <c r="D27">
        <v>0.44444444444444442</v>
      </c>
      <c r="E27">
        <v>0</v>
      </c>
      <c r="F27">
        <v>2.9411764705882353E-2</v>
      </c>
      <c r="G27">
        <v>0</v>
      </c>
      <c r="H27">
        <v>0.33333333333333331</v>
      </c>
      <c r="I27">
        <f t="shared" si="1"/>
        <v>0.4</v>
      </c>
      <c r="J27">
        <f t="shared" si="2"/>
        <v>0.30769230769230771</v>
      </c>
      <c r="K27">
        <f t="shared" si="3"/>
        <v>0.11428571428571428</v>
      </c>
      <c r="L27">
        <f t="shared" si="4"/>
        <v>0.44444444444444442</v>
      </c>
      <c r="M27">
        <f t="shared" si="5"/>
        <v>0</v>
      </c>
      <c r="N27">
        <f t="shared" si="6"/>
        <v>2.9411764705882353E-2</v>
      </c>
      <c r="O27">
        <f t="shared" si="7"/>
        <v>0</v>
      </c>
      <c r="P27">
        <f t="shared" si="8"/>
        <v>0.33333333333333331</v>
      </c>
    </row>
    <row r="28" spans="1:16" x14ac:dyDescent="0.4">
      <c r="A28">
        <v>0.4</v>
      </c>
      <c r="B28">
        <v>0.33333333333333331</v>
      </c>
      <c r="C28" s="24">
        <v>0.30769230769230771</v>
      </c>
      <c r="D28">
        <v>1</v>
      </c>
      <c r="E28">
        <v>0.1111111111111111</v>
      </c>
      <c r="F28">
        <v>0.18181818181818182</v>
      </c>
      <c r="G28">
        <v>0.1</v>
      </c>
      <c r="H28">
        <v>0.5</v>
      </c>
      <c r="I28">
        <f t="shared" si="1"/>
        <v>0.4</v>
      </c>
      <c r="J28">
        <f t="shared" si="2"/>
        <v>0.33333333333333331</v>
      </c>
      <c r="K28">
        <f t="shared" si="3"/>
        <v>0.30769230769230771</v>
      </c>
      <c r="L28">
        <f t="shared" si="4"/>
        <v>1</v>
      </c>
      <c r="M28">
        <f t="shared" si="5"/>
        <v>0.1111111111111111</v>
      </c>
      <c r="N28">
        <f t="shared" si="6"/>
        <v>0.18181818181818182</v>
      </c>
      <c r="O28">
        <f t="shared" si="7"/>
        <v>0.1</v>
      </c>
      <c r="P28">
        <f t="shared" si="8"/>
        <v>0.5</v>
      </c>
    </row>
    <row r="29" spans="1:16" x14ac:dyDescent="0.4">
      <c r="A29">
        <v>0.16666666666666666</v>
      </c>
      <c r="B29">
        <v>0.23529411764705882</v>
      </c>
      <c r="C29" s="23">
        <v>0.25</v>
      </c>
      <c r="D29">
        <v>6.5573770491803282E-2</v>
      </c>
      <c r="E29">
        <v>9.5238095238095233E-2</v>
      </c>
      <c r="F29">
        <v>0.14285714285714285</v>
      </c>
      <c r="G29">
        <v>6.25E-2</v>
      </c>
      <c r="H29">
        <v>1.3333333333333334E-2</v>
      </c>
      <c r="I29">
        <f t="shared" si="1"/>
        <v>0.16666666666666666</v>
      </c>
      <c r="J29">
        <f t="shared" si="2"/>
        <v>0.23529411764705882</v>
      </c>
      <c r="K29">
        <f t="shared" si="3"/>
        <v>0.25</v>
      </c>
      <c r="L29">
        <f t="shared" si="4"/>
        <v>6.5573770491803282E-2</v>
      </c>
      <c r="M29">
        <f t="shared" si="5"/>
        <v>9.5238095238095233E-2</v>
      </c>
      <c r="N29">
        <f t="shared" si="6"/>
        <v>0.14285714285714285</v>
      </c>
      <c r="O29">
        <f t="shared" si="7"/>
        <v>6.25E-2</v>
      </c>
      <c r="P29">
        <f t="shared" si="8"/>
        <v>1.3333333333333334E-2</v>
      </c>
    </row>
    <row r="30" spans="1:16" x14ac:dyDescent="0.4">
      <c r="A30">
        <v>0.5</v>
      </c>
      <c r="B30">
        <v>0.30769230769230771</v>
      </c>
      <c r="C30" s="24">
        <v>0.125</v>
      </c>
      <c r="D30">
        <v>0.18181818181818182</v>
      </c>
      <c r="E30">
        <v>0.16666666666666666</v>
      </c>
      <c r="F30">
        <v>0.2857142857142857</v>
      </c>
      <c r="G30">
        <v>0</v>
      </c>
      <c r="H30">
        <v>0.2</v>
      </c>
      <c r="I30">
        <f t="shared" si="1"/>
        <v>0.5</v>
      </c>
      <c r="J30">
        <f t="shared" si="2"/>
        <v>0.30769230769230771</v>
      </c>
      <c r="K30">
        <f t="shared" si="3"/>
        <v>0.125</v>
      </c>
      <c r="L30">
        <f t="shared" si="4"/>
        <v>0.18181818181818182</v>
      </c>
      <c r="M30">
        <f t="shared" si="5"/>
        <v>0.16666666666666666</v>
      </c>
      <c r="N30">
        <f t="shared" si="6"/>
        <v>0.2857142857142857</v>
      </c>
      <c r="O30">
        <f t="shared" si="7"/>
        <v>0</v>
      </c>
      <c r="P30">
        <f t="shared" si="8"/>
        <v>0.2</v>
      </c>
    </row>
    <row r="31" spans="1:16" x14ac:dyDescent="0.4">
      <c r="A31">
        <v>0.36363636363636365</v>
      </c>
      <c r="B31">
        <v>0</v>
      </c>
      <c r="C31" s="23">
        <v>0.10526315789473684</v>
      </c>
      <c r="D31">
        <v>0.23529411764705882</v>
      </c>
      <c r="E31">
        <v>0.1</v>
      </c>
      <c r="F31">
        <v>9.375E-2</v>
      </c>
      <c r="G31">
        <v>0.25</v>
      </c>
      <c r="H31">
        <v>7.1428571428571425E-2</v>
      </c>
      <c r="I31">
        <f t="shared" si="1"/>
        <v>0.36363636363636365</v>
      </c>
      <c r="J31">
        <f t="shared" si="2"/>
        <v>0</v>
      </c>
      <c r="K31">
        <f t="shared" si="3"/>
        <v>0.10526315789473684</v>
      </c>
      <c r="L31">
        <f t="shared" si="4"/>
        <v>0.23529411764705882</v>
      </c>
      <c r="M31">
        <f t="shared" si="5"/>
        <v>0.1</v>
      </c>
      <c r="N31">
        <f t="shared" si="6"/>
        <v>9.375E-2</v>
      </c>
      <c r="O31">
        <f t="shared" si="7"/>
        <v>0.25</v>
      </c>
      <c r="P31">
        <f t="shared" si="8"/>
        <v>7.1428571428571425E-2</v>
      </c>
    </row>
    <row r="32" spans="1:16" x14ac:dyDescent="0.4">
      <c r="A32">
        <v>4.3478260869565216E-2</v>
      </c>
      <c r="B32">
        <v>0.10526315789473684</v>
      </c>
      <c r="C32" s="24">
        <v>4.0816326530612242E-2</v>
      </c>
      <c r="D32">
        <v>8.6956521739130432E-2</v>
      </c>
      <c r="E32">
        <v>0.2</v>
      </c>
      <c r="F32">
        <v>1.0309278350515464E-2</v>
      </c>
      <c r="G32">
        <v>0.2857142857142857</v>
      </c>
      <c r="H32">
        <v>4.1666666666666664E-2</v>
      </c>
      <c r="I32">
        <f t="shared" si="1"/>
        <v>4.3478260869565216E-2</v>
      </c>
      <c r="J32">
        <f t="shared" si="2"/>
        <v>0.10526315789473684</v>
      </c>
      <c r="K32">
        <f t="shared" si="3"/>
        <v>4.0816326530612242E-2</v>
      </c>
      <c r="L32">
        <f t="shared" si="4"/>
        <v>8.6956521739130432E-2</v>
      </c>
      <c r="M32">
        <f t="shared" si="5"/>
        <v>0.2</v>
      </c>
      <c r="N32">
        <f t="shared" si="6"/>
        <v>1.0309278350515464E-2</v>
      </c>
      <c r="O32">
        <f t="shared" si="7"/>
        <v>0.2857142857142857</v>
      </c>
      <c r="P32">
        <f t="shared" si="8"/>
        <v>4.1666666666666664E-2</v>
      </c>
    </row>
    <row r="33" spans="1:16" x14ac:dyDescent="0.4">
      <c r="A33">
        <v>0.16666666666666666</v>
      </c>
      <c r="B33">
        <v>0.2857142857142857</v>
      </c>
      <c r="C33" s="23">
        <v>0.25</v>
      </c>
      <c r="D33">
        <v>0.26666666666666666</v>
      </c>
      <c r="E33">
        <v>0</v>
      </c>
      <c r="F33">
        <v>0.13333333333333333</v>
      </c>
      <c r="G33">
        <v>0</v>
      </c>
      <c r="H33">
        <v>0.16666666666666666</v>
      </c>
      <c r="I33">
        <f t="shared" si="1"/>
        <v>0.16666666666666666</v>
      </c>
      <c r="J33">
        <f t="shared" si="2"/>
        <v>0.2857142857142857</v>
      </c>
      <c r="K33">
        <f t="shared" si="3"/>
        <v>0.25</v>
      </c>
      <c r="L33">
        <f t="shared" si="4"/>
        <v>0.26666666666666666</v>
      </c>
      <c r="M33">
        <f t="shared" si="5"/>
        <v>0</v>
      </c>
      <c r="N33">
        <f t="shared" si="6"/>
        <v>0.13333333333333333</v>
      </c>
      <c r="O33">
        <f t="shared" si="7"/>
        <v>0</v>
      </c>
      <c r="P33">
        <f t="shared" si="8"/>
        <v>0.16666666666666666</v>
      </c>
    </row>
    <row r="34" spans="1:16" x14ac:dyDescent="0.4">
      <c r="A34">
        <v>0.16666666666666666</v>
      </c>
      <c r="B34">
        <v>0</v>
      </c>
      <c r="C34" s="24">
        <v>0.5714285714285714</v>
      </c>
      <c r="D34">
        <v>0.23076923076923078</v>
      </c>
      <c r="E34">
        <v>0.13636363636363635</v>
      </c>
      <c r="F34">
        <v>0.75</v>
      </c>
      <c r="G34">
        <v>0.25</v>
      </c>
      <c r="H34">
        <v>0.4</v>
      </c>
      <c r="I34">
        <f t="shared" si="1"/>
        <v>0.16666666666666666</v>
      </c>
      <c r="J34">
        <f t="shared" si="2"/>
        <v>0</v>
      </c>
      <c r="K34">
        <f t="shared" si="3"/>
        <v>0.5714285714285714</v>
      </c>
      <c r="L34">
        <f t="shared" si="4"/>
        <v>0.23076923076923078</v>
      </c>
      <c r="M34">
        <f t="shared" si="5"/>
        <v>0.13636363636363635</v>
      </c>
      <c r="N34">
        <f t="shared" si="6"/>
        <v>0.75</v>
      </c>
      <c r="O34">
        <f t="shared" si="7"/>
        <v>0.25</v>
      </c>
      <c r="P34">
        <f t="shared" si="8"/>
        <v>0.4</v>
      </c>
    </row>
    <row r="35" spans="1:16" x14ac:dyDescent="0.4">
      <c r="A35">
        <v>3.125E-2</v>
      </c>
      <c r="B35">
        <v>0.22222222222222221</v>
      </c>
      <c r="C35" s="23">
        <v>0.5714285714285714</v>
      </c>
      <c r="D35">
        <v>0</v>
      </c>
      <c r="E35">
        <v>0.14285714285714285</v>
      </c>
      <c r="F35">
        <v>0.16666666666666666</v>
      </c>
      <c r="G35">
        <v>0.14285714285714285</v>
      </c>
      <c r="H35">
        <v>0.8</v>
      </c>
      <c r="I35">
        <f t="shared" si="1"/>
        <v>3.125E-2</v>
      </c>
      <c r="J35">
        <f t="shared" si="2"/>
        <v>0.22222222222222221</v>
      </c>
      <c r="K35">
        <f t="shared" si="3"/>
        <v>0.5714285714285714</v>
      </c>
      <c r="L35">
        <f t="shared" si="4"/>
        <v>0</v>
      </c>
      <c r="M35">
        <f t="shared" si="5"/>
        <v>0.14285714285714285</v>
      </c>
      <c r="N35">
        <f t="shared" si="6"/>
        <v>0.16666666666666666</v>
      </c>
      <c r="O35">
        <f t="shared" si="7"/>
        <v>0.14285714285714285</v>
      </c>
      <c r="P35">
        <f t="shared" si="8"/>
        <v>0.8</v>
      </c>
    </row>
    <row r="36" spans="1:16" x14ac:dyDescent="0.4">
      <c r="A36">
        <v>0.33333333333333331</v>
      </c>
      <c r="B36">
        <v>0.4</v>
      </c>
      <c r="C36" s="24">
        <v>0.4</v>
      </c>
      <c r="D36">
        <v>0.26666666666666666</v>
      </c>
      <c r="E36">
        <v>0.22222222222222221</v>
      </c>
      <c r="F36">
        <v>0.25</v>
      </c>
      <c r="G36">
        <v>0</v>
      </c>
      <c r="H36">
        <v>0.16666666666666666</v>
      </c>
      <c r="I36">
        <f t="shared" si="1"/>
        <v>0.33333333333333331</v>
      </c>
      <c r="J36">
        <f t="shared" si="2"/>
        <v>0.4</v>
      </c>
      <c r="K36">
        <f t="shared" si="3"/>
        <v>0.4</v>
      </c>
      <c r="L36">
        <f t="shared" si="4"/>
        <v>0.26666666666666666</v>
      </c>
      <c r="M36">
        <f t="shared" si="5"/>
        <v>0.22222222222222221</v>
      </c>
      <c r="N36">
        <f t="shared" si="6"/>
        <v>0.25</v>
      </c>
      <c r="O36">
        <f t="shared" si="7"/>
        <v>0</v>
      </c>
      <c r="P36">
        <f t="shared" si="8"/>
        <v>0.16666666666666666</v>
      </c>
    </row>
    <row r="37" spans="1:16" x14ac:dyDescent="0.4">
      <c r="A37">
        <v>0</v>
      </c>
      <c r="B37">
        <v>0.5</v>
      </c>
      <c r="C37" s="23">
        <v>0.4</v>
      </c>
      <c r="D37">
        <v>6.25E-2</v>
      </c>
      <c r="E37">
        <v>0.18181818181818182</v>
      </c>
      <c r="F37">
        <v>0.33333333333333331</v>
      </c>
      <c r="G37">
        <v>0</v>
      </c>
      <c r="H37">
        <v>3.0769230769230771E-2</v>
      </c>
      <c r="I37">
        <f t="shared" si="1"/>
        <v>0</v>
      </c>
      <c r="J37">
        <f t="shared" si="2"/>
        <v>0.5</v>
      </c>
      <c r="K37">
        <f t="shared" si="3"/>
        <v>0.4</v>
      </c>
      <c r="L37">
        <f t="shared" si="4"/>
        <v>6.25E-2</v>
      </c>
      <c r="M37">
        <f t="shared" si="5"/>
        <v>0.18181818181818182</v>
      </c>
      <c r="N37">
        <f t="shared" si="6"/>
        <v>0.33333333333333331</v>
      </c>
      <c r="O37">
        <f t="shared" si="7"/>
        <v>0</v>
      </c>
      <c r="P37">
        <f t="shared" si="8"/>
        <v>3.0769230769230771E-2</v>
      </c>
    </row>
    <row r="38" spans="1:16" x14ac:dyDescent="0.4">
      <c r="A38">
        <v>0</v>
      </c>
      <c r="B38">
        <v>0.18181818181818182</v>
      </c>
      <c r="C38" s="24">
        <v>0.21052631578947367</v>
      </c>
      <c r="D38">
        <v>0.33333333333333331</v>
      </c>
      <c r="E38">
        <v>0.21052631578947367</v>
      </c>
      <c r="F38">
        <v>0</v>
      </c>
      <c r="G38">
        <v>0</v>
      </c>
      <c r="H38">
        <v>1</v>
      </c>
      <c r="I38">
        <f t="shared" si="1"/>
        <v>0</v>
      </c>
      <c r="J38">
        <f t="shared" si="2"/>
        <v>0.18181818181818182</v>
      </c>
      <c r="K38">
        <f t="shared" si="3"/>
        <v>0.21052631578947367</v>
      </c>
      <c r="L38">
        <f t="shared" si="4"/>
        <v>0.33333333333333331</v>
      </c>
      <c r="M38">
        <f t="shared" si="5"/>
        <v>0.21052631578947367</v>
      </c>
      <c r="N38">
        <f t="shared" si="6"/>
        <v>0</v>
      </c>
      <c r="O38">
        <f t="shared" si="7"/>
        <v>0</v>
      </c>
      <c r="P38">
        <f t="shared" si="8"/>
        <v>1</v>
      </c>
    </row>
    <row r="39" spans="1:16" x14ac:dyDescent="0.4">
      <c r="A39">
        <v>8.6956521739130432E-2</v>
      </c>
      <c r="B39">
        <v>6.6666666666666666E-2</v>
      </c>
      <c r="C39" s="23">
        <v>0.3</v>
      </c>
      <c r="D39">
        <v>0.25</v>
      </c>
      <c r="E39">
        <v>0.21052631578947367</v>
      </c>
      <c r="F39">
        <v>0.5714285714285714</v>
      </c>
      <c r="G39">
        <v>0.36363636363636365</v>
      </c>
      <c r="H39">
        <v>0.15384615384615385</v>
      </c>
      <c r="I39">
        <f t="shared" si="1"/>
        <v>8.6956521739130432E-2</v>
      </c>
      <c r="J39">
        <f t="shared" si="2"/>
        <v>6.6666666666666666E-2</v>
      </c>
      <c r="K39">
        <f t="shared" si="3"/>
        <v>0.3</v>
      </c>
      <c r="L39">
        <f t="shared" si="4"/>
        <v>0.25</v>
      </c>
      <c r="M39">
        <f t="shared" si="5"/>
        <v>0.21052631578947367</v>
      </c>
      <c r="N39">
        <f t="shared" si="6"/>
        <v>0.5714285714285714</v>
      </c>
      <c r="O39">
        <f t="shared" si="7"/>
        <v>0.36363636363636365</v>
      </c>
      <c r="P39">
        <f t="shared" si="8"/>
        <v>0.15384615384615385</v>
      </c>
    </row>
    <row r="40" spans="1:16" x14ac:dyDescent="0.4">
      <c r="A40">
        <v>0.5714285714285714</v>
      </c>
      <c r="B40">
        <v>0.4</v>
      </c>
      <c r="C40" s="24">
        <v>0.13793103448275862</v>
      </c>
      <c r="D40">
        <v>6.6666666666666666E-2</v>
      </c>
      <c r="E40">
        <v>0</v>
      </c>
      <c r="F40">
        <v>0.11538461538461539</v>
      </c>
      <c r="G40">
        <v>0.33333333333333331</v>
      </c>
      <c r="H40">
        <v>0.2</v>
      </c>
      <c r="I40">
        <f t="shared" si="1"/>
        <v>0.5714285714285714</v>
      </c>
      <c r="J40">
        <f t="shared" si="2"/>
        <v>0.4</v>
      </c>
      <c r="K40">
        <f t="shared" si="3"/>
        <v>0.13793103448275862</v>
      </c>
      <c r="L40">
        <f t="shared" si="4"/>
        <v>6.6666666666666666E-2</v>
      </c>
      <c r="M40">
        <f t="shared" si="5"/>
        <v>0</v>
      </c>
      <c r="N40">
        <f t="shared" si="6"/>
        <v>0.11538461538461539</v>
      </c>
      <c r="O40">
        <f t="shared" si="7"/>
        <v>0.33333333333333331</v>
      </c>
      <c r="P40">
        <f t="shared" si="8"/>
        <v>0.2</v>
      </c>
    </row>
    <row r="41" spans="1:16" x14ac:dyDescent="0.4">
      <c r="A41">
        <v>0.26666666666666666</v>
      </c>
      <c r="B41">
        <v>0.2</v>
      </c>
      <c r="C41" s="23">
        <v>0.5</v>
      </c>
      <c r="D41">
        <v>0.13333333333333333</v>
      </c>
      <c r="E41">
        <v>6.25E-2</v>
      </c>
      <c r="F41">
        <v>0.125</v>
      </c>
      <c r="G41">
        <v>5.2631578947368418E-2</v>
      </c>
      <c r="H41">
        <v>0.11428571428571428</v>
      </c>
      <c r="I41">
        <f t="shared" si="1"/>
        <v>0.26666666666666666</v>
      </c>
      <c r="J41">
        <f t="shared" si="2"/>
        <v>0.2</v>
      </c>
      <c r="K41">
        <f t="shared" si="3"/>
        <v>0.5</v>
      </c>
      <c r="L41">
        <f t="shared" si="4"/>
        <v>0.13333333333333333</v>
      </c>
      <c r="M41">
        <f t="shared" si="5"/>
        <v>6.25E-2</v>
      </c>
      <c r="N41">
        <f t="shared" si="6"/>
        <v>0.125</v>
      </c>
      <c r="O41">
        <f t="shared" si="7"/>
        <v>5.2631578947368418E-2</v>
      </c>
      <c r="P41">
        <f t="shared" si="8"/>
        <v>0.11428571428571428</v>
      </c>
    </row>
    <row r="42" spans="1:16" x14ac:dyDescent="0.4">
      <c r="A42">
        <v>0.13793103448275862</v>
      </c>
      <c r="B42">
        <v>0.4</v>
      </c>
      <c r="C42" s="24">
        <v>0.15384615384615385</v>
      </c>
      <c r="D42">
        <v>0.4</v>
      </c>
      <c r="E42">
        <v>0.11538461538461539</v>
      </c>
      <c r="F42">
        <v>4.1666666666666664E-2</v>
      </c>
      <c r="G42">
        <v>0.2857142857142857</v>
      </c>
      <c r="H42">
        <v>0.2857142857142857</v>
      </c>
      <c r="I42">
        <f t="shared" si="1"/>
        <v>0.13793103448275862</v>
      </c>
      <c r="J42">
        <f t="shared" si="2"/>
        <v>0.4</v>
      </c>
      <c r="K42">
        <f t="shared" si="3"/>
        <v>0.15384615384615385</v>
      </c>
      <c r="L42">
        <f t="shared" si="4"/>
        <v>0.4</v>
      </c>
      <c r="M42">
        <f t="shared" si="5"/>
        <v>0.11538461538461539</v>
      </c>
      <c r="N42">
        <f t="shared" si="6"/>
        <v>4.1666666666666664E-2</v>
      </c>
      <c r="O42">
        <f t="shared" si="7"/>
        <v>0.2857142857142857</v>
      </c>
      <c r="P42">
        <f t="shared" si="8"/>
        <v>0.2857142857142857</v>
      </c>
    </row>
    <row r="43" spans="1:16" x14ac:dyDescent="0.4">
      <c r="A43">
        <v>5.4054054054054057E-2</v>
      </c>
      <c r="B43">
        <v>0.33333333333333331</v>
      </c>
      <c r="C43" s="23">
        <v>0.5</v>
      </c>
      <c r="D43">
        <v>0.44444444444444442</v>
      </c>
      <c r="E43">
        <v>0.12121212121212122</v>
      </c>
      <c r="F43">
        <v>0.6</v>
      </c>
      <c r="G43">
        <v>0.2</v>
      </c>
      <c r="H43">
        <v>0</v>
      </c>
      <c r="I43">
        <f t="shared" si="1"/>
        <v>5.4054054054054057E-2</v>
      </c>
      <c r="J43">
        <f t="shared" si="2"/>
        <v>0.33333333333333331</v>
      </c>
      <c r="K43">
        <f t="shared" si="3"/>
        <v>0.5</v>
      </c>
      <c r="L43">
        <f t="shared" si="4"/>
        <v>0.44444444444444442</v>
      </c>
      <c r="M43">
        <f t="shared" si="5"/>
        <v>0.12121212121212122</v>
      </c>
      <c r="N43">
        <f t="shared" si="6"/>
        <v>0.6</v>
      </c>
      <c r="O43">
        <f t="shared" si="7"/>
        <v>0.2</v>
      </c>
      <c r="P43">
        <f t="shared" si="8"/>
        <v>0</v>
      </c>
    </row>
    <row r="44" spans="1:16" x14ac:dyDescent="0.4">
      <c r="A44">
        <v>0.10810810810810811</v>
      </c>
      <c r="B44">
        <v>0.13636363636363635</v>
      </c>
      <c r="C44" s="24">
        <v>0.22222222222222221</v>
      </c>
      <c r="D44">
        <v>0.23529411764705882</v>
      </c>
      <c r="E44">
        <v>9.375E-2</v>
      </c>
      <c r="F44">
        <v>5.8823529411764705E-2</v>
      </c>
      <c r="G44">
        <v>0.19047619047619047</v>
      </c>
      <c r="H44">
        <v>6.6666666666666666E-2</v>
      </c>
      <c r="I44">
        <f t="shared" si="1"/>
        <v>0.10810810810810811</v>
      </c>
      <c r="J44">
        <f t="shared" si="2"/>
        <v>0.13636363636363635</v>
      </c>
      <c r="K44">
        <f t="shared" si="3"/>
        <v>0.22222222222222221</v>
      </c>
      <c r="L44">
        <f t="shared" si="4"/>
        <v>0.23529411764705882</v>
      </c>
      <c r="M44">
        <f t="shared" si="5"/>
        <v>9.375E-2</v>
      </c>
      <c r="N44">
        <f t="shared" si="6"/>
        <v>5.8823529411764705E-2</v>
      </c>
      <c r="O44">
        <f t="shared" si="7"/>
        <v>0.19047619047619047</v>
      </c>
      <c r="P44">
        <f t="shared" si="8"/>
        <v>6.6666666666666666E-2</v>
      </c>
    </row>
    <row r="45" spans="1:16" x14ac:dyDescent="0.4">
      <c r="A45">
        <v>0.13333333333333333</v>
      </c>
      <c r="B45">
        <v>0.18181818181818182</v>
      </c>
      <c r="C45" s="23">
        <v>0.13333333333333333</v>
      </c>
      <c r="D45">
        <v>0.2857142857142857</v>
      </c>
      <c r="E45">
        <v>7.407407407407407E-2</v>
      </c>
      <c r="F45">
        <v>0</v>
      </c>
      <c r="G45">
        <v>0.10526315789473684</v>
      </c>
      <c r="H45">
        <v>1</v>
      </c>
      <c r="I45">
        <f t="shared" si="1"/>
        <v>0.13333333333333333</v>
      </c>
      <c r="J45">
        <f t="shared" si="2"/>
        <v>0.18181818181818182</v>
      </c>
      <c r="K45">
        <f t="shared" si="3"/>
        <v>0.13333333333333333</v>
      </c>
      <c r="L45">
        <f t="shared" si="4"/>
        <v>0.2857142857142857</v>
      </c>
      <c r="M45">
        <f t="shared" si="5"/>
        <v>7.407407407407407E-2</v>
      </c>
      <c r="N45">
        <f t="shared" si="6"/>
        <v>0</v>
      </c>
      <c r="O45">
        <f t="shared" si="7"/>
        <v>0.10526315789473684</v>
      </c>
      <c r="P45">
        <f t="shared" si="8"/>
        <v>1</v>
      </c>
    </row>
    <row r="46" spans="1:16" x14ac:dyDescent="0.4">
      <c r="A46">
        <v>0.44444444444444442</v>
      </c>
      <c r="B46">
        <v>0.2857142857142857</v>
      </c>
      <c r="C46" s="24">
        <v>0.30769230769230771</v>
      </c>
      <c r="D46">
        <v>0.18181818181818182</v>
      </c>
      <c r="E46">
        <v>0</v>
      </c>
      <c r="F46">
        <v>0.18181818181818182</v>
      </c>
      <c r="G46">
        <v>0</v>
      </c>
      <c r="H46">
        <v>5.2631578947368418E-2</v>
      </c>
      <c r="I46">
        <f t="shared" si="1"/>
        <v>0.44444444444444442</v>
      </c>
      <c r="J46">
        <f t="shared" si="2"/>
        <v>0.2857142857142857</v>
      </c>
      <c r="K46">
        <f t="shared" si="3"/>
        <v>0.30769230769230771</v>
      </c>
      <c r="L46">
        <f t="shared" si="4"/>
        <v>0.18181818181818182</v>
      </c>
      <c r="M46">
        <f t="shared" si="5"/>
        <v>0</v>
      </c>
      <c r="N46">
        <f t="shared" si="6"/>
        <v>0.18181818181818182</v>
      </c>
      <c r="O46">
        <f t="shared" si="7"/>
        <v>0</v>
      </c>
      <c r="P46">
        <f t="shared" si="8"/>
        <v>5.2631578947368418E-2</v>
      </c>
    </row>
    <row r="47" spans="1:16" x14ac:dyDescent="0.4">
      <c r="A47">
        <v>0.21052631578947367</v>
      </c>
      <c r="B47">
        <v>0.4</v>
      </c>
      <c r="C47" s="23">
        <v>0.36363636363636365</v>
      </c>
      <c r="D47">
        <v>0.44444444444444442</v>
      </c>
      <c r="E47">
        <v>0.1875</v>
      </c>
      <c r="F47">
        <v>0.22222222222222221</v>
      </c>
      <c r="G47">
        <v>0.1111111111111111</v>
      </c>
      <c r="H47">
        <v>0.375</v>
      </c>
      <c r="I47">
        <f t="shared" si="1"/>
        <v>0.21052631578947367</v>
      </c>
      <c r="J47">
        <f t="shared" si="2"/>
        <v>0.4</v>
      </c>
      <c r="K47">
        <f t="shared" si="3"/>
        <v>0.36363636363636365</v>
      </c>
      <c r="L47">
        <f t="shared" si="4"/>
        <v>0.44444444444444442</v>
      </c>
      <c r="M47">
        <f t="shared" si="5"/>
        <v>0.1875</v>
      </c>
      <c r="N47">
        <f t="shared" si="6"/>
        <v>0.22222222222222221</v>
      </c>
      <c r="O47">
        <f t="shared" si="7"/>
        <v>0.1111111111111111</v>
      </c>
      <c r="P47">
        <f t="shared" si="8"/>
        <v>0.375</v>
      </c>
    </row>
    <row r="48" spans="1:16" x14ac:dyDescent="0.4">
      <c r="A48">
        <v>0.36363636363636365</v>
      </c>
      <c r="B48">
        <v>0.30769230769230771</v>
      </c>
      <c r="C48" s="24">
        <v>0.14285714285714285</v>
      </c>
      <c r="D48">
        <v>0.25</v>
      </c>
      <c r="E48">
        <v>0.33333333333333331</v>
      </c>
      <c r="F48">
        <v>0.23529411764705882</v>
      </c>
      <c r="G48">
        <v>0</v>
      </c>
      <c r="H48">
        <v>5.8823529411764705E-2</v>
      </c>
      <c r="I48">
        <f t="shared" si="1"/>
        <v>0.36363636363636365</v>
      </c>
      <c r="J48">
        <f t="shared" si="2"/>
        <v>0.30769230769230771</v>
      </c>
      <c r="K48">
        <f t="shared" si="3"/>
        <v>0.14285714285714285</v>
      </c>
      <c r="L48">
        <f t="shared" si="4"/>
        <v>0.25</v>
      </c>
      <c r="M48">
        <f t="shared" si="5"/>
        <v>0.33333333333333331</v>
      </c>
      <c r="N48">
        <f t="shared" si="6"/>
        <v>0.23529411764705882</v>
      </c>
      <c r="O48">
        <f t="shared" si="7"/>
        <v>0</v>
      </c>
      <c r="P48">
        <f t="shared" si="8"/>
        <v>5.8823529411764705E-2</v>
      </c>
    </row>
    <row r="49" spans="1:16" x14ac:dyDescent="0.4">
      <c r="A49">
        <v>7.6923076923076927E-2</v>
      </c>
      <c r="B49">
        <v>0.30769230769230771</v>
      </c>
      <c r="C49" s="23">
        <v>0.5</v>
      </c>
      <c r="D49">
        <v>0.1111111111111111</v>
      </c>
      <c r="E49">
        <v>0.18181818181818182</v>
      </c>
      <c r="F49">
        <v>0</v>
      </c>
      <c r="G49">
        <v>0</v>
      </c>
      <c r="H49">
        <v>5.7142857142857141E-2</v>
      </c>
      <c r="I49">
        <f t="shared" si="1"/>
        <v>7.6923076923076927E-2</v>
      </c>
      <c r="J49">
        <f t="shared" si="2"/>
        <v>0.30769230769230771</v>
      </c>
      <c r="K49">
        <f t="shared" si="3"/>
        <v>0.5</v>
      </c>
      <c r="L49">
        <f t="shared" si="4"/>
        <v>0.1111111111111111</v>
      </c>
      <c r="M49">
        <f t="shared" si="5"/>
        <v>0.18181818181818182</v>
      </c>
      <c r="N49">
        <f t="shared" si="6"/>
        <v>0</v>
      </c>
      <c r="O49">
        <f t="shared" si="7"/>
        <v>0</v>
      </c>
      <c r="P49">
        <f t="shared" si="8"/>
        <v>5.7142857142857141E-2</v>
      </c>
    </row>
    <row r="50" spans="1:16" x14ac:dyDescent="0.4">
      <c r="A50">
        <v>0.14814814814814814</v>
      </c>
      <c r="B50">
        <v>0.44444444444444442</v>
      </c>
      <c r="C50" s="24">
        <v>0.2857142857142857</v>
      </c>
      <c r="D50">
        <v>0.5</v>
      </c>
      <c r="E50">
        <v>0.13043478260869565</v>
      </c>
      <c r="F50">
        <v>0</v>
      </c>
      <c r="G50">
        <v>0</v>
      </c>
      <c r="H50">
        <v>9.0909090909090912E-2</v>
      </c>
      <c r="I50">
        <f t="shared" si="1"/>
        <v>0.14814814814814814</v>
      </c>
      <c r="J50">
        <f t="shared" si="2"/>
        <v>0.44444444444444442</v>
      </c>
      <c r="K50">
        <f t="shared" si="3"/>
        <v>0.2857142857142857</v>
      </c>
      <c r="L50">
        <f t="shared" si="4"/>
        <v>0.5</v>
      </c>
      <c r="M50">
        <f t="shared" si="5"/>
        <v>0.13043478260869565</v>
      </c>
      <c r="N50">
        <f t="shared" si="6"/>
        <v>0</v>
      </c>
      <c r="O50">
        <f t="shared" si="7"/>
        <v>0</v>
      </c>
      <c r="P50">
        <f t="shared" si="8"/>
        <v>9.0909090909090912E-2</v>
      </c>
    </row>
    <row r="51" spans="1:16" x14ac:dyDescent="0.4">
      <c r="A51">
        <v>0.44444444444444442</v>
      </c>
      <c r="B51">
        <v>0.23529411764705882</v>
      </c>
      <c r="C51" s="23">
        <v>7.407407407407407E-2</v>
      </c>
      <c r="D51">
        <v>0.1111111111111111</v>
      </c>
      <c r="E51">
        <v>0</v>
      </c>
      <c r="F51">
        <v>5.8823529411764705E-2</v>
      </c>
      <c r="G51">
        <v>0</v>
      </c>
      <c r="H51">
        <v>0.26666666666666666</v>
      </c>
      <c r="I51">
        <f t="shared" si="1"/>
        <v>0.44444444444444442</v>
      </c>
      <c r="J51">
        <f t="shared" si="2"/>
        <v>0.23529411764705882</v>
      </c>
      <c r="K51">
        <f t="shared" si="3"/>
        <v>7.407407407407407E-2</v>
      </c>
      <c r="L51">
        <f t="shared" si="4"/>
        <v>0.1111111111111111</v>
      </c>
      <c r="M51">
        <f t="shared" si="5"/>
        <v>0</v>
      </c>
      <c r="N51">
        <f t="shared" si="6"/>
        <v>5.8823529411764705E-2</v>
      </c>
      <c r="O51">
        <f t="shared" si="7"/>
        <v>0</v>
      </c>
      <c r="P51">
        <f t="shared" si="8"/>
        <v>0.26666666666666666</v>
      </c>
    </row>
    <row r="52" spans="1:16" x14ac:dyDescent="0.4">
      <c r="A52">
        <v>0</v>
      </c>
      <c r="B52">
        <v>0</v>
      </c>
      <c r="C52" s="24">
        <v>0.14285714285714285</v>
      </c>
      <c r="D52">
        <v>0.33333333333333331</v>
      </c>
      <c r="E52">
        <v>0.2857142857142857</v>
      </c>
      <c r="F52">
        <v>3.7037037037037035E-2</v>
      </c>
      <c r="G52">
        <v>0.26666666666666666</v>
      </c>
      <c r="H52">
        <v>0.22222222222222221</v>
      </c>
      <c r="I52">
        <f t="shared" si="1"/>
        <v>0</v>
      </c>
      <c r="J52">
        <f t="shared" si="2"/>
        <v>0</v>
      </c>
      <c r="K52">
        <f t="shared" si="3"/>
        <v>0.14285714285714285</v>
      </c>
      <c r="L52">
        <f t="shared" si="4"/>
        <v>0.33333333333333331</v>
      </c>
      <c r="M52">
        <f t="shared" si="5"/>
        <v>0.2857142857142857</v>
      </c>
      <c r="N52">
        <f t="shared" si="6"/>
        <v>3.7037037037037035E-2</v>
      </c>
      <c r="O52">
        <f t="shared" si="7"/>
        <v>0.26666666666666666</v>
      </c>
      <c r="P52">
        <f t="shared" si="8"/>
        <v>0.22222222222222221</v>
      </c>
    </row>
    <row r="53" spans="1:16" x14ac:dyDescent="0.4">
      <c r="A53">
        <v>0.23529411764705882</v>
      </c>
      <c r="B53">
        <v>2.564102564102564E-2</v>
      </c>
      <c r="C53" s="23">
        <v>0.22222222222222221</v>
      </c>
      <c r="D53">
        <v>0.5714285714285714</v>
      </c>
      <c r="E53">
        <v>6.6666666666666666E-2</v>
      </c>
      <c r="F53">
        <v>5.8823529411764705E-2</v>
      </c>
      <c r="G53">
        <v>0.11764705882352941</v>
      </c>
      <c r="H53">
        <v>0</v>
      </c>
      <c r="I53">
        <f t="shared" si="1"/>
        <v>0.23529411764705882</v>
      </c>
      <c r="J53">
        <f t="shared" si="2"/>
        <v>2.564102564102564E-2</v>
      </c>
      <c r="K53">
        <f t="shared" si="3"/>
        <v>0.22222222222222221</v>
      </c>
      <c r="L53">
        <f t="shared" si="4"/>
        <v>0.5714285714285714</v>
      </c>
      <c r="M53">
        <f t="shared" si="5"/>
        <v>6.6666666666666666E-2</v>
      </c>
      <c r="N53">
        <f t="shared" si="6"/>
        <v>5.8823529411764705E-2</v>
      </c>
      <c r="O53">
        <f t="shared" si="7"/>
        <v>0.11764705882352941</v>
      </c>
      <c r="P53">
        <f t="shared" si="8"/>
        <v>0</v>
      </c>
    </row>
    <row r="54" spans="1:16" x14ac:dyDescent="0.4">
      <c r="A54">
        <v>0.16666666666666666</v>
      </c>
      <c r="B54">
        <v>3.125E-2</v>
      </c>
      <c r="C54" s="24">
        <v>0.26666666666666666</v>
      </c>
      <c r="D54">
        <v>6.7796610169491525E-2</v>
      </c>
      <c r="E54">
        <v>9.0909090909090912E-2</v>
      </c>
      <c r="F54">
        <v>6.6666666666666666E-2</v>
      </c>
      <c r="G54">
        <v>0.13793103448275862</v>
      </c>
      <c r="H54">
        <v>0</v>
      </c>
      <c r="I54">
        <f t="shared" si="1"/>
        <v>0.16666666666666666</v>
      </c>
      <c r="J54">
        <f t="shared" si="2"/>
        <v>3.125E-2</v>
      </c>
      <c r="K54">
        <f t="shared" si="3"/>
        <v>0.26666666666666666</v>
      </c>
      <c r="L54">
        <f t="shared" si="4"/>
        <v>6.7796610169491525E-2</v>
      </c>
      <c r="M54">
        <f t="shared" si="5"/>
        <v>9.0909090909090912E-2</v>
      </c>
      <c r="N54">
        <f t="shared" si="6"/>
        <v>6.6666666666666666E-2</v>
      </c>
      <c r="O54">
        <f t="shared" si="7"/>
        <v>0.13793103448275862</v>
      </c>
      <c r="P54">
        <f t="shared" si="8"/>
        <v>0</v>
      </c>
    </row>
    <row r="55" spans="1:16" x14ac:dyDescent="0.4">
      <c r="A55">
        <v>0.26666666666666666</v>
      </c>
      <c r="B55">
        <v>0.23529411764705882</v>
      </c>
      <c r="C55" s="23">
        <v>0.19047619047619047</v>
      </c>
      <c r="D55">
        <v>0.66666666666666663</v>
      </c>
      <c r="E55">
        <v>0.25</v>
      </c>
      <c r="F55">
        <v>4.7619047619047616E-2</v>
      </c>
      <c r="G55">
        <v>6.6666666666666666E-2</v>
      </c>
      <c r="H55">
        <v>0.2</v>
      </c>
      <c r="I55">
        <f t="shared" si="1"/>
        <v>0.26666666666666666</v>
      </c>
      <c r="J55">
        <f t="shared" si="2"/>
        <v>0.23529411764705882</v>
      </c>
      <c r="K55">
        <f t="shared" si="3"/>
        <v>0.19047619047619047</v>
      </c>
      <c r="L55">
        <f t="shared" si="4"/>
        <v>0.66666666666666663</v>
      </c>
      <c r="M55">
        <f t="shared" si="5"/>
        <v>0.25</v>
      </c>
      <c r="N55">
        <f t="shared" si="6"/>
        <v>4.7619047619047616E-2</v>
      </c>
      <c r="O55">
        <f t="shared" si="7"/>
        <v>6.6666666666666666E-2</v>
      </c>
      <c r="P55">
        <f t="shared" si="8"/>
        <v>0.2</v>
      </c>
    </row>
    <row r="56" spans="1:16" x14ac:dyDescent="0.4">
      <c r="A56">
        <v>0.44444444444444442</v>
      </c>
      <c r="B56">
        <v>0</v>
      </c>
      <c r="C56" s="24">
        <v>0.14814814814814814</v>
      </c>
      <c r="D56">
        <v>0.16666666666666666</v>
      </c>
      <c r="E56">
        <v>0</v>
      </c>
      <c r="F56">
        <v>3.8461538461538464E-2</v>
      </c>
      <c r="G56">
        <v>0.44444444444444442</v>
      </c>
      <c r="H56">
        <v>9.0909090909090912E-2</v>
      </c>
      <c r="I56">
        <f t="shared" si="1"/>
        <v>0.44444444444444442</v>
      </c>
      <c r="J56">
        <f t="shared" si="2"/>
        <v>0</v>
      </c>
      <c r="K56">
        <f t="shared" si="3"/>
        <v>0.14814814814814814</v>
      </c>
      <c r="L56">
        <f t="shared" si="4"/>
        <v>0.16666666666666666</v>
      </c>
      <c r="M56">
        <f t="shared" si="5"/>
        <v>0</v>
      </c>
      <c r="N56">
        <f t="shared" si="6"/>
        <v>3.8461538461538464E-2</v>
      </c>
      <c r="O56">
        <f t="shared" si="7"/>
        <v>0.44444444444444442</v>
      </c>
      <c r="P56">
        <f t="shared" si="8"/>
        <v>9.0909090909090912E-2</v>
      </c>
    </row>
    <row r="57" spans="1:16" x14ac:dyDescent="0.4">
      <c r="A57">
        <v>0.2857142857142857</v>
      </c>
      <c r="B57">
        <v>3.3333333333333333E-2</v>
      </c>
      <c r="C57" s="23">
        <v>0.5714285714285714</v>
      </c>
      <c r="D57">
        <v>0.44444444444444442</v>
      </c>
      <c r="E57">
        <v>0.27272727272727271</v>
      </c>
      <c r="F57">
        <v>0</v>
      </c>
      <c r="G57">
        <v>0.16</v>
      </c>
      <c r="H57">
        <v>0</v>
      </c>
      <c r="I57">
        <f t="shared" si="1"/>
        <v>0.2857142857142857</v>
      </c>
      <c r="J57">
        <f t="shared" si="2"/>
        <v>3.3333333333333333E-2</v>
      </c>
      <c r="K57">
        <f t="shared" si="3"/>
        <v>0.5714285714285714</v>
      </c>
      <c r="L57">
        <f t="shared" si="4"/>
        <v>0.44444444444444442</v>
      </c>
      <c r="M57">
        <f t="shared" si="5"/>
        <v>0.27272727272727271</v>
      </c>
      <c r="N57">
        <f t="shared" si="6"/>
        <v>0</v>
      </c>
      <c r="O57">
        <f t="shared" si="7"/>
        <v>0.16</v>
      </c>
      <c r="P57">
        <f t="shared" si="8"/>
        <v>0</v>
      </c>
    </row>
    <row r="58" spans="1:16" x14ac:dyDescent="0.4">
      <c r="A58">
        <v>0.44444444444444442</v>
      </c>
      <c r="B58">
        <v>0.44444444444444442</v>
      </c>
      <c r="C58" s="24">
        <v>0.16666666666666666</v>
      </c>
      <c r="D58">
        <v>0.30769230769230771</v>
      </c>
      <c r="E58">
        <v>0.2857142857142857</v>
      </c>
      <c r="F58">
        <v>8.6956521739130432E-2</v>
      </c>
      <c r="G58">
        <v>0</v>
      </c>
      <c r="H58">
        <v>0.3</v>
      </c>
      <c r="I58">
        <f t="shared" si="1"/>
        <v>0.44444444444444442</v>
      </c>
      <c r="J58">
        <f t="shared" si="2"/>
        <v>0.44444444444444442</v>
      </c>
      <c r="K58">
        <f t="shared" si="3"/>
        <v>0.16666666666666666</v>
      </c>
      <c r="L58">
        <f t="shared" si="4"/>
        <v>0.30769230769230771</v>
      </c>
      <c r="M58">
        <f t="shared" si="5"/>
        <v>0.2857142857142857</v>
      </c>
      <c r="N58">
        <f t="shared" si="6"/>
        <v>8.6956521739130432E-2</v>
      </c>
      <c r="O58">
        <f t="shared" si="7"/>
        <v>0</v>
      </c>
      <c r="P58">
        <f t="shared" si="8"/>
        <v>0.3</v>
      </c>
    </row>
    <row r="59" spans="1:16" x14ac:dyDescent="0.4">
      <c r="A59">
        <v>0.11428571428571428</v>
      </c>
      <c r="B59">
        <v>0.2857142857142857</v>
      </c>
      <c r="C59" s="23">
        <v>0.2857142857142857</v>
      </c>
      <c r="D59">
        <v>0.21428571428571427</v>
      </c>
      <c r="E59">
        <v>9.6774193548387094E-2</v>
      </c>
      <c r="F59">
        <v>7.1428571428571425E-2</v>
      </c>
      <c r="G59">
        <v>8.3333333333333329E-2</v>
      </c>
      <c r="H59">
        <v>0.36363636363636365</v>
      </c>
      <c r="I59">
        <f t="shared" si="1"/>
        <v>0.11428571428571428</v>
      </c>
      <c r="J59">
        <f t="shared" si="2"/>
        <v>0.2857142857142857</v>
      </c>
      <c r="K59">
        <f t="shared" si="3"/>
        <v>0.2857142857142857</v>
      </c>
      <c r="L59">
        <f t="shared" si="4"/>
        <v>0.21428571428571427</v>
      </c>
      <c r="M59">
        <f t="shared" si="5"/>
        <v>9.6774193548387094E-2</v>
      </c>
      <c r="N59">
        <f t="shared" si="6"/>
        <v>7.1428571428571425E-2</v>
      </c>
      <c r="O59">
        <f t="shared" si="7"/>
        <v>8.3333333333333329E-2</v>
      </c>
      <c r="P59">
        <f t="shared" si="8"/>
        <v>0.36363636363636365</v>
      </c>
    </row>
    <row r="60" spans="1:16" x14ac:dyDescent="0.4">
      <c r="A60">
        <v>0</v>
      </c>
      <c r="B60">
        <v>0.36363636363636365</v>
      </c>
      <c r="C60" s="24">
        <v>0.16666666666666666</v>
      </c>
      <c r="D60">
        <v>0.2</v>
      </c>
      <c r="E60">
        <v>0.10526315789473684</v>
      </c>
      <c r="F60">
        <v>1</v>
      </c>
      <c r="G60">
        <v>0.1111111111111111</v>
      </c>
      <c r="H60">
        <v>6.25E-2</v>
      </c>
      <c r="I60">
        <f t="shared" si="1"/>
        <v>0</v>
      </c>
      <c r="J60">
        <f t="shared" si="2"/>
        <v>0.36363636363636365</v>
      </c>
      <c r="K60">
        <f t="shared" si="3"/>
        <v>0.16666666666666666</v>
      </c>
      <c r="L60">
        <f t="shared" si="4"/>
        <v>0.2</v>
      </c>
      <c r="M60">
        <f t="shared" si="5"/>
        <v>0.10526315789473684</v>
      </c>
      <c r="N60">
        <f t="shared" si="6"/>
        <v>1</v>
      </c>
      <c r="O60">
        <f t="shared" si="7"/>
        <v>0.1111111111111111</v>
      </c>
      <c r="P60">
        <f t="shared" si="8"/>
        <v>6.25E-2</v>
      </c>
    </row>
    <row r="61" spans="1:16" x14ac:dyDescent="0.4">
      <c r="A61">
        <v>0.4</v>
      </c>
      <c r="B61">
        <v>0</v>
      </c>
      <c r="C61" s="23">
        <v>0.36363636363636365</v>
      </c>
      <c r="D61">
        <v>0.4</v>
      </c>
      <c r="E61">
        <v>0.125</v>
      </c>
      <c r="F61">
        <v>0.25</v>
      </c>
      <c r="G61">
        <v>0.25</v>
      </c>
      <c r="H61">
        <v>0.1111111111111111</v>
      </c>
      <c r="I61">
        <f t="shared" si="1"/>
        <v>0.4</v>
      </c>
      <c r="J61">
        <f t="shared" si="2"/>
        <v>0</v>
      </c>
      <c r="K61">
        <f t="shared" si="3"/>
        <v>0.36363636363636365</v>
      </c>
      <c r="L61">
        <f t="shared" si="4"/>
        <v>0.4</v>
      </c>
      <c r="M61">
        <f t="shared" si="5"/>
        <v>0.125</v>
      </c>
      <c r="N61">
        <f t="shared" si="6"/>
        <v>0.25</v>
      </c>
      <c r="O61">
        <f t="shared" si="7"/>
        <v>0.25</v>
      </c>
      <c r="P61">
        <f t="shared" si="8"/>
        <v>0.1111111111111111</v>
      </c>
    </row>
    <row r="62" spans="1:16" x14ac:dyDescent="0.4">
      <c r="A62">
        <v>6.9767441860465115E-2</v>
      </c>
      <c r="B62">
        <v>0.30769230769230771</v>
      </c>
      <c r="C62" s="24">
        <v>3.7037037037037035E-2</v>
      </c>
      <c r="D62">
        <v>0.10344827586206896</v>
      </c>
      <c r="E62">
        <v>0.10256410256410256</v>
      </c>
      <c r="F62">
        <v>0.16</v>
      </c>
      <c r="G62">
        <v>0.1</v>
      </c>
      <c r="H62">
        <v>0.15384615384615385</v>
      </c>
      <c r="I62">
        <f t="shared" si="1"/>
        <v>6.9767441860465115E-2</v>
      </c>
      <c r="J62">
        <f t="shared" si="2"/>
        <v>0.30769230769230771</v>
      </c>
      <c r="K62">
        <f t="shared" si="3"/>
        <v>3.7037037037037035E-2</v>
      </c>
      <c r="L62">
        <f t="shared" si="4"/>
        <v>0.10344827586206896</v>
      </c>
      <c r="M62">
        <f t="shared" si="5"/>
        <v>0.10256410256410256</v>
      </c>
      <c r="N62">
        <f t="shared" si="6"/>
        <v>0.16</v>
      </c>
      <c r="O62">
        <f t="shared" si="7"/>
        <v>0.1</v>
      </c>
      <c r="P62">
        <f t="shared" si="8"/>
        <v>0.15384615384615385</v>
      </c>
    </row>
    <row r="63" spans="1:16" x14ac:dyDescent="0.4">
      <c r="A63">
        <v>0.36363636363636365</v>
      </c>
      <c r="B63">
        <v>0.23529411764705882</v>
      </c>
      <c r="C63" s="23">
        <v>0.1</v>
      </c>
      <c r="D63">
        <v>0.25</v>
      </c>
      <c r="E63">
        <v>0</v>
      </c>
      <c r="F63">
        <v>2.6315789473684209E-2</v>
      </c>
      <c r="G63">
        <v>6.6666666666666666E-2</v>
      </c>
      <c r="H63">
        <v>0.5</v>
      </c>
      <c r="I63">
        <f t="shared" si="1"/>
        <v>0.36363636363636365</v>
      </c>
      <c r="J63">
        <f t="shared" si="2"/>
        <v>0.23529411764705882</v>
      </c>
      <c r="K63">
        <f t="shared" si="3"/>
        <v>0.1</v>
      </c>
      <c r="L63">
        <f t="shared" si="4"/>
        <v>0.25</v>
      </c>
      <c r="M63">
        <f t="shared" si="5"/>
        <v>0</v>
      </c>
      <c r="N63">
        <f t="shared" si="6"/>
        <v>2.6315789473684209E-2</v>
      </c>
      <c r="O63">
        <f t="shared" si="7"/>
        <v>6.6666666666666666E-2</v>
      </c>
      <c r="P63">
        <f t="shared" si="8"/>
        <v>0.5</v>
      </c>
    </row>
    <row r="64" spans="1:16" x14ac:dyDescent="0.4">
      <c r="A64">
        <v>0.33333333333333331</v>
      </c>
      <c r="B64">
        <v>0.2</v>
      </c>
      <c r="C64" s="24">
        <v>0.14814814814814814</v>
      </c>
      <c r="D64">
        <v>0.16666666666666666</v>
      </c>
      <c r="E64">
        <v>9.0909090909090912E-2</v>
      </c>
      <c r="F64">
        <v>3.5714285714285712E-2</v>
      </c>
      <c r="G64">
        <v>0.11764705882352941</v>
      </c>
      <c r="H64">
        <v>0.5</v>
      </c>
      <c r="I64">
        <f t="shared" si="1"/>
        <v>0.33333333333333331</v>
      </c>
      <c r="J64">
        <f t="shared" si="2"/>
        <v>0.2</v>
      </c>
      <c r="K64">
        <f t="shared" si="3"/>
        <v>0.14814814814814814</v>
      </c>
      <c r="L64">
        <f t="shared" si="4"/>
        <v>0.16666666666666666</v>
      </c>
      <c r="M64">
        <f t="shared" si="5"/>
        <v>9.0909090909090912E-2</v>
      </c>
      <c r="N64">
        <f t="shared" si="6"/>
        <v>3.5714285714285712E-2</v>
      </c>
      <c r="O64">
        <f t="shared" si="7"/>
        <v>0.11764705882352941</v>
      </c>
      <c r="P64">
        <f t="shared" si="8"/>
        <v>0.5</v>
      </c>
    </row>
    <row r="65" spans="1:16" x14ac:dyDescent="0.4">
      <c r="A65">
        <v>0.14285714285714285</v>
      </c>
      <c r="B65">
        <v>0.44444444444444442</v>
      </c>
      <c r="C65" s="23">
        <v>5.7142857142857141E-2</v>
      </c>
      <c r="D65">
        <v>0.17391304347826086</v>
      </c>
      <c r="E65">
        <v>0.125</v>
      </c>
      <c r="F65">
        <v>2.9850746268656716E-2</v>
      </c>
      <c r="G65">
        <v>0.2857142857142857</v>
      </c>
      <c r="H65">
        <v>0</v>
      </c>
      <c r="I65">
        <f t="shared" si="1"/>
        <v>0.14285714285714285</v>
      </c>
      <c r="J65">
        <f t="shared" si="2"/>
        <v>0.44444444444444442</v>
      </c>
      <c r="K65">
        <f t="shared" si="3"/>
        <v>5.7142857142857141E-2</v>
      </c>
      <c r="L65">
        <f t="shared" si="4"/>
        <v>0.17391304347826086</v>
      </c>
      <c r="M65">
        <f t="shared" si="5"/>
        <v>0.125</v>
      </c>
      <c r="N65">
        <f t="shared" si="6"/>
        <v>2.9850746268656716E-2</v>
      </c>
      <c r="O65">
        <f t="shared" si="7"/>
        <v>0.2857142857142857</v>
      </c>
      <c r="P65">
        <f t="shared" si="8"/>
        <v>0</v>
      </c>
    </row>
    <row r="66" spans="1:16" x14ac:dyDescent="0.4">
      <c r="A66">
        <v>0</v>
      </c>
      <c r="B66">
        <v>0</v>
      </c>
      <c r="C66" s="24">
        <v>0.33333333333333331</v>
      </c>
      <c r="D66">
        <v>7.4999999999999997E-2</v>
      </c>
      <c r="E66">
        <v>0.17391304347826086</v>
      </c>
      <c r="F66">
        <v>0.18181818181818182</v>
      </c>
      <c r="G66">
        <v>0.13793103448275862</v>
      </c>
      <c r="H66">
        <v>0.1111111111111111</v>
      </c>
      <c r="I66">
        <f t="shared" si="1"/>
        <v>0</v>
      </c>
      <c r="J66">
        <f t="shared" si="2"/>
        <v>0</v>
      </c>
      <c r="K66">
        <f t="shared" si="3"/>
        <v>0.33333333333333331</v>
      </c>
      <c r="L66">
        <f t="shared" si="4"/>
        <v>7.4999999999999997E-2</v>
      </c>
      <c r="M66">
        <f t="shared" si="5"/>
        <v>0.17391304347826086</v>
      </c>
      <c r="N66">
        <f t="shared" si="6"/>
        <v>0.18181818181818182</v>
      </c>
      <c r="O66">
        <f t="shared" si="7"/>
        <v>0.13793103448275862</v>
      </c>
      <c r="P66">
        <f t="shared" si="8"/>
        <v>0.1111111111111111</v>
      </c>
    </row>
    <row r="67" spans="1:16" x14ac:dyDescent="0.4">
      <c r="A67">
        <v>0.2857142857142857</v>
      </c>
      <c r="B67">
        <v>0.18181818181818182</v>
      </c>
      <c r="C67" s="23">
        <v>0.08</v>
      </c>
      <c r="D67">
        <v>0.4</v>
      </c>
      <c r="E67">
        <v>0</v>
      </c>
      <c r="F67">
        <v>1.9607843137254902E-2</v>
      </c>
      <c r="G67">
        <v>0</v>
      </c>
      <c r="H67">
        <v>0.22222222222222221</v>
      </c>
      <c r="I67">
        <f t="shared" si="1"/>
        <v>0.2857142857142857</v>
      </c>
      <c r="J67">
        <f t="shared" si="2"/>
        <v>0.18181818181818182</v>
      </c>
      <c r="K67">
        <f t="shared" si="3"/>
        <v>0.08</v>
      </c>
      <c r="L67">
        <f t="shared" si="4"/>
        <v>0.4</v>
      </c>
      <c r="M67">
        <f t="shared" si="5"/>
        <v>0</v>
      </c>
      <c r="N67">
        <f t="shared" si="6"/>
        <v>1.9607843137254902E-2</v>
      </c>
      <c r="O67">
        <f t="shared" si="7"/>
        <v>0</v>
      </c>
      <c r="P67">
        <f t="shared" si="8"/>
        <v>0.22222222222222221</v>
      </c>
    </row>
    <row r="68" spans="1:16" x14ac:dyDescent="0.4">
      <c r="A68">
        <v>0.26666666666666666</v>
      </c>
      <c r="B68">
        <v>0.33333333333333331</v>
      </c>
      <c r="C68" s="24">
        <v>0.13793103448275862</v>
      </c>
      <c r="D68">
        <v>0.16</v>
      </c>
      <c r="E68">
        <v>0</v>
      </c>
      <c r="F68">
        <v>0.1111111111111111</v>
      </c>
      <c r="G68">
        <v>0</v>
      </c>
      <c r="H68">
        <v>4.1666666666666664E-2</v>
      </c>
      <c r="I68">
        <f t="shared" si="1"/>
        <v>0.26666666666666666</v>
      </c>
      <c r="J68">
        <f t="shared" si="2"/>
        <v>0.33333333333333331</v>
      </c>
      <c r="K68">
        <f t="shared" si="3"/>
        <v>0.13793103448275862</v>
      </c>
      <c r="L68">
        <f t="shared" si="4"/>
        <v>0.16</v>
      </c>
      <c r="M68">
        <f t="shared" si="5"/>
        <v>0</v>
      </c>
      <c r="N68">
        <f t="shared" si="6"/>
        <v>0.1111111111111111</v>
      </c>
      <c r="O68">
        <f t="shared" si="7"/>
        <v>0</v>
      </c>
      <c r="P68">
        <f t="shared" si="8"/>
        <v>4.1666666666666664E-2</v>
      </c>
    </row>
    <row r="69" spans="1:16" x14ac:dyDescent="0.4">
      <c r="A69">
        <v>0.36363636363636365</v>
      </c>
      <c r="B69">
        <v>0.30769230769230771</v>
      </c>
      <c r="C69" s="23">
        <v>0.19047619047619047</v>
      </c>
      <c r="D69">
        <v>0.23529411764705882</v>
      </c>
      <c r="E69">
        <v>0</v>
      </c>
      <c r="F69">
        <v>0.1</v>
      </c>
      <c r="G69">
        <v>0</v>
      </c>
      <c r="H69">
        <v>0</v>
      </c>
      <c r="I69">
        <f t="shared" si="1"/>
        <v>0.36363636363636365</v>
      </c>
      <c r="J69">
        <f t="shared" si="2"/>
        <v>0.30769230769230771</v>
      </c>
      <c r="K69">
        <f t="shared" si="3"/>
        <v>0.19047619047619047</v>
      </c>
      <c r="L69">
        <f t="shared" si="4"/>
        <v>0.23529411764705882</v>
      </c>
      <c r="M69">
        <f t="shared" si="5"/>
        <v>0</v>
      </c>
      <c r="N69">
        <f t="shared" si="6"/>
        <v>0.1</v>
      </c>
      <c r="O69">
        <f t="shared" si="7"/>
        <v>0</v>
      </c>
      <c r="P69">
        <f t="shared" si="8"/>
        <v>0</v>
      </c>
    </row>
    <row r="70" spans="1:16" x14ac:dyDescent="0.4">
      <c r="A70">
        <v>0.2857142857142857</v>
      </c>
      <c r="B70">
        <v>0.2</v>
      </c>
      <c r="C70" s="24">
        <v>0.5</v>
      </c>
      <c r="D70">
        <v>0.5</v>
      </c>
      <c r="E70">
        <v>0</v>
      </c>
      <c r="F70">
        <v>0.16666666666666666</v>
      </c>
      <c r="G70">
        <v>0.1875</v>
      </c>
      <c r="H70">
        <v>0</v>
      </c>
      <c r="I70">
        <f t="shared" si="1"/>
        <v>0.2857142857142857</v>
      </c>
      <c r="J70">
        <f t="shared" si="2"/>
        <v>0.2</v>
      </c>
      <c r="K70">
        <f t="shared" si="3"/>
        <v>0.5</v>
      </c>
      <c r="L70">
        <f t="shared" si="4"/>
        <v>0.5</v>
      </c>
      <c r="M70">
        <f t="shared" si="5"/>
        <v>0</v>
      </c>
      <c r="N70">
        <f t="shared" si="6"/>
        <v>0.16666666666666666</v>
      </c>
      <c r="O70">
        <f t="shared" si="7"/>
        <v>0.1875</v>
      </c>
      <c r="P70">
        <f t="shared" si="8"/>
        <v>0</v>
      </c>
    </row>
    <row r="71" spans="1:16" x14ac:dyDescent="0.4">
      <c r="A71">
        <v>0.4</v>
      </c>
      <c r="B71">
        <v>0.4</v>
      </c>
      <c r="C71" s="23">
        <v>0.18181818181818182</v>
      </c>
      <c r="D71">
        <v>0.125</v>
      </c>
      <c r="E71">
        <v>0</v>
      </c>
      <c r="F71">
        <v>0.15</v>
      </c>
      <c r="G71">
        <v>0</v>
      </c>
      <c r="H71">
        <v>0.36363636363636365</v>
      </c>
      <c r="I71">
        <f t="shared" si="1"/>
        <v>0.4</v>
      </c>
      <c r="J71">
        <f t="shared" si="2"/>
        <v>0.4</v>
      </c>
      <c r="K71">
        <f t="shared" si="3"/>
        <v>0.18181818181818182</v>
      </c>
      <c r="L71">
        <f t="shared" si="4"/>
        <v>0.125</v>
      </c>
      <c r="M71">
        <f t="shared" si="5"/>
        <v>0</v>
      </c>
      <c r="N71">
        <f t="shared" si="6"/>
        <v>0.15</v>
      </c>
      <c r="O71">
        <f t="shared" si="7"/>
        <v>0</v>
      </c>
      <c r="P71">
        <f t="shared" si="8"/>
        <v>0.36363636363636365</v>
      </c>
    </row>
    <row r="72" spans="1:16" x14ac:dyDescent="0.4">
      <c r="A72">
        <v>0.21052631578947367</v>
      </c>
      <c r="B72">
        <v>0.2857142857142857</v>
      </c>
      <c r="C72" s="24">
        <v>7.1428571428571425E-2</v>
      </c>
      <c r="D72">
        <v>0.5714285714285714</v>
      </c>
      <c r="E72">
        <v>5.8823529411764705E-2</v>
      </c>
      <c r="F72">
        <v>0.36363636363636365</v>
      </c>
      <c r="G72">
        <v>8.3333333333333329E-2</v>
      </c>
      <c r="H72">
        <v>0</v>
      </c>
      <c r="I72">
        <f t="shared" ref="I72:I135" si="9">IF(A72&gt;1, 1, A72)</f>
        <v>0.21052631578947367</v>
      </c>
      <c r="J72">
        <f t="shared" ref="J72:J135" si="10">IF(B72&gt;1, 1, B72)</f>
        <v>0.2857142857142857</v>
      </c>
      <c r="K72">
        <f t="shared" ref="K72:K135" si="11">IF(C72&gt;1, 1, C72)</f>
        <v>7.1428571428571425E-2</v>
      </c>
      <c r="L72">
        <f t="shared" ref="L72:L135" si="12">IF(D72&gt;1, 1, D72)</f>
        <v>0.5714285714285714</v>
      </c>
      <c r="M72">
        <f t="shared" ref="M72:M135" si="13">IF(E72&gt;1, 1, E72)</f>
        <v>5.8823529411764705E-2</v>
      </c>
      <c r="N72">
        <f t="shared" ref="N72:N135" si="14">IF(F72&gt;1, 1, F72)</f>
        <v>0.36363636363636365</v>
      </c>
      <c r="O72">
        <f t="shared" ref="O72:O135" si="15">IF(G72&gt;1, 1, G72)</f>
        <v>8.3333333333333329E-2</v>
      </c>
      <c r="P72">
        <f t="shared" ref="P72:P135" si="16">IF(H72&gt;1, 1, H72)</f>
        <v>0</v>
      </c>
    </row>
    <row r="73" spans="1:16" x14ac:dyDescent="0.4">
      <c r="A73">
        <v>0.19047619047619047</v>
      </c>
      <c r="B73">
        <v>0.33333333333333331</v>
      </c>
      <c r="C73" s="23">
        <v>8.1632653061224483E-2</v>
      </c>
      <c r="D73">
        <v>0.33333333333333331</v>
      </c>
      <c r="E73">
        <v>0</v>
      </c>
      <c r="F73">
        <v>6.6666666666666666E-2</v>
      </c>
      <c r="G73">
        <v>0</v>
      </c>
      <c r="H73">
        <v>9.0909090909090912E-2</v>
      </c>
      <c r="I73">
        <f t="shared" si="9"/>
        <v>0.19047619047619047</v>
      </c>
      <c r="J73">
        <f t="shared" si="10"/>
        <v>0.33333333333333331</v>
      </c>
      <c r="K73">
        <f t="shared" si="11"/>
        <v>8.1632653061224483E-2</v>
      </c>
      <c r="L73">
        <f t="shared" si="12"/>
        <v>0.33333333333333331</v>
      </c>
      <c r="M73">
        <f t="shared" si="13"/>
        <v>0</v>
      </c>
      <c r="N73">
        <f t="shared" si="14"/>
        <v>6.6666666666666666E-2</v>
      </c>
      <c r="O73">
        <f t="shared" si="15"/>
        <v>0</v>
      </c>
      <c r="P73">
        <f t="shared" si="16"/>
        <v>9.0909090909090912E-2</v>
      </c>
    </row>
    <row r="74" spans="1:16" x14ac:dyDescent="0.4">
      <c r="A74">
        <v>0.33333333333333331</v>
      </c>
      <c r="B74">
        <v>0.26666666666666666</v>
      </c>
      <c r="C74" s="24">
        <v>0.16</v>
      </c>
      <c r="D74">
        <v>0.5714285714285714</v>
      </c>
      <c r="E74">
        <v>9.0909090909090912E-2</v>
      </c>
      <c r="F74">
        <v>0</v>
      </c>
      <c r="G74">
        <v>0</v>
      </c>
      <c r="H74">
        <v>0.14285714285714285</v>
      </c>
      <c r="I74">
        <f t="shared" si="9"/>
        <v>0.33333333333333331</v>
      </c>
      <c r="J74">
        <f t="shared" si="10"/>
        <v>0.26666666666666666</v>
      </c>
      <c r="K74">
        <f t="shared" si="11"/>
        <v>0.16</v>
      </c>
      <c r="L74">
        <f t="shared" si="12"/>
        <v>0.5714285714285714</v>
      </c>
      <c r="M74">
        <f t="shared" si="13"/>
        <v>9.0909090909090912E-2</v>
      </c>
      <c r="N74">
        <f t="shared" si="14"/>
        <v>0</v>
      </c>
      <c r="O74">
        <f t="shared" si="15"/>
        <v>0</v>
      </c>
      <c r="P74">
        <f t="shared" si="16"/>
        <v>0.14285714285714285</v>
      </c>
    </row>
    <row r="75" spans="1:16" x14ac:dyDescent="0.4">
      <c r="A75">
        <v>0.30769230769230771</v>
      </c>
      <c r="B75">
        <v>0.2</v>
      </c>
      <c r="C75" s="23">
        <v>0.2857142857142857</v>
      </c>
      <c r="D75">
        <v>0.2</v>
      </c>
      <c r="E75">
        <v>8.3333333333333329E-2</v>
      </c>
      <c r="F75">
        <v>7.6923076923076927E-2</v>
      </c>
      <c r="G75">
        <v>9.0909090909090912E-2</v>
      </c>
      <c r="H75">
        <v>0</v>
      </c>
      <c r="I75">
        <f t="shared" si="9"/>
        <v>0.30769230769230771</v>
      </c>
      <c r="J75">
        <f t="shared" si="10"/>
        <v>0.2</v>
      </c>
      <c r="K75">
        <f t="shared" si="11"/>
        <v>0.2857142857142857</v>
      </c>
      <c r="L75">
        <f t="shared" si="12"/>
        <v>0.2</v>
      </c>
      <c r="M75">
        <f t="shared" si="13"/>
        <v>8.3333333333333329E-2</v>
      </c>
      <c r="N75">
        <f t="shared" si="14"/>
        <v>7.6923076923076927E-2</v>
      </c>
      <c r="O75">
        <f t="shared" si="15"/>
        <v>9.0909090909090912E-2</v>
      </c>
      <c r="P75">
        <f t="shared" si="16"/>
        <v>0</v>
      </c>
    </row>
    <row r="76" spans="1:16" x14ac:dyDescent="0.4">
      <c r="A76">
        <v>0.2857142857142857</v>
      </c>
      <c r="B76">
        <v>0.33333333333333331</v>
      </c>
      <c r="C76" s="24">
        <v>0.25</v>
      </c>
      <c r="D76">
        <v>0.44444444444444442</v>
      </c>
      <c r="E76">
        <v>0.16666666666666666</v>
      </c>
      <c r="F76">
        <v>0.23076923076923078</v>
      </c>
      <c r="G76">
        <v>0</v>
      </c>
      <c r="H76">
        <v>0.125</v>
      </c>
      <c r="I76">
        <f t="shared" si="9"/>
        <v>0.2857142857142857</v>
      </c>
      <c r="J76">
        <f t="shared" si="10"/>
        <v>0.33333333333333331</v>
      </c>
      <c r="K76">
        <f t="shared" si="11"/>
        <v>0.25</v>
      </c>
      <c r="L76">
        <f t="shared" si="12"/>
        <v>0.44444444444444442</v>
      </c>
      <c r="M76">
        <f t="shared" si="13"/>
        <v>0.16666666666666666</v>
      </c>
      <c r="N76">
        <f t="shared" si="14"/>
        <v>0.23076923076923078</v>
      </c>
      <c r="O76">
        <f t="shared" si="15"/>
        <v>0</v>
      </c>
      <c r="P76">
        <f t="shared" si="16"/>
        <v>0.125</v>
      </c>
    </row>
    <row r="77" spans="1:16" x14ac:dyDescent="0.4">
      <c r="A77">
        <v>0.13333333333333333</v>
      </c>
      <c r="B77">
        <v>0.17391304347826086</v>
      </c>
      <c r="C77" s="23">
        <v>0.4</v>
      </c>
      <c r="D77">
        <v>0.2857142857142857</v>
      </c>
      <c r="E77">
        <v>0.11538461538461539</v>
      </c>
      <c r="F77">
        <v>0</v>
      </c>
      <c r="G77">
        <v>4.5454545454545456E-2</v>
      </c>
      <c r="H77">
        <v>0.36363636363636365</v>
      </c>
      <c r="I77">
        <f t="shared" si="9"/>
        <v>0.13333333333333333</v>
      </c>
      <c r="J77">
        <f t="shared" si="10"/>
        <v>0.17391304347826086</v>
      </c>
      <c r="K77">
        <f t="shared" si="11"/>
        <v>0.4</v>
      </c>
      <c r="L77">
        <f t="shared" si="12"/>
        <v>0.2857142857142857</v>
      </c>
      <c r="M77">
        <f t="shared" si="13"/>
        <v>0.11538461538461539</v>
      </c>
      <c r="N77">
        <f t="shared" si="14"/>
        <v>0</v>
      </c>
      <c r="O77">
        <f t="shared" si="15"/>
        <v>4.5454545454545456E-2</v>
      </c>
      <c r="P77">
        <f t="shared" si="16"/>
        <v>0.36363636363636365</v>
      </c>
    </row>
    <row r="78" spans="1:16" x14ac:dyDescent="0.4">
      <c r="A78">
        <v>0.23529411764705882</v>
      </c>
      <c r="B78">
        <v>4.1666666666666664E-2</v>
      </c>
      <c r="C78" s="24">
        <v>0.30769230769230771</v>
      </c>
      <c r="D78">
        <v>0.21052631578947367</v>
      </c>
      <c r="E78">
        <v>0</v>
      </c>
      <c r="F78">
        <v>0.27272727272727271</v>
      </c>
      <c r="G78">
        <v>0.16666666666666666</v>
      </c>
      <c r="H78">
        <v>0</v>
      </c>
      <c r="I78">
        <f t="shared" si="9"/>
        <v>0.23529411764705882</v>
      </c>
      <c r="J78">
        <f t="shared" si="10"/>
        <v>4.1666666666666664E-2</v>
      </c>
      <c r="K78">
        <f t="shared" si="11"/>
        <v>0.30769230769230771</v>
      </c>
      <c r="L78">
        <f t="shared" si="12"/>
        <v>0.21052631578947367</v>
      </c>
      <c r="M78">
        <f t="shared" si="13"/>
        <v>0</v>
      </c>
      <c r="N78">
        <f t="shared" si="14"/>
        <v>0.27272727272727271</v>
      </c>
      <c r="O78">
        <f t="shared" si="15"/>
        <v>0.16666666666666666</v>
      </c>
      <c r="P78">
        <f t="shared" si="16"/>
        <v>0</v>
      </c>
    </row>
    <row r="79" spans="1:16" x14ac:dyDescent="0.4">
      <c r="A79">
        <v>0.23529411764705882</v>
      </c>
      <c r="B79">
        <v>4.3478260869565216E-2</v>
      </c>
      <c r="C79" s="23">
        <v>0.21052631578947367</v>
      </c>
      <c r="D79">
        <v>0.21052631578947367</v>
      </c>
      <c r="E79">
        <v>0</v>
      </c>
      <c r="F79">
        <v>0</v>
      </c>
      <c r="G79">
        <v>0.21052631578947367</v>
      </c>
      <c r="H79">
        <v>0.21428571428571427</v>
      </c>
      <c r="I79">
        <f t="shared" si="9"/>
        <v>0.23529411764705882</v>
      </c>
      <c r="J79">
        <f t="shared" si="10"/>
        <v>4.3478260869565216E-2</v>
      </c>
      <c r="K79">
        <f t="shared" si="11"/>
        <v>0.21052631578947367</v>
      </c>
      <c r="L79">
        <f t="shared" si="12"/>
        <v>0.21052631578947367</v>
      </c>
      <c r="M79">
        <f t="shared" si="13"/>
        <v>0</v>
      </c>
      <c r="N79">
        <f t="shared" si="14"/>
        <v>0</v>
      </c>
      <c r="O79">
        <f t="shared" si="15"/>
        <v>0.21052631578947367</v>
      </c>
      <c r="P79">
        <f t="shared" si="16"/>
        <v>0.21428571428571427</v>
      </c>
    </row>
    <row r="80" spans="1:16" x14ac:dyDescent="0.4">
      <c r="A80">
        <v>0.44444444444444442</v>
      </c>
      <c r="B80">
        <v>0.33333333333333331</v>
      </c>
      <c r="C80" s="24">
        <v>0.21052631578947367</v>
      </c>
      <c r="D80">
        <v>0</v>
      </c>
      <c r="E80">
        <v>0.1</v>
      </c>
      <c r="F80">
        <v>0</v>
      </c>
      <c r="G80">
        <v>0</v>
      </c>
      <c r="H80">
        <v>9.5238095238095233E-2</v>
      </c>
      <c r="I80">
        <f t="shared" si="9"/>
        <v>0.44444444444444442</v>
      </c>
      <c r="J80">
        <f t="shared" si="10"/>
        <v>0.33333333333333331</v>
      </c>
      <c r="K80">
        <f t="shared" si="11"/>
        <v>0.21052631578947367</v>
      </c>
      <c r="L80">
        <f t="shared" si="12"/>
        <v>0</v>
      </c>
      <c r="M80">
        <f t="shared" si="13"/>
        <v>0.1</v>
      </c>
      <c r="N80">
        <f t="shared" si="14"/>
        <v>0</v>
      </c>
      <c r="O80">
        <f t="shared" si="15"/>
        <v>0</v>
      </c>
      <c r="P80">
        <f t="shared" si="16"/>
        <v>9.5238095238095233E-2</v>
      </c>
    </row>
    <row r="81" spans="1:16" x14ac:dyDescent="0.4">
      <c r="A81">
        <v>0.2857142857142857</v>
      </c>
      <c r="B81">
        <v>0.44444444444444442</v>
      </c>
      <c r="C81" s="23">
        <v>0.5714285714285714</v>
      </c>
      <c r="D81">
        <v>0.23529411764705882</v>
      </c>
      <c r="E81">
        <v>0.18181818181818182</v>
      </c>
      <c r="F81">
        <v>0</v>
      </c>
      <c r="G81">
        <v>0.125</v>
      </c>
      <c r="H81">
        <v>7.1428571428571425E-2</v>
      </c>
      <c r="I81">
        <f t="shared" si="9"/>
        <v>0.2857142857142857</v>
      </c>
      <c r="J81">
        <f t="shared" si="10"/>
        <v>0.44444444444444442</v>
      </c>
      <c r="K81">
        <f t="shared" si="11"/>
        <v>0.5714285714285714</v>
      </c>
      <c r="L81">
        <f t="shared" si="12"/>
        <v>0.23529411764705882</v>
      </c>
      <c r="M81">
        <f t="shared" si="13"/>
        <v>0.18181818181818182</v>
      </c>
      <c r="N81">
        <f t="shared" si="14"/>
        <v>0</v>
      </c>
      <c r="O81">
        <f t="shared" si="15"/>
        <v>0.125</v>
      </c>
      <c r="P81">
        <f t="shared" si="16"/>
        <v>7.1428571428571425E-2</v>
      </c>
    </row>
    <row r="82" spans="1:16" x14ac:dyDescent="0.4">
      <c r="A82">
        <v>0.26666666666666666</v>
      </c>
      <c r="B82">
        <v>0.44444444444444442</v>
      </c>
      <c r="C82" s="24">
        <v>4.7619047619047616E-2</v>
      </c>
      <c r="D82">
        <v>0.36363636363636365</v>
      </c>
      <c r="E82">
        <v>0.15384615384615385</v>
      </c>
      <c r="F82">
        <v>2.4390243902439025E-2</v>
      </c>
      <c r="G82">
        <v>0</v>
      </c>
      <c r="H82">
        <v>0</v>
      </c>
      <c r="I82">
        <f t="shared" si="9"/>
        <v>0.26666666666666666</v>
      </c>
      <c r="J82">
        <f t="shared" si="10"/>
        <v>0.44444444444444442</v>
      </c>
      <c r="K82">
        <f t="shared" si="11"/>
        <v>4.7619047619047616E-2</v>
      </c>
      <c r="L82">
        <f t="shared" si="12"/>
        <v>0.36363636363636365</v>
      </c>
      <c r="M82">
        <f t="shared" si="13"/>
        <v>0.15384615384615385</v>
      </c>
      <c r="N82">
        <f t="shared" si="14"/>
        <v>2.4390243902439025E-2</v>
      </c>
      <c r="O82">
        <f t="shared" si="15"/>
        <v>0</v>
      </c>
      <c r="P82">
        <f t="shared" si="16"/>
        <v>0</v>
      </c>
    </row>
    <row r="83" spans="1:16" x14ac:dyDescent="0.4">
      <c r="A83">
        <v>0.36363636363636365</v>
      </c>
      <c r="B83">
        <v>0.26666666666666666</v>
      </c>
      <c r="C83" s="23">
        <v>0.19047619047619047</v>
      </c>
      <c r="D83">
        <v>0.66666666666666663</v>
      </c>
      <c r="E83">
        <v>9.0909090909090912E-2</v>
      </c>
      <c r="F83">
        <v>5.2631578947368418E-2</v>
      </c>
      <c r="G83">
        <v>7.6923076923076927E-2</v>
      </c>
      <c r="H83">
        <v>1</v>
      </c>
      <c r="I83">
        <f t="shared" si="9"/>
        <v>0.36363636363636365</v>
      </c>
      <c r="J83">
        <f t="shared" si="10"/>
        <v>0.26666666666666666</v>
      </c>
      <c r="K83">
        <f t="shared" si="11"/>
        <v>0.19047619047619047</v>
      </c>
      <c r="L83">
        <f t="shared" si="12"/>
        <v>0.66666666666666663</v>
      </c>
      <c r="M83">
        <f t="shared" si="13"/>
        <v>9.0909090909090912E-2</v>
      </c>
      <c r="N83">
        <f t="shared" si="14"/>
        <v>5.2631578947368418E-2</v>
      </c>
      <c r="O83">
        <f t="shared" si="15"/>
        <v>7.6923076923076927E-2</v>
      </c>
      <c r="P83">
        <f t="shared" si="16"/>
        <v>1</v>
      </c>
    </row>
    <row r="84" spans="1:16" x14ac:dyDescent="0.4">
      <c r="A84">
        <v>0.25</v>
      </c>
      <c r="B84">
        <v>0</v>
      </c>
      <c r="C84" s="24">
        <v>9.0909090909090912E-2</v>
      </c>
      <c r="D84">
        <v>0.27272727272727271</v>
      </c>
      <c r="E84">
        <v>0</v>
      </c>
      <c r="F84">
        <v>2.3255813953488372E-2</v>
      </c>
      <c r="G84">
        <v>0.25</v>
      </c>
      <c r="H84">
        <v>0.30769230769230771</v>
      </c>
      <c r="I84">
        <f t="shared" si="9"/>
        <v>0.25</v>
      </c>
      <c r="J84">
        <f t="shared" si="10"/>
        <v>0</v>
      </c>
      <c r="K84">
        <f t="shared" si="11"/>
        <v>9.0909090909090912E-2</v>
      </c>
      <c r="L84">
        <f t="shared" si="12"/>
        <v>0.27272727272727271</v>
      </c>
      <c r="M84">
        <f t="shared" si="13"/>
        <v>0</v>
      </c>
      <c r="N84">
        <f t="shared" si="14"/>
        <v>2.3255813953488372E-2</v>
      </c>
      <c r="O84">
        <f t="shared" si="15"/>
        <v>0.25</v>
      </c>
      <c r="P84">
        <f t="shared" si="16"/>
        <v>0.30769230769230771</v>
      </c>
    </row>
    <row r="85" spans="1:16" x14ac:dyDescent="0.4">
      <c r="A85">
        <v>0.23529411764705882</v>
      </c>
      <c r="B85">
        <v>0.36363636363636365</v>
      </c>
      <c r="C85" s="23">
        <v>0.2</v>
      </c>
      <c r="D85">
        <v>0</v>
      </c>
      <c r="E85">
        <v>0.14285714285714285</v>
      </c>
      <c r="F85">
        <v>5.5555555555555552E-2</v>
      </c>
      <c r="G85">
        <v>0</v>
      </c>
      <c r="H85">
        <v>0.5</v>
      </c>
      <c r="I85">
        <f t="shared" si="9"/>
        <v>0.23529411764705882</v>
      </c>
      <c r="J85">
        <f t="shared" si="10"/>
        <v>0.36363636363636365</v>
      </c>
      <c r="K85">
        <f t="shared" si="11"/>
        <v>0.2</v>
      </c>
      <c r="L85">
        <f t="shared" si="12"/>
        <v>0</v>
      </c>
      <c r="M85">
        <f t="shared" si="13"/>
        <v>0.14285714285714285</v>
      </c>
      <c r="N85">
        <f t="shared" si="14"/>
        <v>5.5555555555555552E-2</v>
      </c>
      <c r="O85">
        <f t="shared" si="15"/>
        <v>0</v>
      </c>
      <c r="P85">
        <f t="shared" si="16"/>
        <v>0.5</v>
      </c>
    </row>
    <row r="86" spans="1:16" x14ac:dyDescent="0.4">
      <c r="A86">
        <v>8.3333333333333329E-2</v>
      </c>
      <c r="B86">
        <v>0.30769230769230771</v>
      </c>
      <c r="C86" s="24">
        <v>0.4</v>
      </c>
      <c r="D86">
        <v>0.42857142857142855</v>
      </c>
      <c r="E86">
        <v>0.5</v>
      </c>
      <c r="F86">
        <v>0.42857142857142855</v>
      </c>
      <c r="G86">
        <v>8.3333333333333329E-2</v>
      </c>
      <c r="H86">
        <v>0.21052631578947367</v>
      </c>
      <c r="I86">
        <f t="shared" si="9"/>
        <v>8.3333333333333329E-2</v>
      </c>
      <c r="J86">
        <f t="shared" si="10"/>
        <v>0.30769230769230771</v>
      </c>
      <c r="K86">
        <f t="shared" si="11"/>
        <v>0.4</v>
      </c>
      <c r="L86">
        <f t="shared" si="12"/>
        <v>0.42857142857142855</v>
      </c>
      <c r="M86">
        <f t="shared" si="13"/>
        <v>0.5</v>
      </c>
      <c r="N86">
        <f t="shared" si="14"/>
        <v>0.42857142857142855</v>
      </c>
      <c r="O86">
        <f t="shared" si="15"/>
        <v>8.3333333333333329E-2</v>
      </c>
      <c r="P86">
        <f t="shared" si="16"/>
        <v>0.21052631578947367</v>
      </c>
    </row>
    <row r="87" spans="1:16" x14ac:dyDescent="0.4">
      <c r="A87">
        <v>0.4</v>
      </c>
      <c r="B87">
        <v>0.16</v>
      </c>
      <c r="C87" s="23">
        <v>0.5</v>
      </c>
      <c r="D87">
        <v>4.2553191489361701E-2</v>
      </c>
      <c r="E87">
        <v>0</v>
      </c>
      <c r="F87">
        <v>0.6</v>
      </c>
      <c r="G87">
        <v>0</v>
      </c>
      <c r="H87">
        <v>1.0638297872340425E-2</v>
      </c>
      <c r="I87">
        <f t="shared" si="9"/>
        <v>0.4</v>
      </c>
      <c r="J87">
        <f t="shared" si="10"/>
        <v>0.16</v>
      </c>
      <c r="K87">
        <f t="shared" si="11"/>
        <v>0.5</v>
      </c>
      <c r="L87">
        <f t="shared" si="12"/>
        <v>4.2553191489361701E-2</v>
      </c>
      <c r="M87">
        <f t="shared" si="13"/>
        <v>0</v>
      </c>
      <c r="N87">
        <f t="shared" si="14"/>
        <v>0.6</v>
      </c>
      <c r="O87">
        <f t="shared" si="15"/>
        <v>0</v>
      </c>
      <c r="P87">
        <f t="shared" si="16"/>
        <v>1.0638297872340425E-2</v>
      </c>
    </row>
    <row r="88" spans="1:16" x14ac:dyDescent="0.4">
      <c r="A88">
        <v>0.2857142857142857</v>
      </c>
      <c r="B88">
        <v>0.14285714285714285</v>
      </c>
      <c r="C88" s="24">
        <v>8.1632653061224483E-2</v>
      </c>
      <c r="D88">
        <v>7.1428571428571425E-2</v>
      </c>
      <c r="E88">
        <v>0.27272727272727271</v>
      </c>
      <c r="F88">
        <v>2.1276595744680851E-2</v>
      </c>
      <c r="G88">
        <v>0.125</v>
      </c>
      <c r="H88">
        <v>0.16666666666666666</v>
      </c>
      <c r="I88">
        <f t="shared" si="9"/>
        <v>0.2857142857142857</v>
      </c>
      <c r="J88">
        <f t="shared" si="10"/>
        <v>0.14285714285714285</v>
      </c>
      <c r="K88">
        <f t="shared" si="11"/>
        <v>8.1632653061224483E-2</v>
      </c>
      <c r="L88">
        <f t="shared" si="12"/>
        <v>7.1428571428571425E-2</v>
      </c>
      <c r="M88">
        <f t="shared" si="13"/>
        <v>0.27272727272727271</v>
      </c>
      <c r="N88">
        <f t="shared" si="14"/>
        <v>2.1276595744680851E-2</v>
      </c>
      <c r="O88">
        <f t="shared" si="15"/>
        <v>0.125</v>
      </c>
      <c r="P88">
        <f t="shared" si="16"/>
        <v>0.16666666666666666</v>
      </c>
    </row>
    <row r="89" spans="1:16" x14ac:dyDescent="0.4">
      <c r="A89">
        <v>0.4</v>
      </c>
      <c r="B89">
        <v>0.26666666666666666</v>
      </c>
      <c r="C89" s="23">
        <v>0.44444444444444442</v>
      </c>
      <c r="D89">
        <v>0.36363636363636365</v>
      </c>
      <c r="E89">
        <v>0.42857142857142855</v>
      </c>
      <c r="F89">
        <v>0</v>
      </c>
      <c r="G89">
        <v>0.15384615384615385</v>
      </c>
      <c r="H89">
        <v>4.3478260869565216E-2</v>
      </c>
      <c r="I89">
        <f t="shared" si="9"/>
        <v>0.4</v>
      </c>
      <c r="J89">
        <f t="shared" si="10"/>
        <v>0.26666666666666666</v>
      </c>
      <c r="K89">
        <f t="shared" si="11"/>
        <v>0.44444444444444442</v>
      </c>
      <c r="L89">
        <f t="shared" si="12"/>
        <v>0.36363636363636365</v>
      </c>
      <c r="M89">
        <f t="shared" si="13"/>
        <v>0.42857142857142855</v>
      </c>
      <c r="N89">
        <f t="shared" si="14"/>
        <v>0</v>
      </c>
      <c r="O89">
        <f t="shared" si="15"/>
        <v>0.15384615384615385</v>
      </c>
      <c r="P89">
        <f t="shared" si="16"/>
        <v>4.3478260869565216E-2</v>
      </c>
    </row>
    <row r="90" spans="1:16" x14ac:dyDescent="0.4">
      <c r="A90">
        <v>0.25</v>
      </c>
      <c r="B90">
        <v>0</v>
      </c>
      <c r="C90" s="24">
        <v>0.44444444444444442</v>
      </c>
      <c r="D90">
        <v>0.30769230769230771</v>
      </c>
      <c r="E90">
        <v>0</v>
      </c>
      <c r="F90">
        <v>0.125</v>
      </c>
      <c r="G90">
        <v>0.2857142857142857</v>
      </c>
      <c r="H90">
        <v>8.3333333333333329E-2</v>
      </c>
      <c r="I90">
        <f t="shared" si="9"/>
        <v>0.25</v>
      </c>
      <c r="J90">
        <f t="shared" si="10"/>
        <v>0</v>
      </c>
      <c r="K90">
        <f t="shared" si="11"/>
        <v>0.44444444444444442</v>
      </c>
      <c r="L90">
        <f t="shared" si="12"/>
        <v>0.30769230769230771</v>
      </c>
      <c r="M90">
        <f t="shared" si="13"/>
        <v>0</v>
      </c>
      <c r="N90">
        <f t="shared" si="14"/>
        <v>0.125</v>
      </c>
      <c r="O90">
        <f t="shared" si="15"/>
        <v>0.2857142857142857</v>
      </c>
      <c r="P90">
        <f t="shared" si="16"/>
        <v>8.3333333333333329E-2</v>
      </c>
    </row>
    <row r="91" spans="1:16" x14ac:dyDescent="0.4">
      <c r="A91">
        <v>0.36363636363636365</v>
      </c>
      <c r="B91">
        <v>0.44444444444444442</v>
      </c>
      <c r="C91" s="23">
        <v>0.18181818181818182</v>
      </c>
      <c r="D91">
        <v>0.44444444444444442</v>
      </c>
      <c r="E91">
        <v>0.1</v>
      </c>
      <c r="F91">
        <v>0.16666666666666666</v>
      </c>
      <c r="G91">
        <v>0.33333333333333331</v>
      </c>
      <c r="H91">
        <v>0.2857142857142857</v>
      </c>
      <c r="I91">
        <f t="shared" si="9"/>
        <v>0.36363636363636365</v>
      </c>
      <c r="J91">
        <f t="shared" si="10"/>
        <v>0.44444444444444442</v>
      </c>
      <c r="K91">
        <f t="shared" si="11"/>
        <v>0.18181818181818182</v>
      </c>
      <c r="L91">
        <f t="shared" si="12"/>
        <v>0.44444444444444442</v>
      </c>
      <c r="M91">
        <f t="shared" si="13"/>
        <v>0.1</v>
      </c>
      <c r="N91">
        <f t="shared" si="14"/>
        <v>0.16666666666666666</v>
      </c>
      <c r="O91">
        <f t="shared" si="15"/>
        <v>0.33333333333333331</v>
      </c>
      <c r="P91">
        <f t="shared" si="16"/>
        <v>0.2857142857142857</v>
      </c>
    </row>
    <row r="92" spans="1:16" x14ac:dyDescent="0.4">
      <c r="A92">
        <v>9.3023255813953487E-2</v>
      </c>
      <c r="B92">
        <v>0.22222222222222221</v>
      </c>
      <c r="C92" s="24">
        <v>0.30769230769230771</v>
      </c>
      <c r="D92">
        <v>0.12121212121212122</v>
      </c>
      <c r="E92">
        <v>0.05</v>
      </c>
      <c r="F92">
        <v>0.27272727272727271</v>
      </c>
      <c r="G92">
        <v>6.25E-2</v>
      </c>
      <c r="H92">
        <v>0.05</v>
      </c>
      <c r="I92">
        <f t="shared" si="9"/>
        <v>9.3023255813953487E-2</v>
      </c>
      <c r="J92">
        <f t="shared" si="10"/>
        <v>0.22222222222222221</v>
      </c>
      <c r="K92">
        <f t="shared" si="11"/>
        <v>0.30769230769230771</v>
      </c>
      <c r="L92">
        <f t="shared" si="12"/>
        <v>0.12121212121212122</v>
      </c>
      <c r="M92">
        <f t="shared" si="13"/>
        <v>0.05</v>
      </c>
      <c r="N92">
        <f t="shared" si="14"/>
        <v>0.27272727272727271</v>
      </c>
      <c r="O92">
        <f t="shared" si="15"/>
        <v>6.25E-2</v>
      </c>
      <c r="P92">
        <f t="shared" si="16"/>
        <v>0.05</v>
      </c>
    </row>
    <row r="93" spans="1:16" x14ac:dyDescent="0.4">
      <c r="A93">
        <v>0.22222222222222221</v>
      </c>
      <c r="B93">
        <v>0.36363636363636365</v>
      </c>
      <c r="C93" s="23">
        <v>0.4</v>
      </c>
      <c r="D93">
        <v>0.36363636363636365</v>
      </c>
      <c r="E93">
        <v>0</v>
      </c>
      <c r="F93">
        <v>0.42857142857142855</v>
      </c>
      <c r="G93">
        <v>0</v>
      </c>
      <c r="H93">
        <v>0.1111111111111111</v>
      </c>
      <c r="I93">
        <f t="shared" si="9"/>
        <v>0.22222222222222221</v>
      </c>
      <c r="J93">
        <f t="shared" si="10"/>
        <v>0.36363636363636365</v>
      </c>
      <c r="K93">
        <f t="shared" si="11"/>
        <v>0.4</v>
      </c>
      <c r="L93">
        <f t="shared" si="12"/>
        <v>0.36363636363636365</v>
      </c>
      <c r="M93">
        <f t="shared" si="13"/>
        <v>0</v>
      </c>
      <c r="N93">
        <f t="shared" si="14"/>
        <v>0.42857142857142855</v>
      </c>
      <c r="O93">
        <f t="shared" si="15"/>
        <v>0</v>
      </c>
      <c r="P93">
        <f t="shared" si="16"/>
        <v>0.1111111111111111</v>
      </c>
    </row>
    <row r="94" spans="1:16" x14ac:dyDescent="0.4">
      <c r="A94">
        <v>0.2</v>
      </c>
      <c r="B94">
        <v>0.30769230769230771</v>
      </c>
      <c r="C94" s="24">
        <v>9.0909090909090912E-2</v>
      </c>
      <c r="D94">
        <v>0.5714285714285714</v>
      </c>
      <c r="E94">
        <v>5.5555555555555552E-2</v>
      </c>
      <c r="F94">
        <v>0.12903225806451613</v>
      </c>
      <c r="G94">
        <v>9.0909090909090912E-2</v>
      </c>
      <c r="H94">
        <v>0.16666666666666666</v>
      </c>
      <c r="I94">
        <f t="shared" si="9"/>
        <v>0.2</v>
      </c>
      <c r="J94">
        <f t="shared" si="10"/>
        <v>0.30769230769230771</v>
      </c>
      <c r="K94">
        <f t="shared" si="11"/>
        <v>9.0909090909090912E-2</v>
      </c>
      <c r="L94">
        <f t="shared" si="12"/>
        <v>0.5714285714285714</v>
      </c>
      <c r="M94">
        <f t="shared" si="13"/>
        <v>5.5555555555555552E-2</v>
      </c>
      <c r="N94">
        <f t="shared" si="14"/>
        <v>0.12903225806451613</v>
      </c>
      <c r="O94">
        <f t="shared" si="15"/>
        <v>9.0909090909090912E-2</v>
      </c>
      <c r="P94">
        <f t="shared" si="16"/>
        <v>0.16666666666666666</v>
      </c>
    </row>
    <row r="95" spans="1:16" x14ac:dyDescent="0.4">
      <c r="A95">
        <v>0</v>
      </c>
      <c r="B95">
        <v>0.36363636363636365</v>
      </c>
      <c r="C95" s="23">
        <v>0.3</v>
      </c>
      <c r="D95">
        <v>0</v>
      </c>
      <c r="E95">
        <v>0.25</v>
      </c>
      <c r="F95">
        <v>0.5714285714285714</v>
      </c>
      <c r="G95">
        <v>0.1111111111111111</v>
      </c>
      <c r="H95">
        <v>0.5</v>
      </c>
      <c r="I95">
        <f t="shared" si="9"/>
        <v>0</v>
      </c>
      <c r="J95">
        <f t="shared" si="10"/>
        <v>0.36363636363636365</v>
      </c>
      <c r="K95">
        <f t="shared" si="11"/>
        <v>0.3</v>
      </c>
      <c r="L95">
        <f t="shared" si="12"/>
        <v>0</v>
      </c>
      <c r="M95">
        <f t="shared" si="13"/>
        <v>0.25</v>
      </c>
      <c r="N95">
        <f t="shared" si="14"/>
        <v>0.5714285714285714</v>
      </c>
      <c r="O95">
        <f t="shared" si="15"/>
        <v>0.1111111111111111</v>
      </c>
      <c r="P95">
        <f t="shared" si="16"/>
        <v>0.5</v>
      </c>
    </row>
    <row r="96" spans="1:16" x14ac:dyDescent="0.4">
      <c r="A96">
        <v>0.26666666666666666</v>
      </c>
      <c r="B96">
        <v>0.12903225806451613</v>
      </c>
      <c r="C96" s="24">
        <v>0.23529411764705882</v>
      </c>
      <c r="D96">
        <v>0.23076923076923078</v>
      </c>
      <c r="E96">
        <v>0.16666666666666666</v>
      </c>
      <c r="F96">
        <v>0.14285714285714285</v>
      </c>
      <c r="G96">
        <v>6.0606060606060608E-2</v>
      </c>
      <c r="H96">
        <v>0.44444444444444442</v>
      </c>
      <c r="I96">
        <f t="shared" si="9"/>
        <v>0.26666666666666666</v>
      </c>
      <c r="J96">
        <f t="shared" si="10"/>
        <v>0.12903225806451613</v>
      </c>
      <c r="K96">
        <f t="shared" si="11"/>
        <v>0.23529411764705882</v>
      </c>
      <c r="L96">
        <f t="shared" si="12"/>
        <v>0.23076923076923078</v>
      </c>
      <c r="M96">
        <f t="shared" si="13"/>
        <v>0.16666666666666666</v>
      </c>
      <c r="N96">
        <f t="shared" si="14"/>
        <v>0.14285714285714285</v>
      </c>
      <c r="O96">
        <f t="shared" si="15"/>
        <v>6.0606060606060608E-2</v>
      </c>
      <c r="P96">
        <f t="shared" si="16"/>
        <v>0.44444444444444442</v>
      </c>
    </row>
    <row r="97" spans="1:16" x14ac:dyDescent="0.4">
      <c r="A97">
        <v>0.2</v>
      </c>
      <c r="B97">
        <v>5.7692307692307696E-2</v>
      </c>
      <c r="C97" s="23">
        <v>0.36363636363636365</v>
      </c>
      <c r="D97">
        <v>0.36363636363636365</v>
      </c>
      <c r="E97">
        <v>0</v>
      </c>
      <c r="F97">
        <v>0.375</v>
      </c>
      <c r="G97">
        <v>8.1632653061224483E-2</v>
      </c>
      <c r="H97">
        <v>0.14285714285714285</v>
      </c>
      <c r="I97">
        <f t="shared" si="9"/>
        <v>0.2</v>
      </c>
      <c r="J97">
        <f t="shared" si="10"/>
        <v>5.7692307692307696E-2</v>
      </c>
      <c r="K97">
        <f t="shared" si="11"/>
        <v>0.36363636363636365</v>
      </c>
      <c r="L97">
        <f t="shared" si="12"/>
        <v>0.36363636363636365</v>
      </c>
      <c r="M97">
        <f t="shared" si="13"/>
        <v>0</v>
      </c>
      <c r="N97">
        <f t="shared" si="14"/>
        <v>0.375</v>
      </c>
      <c r="O97">
        <f t="shared" si="15"/>
        <v>8.1632653061224483E-2</v>
      </c>
      <c r="P97">
        <f t="shared" si="16"/>
        <v>0.14285714285714285</v>
      </c>
    </row>
    <row r="98" spans="1:16" x14ac:dyDescent="0.4">
      <c r="A98">
        <v>0.26666666666666666</v>
      </c>
      <c r="B98">
        <v>0.125</v>
      </c>
      <c r="C98" s="24">
        <v>0.33333333333333331</v>
      </c>
      <c r="D98">
        <v>0.2857142857142857</v>
      </c>
      <c r="E98">
        <v>0</v>
      </c>
      <c r="F98">
        <v>0.8</v>
      </c>
      <c r="G98">
        <v>0</v>
      </c>
      <c r="H98">
        <v>3.7037037037037035E-2</v>
      </c>
      <c r="I98">
        <f t="shared" si="9"/>
        <v>0.26666666666666666</v>
      </c>
      <c r="J98">
        <f t="shared" si="10"/>
        <v>0.125</v>
      </c>
      <c r="K98">
        <f t="shared" si="11"/>
        <v>0.33333333333333331</v>
      </c>
      <c r="L98">
        <f t="shared" si="12"/>
        <v>0.2857142857142857</v>
      </c>
      <c r="M98">
        <f t="shared" si="13"/>
        <v>0</v>
      </c>
      <c r="N98">
        <f t="shared" si="14"/>
        <v>0.8</v>
      </c>
      <c r="O98">
        <f t="shared" si="15"/>
        <v>0</v>
      </c>
      <c r="P98">
        <f t="shared" si="16"/>
        <v>3.7037037037037035E-2</v>
      </c>
    </row>
    <row r="99" spans="1:16" x14ac:dyDescent="0.4">
      <c r="A99">
        <v>0.33333333333333331</v>
      </c>
      <c r="B99">
        <v>0.18181818181818182</v>
      </c>
      <c r="C99" s="23">
        <v>0.44444444444444442</v>
      </c>
      <c r="D99">
        <v>9.0909090909090912E-2</v>
      </c>
      <c r="E99">
        <v>0.1</v>
      </c>
      <c r="F99">
        <v>0</v>
      </c>
      <c r="G99">
        <v>8.3333333333333329E-2</v>
      </c>
      <c r="H99">
        <v>0.30769230769230771</v>
      </c>
      <c r="I99">
        <f t="shared" si="9"/>
        <v>0.33333333333333331</v>
      </c>
      <c r="J99">
        <f t="shared" si="10"/>
        <v>0.18181818181818182</v>
      </c>
      <c r="K99">
        <f t="shared" si="11"/>
        <v>0.44444444444444442</v>
      </c>
      <c r="L99">
        <f t="shared" si="12"/>
        <v>9.0909090909090912E-2</v>
      </c>
      <c r="M99">
        <f t="shared" si="13"/>
        <v>0.1</v>
      </c>
      <c r="N99">
        <f t="shared" si="14"/>
        <v>0</v>
      </c>
      <c r="O99">
        <f t="shared" si="15"/>
        <v>8.3333333333333329E-2</v>
      </c>
      <c r="P99">
        <f t="shared" si="16"/>
        <v>0.30769230769230771</v>
      </c>
    </row>
    <row r="100" spans="1:16" x14ac:dyDescent="0.4">
      <c r="A100">
        <v>0.5</v>
      </c>
      <c r="B100">
        <v>0.33333333333333331</v>
      </c>
      <c r="C100" s="24">
        <v>0.66666666666666663</v>
      </c>
      <c r="D100">
        <v>0.42857142857142855</v>
      </c>
      <c r="E100">
        <v>0</v>
      </c>
      <c r="F100">
        <v>0</v>
      </c>
      <c r="G100">
        <v>0</v>
      </c>
      <c r="H100">
        <v>1</v>
      </c>
      <c r="I100">
        <f t="shared" si="9"/>
        <v>0.5</v>
      </c>
      <c r="J100">
        <f t="shared" si="10"/>
        <v>0.33333333333333331</v>
      </c>
      <c r="K100">
        <f t="shared" si="11"/>
        <v>0.66666666666666663</v>
      </c>
      <c r="L100">
        <f t="shared" si="12"/>
        <v>0.42857142857142855</v>
      </c>
      <c r="M100">
        <f t="shared" si="13"/>
        <v>0</v>
      </c>
      <c r="N100">
        <f t="shared" si="14"/>
        <v>0</v>
      </c>
      <c r="O100">
        <f t="shared" si="15"/>
        <v>0</v>
      </c>
      <c r="P100">
        <f t="shared" si="16"/>
        <v>1</v>
      </c>
    </row>
    <row r="101" spans="1:16" x14ac:dyDescent="0.4">
      <c r="A101">
        <v>0.11428571428571428</v>
      </c>
      <c r="B101">
        <v>0.16666666666666666</v>
      </c>
      <c r="C101" s="23">
        <v>9.7560975609756101E-2</v>
      </c>
      <c r="D101">
        <v>0</v>
      </c>
      <c r="E101">
        <v>2.9411764705882353E-2</v>
      </c>
      <c r="F101">
        <v>2.5000000000000001E-2</v>
      </c>
      <c r="G101">
        <v>0</v>
      </c>
      <c r="H101">
        <v>0.5714285714285714</v>
      </c>
      <c r="I101">
        <f t="shared" si="9"/>
        <v>0.11428571428571428</v>
      </c>
      <c r="J101">
        <f t="shared" si="10"/>
        <v>0.16666666666666666</v>
      </c>
      <c r="K101">
        <f t="shared" si="11"/>
        <v>9.7560975609756101E-2</v>
      </c>
      <c r="L101">
        <f t="shared" si="12"/>
        <v>0</v>
      </c>
      <c r="M101">
        <f t="shared" si="13"/>
        <v>2.9411764705882353E-2</v>
      </c>
      <c r="N101">
        <f t="shared" si="14"/>
        <v>2.5000000000000001E-2</v>
      </c>
      <c r="O101">
        <f t="shared" si="15"/>
        <v>0</v>
      </c>
      <c r="P101">
        <f t="shared" si="16"/>
        <v>0.5714285714285714</v>
      </c>
    </row>
    <row r="102" spans="1:16" x14ac:dyDescent="0.4">
      <c r="A102">
        <v>0.4</v>
      </c>
      <c r="B102">
        <v>0.2857142857142857</v>
      </c>
      <c r="C102" s="24">
        <v>0.18181818181818182</v>
      </c>
      <c r="D102">
        <v>0</v>
      </c>
      <c r="E102">
        <v>0.1111111111111111</v>
      </c>
      <c r="F102">
        <v>0.15789473684210525</v>
      </c>
      <c r="G102">
        <v>8.3333333333333329E-2</v>
      </c>
      <c r="H102">
        <v>0.44444444444444442</v>
      </c>
      <c r="I102">
        <f t="shared" si="9"/>
        <v>0.4</v>
      </c>
      <c r="J102">
        <f t="shared" si="10"/>
        <v>0.2857142857142857</v>
      </c>
      <c r="K102">
        <f t="shared" si="11"/>
        <v>0.18181818181818182</v>
      </c>
      <c r="L102">
        <f t="shared" si="12"/>
        <v>0</v>
      </c>
      <c r="M102">
        <f t="shared" si="13"/>
        <v>0.1111111111111111</v>
      </c>
      <c r="N102">
        <f t="shared" si="14"/>
        <v>0.15789473684210525</v>
      </c>
      <c r="O102">
        <f t="shared" si="15"/>
        <v>8.3333333333333329E-2</v>
      </c>
      <c r="P102">
        <f t="shared" si="16"/>
        <v>0.44444444444444442</v>
      </c>
    </row>
    <row r="103" spans="1:16" x14ac:dyDescent="0.4">
      <c r="A103">
        <v>0.5</v>
      </c>
      <c r="B103">
        <v>0.25</v>
      </c>
      <c r="C103" s="23">
        <v>0.4</v>
      </c>
      <c r="D103">
        <v>0.2</v>
      </c>
      <c r="E103">
        <v>0</v>
      </c>
      <c r="F103">
        <v>0</v>
      </c>
      <c r="G103">
        <v>0</v>
      </c>
      <c r="H103">
        <v>9.5238095238095233E-2</v>
      </c>
      <c r="I103">
        <f t="shared" si="9"/>
        <v>0.5</v>
      </c>
      <c r="J103">
        <f t="shared" si="10"/>
        <v>0.25</v>
      </c>
      <c r="K103">
        <f t="shared" si="11"/>
        <v>0.4</v>
      </c>
      <c r="L103">
        <f t="shared" si="12"/>
        <v>0.2</v>
      </c>
      <c r="M103">
        <f t="shared" si="13"/>
        <v>0</v>
      </c>
      <c r="N103">
        <f t="shared" si="14"/>
        <v>0</v>
      </c>
      <c r="O103">
        <f t="shared" si="15"/>
        <v>0</v>
      </c>
      <c r="P103">
        <f t="shared" si="16"/>
        <v>9.5238095238095233E-2</v>
      </c>
    </row>
    <row r="104" spans="1:16" x14ac:dyDescent="0.4">
      <c r="A104">
        <v>0.30769230769230771</v>
      </c>
      <c r="B104">
        <v>0.25</v>
      </c>
      <c r="C104" s="24">
        <v>3.8461538461538464E-2</v>
      </c>
      <c r="D104">
        <v>5.0632911392405063E-2</v>
      </c>
      <c r="E104">
        <v>8.3333333333333329E-2</v>
      </c>
      <c r="F104">
        <v>0.02</v>
      </c>
      <c r="G104">
        <v>0</v>
      </c>
      <c r="H104">
        <v>0</v>
      </c>
      <c r="I104">
        <f t="shared" si="9"/>
        <v>0.30769230769230771</v>
      </c>
      <c r="J104">
        <f t="shared" si="10"/>
        <v>0.25</v>
      </c>
      <c r="K104">
        <f t="shared" si="11"/>
        <v>3.8461538461538464E-2</v>
      </c>
      <c r="L104">
        <f t="shared" si="12"/>
        <v>5.0632911392405063E-2</v>
      </c>
      <c r="M104">
        <f t="shared" si="13"/>
        <v>8.3333333333333329E-2</v>
      </c>
      <c r="N104">
        <f t="shared" si="14"/>
        <v>0.02</v>
      </c>
      <c r="O104">
        <f t="shared" si="15"/>
        <v>0</v>
      </c>
      <c r="P104">
        <f t="shared" si="16"/>
        <v>0</v>
      </c>
    </row>
    <row r="105" spans="1:16" x14ac:dyDescent="0.4">
      <c r="A105">
        <v>0.5</v>
      </c>
      <c r="B105">
        <v>0.16666666666666666</v>
      </c>
      <c r="C105" s="23">
        <v>0.2857142857142857</v>
      </c>
      <c r="D105">
        <v>0.16666666666666666</v>
      </c>
      <c r="E105">
        <v>0</v>
      </c>
      <c r="F105">
        <v>1</v>
      </c>
      <c r="G105">
        <v>0</v>
      </c>
      <c r="H105">
        <v>4.5454545454545456E-2</v>
      </c>
      <c r="I105">
        <f t="shared" si="9"/>
        <v>0.5</v>
      </c>
      <c r="J105">
        <f t="shared" si="10"/>
        <v>0.16666666666666666</v>
      </c>
      <c r="K105">
        <f t="shared" si="11"/>
        <v>0.2857142857142857</v>
      </c>
      <c r="L105">
        <f t="shared" si="12"/>
        <v>0.16666666666666666</v>
      </c>
      <c r="M105">
        <f t="shared" si="13"/>
        <v>0</v>
      </c>
      <c r="N105">
        <f t="shared" si="14"/>
        <v>1</v>
      </c>
      <c r="O105">
        <f t="shared" si="15"/>
        <v>0</v>
      </c>
      <c r="P105">
        <f t="shared" si="16"/>
        <v>4.5454545454545456E-2</v>
      </c>
    </row>
    <row r="106" spans="1:16" x14ac:dyDescent="0.4">
      <c r="A106">
        <v>0.23529411764705882</v>
      </c>
      <c r="B106">
        <v>0.13793103448275862</v>
      </c>
      <c r="C106" s="24">
        <v>0.25</v>
      </c>
      <c r="D106">
        <v>0.2857142857142857</v>
      </c>
      <c r="E106">
        <v>0</v>
      </c>
      <c r="F106">
        <v>0</v>
      </c>
      <c r="G106">
        <v>3.7037037037037035E-2</v>
      </c>
      <c r="H106">
        <v>7.6923076923076927E-2</v>
      </c>
      <c r="I106">
        <f t="shared" si="9"/>
        <v>0.23529411764705882</v>
      </c>
      <c r="J106">
        <f t="shared" si="10"/>
        <v>0.13793103448275862</v>
      </c>
      <c r="K106">
        <f t="shared" si="11"/>
        <v>0.25</v>
      </c>
      <c r="L106">
        <f t="shared" si="12"/>
        <v>0.2857142857142857</v>
      </c>
      <c r="M106">
        <f t="shared" si="13"/>
        <v>0</v>
      </c>
      <c r="N106">
        <f t="shared" si="14"/>
        <v>0</v>
      </c>
      <c r="O106">
        <f t="shared" si="15"/>
        <v>3.7037037037037035E-2</v>
      </c>
      <c r="P106">
        <f t="shared" si="16"/>
        <v>7.6923076923076927E-2</v>
      </c>
    </row>
    <row r="107" spans="1:16" x14ac:dyDescent="0.4">
      <c r="A107">
        <v>0.33333333333333331</v>
      </c>
      <c r="B107">
        <v>0.26666666666666666</v>
      </c>
      <c r="C107" s="23">
        <v>0.16666666666666666</v>
      </c>
      <c r="D107">
        <v>0.36363636363636365</v>
      </c>
      <c r="E107">
        <v>0.33333333333333331</v>
      </c>
      <c r="F107">
        <v>1</v>
      </c>
      <c r="G107">
        <v>0.27272727272727271</v>
      </c>
      <c r="H107">
        <v>0.25</v>
      </c>
      <c r="I107">
        <f t="shared" si="9"/>
        <v>0.33333333333333331</v>
      </c>
      <c r="J107">
        <f t="shared" si="10"/>
        <v>0.26666666666666666</v>
      </c>
      <c r="K107">
        <f t="shared" si="11"/>
        <v>0.16666666666666666</v>
      </c>
      <c r="L107">
        <f t="shared" si="12"/>
        <v>0.36363636363636365</v>
      </c>
      <c r="M107">
        <f t="shared" si="13"/>
        <v>0.33333333333333331</v>
      </c>
      <c r="N107">
        <f t="shared" si="14"/>
        <v>1</v>
      </c>
      <c r="O107">
        <f t="shared" si="15"/>
        <v>0.27272727272727271</v>
      </c>
      <c r="P107">
        <f t="shared" si="16"/>
        <v>0.25</v>
      </c>
    </row>
    <row r="108" spans="1:16" x14ac:dyDescent="0.4">
      <c r="A108">
        <v>0.5</v>
      </c>
      <c r="B108">
        <v>0.30769230769230771</v>
      </c>
      <c r="C108" s="24">
        <v>5.8823529411764705E-2</v>
      </c>
      <c r="D108">
        <v>0.21052631578947367</v>
      </c>
      <c r="E108">
        <v>0</v>
      </c>
      <c r="F108">
        <v>0.30769230769230771</v>
      </c>
      <c r="G108">
        <v>0</v>
      </c>
      <c r="H108">
        <v>0.125</v>
      </c>
      <c r="I108">
        <f t="shared" si="9"/>
        <v>0.5</v>
      </c>
      <c r="J108">
        <f t="shared" si="10"/>
        <v>0.30769230769230771</v>
      </c>
      <c r="K108">
        <f t="shared" si="11"/>
        <v>5.8823529411764705E-2</v>
      </c>
      <c r="L108">
        <f t="shared" si="12"/>
        <v>0.21052631578947367</v>
      </c>
      <c r="M108">
        <f t="shared" si="13"/>
        <v>0</v>
      </c>
      <c r="N108">
        <f t="shared" si="14"/>
        <v>0.30769230769230771</v>
      </c>
      <c r="O108">
        <f t="shared" si="15"/>
        <v>0</v>
      </c>
      <c r="P108">
        <f t="shared" si="16"/>
        <v>0.125</v>
      </c>
    </row>
    <row r="109" spans="1:16" x14ac:dyDescent="0.4">
      <c r="A109">
        <v>0.19047619047619047</v>
      </c>
      <c r="B109">
        <v>0.2857142857142857</v>
      </c>
      <c r="C109" s="23">
        <v>0.12</v>
      </c>
      <c r="D109">
        <v>0.44444444444444442</v>
      </c>
      <c r="E109">
        <v>0</v>
      </c>
      <c r="F109">
        <v>0.19047619047619047</v>
      </c>
      <c r="G109">
        <v>0</v>
      </c>
      <c r="H109">
        <v>0.125</v>
      </c>
      <c r="I109">
        <f t="shared" si="9"/>
        <v>0.19047619047619047</v>
      </c>
      <c r="J109">
        <f t="shared" si="10"/>
        <v>0.2857142857142857</v>
      </c>
      <c r="K109">
        <f t="shared" si="11"/>
        <v>0.12</v>
      </c>
      <c r="L109">
        <f t="shared" si="12"/>
        <v>0.44444444444444442</v>
      </c>
      <c r="M109">
        <f t="shared" si="13"/>
        <v>0</v>
      </c>
      <c r="N109">
        <f t="shared" si="14"/>
        <v>0.19047619047619047</v>
      </c>
      <c r="O109">
        <f t="shared" si="15"/>
        <v>0</v>
      </c>
      <c r="P109">
        <f t="shared" si="16"/>
        <v>0.125</v>
      </c>
    </row>
    <row r="110" spans="1:16" x14ac:dyDescent="0.4">
      <c r="A110">
        <v>0.4</v>
      </c>
      <c r="B110">
        <v>0.36363636363636365</v>
      </c>
      <c r="C110" s="24">
        <v>0.15384615384615385</v>
      </c>
      <c r="D110">
        <v>0.44444444444444442</v>
      </c>
      <c r="E110">
        <v>0.1111111111111111</v>
      </c>
      <c r="F110">
        <v>0</v>
      </c>
      <c r="G110">
        <v>0.22222222222222221</v>
      </c>
      <c r="H110">
        <v>0</v>
      </c>
      <c r="I110">
        <f t="shared" si="9"/>
        <v>0.4</v>
      </c>
      <c r="J110">
        <f t="shared" si="10"/>
        <v>0.36363636363636365</v>
      </c>
      <c r="K110">
        <f t="shared" si="11"/>
        <v>0.15384615384615385</v>
      </c>
      <c r="L110">
        <f t="shared" si="12"/>
        <v>0.44444444444444442</v>
      </c>
      <c r="M110">
        <f t="shared" si="13"/>
        <v>0.1111111111111111</v>
      </c>
      <c r="N110">
        <f t="shared" si="14"/>
        <v>0</v>
      </c>
      <c r="O110">
        <f t="shared" si="15"/>
        <v>0.22222222222222221</v>
      </c>
      <c r="P110">
        <f t="shared" si="16"/>
        <v>0</v>
      </c>
    </row>
    <row r="111" spans="1:16" x14ac:dyDescent="0.4">
      <c r="A111">
        <v>0.30769230769230771</v>
      </c>
      <c r="B111">
        <v>0.30769230769230771</v>
      </c>
      <c r="C111" s="23">
        <v>9.7560975609756101E-2</v>
      </c>
      <c r="D111">
        <v>0.25</v>
      </c>
      <c r="E111">
        <v>9.0909090909090912E-2</v>
      </c>
      <c r="F111">
        <v>7.8947368421052627E-2</v>
      </c>
      <c r="G111">
        <v>8.3333333333333329E-2</v>
      </c>
      <c r="H111">
        <v>0.8</v>
      </c>
      <c r="I111">
        <f t="shared" si="9"/>
        <v>0.30769230769230771</v>
      </c>
      <c r="J111">
        <f t="shared" si="10"/>
        <v>0.30769230769230771</v>
      </c>
      <c r="K111">
        <f t="shared" si="11"/>
        <v>9.7560975609756101E-2</v>
      </c>
      <c r="L111">
        <f t="shared" si="12"/>
        <v>0.25</v>
      </c>
      <c r="M111">
        <f t="shared" si="13"/>
        <v>9.0909090909090912E-2</v>
      </c>
      <c r="N111">
        <f t="shared" si="14"/>
        <v>7.8947368421052627E-2</v>
      </c>
      <c r="O111">
        <f t="shared" si="15"/>
        <v>8.3333333333333329E-2</v>
      </c>
      <c r="P111">
        <f t="shared" si="16"/>
        <v>0.8</v>
      </c>
    </row>
    <row r="112" spans="1:16" x14ac:dyDescent="0.4">
      <c r="A112">
        <v>0</v>
      </c>
      <c r="B112">
        <v>0.1</v>
      </c>
      <c r="C112" s="24">
        <v>0.5714285714285714</v>
      </c>
      <c r="D112">
        <v>8.3333333333333329E-2</v>
      </c>
      <c r="E112">
        <v>0.25</v>
      </c>
      <c r="F112">
        <v>0.16666666666666666</v>
      </c>
      <c r="G112">
        <v>0.66666666666666663</v>
      </c>
      <c r="H112">
        <v>0.5</v>
      </c>
      <c r="I112">
        <f t="shared" si="9"/>
        <v>0</v>
      </c>
      <c r="J112">
        <f t="shared" si="10"/>
        <v>0.1</v>
      </c>
      <c r="K112">
        <f t="shared" si="11"/>
        <v>0.5714285714285714</v>
      </c>
      <c r="L112">
        <f t="shared" si="12"/>
        <v>8.3333333333333329E-2</v>
      </c>
      <c r="M112">
        <f t="shared" si="13"/>
        <v>0.25</v>
      </c>
      <c r="N112">
        <f t="shared" si="14"/>
        <v>0.16666666666666666</v>
      </c>
      <c r="O112">
        <f t="shared" si="15"/>
        <v>0.66666666666666663</v>
      </c>
      <c r="P112">
        <f t="shared" si="16"/>
        <v>0.5</v>
      </c>
    </row>
    <row r="113" spans="1:16" x14ac:dyDescent="0.4">
      <c r="A113">
        <v>8.8888888888888892E-2</v>
      </c>
      <c r="B113">
        <v>0.36363636363636365</v>
      </c>
      <c r="C113" s="23">
        <v>0.5</v>
      </c>
      <c r="D113">
        <v>6.1538461538461542E-2</v>
      </c>
      <c r="E113">
        <v>7.4999999999999997E-2</v>
      </c>
      <c r="F113">
        <v>0</v>
      </c>
      <c r="G113">
        <v>0.1111111111111111</v>
      </c>
      <c r="H113">
        <v>0</v>
      </c>
      <c r="I113">
        <f t="shared" si="9"/>
        <v>8.8888888888888892E-2</v>
      </c>
      <c r="J113">
        <f t="shared" si="10"/>
        <v>0.36363636363636365</v>
      </c>
      <c r="K113">
        <f t="shared" si="11"/>
        <v>0.5</v>
      </c>
      <c r="L113">
        <f t="shared" si="12"/>
        <v>6.1538461538461542E-2</v>
      </c>
      <c r="M113">
        <f t="shared" si="13"/>
        <v>7.4999999999999997E-2</v>
      </c>
      <c r="N113">
        <f t="shared" si="14"/>
        <v>0</v>
      </c>
      <c r="O113">
        <f t="shared" si="15"/>
        <v>0.1111111111111111</v>
      </c>
      <c r="P113">
        <f t="shared" si="16"/>
        <v>0</v>
      </c>
    </row>
    <row r="114" spans="1:16" x14ac:dyDescent="0.4">
      <c r="A114">
        <v>0.15384615384615385</v>
      </c>
      <c r="B114">
        <v>0.19047619047619047</v>
      </c>
      <c r="C114" s="24">
        <v>0.21052631578947367</v>
      </c>
      <c r="D114">
        <v>4.6511627906976744E-2</v>
      </c>
      <c r="E114">
        <v>0.13636363636363635</v>
      </c>
      <c r="F114">
        <v>5.5555555555555552E-2</v>
      </c>
      <c r="G114">
        <v>0.125</v>
      </c>
      <c r="H114">
        <v>2.9126213592233011E-2</v>
      </c>
      <c r="I114">
        <f t="shared" si="9"/>
        <v>0.15384615384615385</v>
      </c>
      <c r="J114">
        <f t="shared" si="10"/>
        <v>0.19047619047619047</v>
      </c>
      <c r="K114">
        <f t="shared" si="11"/>
        <v>0.21052631578947367</v>
      </c>
      <c r="L114">
        <f t="shared" si="12"/>
        <v>4.6511627906976744E-2</v>
      </c>
      <c r="M114">
        <f t="shared" si="13"/>
        <v>0.13636363636363635</v>
      </c>
      <c r="N114">
        <f t="shared" si="14"/>
        <v>5.5555555555555552E-2</v>
      </c>
      <c r="O114">
        <f t="shared" si="15"/>
        <v>0.125</v>
      </c>
      <c r="P114">
        <f t="shared" si="16"/>
        <v>2.9126213592233011E-2</v>
      </c>
    </row>
    <row r="115" spans="1:16" x14ac:dyDescent="0.4">
      <c r="A115">
        <v>0.33333333333333331</v>
      </c>
      <c r="B115">
        <v>0.2</v>
      </c>
      <c r="C115" s="23">
        <v>0.22222222222222221</v>
      </c>
      <c r="D115">
        <v>0.18181818181818182</v>
      </c>
      <c r="E115">
        <v>9.0909090909090912E-2</v>
      </c>
      <c r="F115">
        <v>0.5714285714285714</v>
      </c>
      <c r="G115">
        <v>5.5555555555555552E-2</v>
      </c>
      <c r="H115">
        <v>0</v>
      </c>
      <c r="I115">
        <f t="shared" si="9"/>
        <v>0.33333333333333331</v>
      </c>
      <c r="J115">
        <f t="shared" si="10"/>
        <v>0.2</v>
      </c>
      <c r="K115">
        <f t="shared" si="11"/>
        <v>0.22222222222222221</v>
      </c>
      <c r="L115">
        <f t="shared" si="12"/>
        <v>0.18181818181818182</v>
      </c>
      <c r="M115">
        <f t="shared" si="13"/>
        <v>9.0909090909090912E-2</v>
      </c>
      <c r="N115">
        <f t="shared" si="14"/>
        <v>0.5714285714285714</v>
      </c>
      <c r="O115">
        <f t="shared" si="15"/>
        <v>5.5555555555555552E-2</v>
      </c>
      <c r="P115">
        <f t="shared" si="16"/>
        <v>0</v>
      </c>
    </row>
    <row r="116" spans="1:16" x14ac:dyDescent="0.4">
      <c r="A116">
        <v>0.15384615384615385</v>
      </c>
      <c r="B116">
        <v>0.4</v>
      </c>
      <c r="C116" s="24">
        <v>0.2</v>
      </c>
      <c r="D116">
        <v>0.21052631578947367</v>
      </c>
      <c r="E116">
        <v>4.1666666666666664E-2</v>
      </c>
      <c r="F116">
        <v>0</v>
      </c>
      <c r="G116">
        <v>0</v>
      </c>
      <c r="H116">
        <v>5.5555555555555552E-2</v>
      </c>
      <c r="I116">
        <f t="shared" si="9"/>
        <v>0.15384615384615385</v>
      </c>
      <c r="J116">
        <f t="shared" si="10"/>
        <v>0.4</v>
      </c>
      <c r="K116">
        <f t="shared" si="11"/>
        <v>0.2</v>
      </c>
      <c r="L116">
        <f t="shared" si="12"/>
        <v>0.21052631578947367</v>
      </c>
      <c r="M116">
        <f t="shared" si="13"/>
        <v>4.1666666666666664E-2</v>
      </c>
      <c r="N116">
        <f t="shared" si="14"/>
        <v>0</v>
      </c>
      <c r="O116">
        <f t="shared" si="15"/>
        <v>0</v>
      </c>
      <c r="P116">
        <f t="shared" si="16"/>
        <v>5.5555555555555552E-2</v>
      </c>
    </row>
    <row r="117" spans="1:16" x14ac:dyDescent="0.4">
      <c r="A117">
        <v>6.25E-2</v>
      </c>
      <c r="B117">
        <v>0.26666666666666666</v>
      </c>
      <c r="C117" s="23">
        <v>0.2</v>
      </c>
      <c r="D117">
        <v>0.19047619047619047</v>
      </c>
      <c r="E117">
        <v>0.33333333333333331</v>
      </c>
      <c r="F117">
        <v>4.7619047619047616E-2</v>
      </c>
      <c r="G117">
        <v>7.1428571428571425E-2</v>
      </c>
      <c r="H117">
        <v>5.5555555555555552E-2</v>
      </c>
      <c r="I117">
        <f t="shared" si="9"/>
        <v>6.25E-2</v>
      </c>
      <c r="J117">
        <f t="shared" si="10"/>
        <v>0.26666666666666666</v>
      </c>
      <c r="K117">
        <f t="shared" si="11"/>
        <v>0.2</v>
      </c>
      <c r="L117">
        <f t="shared" si="12"/>
        <v>0.19047619047619047</v>
      </c>
      <c r="M117">
        <f t="shared" si="13"/>
        <v>0.33333333333333331</v>
      </c>
      <c r="N117">
        <f t="shared" si="14"/>
        <v>4.7619047619047616E-2</v>
      </c>
      <c r="O117">
        <f t="shared" si="15"/>
        <v>7.1428571428571425E-2</v>
      </c>
      <c r="P117">
        <f t="shared" si="16"/>
        <v>5.5555555555555552E-2</v>
      </c>
    </row>
    <row r="118" spans="1:16" x14ac:dyDescent="0.4">
      <c r="A118">
        <v>0</v>
      </c>
      <c r="B118">
        <v>6.6666666666666666E-2</v>
      </c>
      <c r="C118" s="24">
        <v>0.33333333333333331</v>
      </c>
      <c r="D118">
        <v>0.8</v>
      </c>
      <c r="E118">
        <v>0.44444444444444442</v>
      </c>
      <c r="F118">
        <v>0.33333333333333331</v>
      </c>
      <c r="G118">
        <v>0.16</v>
      </c>
      <c r="H118">
        <v>1</v>
      </c>
      <c r="I118">
        <f t="shared" si="9"/>
        <v>0</v>
      </c>
      <c r="J118">
        <f t="shared" si="10"/>
        <v>6.6666666666666666E-2</v>
      </c>
      <c r="K118">
        <f t="shared" si="11"/>
        <v>0.33333333333333331</v>
      </c>
      <c r="L118">
        <f t="shared" si="12"/>
        <v>0.8</v>
      </c>
      <c r="M118">
        <f t="shared" si="13"/>
        <v>0.44444444444444442</v>
      </c>
      <c r="N118">
        <f t="shared" si="14"/>
        <v>0.33333333333333331</v>
      </c>
      <c r="O118">
        <f t="shared" si="15"/>
        <v>0.16</v>
      </c>
      <c r="P118">
        <f t="shared" si="16"/>
        <v>1</v>
      </c>
    </row>
    <row r="119" spans="1:16" x14ac:dyDescent="0.4">
      <c r="A119">
        <v>0.15384615384615385</v>
      </c>
      <c r="B119">
        <v>0.18181818181818182</v>
      </c>
      <c r="C119" s="23">
        <v>0.125</v>
      </c>
      <c r="D119">
        <v>0.2857142857142857</v>
      </c>
      <c r="E119">
        <v>4.3478260869565216E-2</v>
      </c>
      <c r="F119">
        <v>0.8</v>
      </c>
      <c r="G119">
        <v>0.16666666666666666</v>
      </c>
      <c r="H119">
        <v>0.18181818181818182</v>
      </c>
      <c r="I119">
        <f t="shared" si="9"/>
        <v>0.15384615384615385</v>
      </c>
      <c r="J119">
        <f t="shared" si="10"/>
        <v>0.18181818181818182</v>
      </c>
      <c r="K119">
        <f t="shared" si="11"/>
        <v>0.125</v>
      </c>
      <c r="L119">
        <f t="shared" si="12"/>
        <v>0.2857142857142857</v>
      </c>
      <c r="M119">
        <f t="shared" si="13"/>
        <v>4.3478260869565216E-2</v>
      </c>
      <c r="N119">
        <f t="shared" si="14"/>
        <v>0.8</v>
      </c>
      <c r="O119">
        <f t="shared" si="15"/>
        <v>0.16666666666666666</v>
      </c>
      <c r="P119">
        <f t="shared" si="16"/>
        <v>0.18181818181818182</v>
      </c>
    </row>
    <row r="120" spans="1:16" x14ac:dyDescent="0.4">
      <c r="A120">
        <v>0.17391304347826086</v>
      </c>
      <c r="B120">
        <v>0.44444444444444442</v>
      </c>
      <c r="C120" s="24">
        <v>0.26666666666666666</v>
      </c>
      <c r="D120">
        <v>0.26666666666666666</v>
      </c>
      <c r="E120">
        <v>0</v>
      </c>
      <c r="F120">
        <v>7.1428571428571425E-2</v>
      </c>
      <c r="G120">
        <v>0.14285714285714285</v>
      </c>
      <c r="H120">
        <v>7.6923076923076927E-2</v>
      </c>
      <c r="I120">
        <f t="shared" si="9"/>
        <v>0.17391304347826086</v>
      </c>
      <c r="J120">
        <f t="shared" si="10"/>
        <v>0.44444444444444442</v>
      </c>
      <c r="K120">
        <f t="shared" si="11"/>
        <v>0.26666666666666666</v>
      </c>
      <c r="L120">
        <f t="shared" si="12"/>
        <v>0.26666666666666666</v>
      </c>
      <c r="M120">
        <f t="shared" si="13"/>
        <v>0</v>
      </c>
      <c r="N120">
        <f t="shared" si="14"/>
        <v>7.1428571428571425E-2</v>
      </c>
      <c r="O120">
        <f t="shared" si="15"/>
        <v>0.14285714285714285</v>
      </c>
      <c r="P120">
        <f t="shared" si="16"/>
        <v>7.6923076923076927E-2</v>
      </c>
    </row>
    <row r="121" spans="1:16" x14ac:dyDescent="0.4">
      <c r="A121">
        <v>0.2857142857142857</v>
      </c>
      <c r="B121">
        <v>0.4</v>
      </c>
      <c r="C121" s="23">
        <v>8.1632653061224483E-2</v>
      </c>
      <c r="D121">
        <v>0.4</v>
      </c>
      <c r="E121">
        <v>0</v>
      </c>
      <c r="F121">
        <v>2.0408163265306121E-2</v>
      </c>
      <c r="G121">
        <v>0</v>
      </c>
      <c r="H121">
        <v>0.42857142857142855</v>
      </c>
      <c r="I121">
        <f t="shared" si="9"/>
        <v>0.2857142857142857</v>
      </c>
      <c r="J121">
        <f t="shared" si="10"/>
        <v>0.4</v>
      </c>
      <c r="K121">
        <f t="shared" si="11"/>
        <v>8.1632653061224483E-2</v>
      </c>
      <c r="L121">
        <f t="shared" si="12"/>
        <v>0.4</v>
      </c>
      <c r="M121">
        <f t="shared" si="13"/>
        <v>0</v>
      </c>
      <c r="N121">
        <f t="shared" si="14"/>
        <v>2.0408163265306121E-2</v>
      </c>
      <c r="O121">
        <f t="shared" si="15"/>
        <v>0</v>
      </c>
      <c r="P121">
        <f t="shared" si="16"/>
        <v>0.42857142857142855</v>
      </c>
    </row>
    <row r="122" spans="1:16" x14ac:dyDescent="0.4">
      <c r="A122">
        <v>0.36363636363636365</v>
      </c>
      <c r="B122">
        <v>0.36363636363636365</v>
      </c>
      <c r="C122" s="24">
        <v>0.25</v>
      </c>
      <c r="D122">
        <v>5.0847457627118647E-2</v>
      </c>
      <c r="E122">
        <v>0</v>
      </c>
      <c r="F122">
        <v>0</v>
      </c>
      <c r="G122">
        <v>0</v>
      </c>
      <c r="H122">
        <v>6.5573770491803282E-2</v>
      </c>
      <c r="I122">
        <f t="shared" si="9"/>
        <v>0.36363636363636365</v>
      </c>
      <c r="J122">
        <f t="shared" si="10"/>
        <v>0.36363636363636365</v>
      </c>
      <c r="K122">
        <f t="shared" si="11"/>
        <v>0.25</v>
      </c>
      <c r="L122">
        <f t="shared" si="12"/>
        <v>5.0847457627118647E-2</v>
      </c>
      <c r="M122">
        <f t="shared" si="13"/>
        <v>0</v>
      </c>
      <c r="N122">
        <f t="shared" si="14"/>
        <v>0</v>
      </c>
      <c r="O122">
        <f t="shared" si="15"/>
        <v>0</v>
      </c>
      <c r="P122">
        <f t="shared" si="16"/>
        <v>6.5573770491803282E-2</v>
      </c>
    </row>
    <row r="123" spans="1:16" x14ac:dyDescent="0.4">
      <c r="A123">
        <v>0.2857142857142857</v>
      </c>
      <c r="B123">
        <v>0.13793103448275862</v>
      </c>
      <c r="C123" s="23">
        <v>0.66666666666666663</v>
      </c>
      <c r="D123">
        <v>0.23529411764705882</v>
      </c>
      <c r="E123">
        <v>7.6923076923076927E-2</v>
      </c>
      <c r="F123">
        <v>0.5</v>
      </c>
      <c r="G123">
        <v>3.7037037037037035E-2</v>
      </c>
      <c r="H123">
        <v>0.17647058823529413</v>
      </c>
      <c r="I123">
        <f t="shared" si="9"/>
        <v>0.2857142857142857</v>
      </c>
      <c r="J123">
        <f t="shared" si="10"/>
        <v>0.13793103448275862</v>
      </c>
      <c r="K123">
        <f t="shared" si="11"/>
        <v>0.66666666666666663</v>
      </c>
      <c r="L123">
        <f t="shared" si="12"/>
        <v>0.23529411764705882</v>
      </c>
      <c r="M123">
        <f t="shared" si="13"/>
        <v>7.6923076923076927E-2</v>
      </c>
      <c r="N123">
        <f t="shared" si="14"/>
        <v>0.5</v>
      </c>
      <c r="O123">
        <f t="shared" si="15"/>
        <v>3.7037037037037035E-2</v>
      </c>
      <c r="P123">
        <f t="shared" si="16"/>
        <v>0.17647058823529413</v>
      </c>
    </row>
    <row r="124" spans="1:16" x14ac:dyDescent="0.4">
      <c r="A124">
        <v>8.8888888888888892E-2</v>
      </c>
      <c r="B124">
        <v>0.21052631578947367</v>
      </c>
      <c r="C124" s="24">
        <v>2.6666666666666668E-2</v>
      </c>
      <c r="D124">
        <v>0.04</v>
      </c>
      <c r="E124">
        <v>4.878048780487805E-2</v>
      </c>
      <c r="F124">
        <v>5.6338028169014086E-2</v>
      </c>
      <c r="G124">
        <v>5.8823529411764705E-2</v>
      </c>
      <c r="H124">
        <v>0.125</v>
      </c>
      <c r="I124">
        <f t="shared" si="9"/>
        <v>8.8888888888888892E-2</v>
      </c>
      <c r="J124">
        <f t="shared" si="10"/>
        <v>0.21052631578947367</v>
      </c>
      <c r="K124">
        <f t="shared" si="11"/>
        <v>2.6666666666666668E-2</v>
      </c>
      <c r="L124">
        <f t="shared" si="12"/>
        <v>0.04</v>
      </c>
      <c r="M124">
        <f t="shared" si="13"/>
        <v>4.878048780487805E-2</v>
      </c>
      <c r="N124">
        <f t="shared" si="14"/>
        <v>5.6338028169014086E-2</v>
      </c>
      <c r="O124">
        <f t="shared" si="15"/>
        <v>5.8823529411764705E-2</v>
      </c>
      <c r="P124">
        <f t="shared" si="16"/>
        <v>0.125</v>
      </c>
    </row>
    <row r="125" spans="1:16" x14ac:dyDescent="0.4">
      <c r="A125">
        <v>0.4</v>
      </c>
      <c r="B125">
        <v>0.33333333333333331</v>
      </c>
      <c r="C125" s="23">
        <v>0.11428571428571428</v>
      </c>
      <c r="D125">
        <v>0.27272727272727271</v>
      </c>
      <c r="E125">
        <v>0</v>
      </c>
      <c r="F125">
        <v>6.4516129032258063E-2</v>
      </c>
      <c r="G125">
        <v>0.2</v>
      </c>
      <c r="H125">
        <v>0.5714285714285714</v>
      </c>
      <c r="I125">
        <f t="shared" si="9"/>
        <v>0.4</v>
      </c>
      <c r="J125">
        <f t="shared" si="10"/>
        <v>0.33333333333333331</v>
      </c>
      <c r="K125">
        <f t="shared" si="11"/>
        <v>0.11428571428571428</v>
      </c>
      <c r="L125">
        <f t="shared" si="12"/>
        <v>0.27272727272727271</v>
      </c>
      <c r="M125">
        <f t="shared" si="13"/>
        <v>0</v>
      </c>
      <c r="N125">
        <f t="shared" si="14"/>
        <v>6.4516129032258063E-2</v>
      </c>
      <c r="O125">
        <f t="shared" si="15"/>
        <v>0.2</v>
      </c>
      <c r="P125">
        <f t="shared" si="16"/>
        <v>0.5714285714285714</v>
      </c>
    </row>
    <row r="126" spans="1:16" x14ac:dyDescent="0.4">
      <c r="A126">
        <v>0.44444444444444442</v>
      </c>
      <c r="B126">
        <v>8.8888888888888892E-2</v>
      </c>
      <c r="C126" s="24">
        <v>0.19047619047619047</v>
      </c>
      <c r="D126">
        <v>0.2857142857142857</v>
      </c>
      <c r="E126">
        <v>0</v>
      </c>
      <c r="F126">
        <v>0.1</v>
      </c>
      <c r="G126">
        <v>2.3255813953488372E-2</v>
      </c>
      <c r="H126">
        <v>8.3333333333333329E-2</v>
      </c>
      <c r="I126">
        <f t="shared" si="9"/>
        <v>0.44444444444444442</v>
      </c>
      <c r="J126">
        <f t="shared" si="10"/>
        <v>8.8888888888888892E-2</v>
      </c>
      <c r="K126">
        <f t="shared" si="11"/>
        <v>0.19047619047619047</v>
      </c>
      <c r="L126">
        <f t="shared" si="12"/>
        <v>0.2857142857142857</v>
      </c>
      <c r="M126">
        <f t="shared" si="13"/>
        <v>0</v>
      </c>
      <c r="N126">
        <f t="shared" si="14"/>
        <v>0.1</v>
      </c>
      <c r="O126">
        <f t="shared" si="15"/>
        <v>2.3255813953488372E-2</v>
      </c>
      <c r="P126">
        <f t="shared" si="16"/>
        <v>8.3333333333333329E-2</v>
      </c>
    </row>
    <row r="127" spans="1:16" x14ac:dyDescent="0.4">
      <c r="A127">
        <v>9.0909090909090912E-2</v>
      </c>
      <c r="B127">
        <v>0.15384615384615385</v>
      </c>
      <c r="C127" s="23">
        <v>0.23529411764705882</v>
      </c>
      <c r="D127">
        <v>0.2</v>
      </c>
      <c r="E127">
        <v>0.21052631578947367</v>
      </c>
      <c r="F127">
        <v>0</v>
      </c>
      <c r="G127">
        <v>0</v>
      </c>
      <c r="H127">
        <v>0.5714285714285714</v>
      </c>
      <c r="I127">
        <f t="shared" si="9"/>
        <v>9.0909090909090912E-2</v>
      </c>
      <c r="J127">
        <f t="shared" si="10"/>
        <v>0.15384615384615385</v>
      </c>
      <c r="K127">
        <f t="shared" si="11"/>
        <v>0.23529411764705882</v>
      </c>
      <c r="L127">
        <f t="shared" si="12"/>
        <v>0.2</v>
      </c>
      <c r="M127">
        <f t="shared" si="13"/>
        <v>0.21052631578947367</v>
      </c>
      <c r="N127">
        <f t="shared" si="14"/>
        <v>0</v>
      </c>
      <c r="O127">
        <f t="shared" si="15"/>
        <v>0</v>
      </c>
      <c r="P127">
        <f t="shared" si="16"/>
        <v>0.5714285714285714</v>
      </c>
    </row>
    <row r="128" spans="1:16" x14ac:dyDescent="0.4">
      <c r="A128">
        <v>0.14814814814814814</v>
      </c>
      <c r="B128">
        <v>0.22222222222222221</v>
      </c>
      <c r="C128" s="24">
        <v>0.33333333333333331</v>
      </c>
      <c r="D128">
        <v>0.11764705882352941</v>
      </c>
      <c r="E128">
        <v>4.1666666666666664E-2</v>
      </c>
      <c r="F128">
        <v>0.18181818181818182</v>
      </c>
      <c r="G128">
        <v>0.13333333333333333</v>
      </c>
      <c r="H128">
        <v>0.33333333333333331</v>
      </c>
      <c r="I128">
        <f t="shared" si="9"/>
        <v>0.14814814814814814</v>
      </c>
      <c r="J128">
        <f t="shared" si="10"/>
        <v>0.22222222222222221</v>
      </c>
      <c r="K128">
        <f t="shared" si="11"/>
        <v>0.33333333333333331</v>
      </c>
      <c r="L128">
        <f t="shared" si="12"/>
        <v>0.11764705882352941</v>
      </c>
      <c r="M128">
        <f t="shared" si="13"/>
        <v>4.1666666666666664E-2</v>
      </c>
      <c r="N128">
        <f t="shared" si="14"/>
        <v>0.18181818181818182</v>
      </c>
      <c r="O128">
        <f t="shared" si="15"/>
        <v>0.13333333333333333</v>
      </c>
      <c r="P128">
        <f t="shared" si="16"/>
        <v>0.33333333333333331</v>
      </c>
    </row>
    <row r="129" spans="1:16" x14ac:dyDescent="0.4">
      <c r="A129">
        <v>0</v>
      </c>
      <c r="B129">
        <v>0.4</v>
      </c>
      <c r="C129" s="23">
        <v>0.4</v>
      </c>
      <c r="D129">
        <v>0.30769230769230771</v>
      </c>
      <c r="E129">
        <v>0.16666666666666666</v>
      </c>
      <c r="F129">
        <v>0.42857142857142855</v>
      </c>
      <c r="G129">
        <v>0.2857142857142857</v>
      </c>
      <c r="H129">
        <v>0.22222222222222221</v>
      </c>
      <c r="I129">
        <f t="shared" si="9"/>
        <v>0</v>
      </c>
      <c r="J129">
        <f t="shared" si="10"/>
        <v>0.4</v>
      </c>
      <c r="K129">
        <f t="shared" si="11"/>
        <v>0.4</v>
      </c>
      <c r="L129">
        <f t="shared" si="12"/>
        <v>0.30769230769230771</v>
      </c>
      <c r="M129">
        <f t="shared" si="13"/>
        <v>0.16666666666666666</v>
      </c>
      <c r="N129">
        <f t="shared" si="14"/>
        <v>0.42857142857142855</v>
      </c>
      <c r="O129">
        <f t="shared" si="15"/>
        <v>0.2857142857142857</v>
      </c>
      <c r="P129">
        <f t="shared" si="16"/>
        <v>0.22222222222222221</v>
      </c>
    </row>
    <row r="130" spans="1:16" x14ac:dyDescent="0.4">
      <c r="A130">
        <v>0.33333333333333331</v>
      </c>
      <c r="B130">
        <v>0.2857142857142857</v>
      </c>
      <c r="C130" s="24">
        <v>0.30769230769230771</v>
      </c>
      <c r="D130">
        <v>0.18181818181818182</v>
      </c>
      <c r="E130">
        <v>0.25</v>
      </c>
      <c r="F130">
        <v>0</v>
      </c>
      <c r="G130">
        <v>7.6923076923076927E-2</v>
      </c>
      <c r="H130">
        <v>0</v>
      </c>
      <c r="I130">
        <f t="shared" si="9"/>
        <v>0.33333333333333331</v>
      </c>
      <c r="J130">
        <f t="shared" si="10"/>
        <v>0.2857142857142857</v>
      </c>
      <c r="K130">
        <f t="shared" si="11"/>
        <v>0.30769230769230771</v>
      </c>
      <c r="L130">
        <f t="shared" si="12"/>
        <v>0.18181818181818182</v>
      </c>
      <c r="M130">
        <f t="shared" si="13"/>
        <v>0.25</v>
      </c>
      <c r="N130">
        <f t="shared" si="14"/>
        <v>0</v>
      </c>
      <c r="O130">
        <f t="shared" si="15"/>
        <v>7.6923076923076927E-2</v>
      </c>
      <c r="P130">
        <f t="shared" si="16"/>
        <v>0</v>
      </c>
    </row>
    <row r="131" spans="1:16" x14ac:dyDescent="0.4">
      <c r="A131">
        <v>0.2857142857142857</v>
      </c>
      <c r="B131">
        <v>0.19047619047619047</v>
      </c>
      <c r="C131" s="23">
        <v>0.11428571428571428</v>
      </c>
      <c r="D131">
        <v>0</v>
      </c>
      <c r="E131">
        <v>0.27272727272727271</v>
      </c>
      <c r="F131">
        <v>9.0909090909090912E-2</v>
      </c>
      <c r="G131">
        <v>0.1111111111111111</v>
      </c>
      <c r="H131" t="e">
        <v>#DIV/0!</v>
      </c>
      <c r="I131">
        <f t="shared" si="9"/>
        <v>0.2857142857142857</v>
      </c>
      <c r="J131">
        <f t="shared" si="10"/>
        <v>0.19047619047619047</v>
      </c>
      <c r="K131">
        <f t="shared" si="11"/>
        <v>0.11428571428571428</v>
      </c>
      <c r="L131">
        <f t="shared" si="12"/>
        <v>0</v>
      </c>
      <c r="M131">
        <f t="shared" si="13"/>
        <v>0.27272727272727271</v>
      </c>
      <c r="N131">
        <f t="shared" si="14"/>
        <v>9.0909090909090912E-2</v>
      </c>
      <c r="O131">
        <f t="shared" si="15"/>
        <v>0.1111111111111111</v>
      </c>
      <c r="P131" t="e">
        <f t="shared" si="16"/>
        <v>#DIV/0!</v>
      </c>
    </row>
    <row r="132" spans="1:16" x14ac:dyDescent="0.4">
      <c r="A132">
        <v>0.30769230769230771</v>
      </c>
      <c r="B132">
        <v>0.4</v>
      </c>
      <c r="C132" s="24">
        <v>0.19047619047619047</v>
      </c>
      <c r="D132">
        <v>0.30769230769230771</v>
      </c>
      <c r="E132">
        <v>0.16666666666666666</v>
      </c>
      <c r="F132">
        <v>0</v>
      </c>
      <c r="G132">
        <v>0.42857142857142855</v>
      </c>
      <c r="H132">
        <v>0</v>
      </c>
      <c r="I132">
        <f t="shared" si="9"/>
        <v>0.30769230769230771</v>
      </c>
      <c r="J132">
        <f t="shared" si="10"/>
        <v>0.4</v>
      </c>
      <c r="K132">
        <f t="shared" si="11"/>
        <v>0.19047619047619047</v>
      </c>
      <c r="L132">
        <f t="shared" si="12"/>
        <v>0.30769230769230771</v>
      </c>
      <c r="M132">
        <f t="shared" si="13"/>
        <v>0.16666666666666666</v>
      </c>
      <c r="N132">
        <f t="shared" si="14"/>
        <v>0</v>
      </c>
      <c r="O132">
        <f t="shared" si="15"/>
        <v>0.42857142857142855</v>
      </c>
      <c r="P132">
        <f t="shared" si="16"/>
        <v>0</v>
      </c>
    </row>
    <row r="133" spans="1:16" x14ac:dyDescent="0.4">
      <c r="A133">
        <v>0.44444444444444442</v>
      </c>
      <c r="B133">
        <v>0.36363636363636365</v>
      </c>
      <c r="C133" s="23">
        <v>0.2857142857142857</v>
      </c>
      <c r="D133">
        <v>0.26666666666666666</v>
      </c>
      <c r="E133">
        <v>0.125</v>
      </c>
      <c r="F133">
        <v>0.16666666666666666</v>
      </c>
      <c r="G133">
        <v>0</v>
      </c>
      <c r="H133">
        <v>0</v>
      </c>
      <c r="I133">
        <f t="shared" si="9"/>
        <v>0.44444444444444442</v>
      </c>
      <c r="J133">
        <f t="shared" si="10"/>
        <v>0.36363636363636365</v>
      </c>
      <c r="K133">
        <f t="shared" si="11"/>
        <v>0.2857142857142857</v>
      </c>
      <c r="L133">
        <f t="shared" si="12"/>
        <v>0.26666666666666666</v>
      </c>
      <c r="M133">
        <f t="shared" si="13"/>
        <v>0.125</v>
      </c>
      <c r="N133">
        <f t="shared" si="14"/>
        <v>0.16666666666666666</v>
      </c>
      <c r="O133">
        <f t="shared" si="15"/>
        <v>0</v>
      </c>
      <c r="P133">
        <f t="shared" si="16"/>
        <v>0</v>
      </c>
    </row>
    <row r="134" spans="1:16" x14ac:dyDescent="0.4">
      <c r="A134">
        <v>0.13333333333333333</v>
      </c>
      <c r="B134">
        <v>0.13333333333333333</v>
      </c>
      <c r="C134" s="24">
        <v>4.4444444444444446E-2</v>
      </c>
      <c r="D134">
        <v>0.15384615384615385</v>
      </c>
      <c r="E134">
        <v>7.1428571428571425E-2</v>
      </c>
      <c r="F134">
        <v>0</v>
      </c>
      <c r="G134">
        <v>0</v>
      </c>
      <c r="H134">
        <v>0.1111111111111111</v>
      </c>
      <c r="I134">
        <f t="shared" si="9"/>
        <v>0.13333333333333333</v>
      </c>
      <c r="J134">
        <f t="shared" si="10"/>
        <v>0.13333333333333333</v>
      </c>
      <c r="K134">
        <f t="shared" si="11"/>
        <v>4.4444444444444446E-2</v>
      </c>
      <c r="L134">
        <f t="shared" si="12"/>
        <v>0.15384615384615385</v>
      </c>
      <c r="M134">
        <f t="shared" si="13"/>
        <v>7.1428571428571425E-2</v>
      </c>
      <c r="N134">
        <f t="shared" si="14"/>
        <v>0</v>
      </c>
      <c r="O134">
        <f t="shared" si="15"/>
        <v>0</v>
      </c>
      <c r="P134">
        <f t="shared" si="16"/>
        <v>0.1111111111111111</v>
      </c>
    </row>
    <row r="135" spans="1:16" x14ac:dyDescent="0.4">
      <c r="A135">
        <v>0.36363636363636365</v>
      </c>
      <c r="B135">
        <v>0.2857142857142857</v>
      </c>
      <c r="C135" s="23">
        <v>0.16</v>
      </c>
      <c r="D135">
        <v>0.19047619047619047</v>
      </c>
      <c r="E135">
        <v>0</v>
      </c>
      <c r="F135">
        <v>0.13636363636363635</v>
      </c>
      <c r="G135">
        <v>8.3333333333333329E-2</v>
      </c>
      <c r="H135">
        <v>0.08</v>
      </c>
      <c r="I135">
        <f t="shared" si="9"/>
        <v>0.36363636363636365</v>
      </c>
      <c r="J135">
        <f t="shared" si="10"/>
        <v>0.2857142857142857</v>
      </c>
      <c r="K135">
        <f t="shared" si="11"/>
        <v>0.16</v>
      </c>
      <c r="L135">
        <f t="shared" si="12"/>
        <v>0.19047619047619047</v>
      </c>
      <c r="M135">
        <f t="shared" si="13"/>
        <v>0</v>
      </c>
      <c r="N135">
        <f t="shared" si="14"/>
        <v>0.13636363636363635</v>
      </c>
      <c r="O135">
        <f t="shared" si="15"/>
        <v>8.3333333333333329E-2</v>
      </c>
      <c r="P135">
        <f t="shared" si="16"/>
        <v>0.08</v>
      </c>
    </row>
    <row r="136" spans="1:16" x14ac:dyDescent="0.4">
      <c r="A136">
        <v>0.2857142857142857</v>
      </c>
      <c r="B136">
        <v>0.2857142857142857</v>
      </c>
      <c r="C136" s="24">
        <v>0.14285714285714285</v>
      </c>
      <c r="D136">
        <v>5.8823529411764705E-2</v>
      </c>
      <c r="E136">
        <v>7.1428571428571425E-2</v>
      </c>
      <c r="F136">
        <v>0.23529411764705882</v>
      </c>
      <c r="G136">
        <v>0</v>
      </c>
      <c r="H136">
        <v>1.3698630136986301E-2</v>
      </c>
      <c r="I136">
        <f t="shared" ref="I136:I199" si="17">IF(A136&gt;1, 1, A136)</f>
        <v>0.2857142857142857</v>
      </c>
      <c r="J136">
        <f t="shared" ref="J136:J199" si="18">IF(B136&gt;1, 1, B136)</f>
        <v>0.2857142857142857</v>
      </c>
      <c r="K136">
        <f t="shared" ref="K136:K199" si="19">IF(C136&gt;1, 1, C136)</f>
        <v>0.14285714285714285</v>
      </c>
      <c r="L136">
        <f t="shared" ref="L136:L199" si="20">IF(D136&gt;1, 1, D136)</f>
        <v>5.8823529411764705E-2</v>
      </c>
      <c r="M136">
        <f t="shared" ref="M136:M199" si="21">IF(E136&gt;1, 1, E136)</f>
        <v>7.1428571428571425E-2</v>
      </c>
      <c r="N136">
        <f t="shared" ref="N136:N199" si="22">IF(F136&gt;1, 1, F136)</f>
        <v>0.23529411764705882</v>
      </c>
      <c r="O136">
        <f t="shared" ref="O136:O199" si="23">IF(G136&gt;1, 1, G136)</f>
        <v>0</v>
      </c>
      <c r="P136">
        <f t="shared" ref="P136:P199" si="24">IF(H136&gt;1, 1, H136)</f>
        <v>1.3698630136986301E-2</v>
      </c>
    </row>
    <row r="137" spans="1:16" x14ac:dyDescent="0.4">
      <c r="A137">
        <v>0.14285714285714285</v>
      </c>
      <c r="B137">
        <v>0.33333333333333331</v>
      </c>
      <c r="C137" s="23">
        <v>0.18181818181818182</v>
      </c>
      <c r="D137">
        <v>0</v>
      </c>
      <c r="E137">
        <v>0.125</v>
      </c>
      <c r="F137">
        <v>0.05</v>
      </c>
      <c r="G137">
        <v>0</v>
      </c>
      <c r="H137">
        <v>0.66666666666666663</v>
      </c>
      <c r="I137">
        <f t="shared" si="17"/>
        <v>0.14285714285714285</v>
      </c>
      <c r="J137">
        <f t="shared" si="18"/>
        <v>0.33333333333333331</v>
      </c>
      <c r="K137">
        <f t="shared" si="19"/>
        <v>0.18181818181818182</v>
      </c>
      <c r="L137">
        <f t="shared" si="20"/>
        <v>0</v>
      </c>
      <c r="M137">
        <f t="shared" si="21"/>
        <v>0.125</v>
      </c>
      <c r="N137">
        <f t="shared" si="22"/>
        <v>0.05</v>
      </c>
      <c r="O137">
        <f t="shared" si="23"/>
        <v>0</v>
      </c>
      <c r="P137">
        <f t="shared" si="24"/>
        <v>0.66666666666666663</v>
      </c>
    </row>
    <row r="138" spans="1:16" x14ac:dyDescent="0.4">
      <c r="A138">
        <v>0.26666666666666666</v>
      </c>
      <c r="B138">
        <v>0.2</v>
      </c>
      <c r="C138" s="24">
        <v>0.19047619047619047</v>
      </c>
      <c r="D138">
        <v>3.2258064516129031E-2</v>
      </c>
      <c r="E138">
        <v>0</v>
      </c>
      <c r="F138">
        <v>0.16666666666666666</v>
      </c>
      <c r="G138">
        <v>0.1111111111111111</v>
      </c>
      <c r="H138">
        <v>0</v>
      </c>
      <c r="I138">
        <f t="shared" si="17"/>
        <v>0.26666666666666666</v>
      </c>
      <c r="J138">
        <f t="shared" si="18"/>
        <v>0.2</v>
      </c>
      <c r="K138">
        <f t="shared" si="19"/>
        <v>0.19047619047619047</v>
      </c>
      <c r="L138">
        <f t="shared" si="20"/>
        <v>3.2258064516129031E-2</v>
      </c>
      <c r="M138">
        <f t="shared" si="21"/>
        <v>0</v>
      </c>
      <c r="N138">
        <f t="shared" si="22"/>
        <v>0.16666666666666666</v>
      </c>
      <c r="O138">
        <f t="shared" si="23"/>
        <v>0.1111111111111111</v>
      </c>
      <c r="P138">
        <f t="shared" si="24"/>
        <v>0</v>
      </c>
    </row>
    <row r="139" spans="1:16" x14ac:dyDescent="0.4">
      <c r="A139">
        <v>0.2</v>
      </c>
      <c r="B139">
        <v>0.36363636363636365</v>
      </c>
      <c r="C139" s="23">
        <v>0.66666666666666663</v>
      </c>
      <c r="D139">
        <v>9.7560975609756101E-2</v>
      </c>
      <c r="E139">
        <v>5.5555555555555552E-2</v>
      </c>
      <c r="F139">
        <v>0.4</v>
      </c>
      <c r="G139">
        <v>0.1111111111111111</v>
      </c>
      <c r="H139">
        <v>0.04</v>
      </c>
      <c r="I139">
        <f t="shared" si="17"/>
        <v>0.2</v>
      </c>
      <c r="J139">
        <f t="shared" si="18"/>
        <v>0.36363636363636365</v>
      </c>
      <c r="K139">
        <f t="shared" si="19"/>
        <v>0.66666666666666663</v>
      </c>
      <c r="L139">
        <f t="shared" si="20"/>
        <v>9.7560975609756101E-2</v>
      </c>
      <c r="M139">
        <f t="shared" si="21"/>
        <v>5.5555555555555552E-2</v>
      </c>
      <c r="N139">
        <f t="shared" si="22"/>
        <v>0.4</v>
      </c>
      <c r="O139">
        <f t="shared" si="23"/>
        <v>0.1111111111111111</v>
      </c>
      <c r="P139">
        <f t="shared" si="24"/>
        <v>0.04</v>
      </c>
    </row>
    <row r="140" spans="1:16" x14ac:dyDescent="0.4">
      <c r="A140">
        <v>0.33333333333333331</v>
      </c>
      <c r="B140">
        <v>0.25</v>
      </c>
      <c r="C140" s="24">
        <v>0.15384615384615385</v>
      </c>
      <c r="D140">
        <v>0.1875</v>
      </c>
      <c r="E140">
        <v>9.0909090909090912E-2</v>
      </c>
      <c r="F140">
        <v>0</v>
      </c>
      <c r="G140">
        <v>0</v>
      </c>
      <c r="H140">
        <v>0.14285714285714285</v>
      </c>
      <c r="I140">
        <f t="shared" si="17"/>
        <v>0.33333333333333331</v>
      </c>
      <c r="J140">
        <f t="shared" si="18"/>
        <v>0.25</v>
      </c>
      <c r="K140">
        <f t="shared" si="19"/>
        <v>0.15384615384615385</v>
      </c>
      <c r="L140">
        <f t="shared" si="20"/>
        <v>0.1875</v>
      </c>
      <c r="M140">
        <f t="shared" si="21"/>
        <v>9.0909090909090912E-2</v>
      </c>
      <c r="N140">
        <f t="shared" si="22"/>
        <v>0</v>
      </c>
      <c r="O140">
        <f t="shared" si="23"/>
        <v>0</v>
      </c>
      <c r="P140">
        <f t="shared" si="24"/>
        <v>0.14285714285714285</v>
      </c>
    </row>
    <row r="141" spans="1:16" x14ac:dyDescent="0.4">
      <c r="A141">
        <v>0.15384615384615385</v>
      </c>
      <c r="B141">
        <v>0.22222222222222221</v>
      </c>
      <c r="C141" s="23">
        <v>0.44444444444444442</v>
      </c>
      <c r="D141">
        <v>7.8431372549019607E-2</v>
      </c>
      <c r="E141">
        <v>0</v>
      </c>
      <c r="F141">
        <v>0.2857142857142857</v>
      </c>
      <c r="G141">
        <v>0.2</v>
      </c>
      <c r="H141">
        <v>6.25E-2</v>
      </c>
      <c r="I141">
        <f t="shared" si="17"/>
        <v>0.15384615384615385</v>
      </c>
      <c r="J141">
        <f t="shared" si="18"/>
        <v>0.22222222222222221</v>
      </c>
      <c r="K141">
        <f t="shared" si="19"/>
        <v>0.44444444444444442</v>
      </c>
      <c r="L141">
        <f t="shared" si="20"/>
        <v>7.8431372549019607E-2</v>
      </c>
      <c r="M141">
        <f t="shared" si="21"/>
        <v>0</v>
      </c>
      <c r="N141">
        <f t="shared" si="22"/>
        <v>0.2857142857142857</v>
      </c>
      <c r="O141">
        <f t="shared" si="23"/>
        <v>0.2</v>
      </c>
      <c r="P141">
        <f t="shared" si="24"/>
        <v>6.25E-2</v>
      </c>
    </row>
    <row r="142" spans="1:16" x14ac:dyDescent="0.4">
      <c r="A142">
        <v>0.4</v>
      </c>
      <c r="B142">
        <v>0.13793103448275862</v>
      </c>
      <c r="C142" s="24">
        <v>0.30769230769230771</v>
      </c>
      <c r="D142">
        <v>0.33333333333333331</v>
      </c>
      <c r="E142">
        <v>0</v>
      </c>
      <c r="F142">
        <v>0</v>
      </c>
      <c r="G142">
        <v>0</v>
      </c>
      <c r="H142">
        <v>0.2</v>
      </c>
      <c r="I142">
        <f t="shared" si="17"/>
        <v>0.4</v>
      </c>
      <c r="J142">
        <f t="shared" si="18"/>
        <v>0.13793103448275862</v>
      </c>
      <c r="K142">
        <f t="shared" si="19"/>
        <v>0.30769230769230771</v>
      </c>
      <c r="L142">
        <f t="shared" si="20"/>
        <v>0.33333333333333331</v>
      </c>
      <c r="M142">
        <f t="shared" si="21"/>
        <v>0</v>
      </c>
      <c r="N142">
        <f t="shared" si="22"/>
        <v>0</v>
      </c>
      <c r="O142">
        <f t="shared" si="23"/>
        <v>0</v>
      </c>
      <c r="P142">
        <f t="shared" si="24"/>
        <v>0.2</v>
      </c>
    </row>
    <row r="143" spans="1:16" x14ac:dyDescent="0.4">
      <c r="A143">
        <v>0.4</v>
      </c>
      <c r="B143">
        <v>0.26666666666666666</v>
      </c>
      <c r="C143" s="23">
        <v>0.23529411764705882</v>
      </c>
      <c r="D143">
        <v>0.25</v>
      </c>
      <c r="E143">
        <v>0</v>
      </c>
      <c r="F143">
        <v>5.8823529411764705E-2</v>
      </c>
      <c r="G143">
        <v>7.1428571428571425E-2</v>
      </c>
      <c r="H143">
        <v>0</v>
      </c>
      <c r="I143">
        <f t="shared" si="17"/>
        <v>0.4</v>
      </c>
      <c r="J143">
        <f t="shared" si="18"/>
        <v>0.26666666666666666</v>
      </c>
      <c r="K143">
        <f t="shared" si="19"/>
        <v>0.23529411764705882</v>
      </c>
      <c r="L143">
        <f t="shared" si="20"/>
        <v>0.25</v>
      </c>
      <c r="M143">
        <f t="shared" si="21"/>
        <v>0</v>
      </c>
      <c r="N143">
        <f t="shared" si="22"/>
        <v>5.8823529411764705E-2</v>
      </c>
      <c r="O143">
        <f t="shared" si="23"/>
        <v>7.1428571428571425E-2</v>
      </c>
      <c r="P143">
        <f t="shared" si="24"/>
        <v>0</v>
      </c>
    </row>
    <row r="144" spans="1:16" x14ac:dyDescent="0.4">
      <c r="A144">
        <v>0.15384615384615385</v>
      </c>
      <c r="B144">
        <v>0.16</v>
      </c>
      <c r="C144" s="24">
        <v>0.12121212121212122</v>
      </c>
      <c r="D144">
        <v>5.6338028169014086E-2</v>
      </c>
      <c r="E144">
        <v>0.04</v>
      </c>
      <c r="F144">
        <v>0.10714285714285714</v>
      </c>
      <c r="G144">
        <v>4.1666666666666664E-2</v>
      </c>
      <c r="H144">
        <v>0</v>
      </c>
      <c r="I144">
        <f t="shared" si="17"/>
        <v>0.15384615384615385</v>
      </c>
      <c r="J144">
        <f t="shared" si="18"/>
        <v>0.16</v>
      </c>
      <c r="K144">
        <f t="shared" si="19"/>
        <v>0.12121212121212122</v>
      </c>
      <c r="L144">
        <f t="shared" si="20"/>
        <v>5.6338028169014086E-2</v>
      </c>
      <c r="M144">
        <f t="shared" si="21"/>
        <v>0.04</v>
      </c>
      <c r="N144">
        <f t="shared" si="22"/>
        <v>0.10714285714285714</v>
      </c>
      <c r="O144">
        <f t="shared" si="23"/>
        <v>4.1666666666666664E-2</v>
      </c>
      <c r="P144">
        <f t="shared" si="24"/>
        <v>0</v>
      </c>
    </row>
    <row r="145" spans="1:16" x14ac:dyDescent="0.4">
      <c r="A145">
        <v>0.21052631578947367</v>
      </c>
      <c r="B145">
        <v>0.36363636363636365</v>
      </c>
      <c r="C145" s="23">
        <v>0.44444444444444442</v>
      </c>
      <c r="D145">
        <v>0.5</v>
      </c>
      <c r="E145">
        <v>0.1875</v>
      </c>
      <c r="F145">
        <v>0.125</v>
      </c>
      <c r="G145">
        <v>0.1</v>
      </c>
      <c r="H145">
        <v>0.33333333333333331</v>
      </c>
      <c r="I145">
        <f t="shared" si="17"/>
        <v>0.21052631578947367</v>
      </c>
      <c r="J145">
        <f t="shared" si="18"/>
        <v>0.36363636363636365</v>
      </c>
      <c r="K145">
        <f t="shared" si="19"/>
        <v>0.44444444444444442</v>
      </c>
      <c r="L145">
        <f t="shared" si="20"/>
        <v>0.5</v>
      </c>
      <c r="M145">
        <f t="shared" si="21"/>
        <v>0.1875</v>
      </c>
      <c r="N145">
        <f t="shared" si="22"/>
        <v>0.125</v>
      </c>
      <c r="O145">
        <f t="shared" si="23"/>
        <v>0.1</v>
      </c>
      <c r="P145">
        <f t="shared" si="24"/>
        <v>0.33333333333333331</v>
      </c>
    </row>
    <row r="146" spans="1:16" x14ac:dyDescent="0.4">
      <c r="A146">
        <v>0.4</v>
      </c>
      <c r="B146">
        <v>0.17391304347826086</v>
      </c>
      <c r="C146" s="24">
        <v>0.13333333333333333</v>
      </c>
      <c r="D146">
        <v>0.1111111111111111</v>
      </c>
      <c r="E146">
        <v>0.25</v>
      </c>
      <c r="F146">
        <v>7.1428571428571425E-2</v>
      </c>
      <c r="G146">
        <v>0.15789473684210525</v>
      </c>
      <c r="H146">
        <v>0.66666666666666663</v>
      </c>
      <c r="I146">
        <f t="shared" si="17"/>
        <v>0.4</v>
      </c>
      <c r="J146">
        <f t="shared" si="18"/>
        <v>0.17391304347826086</v>
      </c>
      <c r="K146">
        <f t="shared" si="19"/>
        <v>0.13333333333333333</v>
      </c>
      <c r="L146">
        <f t="shared" si="20"/>
        <v>0.1111111111111111</v>
      </c>
      <c r="M146">
        <f t="shared" si="21"/>
        <v>0.25</v>
      </c>
      <c r="N146">
        <f t="shared" si="22"/>
        <v>7.1428571428571425E-2</v>
      </c>
      <c r="O146">
        <f t="shared" si="23"/>
        <v>0.15789473684210525</v>
      </c>
      <c r="P146">
        <f t="shared" si="24"/>
        <v>0.66666666666666663</v>
      </c>
    </row>
    <row r="147" spans="1:16" x14ac:dyDescent="0.4">
      <c r="A147">
        <v>0.36363636363636365</v>
      </c>
      <c r="B147">
        <v>0.36363636363636365</v>
      </c>
      <c r="C147" s="23">
        <v>0.5</v>
      </c>
      <c r="D147">
        <v>7.8431372549019607E-2</v>
      </c>
      <c r="E147">
        <v>0.2</v>
      </c>
      <c r="F147">
        <v>0</v>
      </c>
      <c r="G147">
        <v>0</v>
      </c>
      <c r="H147">
        <v>3.5087719298245612E-2</v>
      </c>
      <c r="I147">
        <f t="shared" si="17"/>
        <v>0.36363636363636365</v>
      </c>
      <c r="J147">
        <f t="shared" si="18"/>
        <v>0.36363636363636365</v>
      </c>
      <c r="K147">
        <f t="shared" si="19"/>
        <v>0.5</v>
      </c>
      <c r="L147">
        <f t="shared" si="20"/>
        <v>7.8431372549019607E-2</v>
      </c>
      <c r="M147">
        <f t="shared" si="21"/>
        <v>0.2</v>
      </c>
      <c r="N147">
        <f t="shared" si="22"/>
        <v>0</v>
      </c>
      <c r="O147">
        <f t="shared" si="23"/>
        <v>0</v>
      </c>
      <c r="P147">
        <f t="shared" si="24"/>
        <v>3.5087719298245612E-2</v>
      </c>
    </row>
    <row r="148" spans="1:16" x14ac:dyDescent="0.4">
      <c r="A148">
        <v>9.6774193548387094E-2</v>
      </c>
      <c r="B148">
        <v>0.36363636363636365</v>
      </c>
      <c r="C148" s="24">
        <v>0.5</v>
      </c>
      <c r="D148">
        <v>3.3707865168539325E-2</v>
      </c>
      <c r="E148">
        <v>0.125</v>
      </c>
      <c r="F148">
        <v>0.14285714285714285</v>
      </c>
      <c r="G148">
        <v>0</v>
      </c>
      <c r="H148">
        <v>1.7857142857142856E-2</v>
      </c>
      <c r="I148">
        <f t="shared" si="17"/>
        <v>9.6774193548387094E-2</v>
      </c>
      <c r="J148">
        <f t="shared" si="18"/>
        <v>0.36363636363636365</v>
      </c>
      <c r="K148">
        <f t="shared" si="19"/>
        <v>0.5</v>
      </c>
      <c r="L148">
        <f t="shared" si="20"/>
        <v>3.3707865168539325E-2</v>
      </c>
      <c r="M148">
        <f t="shared" si="21"/>
        <v>0.125</v>
      </c>
      <c r="N148">
        <f t="shared" si="22"/>
        <v>0.14285714285714285</v>
      </c>
      <c r="O148">
        <f t="shared" si="23"/>
        <v>0</v>
      </c>
      <c r="P148">
        <f t="shared" si="24"/>
        <v>1.7857142857142856E-2</v>
      </c>
    </row>
    <row r="149" spans="1:16" x14ac:dyDescent="0.4">
      <c r="A149">
        <v>0</v>
      </c>
      <c r="B149">
        <v>0.36363636363636365</v>
      </c>
      <c r="C149" s="23">
        <v>0.2857142857142857</v>
      </c>
      <c r="D149">
        <v>0.23529411764705882</v>
      </c>
      <c r="E149">
        <v>0.19047619047619047</v>
      </c>
      <c r="F149">
        <v>0.15384615384615385</v>
      </c>
      <c r="G149">
        <v>0.1</v>
      </c>
      <c r="H149">
        <v>6.25E-2</v>
      </c>
      <c r="I149">
        <f t="shared" si="17"/>
        <v>0</v>
      </c>
      <c r="J149">
        <f t="shared" si="18"/>
        <v>0.36363636363636365</v>
      </c>
      <c r="K149">
        <f t="shared" si="19"/>
        <v>0.2857142857142857</v>
      </c>
      <c r="L149">
        <f t="shared" si="20"/>
        <v>0.23529411764705882</v>
      </c>
      <c r="M149">
        <f t="shared" si="21"/>
        <v>0.19047619047619047</v>
      </c>
      <c r="N149">
        <f t="shared" si="22"/>
        <v>0.15384615384615385</v>
      </c>
      <c r="O149">
        <f t="shared" si="23"/>
        <v>0.1</v>
      </c>
      <c r="P149">
        <f t="shared" si="24"/>
        <v>6.25E-2</v>
      </c>
    </row>
    <row r="150" spans="1:16" x14ac:dyDescent="0.4">
      <c r="A150">
        <v>0.12903225806451613</v>
      </c>
      <c r="B150">
        <v>0.36363636363636365</v>
      </c>
      <c r="C150" s="24">
        <v>5.4054054054054057E-2</v>
      </c>
      <c r="D150">
        <v>0</v>
      </c>
      <c r="E150">
        <v>0.1111111111111111</v>
      </c>
      <c r="F150">
        <v>0.11764705882352941</v>
      </c>
      <c r="G150">
        <v>0</v>
      </c>
      <c r="H150">
        <v>0.4</v>
      </c>
      <c r="I150">
        <f t="shared" si="17"/>
        <v>0.12903225806451613</v>
      </c>
      <c r="J150">
        <f t="shared" si="18"/>
        <v>0.36363636363636365</v>
      </c>
      <c r="K150">
        <f t="shared" si="19"/>
        <v>5.4054054054054057E-2</v>
      </c>
      <c r="L150">
        <f t="shared" si="20"/>
        <v>0</v>
      </c>
      <c r="M150">
        <f t="shared" si="21"/>
        <v>0.1111111111111111</v>
      </c>
      <c r="N150">
        <f t="shared" si="22"/>
        <v>0.11764705882352941</v>
      </c>
      <c r="O150">
        <f t="shared" si="23"/>
        <v>0</v>
      </c>
      <c r="P150">
        <f t="shared" si="24"/>
        <v>0.4</v>
      </c>
    </row>
    <row r="151" spans="1:16" x14ac:dyDescent="0.4">
      <c r="A151">
        <v>0.18181818181818182</v>
      </c>
      <c r="B151">
        <v>0.4</v>
      </c>
      <c r="C151" s="23">
        <v>0.16666666666666666</v>
      </c>
      <c r="D151">
        <v>0.18181818181818182</v>
      </c>
      <c r="E151">
        <v>0.16666666666666666</v>
      </c>
      <c r="F151">
        <v>9.0909090909090912E-2</v>
      </c>
      <c r="G151">
        <v>0</v>
      </c>
      <c r="H151">
        <v>4.5454545454545456E-2</v>
      </c>
      <c r="I151">
        <f t="shared" si="17"/>
        <v>0.18181818181818182</v>
      </c>
      <c r="J151">
        <f t="shared" si="18"/>
        <v>0.4</v>
      </c>
      <c r="K151">
        <f t="shared" si="19"/>
        <v>0.16666666666666666</v>
      </c>
      <c r="L151">
        <f t="shared" si="20"/>
        <v>0.18181818181818182</v>
      </c>
      <c r="M151">
        <f t="shared" si="21"/>
        <v>0.16666666666666666</v>
      </c>
      <c r="N151">
        <f t="shared" si="22"/>
        <v>9.0909090909090912E-2</v>
      </c>
      <c r="O151">
        <f t="shared" si="23"/>
        <v>0</v>
      </c>
      <c r="P151">
        <f t="shared" si="24"/>
        <v>4.5454545454545456E-2</v>
      </c>
    </row>
    <row r="152" spans="1:16" x14ac:dyDescent="0.4">
      <c r="A152">
        <v>5.2631578947368418E-2</v>
      </c>
      <c r="B152">
        <v>0.33333333333333331</v>
      </c>
      <c r="C152" s="24">
        <v>0.44444444444444442</v>
      </c>
      <c r="D152">
        <v>0.14285714285714285</v>
      </c>
      <c r="E152">
        <v>0.25</v>
      </c>
      <c r="F152">
        <v>0.14285714285714285</v>
      </c>
      <c r="G152">
        <v>9.0909090909090912E-2</v>
      </c>
      <c r="H152">
        <v>0.44444444444444442</v>
      </c>
      <c r="I152">
        <f t="shared" si="17"/>
        <v>5.2631578947368418E-2</v>
      </c>
      <c r="J152">
        <f t="shared" si="18"/>
        <v>0.33333333333333331</v>
      </c>
      <c r="K152">
        <f t="shared" si="19"/>
        <v>0.44444444444444442</v>
      </c>
      <c r="L152">
        <f t="shared" si="20"/>
        <v>0.14285714285714285</v>
      </c>
      <c r="M152">
        <f t="shared" si="21"/>
        <v>0.25</v>
      </c>
      <c r="N152">
        <f t="shared" si="22"/>
        <v>0.14285714285714285</v>
      </c>
      <c r="O152">
        <f t="shared" si="23"/>
        <v>9.0909090909090912E-2</v>
      </c>
      <c r="P152">
        <f t="shared" si="24"/>
        <v>0.44444444444444442</v>
      </c>
    </row>
    <row r="153" spans="1:16" x14ac:dyDescent="0.4">
      <c r="A153">
        <v>0.26666666666666666</v>
      </c>
      <c r="B153">
        <v>0.30769230769230771</v>
      </c>
      <c r="C153" s="23">
        <v>0.44444444444444442</v>
      </c>
      <c r="D153">
        <v>0.30769230769230771</v>
      </c>
      <c r="E153">
        <v>7.6923076923076927E-2</v>
      </c>
      <c r="F153">
        <v>0.375</v>
      </c>
      <c r="G153">
        <v>8.3333333333333329E-2</v>
      </c>
      <c r="H153">
        <v>0.1</v>
      </c>
      <c r="I153">
        <f t="shared" si="17"/>
        <v>0.26666666666666666</v>
      </c>
      <c r="J153">
        <f t="shared" si="18"/>
        <v>0.30769230769230771</v>
      </c>
      <c r="K153">
        <f t="shared" si="19"/>
        <v>0.44444444444444442</v>
      </c>
      <c r="L153">
        <f t="shared" si="20"/>
        <v>0.30769230769230771</v>
      </c>
      <c r="M153">
        <f t="shared" si="21"/>
        <v>7.6923076923076927E-2</v>
      </c>
      <c r="N153">
        <f t="shared" si="22"/>
        <v>0.375</v>
      </c>
      <c r="O153">
        <f t="shared" si="23"/>
        <v>8.3333333333333329E-2</v>
      </c>
      <c r="P153">
        <f t="shared" si="24"/>
        <v>0.1</v>
      </c>
    </row>
    <row r="154" spans="1:16" x14ac:dyDescent="0.4">
      <c r="A154">
        <v>0.33333333333333331</v>
      </c>
      <c r="B154">
        <v>0.26666666666666666</v>
      </c>
      <c r="C154" s="24">
        <v>0.44444444444444442</v>
      </c>
      <c r="D154">
        <v>0.19047619047619047</v>
      </c>
      <c r="E154">
        <v>0</v>
      </c>
      <c r="F154">
        <v>0.2857142857142857</v>
      </c>
      <c r="G154">
        <v>0.27272727272727271</v>
      </c>
      <c r="H154">
        <v>0.05</v>
      </c>
      <c r="I154">
        <f t="shared" si="17"/>
        <v>0.33333333333333331</v>
      </c>
      <c r="J154">
        <f t="shared" si="18"/>
        <v>0.26666666666666666</v>
      </c>
      <c r="K154">
        <f t="shared" si="19"/>
        <v>0.44444444444444442</v>
      </c>
      <c r="L154">
        <f t="shared" si="20"/>
        <v>0.19047619047619047</v>
      </c>
      <c r="M154">
        <f t="shared" si="21"/>
        <v>0</v>
      </c>
      <c r="N154">
        <f t="shared" si="22"/>
        <v>0.2857142857142857</v>
      </c>
      <c r="O154">
        <f t="shared" si="23"/>
        <v>0.27272727272727271</v>
      </c>
      <c r="P154">
        <f t="shared" si="24"/>
        <v>0.05</v>
      </c>
    </row>
    <row r="155" spans="1:16" x14ac:dyDescent="0.4">
      <c r="A155">
        <v>0</v>
      </c>
      <c r="B155">
        <v>0.23529411764705882</v>
      </c>
      <c r="C155" s="23">
        <v>0.5</v>
      </c>
      <c r="D155">
        <v>0.4</v>
      </c>
      <c r="E155">
        <v>0.2857142857142857</v>
      </c>
      <c r="F155">
        <v>0.33333333333333331</v>
      </c>
      <c r="G155">
        <v>6.25E-2</v>
      </c>
      <c r="H155">
        <v>0</v>
      </c>
      <c r="I155">
        <f t="shared" si="17"/>
        <v>0</v>
      </c>
      <c r="J155">
        <f t="shared" si="18"/>
        <v>0.23529411764705882</v>
      </c>
      <c r="K155">
        <f t="shared" si="19"/>
        <v>0.5</v>
      </c>
      <c r="L155">
        <f t="shared" si="20"/>
        <v>0.4</v>
      </c>
      <c r="M155">
        <f t="shared" si="21"/>
        <v>0.2857142857142857</v>
      </c>
      <c r="N155">
        <f t="shared" si="22"/>
        <v>0.33333333333333331</v>
      </c>
      <c r="O155">
        <f t="shared" si="23"/>
        <v>6.25E-2</v>
      </c>
      <c r="P155">
        <f t="shared" si="24"/>
        <v>0</v>
      </c>
    </row>
    <row r="156" spans="1:16" x14ac:dyDescent="0.4">
      <c r="A156">
        <v>7.0175438596491224E-2</v>
      </c>
      <c r="B156">
        <v>0.26666666666666666</v>
      </c>
      <c r="C156" s="24">
        <v>6.6666666666666666E-2</v>
      </c>
      <c r="D156">
        <v>0.15</v>
      </c>
      <c r="E156">
        <v>5.7692307692307696E-2</v>
      </c>
      <c r="F156">
        <v>0.30769230769230771</v>
      </c>
      <c r="G156">
        <v>7.6923076923076927E-2</v>
      </c>
      <c r="H156">
        <v>0.125</v>
      </c>
      <c r="I156">
        <f t="shared" si="17"/>
        <v>7.0175438596491224E-2</v>
      </c>
      <c r="J156">
        <f t="shared" si="18"/>
        <v>0.26666666666666666</v>
      </c>
      <c r="K156">
        <f t="shared" si="19"/>
        <v>6.6666666666666666E-2</v>
      </c>
      <c r="L156">
        <f t="shared" si="20"/>
        <v>0.15</v>
      </c>
      <c r="M156">
        <f t="shared" si="21"/>
        <v>5.7692307692307696E-2</v>
      </c>
      <c r="N156">
        <f t="shared" si="22"/>
        <v>0.30769230769230771</v>
      </c>
      <c r="O156">
        <f t="shared" si="23"/>
        <v>7.6923076923076927E-2</v>
      </c>
      <c r="P156">
        <f t="shared" si="24"/>
        <v>0.125</v>
      </c>
    </row>
    <row r="157" spans="1:16" x14ac:dyDescent="0.4">
      <c r="A157">
        <v>4.7619047619047616E-2</v>
      </c>
      <c r="B157">
        <v>0.26666666666666666</v>
      </c>
      <c r="C157" s="23">
        <v>0.30769230769230771</v>
      </c>
      <c r="D157">
        <v>9.0909090909090912E-2</v>
      </c>
      <c r="E157">
        <v>0.23529411764705882</v>
      </c>
      <c r="F157">
        <v>8.3333333333333329E-2</v>
      </c>
      <c r="G157">
        <v>7.6923076923076927E-2</v>
      </c>
      <c r="H157">
        <v>0.66666666666666663</v>
      </c>
      <c r="I157">
        <f t="shared" si="17"/>
        <v>4.7619047619047616E-2</v>
      </c>
      <c r="J157">
        <f t="shared" si="18"/>
        <v>0.26666666666666666</v>
      </c>
      <c r="K157">
        <f t="shared" si="19"/>
        <v>0.30769230769230771</v>
      </c>
      <c r="L157">
        <f t="shared" si="20"/>
        <v>9.0909090909090912E-2</v>
      </c>
      <c r="M157">
        <f t="shared" si="21"/>
        <v>0.23529411764705882</v>
      </c>
      <c r="N157">
        <f t="shared" si="22"/>
        <v>8.3333333333333329E-2</v>
      </c>
      <c r="O157">
        <f t="shared" si="23"/>
        <v>7.6923076923076927E-2</v>
      </c>
      <c r="P157">
        <f t="shared" si="24"/>
        <v>0.66666666666666663</v>
      </c>
    </row>
    <row r="158" spans="1:16" x14ac:dyDescent="0.4">
      <c r="A158">
        <v>0.44444444444444442</v>
      </c>
      <c r="B158">
        <v>0.2857142857142857</v>
      </c>
      <c r="C158" s="24">
        <v>9.5238095238095233E-2</v>
      </c>
      <c r="D158">
        <v>0.36363636363636365</v>
      </c>
      <c r="E158">
        <v>0.14285714285714285</v>
      </c>
      <c r="F158">
        <v>0.05</v>
      </c>
      <c r="G158">
        <v>0.16666666666666666</v>
      </c>
      <c r="H158">
        <v>0</v>
      </c>
      <c r="I158">
        <f t="shared" si="17"/>
        <v>0.44444444444444442</v>
      </c>
      <c r="J158">
        <f t="shared" si="18"/>
        <v>0.2857142857142857</v>
      </c>
      <c r="K158">
        <f t="shared" si="19"/>
        <v>9.5238095238095233E-2</v>
      </c>
      <c r="L158">
        <f t="shared" si="20"/>
        <v>0.36363636363636365</v>
      </c>
      <c r="M158">
        <f t="shared" si="21"/>
        <v>0.14285714285714285</v>
      </c>
      <c r="N158">
        <f t="shared" si="22"/>
        <v>0.05</v>
      </c>
      <c r="O158">
        <f t="shared" si="23"/>
        <v>0.16666666666666666</v>
      </c>
      <c r="P158">
        <f t="shared" si="24"/>
        <v>0</v>
      </c>
    </row>
    <row r="159" spans="1:16" x14ac:dyDescent="0.4">
      <c r="A159">
        <v>0.33333333333333331</v>
      </c>
      <c r="B159">
        <v>0.26666666666666666</v>
      </c>
      <c r="C159" s="23">
        <v>4.7058823529411764E-2</v>
      </c>
      <c r="D159">
        <v>0.5</v>
      </c>
      <c r="E159">
        <v>0</v>
      </c>
      <c r="F159">
        <v>0</v>
      </c>
      <c r="G159">
        <v>7.6923076923076927E-2</v>
      </c>
      <c r="H159">
        <v>0</v>
      </c>
      <c r="I159">
        <f t="shared" si="17"/>
        <v>0.33333333333333331</v>
      </c>
      <c r="J159">
        <f t="shared" si="18"/>
        <v>0.26666666666666666</v>
      </c>
      <c r="K159">
        <f t="shared" si="19"/>
        <v>4.7058823529411764E-2</v>
      </c>
      <c r="L159">
        <f t="shared" si="20"/>
        <v>0.5</v>
      </c>
      <c r="M159">
        <f t="shared" si="21"/>
        <v>0</v>
      </c>
      <c r="N159">
        <f t="shared" si="22"/>
        <v>0</v>
      </c>
      <c r="O159">
        <f t="shared" si="23"/>
        <v>7.6923076923076927E-2</v>
      </c>
      <c r="P159">
        <f t="shared" si="24"/>
        <v>0</v>
      </c>
    </row>
    <row r="160" spans="1:16" x14ac:dyDescent="0.4">
      <c r="A160">
        <v>0.25</v>
      </c>
      <c r="B160">
        <v>0.12903225806451613</v>
      </c>
      <c r="C160" s="24">
        <v>0.15384615384615385</v>
      </c>
      <c r="D160">
        <v>0</v>
      </c>
      <c r="E160">
        <v>0</v>
      </c>
      <c r="F160">
        <v>0</v>
      </c>
      <c r="G160">
        <v>0</v>
      </c>
      <c r="H160">
        <v>0.18181818181818182</v>
      </c>
      <c r="I160">
        <f t="shared" si="17"/>
        <v>0.25</v>
      </c>
      <c r="J160">
        <f t="shared" si="18"/>
        <v>0.12903225806451613</v>
      </c>
      <c r="K160">
        <f t="shared" si="19"/>
        <v>0.15384615384615385</v>
      </c>
      <c r="L160">
        <f t="shared" si="20"/>
        <v>0</v>
      </c>
      <c r="M160">
        <f t="shared" si="21"/>
        <v>0</v>
      </c>
      <c r="N160">
        <f t="shared" si="22"/>
        <v>0</v>
      </c>
      <c r="O160">
        <f t="shared" si="23"/>
        <v>0</v>
      </c>
      <c r="P160">
        <f t="shared" si="24"/>
        <v>0.18181818181818182</v>
      </c>
    </row>
    <row r="161" spans="1:16" x14ac:dyDescent="0.4">
      <c r="A161">
        <v>6.6666666666666666E-2</v>
      </c>
      <c r="B161">
        <v>6.25E-2</v>
      </c>
      <c r="C161" s="23">
        <v>0.16666666666666666</v>
      </c>
      <c r="D161">
        <v>0.36363636363636365</v>
      </c>
      <c r="E161">
        <v>0.33333333333333331</v>
      </c>
      <c r="F161">
        <v>4.3478260869565216E-2</v>
      </c>
      <c r="G161">
        <v>0.2857142857142857</v>
      </c>
      <c r="H161">
        <v>0</v>
      </c>
      <c r="I161">
        <f t="shared" si="17"/>
        <v>6.6666666666666666E-2</v>
      </c>
      <c r="J161">
        <f t="shared" si="18"/>
        <v>6.25E-2</v>
      </c>
      <c r="K161">
        <f t="shared" si="19"/>
        <v>0.16666666666666666</v>
      </c>
      <c r="L161">
        <f t="shared" si="20"/>
        <v>0.36363636363636365</v>
      </c>
      <c r="M161">
        <f t="shared" si="21"/>
        <v>0.33333333333333331</v>
      </c>
      <c r="N161">
        <f t="shared" si="22"/>
        <v>4.3478260869565216E-2</v>
      </c>
      <c r="O161">
        <f t="shared" si="23"/>
        <v>0.2857142857142857</v>
      </c>
      <c r="P161">
        <f t="shared" si="24"/>
        <v>0</v>
      </c>
    </row>
    <row r="162" spans="1:16" x14ac:dyDescent="0.4">
      <c r="A162">
        <v>0.44444444444444442</v>
      </c>
      <c r="B162">
        <v>0.19047619047619047</v>
      </c>
      <c r="C162" s="24">
        <v>0.33333333333333331</v>
      </c>
      <c r="D162">
        <v>1.5151515151515152E-2</v>
      </c>
      <c r="E162">
        <v>0.33333333333333331</v>
      </c>
      <c r="F162">
        <v>0</v>
      </c>
      <c r="G162">
        <v>0</v>
      </c>
      <c r="H162">
        <v>4.49438202247191E-2</v>
      </c>
      <c r="I162">
        <f t="shared" si="17"/>
        <v>0.44444444444444442</v>
      </c>
      <c r="J162">
        <f t="shared" si="18"/>
        <v>0.19047619047619047</v>
      </c>
      <c r="K162">
        <f t="shared" si="19"/>
        <v>0.33333333333333331</v>
      </c>
      <c r="L162">
        <f t="shared" si="20"/>
        <v>1.5151515151515152E-2</v>
      </c>
      <c r="M162">
        <f t="shared" si="21"/>
        <v>0.33333333333333331</v>
      </c>
      <c r="N162">
        <f t="shared" si="22"/>
        <v>0</v>
      </c>
      <c r="O162">
        <f t="shared" si="23"/>
        <v>0</v>
      </c>
      <c r="P162">
        <f t="shared" si="24"/>
        <v>4.49438202247191E-2</v>
      </c>
    </row>
    <row r="163" spans="1:16" x14ac:dyDescent="0.4">
      <c r="A163">
        <v>0.16666666666666666</v>
      </c>
      <c r="B163">
        <v>0.36363636363636365</v>
      </c>
      <c r="C163" s="23">
        <v>9.7560975609756101E-2</v>
      </c>
      <c r="D163">
        <v>0.4</v>
      </c>
      <c r="E163">
        <v>9.0909090909090912E-2</v>
      </c>
      <c r="F163">
        <v>0</v>
      </c>
      <c r="G163">
        <v>0.375</v>
      </c>
      <c r="H163">
        <v>0.2857142857142857</v>
      </c>
      <c r="I163">
        <f t="shared" si="17"/>
        <v>0.16666666666666666</v>
      </c>
      <c r="J163">
        <f t="shared" si="18"/>
        <v>0.36363636363636365</v>
      </c>
      <c r="K163">
        <f t="shared" si="19"/>
        <v>9.7560975609756101E-2</v>
      </c>
      <c r="L163">
        <f t="shared" si="20"/>
        <v>0.4</v>
      </c>
      <c r="M163">
        <f t="shared" si="21"/>
        <v>9.0909090909090912E-2</v>
      </c>
      <c r="N163">
        <f t="shared" si="22"/>
        <v>0</v>
      </c>
      <c r="O163">
        <f t="shared" si="23"/>
        <v>0.375</v>
      </c>
      <c r="P163">
        <f t="shared" si="24"/>
        <v>0.2857142857142857</v>
      </c>
    </row>
    <row r="164" spans="1:16" x14ac:dyDescent="0.4">
      <c r="A164">
        <v>0.21052631578947367</v>
      </c>
      <c r="B164">
        <v>0.5</v>
      </c>
      <c r="C164" s="24">
        <v>0.1</v>
      </c>
      <c r="D164">
        <v>0.36363636363636365</v>
      </c>
      <c r="E164">
        <v>5.5555555555555552E-2</v>
      </c>
      <c r="F164">
        <v>0.23529411764705882</v>
      </c>
      <c r="G164">
        <v>0</v>
      </c>
      <c r="H164">
        <v>7.6923076923076927E-2</v>
      </c>
      <c r="I164">
        <f t="shared" si="17"/>
        <v>0.21052631578947367</v>
      </c>
      <c r="J164">
        <f t="shared" si="18"/>
        <v>0.5</v>
      </c>
      <c r="K164">
        <f t="shared" si="19"/>
        <v>0.1</v>
      </c>
      <c r="L164">
        <f t="shared" si="20"/>
        <v>0.36363636363636365</v>
      </c>
      <c r="M164">
        <f t="shared" si="21"/>
        <v>5.5555555555555552E-2</v>
      </c>
      <c r="N164">
        <f t="shared" si="22"/>
        <v>0.23529411764705882</v>
      </c>
      <c r="O164">
        <f t="shared" si="23"/>
        <v>0</v>
      </c>
      <c r="P164">
        <f t="shared" si="24"/>
        <v>7.6923076923076927E-2</v>
      </c>
    </row>
    <row r="165" spans="1:16" x14ac:dyDescent="0.4">
      <c r="A165">
        <v>0.14285714285714285</v>
      </c>
      <c r="B165">
        <v>0.33333333333333331</v>
      </c>
      <c r="C165" s="23">
        <v>0.22222222222222221</v>
      </c>
      <c r="D165">
        <v>0.2</v>
      </c>
      <c r="E165">
        <v>3.8461538461538464E-2</v>
      </c>
      <c r="F165">
        <v>0.66666666666666663</v>
      </c>
      <c r="G165">
        <v>0</v>
      </c>
      <c r="H165">
        <v>0</v>
      </c>
      <c r="I165">
        <f t="shared" si="17"/>
        <v>0.14285714285714285</v>
      </c>
      <c r="J165">
        <f t="shared" si="18"/>
        <v>0.33333333333333331</v>
      </c>
      <c r="K165">
        <f t="shared" si="19"/>
        <v>0.22222222222222221</v>
      </c>
      <c r="L165">
        <f t="shared" si="20"/>
        <v>0.2</v>
      </c>
      <c r="M165">
        <f t="shared" si="21"/>
        <v>3.8461538461538464E-2</v>
      </c>
      <c r="N165">
        <f t="shared" si="22"/>
        <v>0.66666666666666663</v>
      </c>
      <c r="O165">
        <f t="shared" si="23"/>
        <v>0</v>
      </c>
      <c r="P165">
        <f t="shared" si="24"/>
        <v>0</v>
      </c>
    </row>
    <row r="166" spans="1:16" x14ac:dyDescent="0.4">
      <c r="A166">
        <v>0.11764705882352941</v>
      </c>
      <c r="B166">
        <v>0.2</v>
      </c>
      <c r="C166" s="24">
        <v>0.5714285714285714</v>
      </c>
      <c r="D166">
        <v>0.44444444444444442</v>
      </c>
      <c r="E166">
        <v>6.25E-2</v>
      </c>
      <c r="F166">
        <v>1</v>
      </c>
      <c r="G166">
        <v>0.1111111111111111</v>
      </c>
      <c r="H166">
        <v>0.14285714285714285</v>
      </c>
      <c r="I166">
        <f t="shared" si="17"/>
        <v>0.11764705882352941</v>
      </c>
      <c r="J166">
        <f t="shared" si="18"/>
        <v>0.2</v>
      </c>
      <c r="K166">
        <f t="shared" si="19"/>
        <v>0.5714285714285714</v>
      </c>
      <c r="L166">
        <f t="shared" si="20"/>
        <v>0.44444444444444442</v>
      </c>
      <c r="M166">
        <f t="shared" si="21"/>
        <v>6.25E-2</v>
      </c>
      <c r="N166">
        <f t="shared" si="22"/>
        <v>1</v>
      </c>
      <c r="O166">
        <f t="shared" si="23"/>
        <v>0.1111111111111111</v>
      </c>
      <c r="P166">
        <f t="shared" si="24"/>
        <v>0.14285714285714285</v>
      </c>
    </row>
    <row r="167" spans="1:16" x14ac:dyDescent="0.4">
      <c r="A167">
        <v>0</v>
      </c>
      <c r="B167">
        <v>0.4</v>
      </c>
      <c r="C167" s="23">
        <v>0.4</v>
      </c>
      <c r="D167">
        <v>0.33333333333333331</v>
      </c>
      <c r="E167">
        <v>0.4</v>
      </c>
      <c r="F167">
        <v>0</v>
      </c>
      <c r="G167">
        <v>0.1111111111111111</v>
      </c>
      <c r="H167">
        <v>0</v>
      </c>
      <c r="I167">
        <f t="shared" si="17"/>
        <v>0</v>
      </c>
      <c r="J167">
        <f t="shared" si="18"/>
        <v>0.4</v>
      </c>
      <c r="K167">
        <f t="shared" si="19"/>
        <v>0.4</v>
      </c>
      <c r="L167">
        <f t="shared" si="20"/>
        <v>0.33333333333333331</v>
      </c>
      <c r="M167">
        <f t="shared" si="21"/>
        <v>0.4</v>
      </c>
      <c r="N167">
        <f t="shared" si="22"/>
        <v>0</v>
      </c>
      <c r="O167">
        <f t="shared" si="23"/>
        <v>0.1111111111111111</v>
      </c>
      <c r="P167">
        <f t="shared" si="24"/>
        <v>0</v>
      </c>
    </row>
    <row r="168" spans="1:16" x14ac:dyDescent="0.4">
      <c r="A168">
        <v>0.5714285714285714</v>
      </c>
      <c r="B168">
        <v>0.33333333333333331</v>
      </c>
      <c r="C168" s="24">
        <v>0.23529411764705882</v>
      </c>
      <c r="D168">
        <v>0.4</v>
      </c>
      <c r="E168">
        <v>0</v>
      </c>
      <c r="F168">
        <v>0</v>
      </c>
      <c r="G168">
        <v>0.1</v>
      </c>
      <c r="H168">
        <v>0.4</v>
      </c>
      <c r="I168">
        <f t="shared" si="17"/>
        <v>0.5714285714285714</v>
      </c>
      <c r="J168">
        <f t="shared" si="18"/>
        <v>0.33333333333333331</v>
      </c>
      <c r="K168">
        <f t="shared" si="19"/>
        <v>0.23529411764705882</v>
      </c>
      <c r="L168">
        <f t="shared" si="20"/>
        <v>0.4</v>
      </c>
      <c r="M168">
        <f t="shared" si="21"/>
        <v>0</v>
      </c>
      <c r="N168">
        <f t="shared" si="22"/>
        <v>0</v>
      </c>
      <c r="O168">
        <f t="shared" si="23"/>
        <v>0.1</v>
      </c>
      <c r="P168">
        <f t="shared" si="24"/>
        <v>0.4</v>
      </c>
    </row>
    <row r="169" spans="1:16" x14ac:dyDescent="0.4">
      <c r="A169">
        <v>0.33333333333333331</v>
      </c>
      <c r="B169">
        <v>0.18181818181818182</v>
      </c>
      <c r="C169" s="23">
        <v>0.1111111111111111</v>
      </c>
      <c r="D169">
        <v>0.2</v>
      </c>
      <c r="E169">
        <v>0.33333333333333331</v>
      </c>
      <c r="F169">
        <v>0.26666666666666666</v>
      </c>
      <c r="G169">
        <v>4.7619047619047616E-2</v>
      </c>
      <c r="H169">
        <v>1</v>
      </c>
      <c r="I169">
        <f t="shared" si="17"/>
        <v>0.33333333333333331</v>
      </c>
      <c r="J169">
        <f t="shared" si="18"/>
        <v>0.18181818181818182</v>
      </c>
      <c r="K169">
        <f t="shared" si="19"/>
        <v>0.1111111111111111</v>
      </c>
      <c r="L169">
        <f t="shared" si="20"/>
        <v>0.2</v>
      </c>
      <c r="M169">
        <f t="shared" si="21"/>
        <v>0.33333333333333331</v>
      </c>
      <c r="N169">
        <f t="shared" si="22"/>
        <v>0.26666666666666666</v>
      </c>
      <c r="O169">
        <f t="shared" si="23"/>
        <v>4.7619047619047616E-2</v>
      </c>
      <c r="P169">
        <f t="shared" si="24"/>
        <v>1</v>
      </c>
    </row>
    <row r="170" spans="1:16" x14ac:dyDescent="0.4">
      <c r="A170">
        <v>0.2</v>
      </c>
      <c r="B170">
        <v>0.36363636363636365</v>
      </c>
      <c r="C170" s="24">
        <v>6.6666666666666666E-2</v>
      </c>
      <c r="D170">
        <v>0.5714285714285714</v>
      </c>
      <c r="E170">
        <v>0.1111111111111111</v>
      </c>
      <c r="F170">
        <v>1.6949152542372881E-2</v>
      </c>
      <c r="G170">
        <v>0</v>
      </c>
      <c r="H170">
        <v>1</v>
      </c>
      <c r="I170">
        <f t="shared" si="17"/>
        <v>0.2</v>
      </c>
      <c r="J170">
        <f t="shared" si="18"/>
        <v>0.36363636363636365</v>
      </c>
      <c r="K170">
        <f t="shared" si="19"/>
        <v>6.6666666666666666E-2</v>
      </c>
      <c r="L170">
        <f t="shared" si="20"/>
        <v>0.5714285714285714</v>
      </c>
      <c r="M170">
        <f t="shared" si="21"/>
        <v>0.1111111111111111</v>
      </c>
      <c r="N170">
        <f t="shared" si="22"/>
        <v>1.6949152542372881E-2</v>
      </c>
      <c r="O170">
        <f t="shared" si="23"/>
        <v>0</v>
      </c>
      <c r="P170">
        <f t="shared" si="24"/>
        <v>1</v>
      </c>
    </row>
    <row r="171" spans="1:16" x14ac:dyDescent="0.4">
      <c r="A171">
        <v>0.26666666666666666</v>
      </c>
      <c r="B171">
        <v>0.14285714285714285</v>
      </c>
      <c r="C171" s="23">
        <v>0.33333333333333331</v>
      </c>
      <c r="D171">
        <v>0.44444444444444442</v>
      </c>
      <c r="E171">
        <v>0</v>
      </c>
      <c r="F171">
        <v>0.18181818181818182</v>
      </c>
      <c r="G171">
        <v>0</v>
      </c>
      <c r="H171">
        <v>0.14285714285714285</v>
      </c>
      <c r="I171">
        <f t="shared" si="17"/>
        <v>0.26666666666666666</v>
      </c>
      <c r="J171">
        <f t="shared" si="18"/>
        <v>0.14285714285714285</v>
      </c>
      <c r="K171">
        <f t="shared" si="19"/>
        <v>0.33333333333333331</v>
      </c>
      <c r="L171">
        <f t="shared" si="20"/>
        <v>0.44444444444444442</v>
      </c>
      <c r="M171">
        <f t="shared" si="21"/>
        <v>0</v>
      </c>
      <c r="N171">
        <f t="shared" si="22"/>
        <v>0.18181818181818182</v>
      </c>
      <c r="O171">
        <f t="shared" si="23"/>
        <v>0</v>
      </c>
      <c r="P171">
        <f t="shared" si="24"/>
        <v>0.14285714285714285</v>
      </c>
    </row>
    <row r="172" spans="1:16" x14ac:dyDescent="0.4">
      <c r="A172">
        <v>0.36363636363636365</v>
      </c>
      <c r="B172">
        <v>0.4</v>
      </c>
      <c r="C172" s="24">
        <v>0.36363636363636365</v>
      </c>
      <c r="D172">
        <v>0.44444444444444442</v>
      </c>
      <c r="E172">
        <v>0.1</v>
      </c>
      <c r="F172">
        <v>0.1</v>
      </c>
      <c r="G172">
        <v>0</v>
      </c>
      <c r="H172">
        <v>0.125</v>
      </c>
      <c r="I172">
        <f t="shared" si="17"/>
        <v>0.36363636363636365</v>
      </c>
      <c r="J172">
        <f t="shared" si="18"/>
        <v>0.4</v>
      </c>
      <c r="K172">
        <f t="shared" si="19"/>
        <v>0.36363636363636365</v>
      </c>
      <c r="L172">
        <f t="shared" si="20"/>
        <v>0.44444444444444442</v>
      </c>
      <c r="M172">
        <f t="shared" si="21"/>
        <v>0.1</v>
      </c>
      <c r="N172">
        <f t="shared" si="22"/>
        <v>0.1</v>
      </c>
      <c r="O172">
        <f t="shared" si="23"/>
        <v>0</v>
      </c>
      <c r="P172">
        <f t="shared" si="24"/>
        <v>0.125</v>
      </c>
    </row>
    <row r="173" spans="1:16" x14ac:dyDescent="0.4">
      <c r="A173">
        <v>0.5</v>
      </c>
      <c r="B173">
        <v>0.44444444444444442</v>
      </c>
      <c r="C173" s="23">
        <v>0.30769230769230771</v>
      </c>
      <c r="D173">
        <v>0.2857142857142857</v>
      </c>
      <c r="E173">
        <v>0.33333333333333331</v>
      </c>
      <c r="F173">
        <v>0</v>
      </c>
      <c r="G173">
        <v>0</v>
      </c>
      <c r="H173">
        <v>7.6923076923076927E-2</v>
      </c>
      <c r="I173">
        <f t="shared" si="17"/>
        <v>0.5</v>
      </c>
      <c r="J173">
        <f t="shared" si="18"/>
        <v>0.44444444444444442</v>
      </c>
      <c r="K173">
        <f t="shared" si="19"/>
        <v>0.30769230769230771</v>
      </c>
      <c r="L173">
        <f t="shared" si="20"/>
        <v>0.2857142857142857</v>
      </c>
      <c r="M173">
        <f t="shared" si="21"/>
        <v>0.33333333333333331</v>
      </c>
      <c r="N173">
        <f t="shared" si="22"/>
        <v>0</v>
      </c>
      <c r="O173">
        <f t="shared" si="23"/>
        <v>0</v>
      </c>
      <c r="P173">
        <f t="shared" si="24"/>
        <v>7.6923076923076927E-2</v>
      </c>
    </row>
    <row r="174" spans="1:16" x14ac:dyDescent="0.4">
      <c r="A174">
        <v>0.15384615384615385</v>
      </c>
      <c r="B174">
        <v>0.36363636363636365</v>
      </c>
      <c r="C174" s="24">
        <v>0.26666666666666666</v>
      </c>
      <c r="D174">
        <v>0.66666666666666663</v>
      </c>
      <c r="E174">
        <v>3.3333333333333333E-2</v>
      </c>
      <c r="F174">
        <v>7.1428571428571425E-2</v>
      </c>
      <c r="G174">
        <v>0.1111111111111111</v>
      </c>
      <c r="H174">
        <v>0.2</v>
      </c>
      <c r="I174">
        <f t="shared" si="17"/>
        <v>0.15384615384615385</v>
      </c>
      <c r="J174">
        <f t="shared" si="18"/>
        <v>0.36363636363636365</v>
      </c>
      <c r="K174">
        <f t="shared" si="19"/>
        <v>0.26666666666666666</v>
      </c>
      <c r="L174">
        <f t="shared" si="20"/>
        <v>0.66666666666666663</v>
      </c>
      <c r="M174">
        <f t="shared" si="21"/>
        <v>3.3333333333333333E-2</v>
      </c>
      <c r="N174">
        <f t="shared" si="22"/>
        <v>7.1428571428571425E-2</v>
      </c>
      <c r="O174">
        <f t="shared" si="23"/>
        <v>0.1111111111111111</v>
      </c>
      <c r="P174">
        <f t="shared" si="24"/>
        <v>0.2</v>
      </c>
    </row>
    <row r="175" spans="1:16" x14ac:dyDescent="0.4">
      <c r="A175">
        <v>0.22222222222222221</v>
      </c>
      <c r="B175">
        <v>0.26666666666666666</v>
      </c>
      <c r="C175" s="23">
        <v>0.2857142857142857</v>
      </c>
      <c r="D175">
        <v>8.1632653061224483E-2</v>
      </c>
      <c r="E175">
        <v>5.8823529411764705E-2</v>
      </c>
      <c r="F175">
        <v>0.25</v>
      </c>
      <c r="G175">
        <v>0</v>
      </c>
      <c r="H175">
        <v>4.3478260869565216E-2</v>
      </c>
      <c r="I175">
        <f t="shared" si="17"/>
        <v>0.22222222222222221</v>
      </c>
      <c r="J175">
        <f t="shared" si="18"/>
        <v>0.26666666666666666</v>
      </c>
      <c r="K175">
        <f t="shared" si="19"/>
        <v>0.2857142857142857</v>
      </c>
      <c r="L175">
        <f t="shared" si="20"/>
        <v>8.1632653061224483E-2</v>
      </c>
      <c r="M175">
        <f t="shared" si="21"/>
        <v>5.8823529411764705E-2</v>
      </c>
      <c r="N175">
        <f t="shared" si="22"/>
        <v>0.25</v>
      </c>
      <c r="O175">
        <f t="shared" si="23"/>
        <v>0</v>
      </c>
      <c r="P175">
        <f t="shared" si="24"/>
        <v>4.3478260869565216E-2</v>
      </c>
    </row>
    <row r="176" spans="1:16" x14ac:dyDescent="0.4">
      <c r="A176">
        <v>0.11428571428571428</v>
      </c>
      <c r="B176">
        <v>0.5714285714285714</v>
      </c>
      <c r="C176" s="24">
        <v>0.15384615384615385</v>
      </c>
      <c r="D176">
        <v>0</v>
      </c>
      <c r="E176">
        <v>3.0303030303030304E-2</v>
      </c>
      <c r="F176">
        <v>0.4</v>
      </c>
      <c r="G176">
        <v>0</v>
      </c>
      <c r="H176">
        <v>0.2857142857142857</v>
      </c>
      <c r="I176">
        <f t="shared" si="17"/>
        <v>0.11428571428571428</v>
      </c>
      <c r="J176">
        <f t="shared" si="18"/>
        <v>0.5714285714285714</v>
      </c>
      <c r="K176">
        <f t="shared" si="19"/>
        <v>0.15384615384615385</v>
      </c>
      <c r="L176">
        <f t="shared" si="20"/>
        <v>0</v>
      </c>
      <c r="M176">
        <f t="shared" si="21"/>
        <v>3.0303030303030304E-2</v>
      </c>
      <c r="N176">
        <f t="shared" si="22"/>
        <v>0.4</v>
      </c>
      <c r="O176">
        <f t="shared" si="23"/>
        <v>0</v>
      </c>
      <c r="P176">
        <f t="shared" si="24"/>
        <v>0.2857142857142857</v>
      </c>
    </row>
    <row r="177" spans="1:16" x14ac:dyDescent="0.4">
      <c r="A177">
        <v>0.2857142857142857</v>
      </c>
      <c r="B177">
        <v>0.21052631578947367</v>
      </c>
      <c r="C177" s="23">
        <v>0.25</v>
      </c>
      <c r="D177">
        <v>0.22222222222222221</v>
      </c>
      <c r="E177">
        <v>0</v>
      </c>
      <c r="F177">
        <v>7.1428571428571425E-2</v>
      </c>
      <c r="G177">
        <v>0.2</v>
      </c>
      <c r="H177">
        <v>0</v>
      </c>
      <c r="I177">
        <f t="shared" si="17"/>
        <v>0.2857142857142857</v>
      </c>
      <c r="J177">
        <f t="shared" si="18"/>
        <v>0.21052631578947367</v>
      </c>
      <c r="K177">
        <f t="shared" si="19"/>
        <v>0.25</v>
      </c>
      <c r="L177">
        <f t="shared" si="20"/>
        <v>0.22222222222222221</v>
      </c>
      <c r="M177">
        <f t="shared" si="21"/>
        <v>0</v>
      </c>
      <c r="N177">
        <f t="shared" si="22"/>
        <v>7.1428571428571425E-2</v>
      </c>
      <c r="O177">
        <f t="shared" si="23"/>
        <v>0.2</v>
      </c>
      <c r="P177">
        <f t="shared" si="24"/>
        <v>0</v>
      </c>
    </row>
    <row r="178" spans="1:16" x14ac:dyDescent="0.4">
      <c r="A178">
        <v>0</v>
      </c>
      <c r="B178">
        <v>0.23529411764705882</v>
      </c>
      <c r="C178" s="24">
        <v>0.22222222222222221</v>
      </c>
      <c r="D178">
        <v>8.3333333333333329E-2</v>
      </c>
      <c r="E178">
        <v>0.25</v>
      </c>
      <c r="F178">
        <v>0.5</v>
      </c>
      <c r="G178">
        <v>0</v>
      </c>
      <c r="H178">
        <v>4.0816326530612242E-2</v>
      </c>
      <c r="I178">
        <f t="shared" si="17"/>
        <v>0</v>
      </c>
      <c r="J178">
        <f t="shared" si="18"/>
        <v>0.23529411764705882</v>
      </c>
      <c r="K178">
        <f t="shared" si="19"/>
        <v>0.22222222222222221</v>
      </c>
      <c r="L178">
        <f t="shared" si="20"/>
        <v>8.3333333333333329E-2</v>
      </c>
      <c r="M178">
        <f t="shared" si="21"/>
        <v>0.25</v>
      </c>
      <c r="N178">
        <f t="shared" si="22"/>
        <v>0.5</v>
      </c>
      <c r="O178">
        <f t="shared" si="23"/>
        <v>0</v>
      </c>
      <c r="P178">
        <f t="shared" si="24"/>
        <v>4.0816326530612242E-2</v>
      </c>
    </row>
    <row r="179" spans="1:16" x14ac:dyDescent="0.4">
      <c r="A179">
        <v>0.14285714285714285</v>
      </c>
      <c r="B179">
        <v>0.1</v>
      </c>
      <c r="C179" s="23">
        <v>0.13793103448275862</v>
      </c>
      <c r="D179">
        <v>6.6666666666666666E-2</v>
      </c>
      <c r="E179">
        <v>0</v>
      </c>
      <c r="F179">
        <v>0.1111111111111111</v>
      </c>
      <c r="G179">
        <v>0.22222222222222221</v>
      </c>
      <c r="H179">
        <v>3.2786885245901641E-2</v>
      </c>
      <c r="I179">
        <f t="shared" si="17"/>
        <v>0.14285714285714285</v>
      </c>
      <c r="J179">
        <f t="shared" si="18"/>
        <v>0.1</v>
      </c>
      <c r="K179">
        <f t="shared" si="19"/>
        <v>0.13793103448275862</v>
      </c>
      <c r="L179">
        <f t="shared" si="20"/>
        <v>6.6666666666666666E-2</v>
      </c>
      <c r="M179">
        <f t="shared" si="21"/>
        <v>0</v>
      </c>
      <c r="N179">
        <f t="shared" si="22"/>
        <v>0.1111111111111111</v>
      </c>
      <c r="O179">
        <f t="shared" si="23"/>
        <v>0.22222222222222221</v>
      </c>
      <c r="P179">
        <f t="shared" si="24"/>
        <v>3.2786885245901641E-2</v>
      </c>
    </row>
    <row r="180" spans="1:16" x14ac:dyDescent="0.4">
      <c r="A180">
        <v>0.4</v>
      </c>
      <c r="B180">
        <v>0.12121212121212122</v>
      </c>
      <c r="C180" s="24">
        <v>0</v>
      </c>
      <c r="D180">
        <v>0.5</v>
      </c>
      <c r="E180">
        <v>0</v>
      </c>
      <c r="F180">
        <v>0.5714285714285714</v>
      </c>
      <c r="G180">
        <v>0.10344827586206896</v>
      </c>
      <c r="H180">
        <v>0.4</v>
      </c>
      <c r="I180">
        <f t="shared" si="17"/>
        <v>0.4</v>
      </c>
      <c r="J180">
        <f t="shared" si="18"/>
        <v>0.12121212121212122</v>
      </c>
      <c r="K180">
        <f t="shared" si="19"/>
        <v>0</v>
      </c>
      <c r="L180">
        <f t="shared" si="20"/>
        <v>0.5</v>
      </c>
      <c r="M180">
        <f t="shared" si="21"/>
        <v>0</v>
      </c>
      <c r="N180">
        <f t="shared" si="22"/>
        <v>0.5714285714285714</v>
      </c>
      <c r="O180">
        <f t="shared" si="23"/>
        <v>0.10344827586206896</v>
      </c>
      <c r="P180">
        <f t="shared" si="24"/>
        <v>0.4</v>
      </c>
    </row>
    <row r="181" spans="1:16" x14ac:dyDescent="0.4">
      <c r="A181">
        <v>3.3333333333333333E-2</v>
      </c>
      <c r="B181">
        <v>0.26666666666666666</v>
      </c>
      <c r="C181" s="23">
        <v>0.44444444444444442</v>
      </c>
      <c r="D181">
        <v>0.44444444444444442</v>
      </c>
      <c r="E181">
        <v>0.15384615384615385</v>
      </c>
      <c r="F181">
        <v>0.6</v>
      </c>
      <c r="G181">
        <v>0.16666666666666666</v>
      </c>
      <c r="H181">
        <v>0</v>
      </c>
      <c r="I181">
        <f t="shared" si="17"/>
        <v>3.3333333333333333E-2</v>
      </c>
      <c r="J181">
        <f t="shared" si="18"/>
        <v>0.26666666666666666</v>
      </c>
      <c r="K181">
        <f t="shared" si="19"/>
        <v>0.44444444444444442</v>
      </c>
      <c r="L181">
        <f t="shared" si="20"/>
        <v>0.44444444444444442</v>
      </c>
      <c r="M181">
        <f t="shared" si="21"/>
        <v>0.15384615384615385</v>
      </c>
      <c r="N181">
        <f t="shared" si="22"/>
        <v>0.6</v>
      </c>
      <c r="O181">
        <f t="shared" si="23"/>
        <v>0.16666666666666666</v>
      </c>
      <c r="P181">
        <f t="shared" si="24"/>
        <v>0</v>
      </c>
    </row>
    <row r="182" spans="1:16" x14ac:dyDescent="0.4">
      <c r="A182">
        <v>0.16</v>
      </c>
      <c r="B182">
        <v>0.44444444444444442</v>
      </c>
      <c r="C182" s="24">
        <v>0.125</v>
      </c>
      <c r="D182">
        <v>0.26666666666666666</v>
      </c>
      <c r="E182">
        <v>0.15</v>
      </c>
      <c r="F182">
        <v>6.4516129032258063E-2</v>
      </c>
      <c r="G182">
        <v>0</v>
      </c>
      <c r="H182">
        <v>0.15384615384615385</v>
      </c>
      <c r="I182">
        <f t="shared" si="17"/>
        <v>0.16</v>
      </c>
      <c r="J182">
        <f t="shared" si="18"/>
        <v>0.44444444444444442</v>
      </c>
      <c r="K182">
        <f t="shared" si="19"/>
        <v>0.125</v>
      </c>
      <c r="L182">
        <f t="shared" si="20"/>
        <v>0.26666666666666666</v>
      </c>
      <c r="M182">
        <f t="shared" si="21"/>
        <v>0.15</v>
      </c>
      <c r="N182">
        <f t="shared" si="22"/>
        <v>6.4516129032258063E-2</v>
      </c>
      <c r="O182">
        <f t="shared" si="23"/>
        <v>0</v>
      </c>
      <c r="P182">
        <f t="shared" si="24"/>
        <v>0.15384615384615385</v>
      </c>
    </row>
    <row r="183" spans="1:16" x14ac:dyDescent="0.4">
      <c r="A183">
        <v>0.25</v>
      </c>
      <c r="B183">
        <v>0.44444444444444442</v>
      </c>
      <c r="C183" s="23">
        <v>0.4</v>
      </c>
      <c r="D183">
        <v>0.15384615384615385</v>
      </c>
      <c r="E183">
        <v>0</v>
      </c>
      <c r="F183">
        <v>0.25</v>
      </c>
      <c r="G183">
        <v>0.125</v>
      </c>
      <c r="H183">
        <v>0.2857142857142857</v>
      </c>
      <c r="I183">
        <f t="shared" si="17"/>
        <v>0.25</v>
      </c>
      <c r="J183">
        <f t="shared" si="18"/>
        <v>0.44444444444444442</v>
      </c>
      <c r="K183">
        <f t="shared" si="19"/>
        <v>0.4</v>
      </c>
      <c r="L183">
        <f t="shared" si="20"/>
        <v>0.15384615384615385</v>
      </c>
      <c r="M183">
        <f t="shared" si="21"/>
        <v>0</v>
      </c>
      <c r="N183">
        <f t="shared" si="22"/>
        <v>0.25</v>
      </c>
      <c r="O183">
        <f t="shared" si="23"/>
        <v>0.125</v>
      </c>
      <c r="P183">
        <f t="shared" si="24"/>
        <v>0.2857142857142857</v>
      </c>
    </row>
    <row r="184" spans="1:16" x14ac:dyDescent="0.4">
      <c r="A184">
        <v>0.44444444444444442</v>
      </c>
      <c r="B184">
        <v>0.2</v>
      </c>
      <c r="C184" s="24">
        <v>0.1</v>
      </c>
      <c r="D184">
        <v>0.23529411764705882</v>
      </c>
      <c r="E184">
        <v>0</v>
      </c>
      <c r="F184">
        <v>0</v>
      </c>
      <c r="G184">
        <v>0.11764705882352941</v>
      </c>
      <c r="H184">
        <v>7.1428571428571425E-2</v>
      </c>
      <c r="I184">
        <f t="shared" si="17"/>
        <v>0.44444444444444442</v>
      </c>
      <c r="J184">
        <f t="shared" si="18"/>
        <v>0.2</v>
      </c>
      <c r="K184">
        <f t="shared" si="19"/>
        <v>0.1</v>
      </c>
      <c r="L184">
        <f t="shared" si="20"/>
        <v>0.23529411764705882</v>
      </c>
      <c r="M184">
        <f t="shared" si="21"/>
        <v>0</v>
      </c>
      <c r="N184">
        <f t="shared" si="22"/>
        <v>0</v>
      </c>
      <c r="O184">
        <f t="shared" si="23"/>
        <v>0.11764705882352941</v>
      </c>
      <c r="P184">
        <f t="shared" si="24"/>
        <v>7.1428571428571425E-2</v>
      </c>
    </row>
    <row r="185" spans="1:16" x14ac:dyDescent="0.4">
      <c r="A185">
        <v>0.16</v>
      </c>
      <c r="B185">
        <v>0.30769230769230771</v>
      </c>
      <c r="C185" s="23">
        <v>0.26666666666666666</v>
      </c>
      <c r="D185">
        <v>5.8823529411764705E-2</v>
      </c>
      <c r="E185">
        <v>0</v>
      </c>
      <c r="F185">
        <v>6.6666666666666666E-2</v>
      </c>
      <c r="G185">
        <v>0.18181818181818182</v>
      </c>
      <c r="H185">
        <v>2.8985507246376812E-2</v>
      </c>
      <c r="I185">
        <f t="shared" si="17"/>
        <v>0.16</v>
      </c>
      <c r="J185">
        <f t="shared" si="18"/>
        <v>0.30769230769230771</v>
      </c>
      <c r="K185">
        <f t="shared" si="19"/>
        <v>0.26666666666666666</v>
      </c>
      <c r="L185">
        <f t="shared" si="20"/>
        <v>5.8823529411764705E-2</v>
      </c>
      <c r="M185">
        <f t="shared" si="21"/>
        <v>0</v>
      </c>
      <c r="N185">
        <f t="shared" si="22"/>
        <v>6.6666666666666666E-2</v>
      </c>
      <c r="O185">
        <f t="shared" si="23"/>
        <v>0.18181818181818182</v>
      </c>
      <c r="P185">
        <f t="shared" si="24"/>
        <v>2.8985507246376812E-2</v>
      </c>
    </row>
    <row r="186" spans="1:16" x14ac:dyDescent="0.4">
      <c r="A186">
        <v>0.1</v>
      </c>
      <c r="B186">
        <v>0</v>
      </c>
      <c r="C186" s="24">
        <v>0.25</v>
      </c>
      <c r="D186">
        <v>0.21052631578947367</v>
      </c>
      <c r="E186">
        <v>8.1081081081081086E-2</v>
      </c>
      <c r="F186">
        <v>0.23076923076923078</v>
      </c>
      <c r="G186">
        <v>0.44444444444444442</v>
      </c>
      <c r="H186">
        <v>0.17647058823529413</v>
      </c>
      <c r="I186">
        <f t="shared" si="17"/>
        <v>0.1</v>
      </c>
      <c r="J186">
        <f t="shared" si="18"/>
        <v>0</v>
      </c>
      <c r="K186">
        <f t="shared" si="19"/>
        <v>0.25</v>
      </c>
      <c r="L186">
        <f t="shared" si="20"/>
        <v>0.21052631578947367</v>
      </c>
      <c r="M186">
        <f t="shared" si="21"/>
        <v>8.1081081081081086E-2</v>
      </c>
      <c r="N186">
        <f t="shared" si="22"/>
        <v>0.23076923076923078</v>
      </c>
      <c r="O186">
        <f t="shared" si="23"/>
        <v>0.44444444444444442</v>
      </c>
      <c r="P186">
        <f t="shared" si="24"/>
        <v>0.17647058823529413</v>
      </c>
    </row>
    <row r="187" spans="1:16" x14ac:dyDescent="0.4">
      <c r="A187">
        <v>0.12903225806451613</v>
      </c>
      <c r="B187">
        <v>0.30769230769230771</v>
      </c>
      <c r="C187" s="23">
        <v>0.44444444444444442</v>
      </c>
      <c r="D187">
        <v>5.0632911392405063E-2</v>
      </c>
      <c r="E187">
        <v>0.11538461538461539</v>
      </c>
      <c r="F187">
        <v>0.125</v>
      </c>
      <c r="G187">
        <v>0</v>
      </c>
      <c r="H187">
        <v>1.1235955056179775E-2</v>
      </c>
      <c r="I187">
        <f t="shared" si="17"/>
        <v>0.12903225806451613</v>
      </c>
      <c r="J187">
        <f t="shared" si="18"/>
        <v>0.30769230769230771</v>
      </c>
      <c r="K187">
        <f t="shared" si="19"/>
        <v>0.44444444444444442</v>
      </c>
      <c r="L187">
        <f t="shared" si="20"/>
        <v>5.0632911392405063E-2</v>
      </c>
      <c r="M187">
        <f t="shared" si="21"/>
        <v>0.11538461538461539</v>
      </c>
      <c r="N187">
        <f t="shared" si="22"/>
        <v>0.125</v>
      </c>
      <c r="O187">
        <f t="shared" si="23"/>
        <v>0</v>
      </c>
      <c r="P187">
        <f t="shared" si="24"/>
        <v>1.1235955056179775E-2</v>
      </c>
    </row>
    <row r="188" spans="1:16" x14ac:dyDescent="0.4">
      <c r="A188">
        <v>0.23529411764705882</v>
      </c>
      <c r="B188">
        <v>0.36363636363636365</v>
      </c>
      <c r="C188" s="24">
        <v>0.4</v>
      </c>
      <c r="D188">
        <v>2.7777777777777776E-2</v>
      </c>
      <c r="E188">
        <v>0.21428571428571427</v>
      </c>
      <c r="F188">
        <v>0.1111111111111111</v>
      </c>
      <c r="G188">
        <v>0.1111111111111111</v>
      </c>
      <c r="H188">
        <v>8.5106382978723402E-2</v>
      </c>
      <c r="I188">
        <f t="shared" si="17"/>
        <v>0.23529411764705882</v>
      </c>
      <c r="J188">
        <f t="shared" si="18"/>
        <v>0.36363636363636365</v>
      </c>
      <c r="K188">
        <f t="shared" si="19"/>
        <v>0.4</v>
      </c>
      <c r="L188">
        <f t="shared" si="20"/>
        <v>2.7777777777777776E-2</v>
      </c>
      <c r="M188">
        <f t="shared" si="21"/>
        <v>0.21428571428571427</v>
      </c>
      <c r="N188">
        <f t="shared" si="22"/>
        <v>0.1111111111111111</v>
      </c>
      <c r="O188">
        <f t="shared" si="23"/>
        <v>0.1111111111111111</v>
      </c>
      <c r="P188">
        <f t="shared" si="24"/>
        <v>8.5106382978723402E-2</v>
      </c>
    </row>
    <row r="189" spans="1:16" x14ac:dyDescent="0.4">
      <c r="A189">
        <v>0.5</v>
      </c>
      <c r="B189">
        <v>0.36363636363636365</v>
      </c>
      <c r="C189" s="23">
        <v>0.30769230769230771</v>
      </c>
      <c r="D189">
        <v>0</v>
      </c>
      <c r="E189">
        <v>0.125</v>
      </c>
      <c r="F189">
        <v>0</v>
      </c>
      <c r="G189">
        <v>0.27272727272727271</v>
      </c>
      <c r="H189">
        <v>0.36363636363636365</v>
      </c>
      <c r="I189">
        <f t="shared" si="17"/>
        <v>0.5</v>
      </c>
      <c r="J189">
        <f t="shared" si="18"/>
        <v>0.36363636363636365</v>
      </c>
      <c r="K189">
        <f t="shared" si="19"/>
        <v>0.30769230769230771</v>
      </c>
      <c r="L189">
        <f t="shared" si="20"/>
        <v>0</v>
      </c>
      <c r="M189">
        <f t="shared" si="21"/>
        <v>0.125</v>
      </c>
      <c r="N189">
        <f t="shared" si="22"/>
        <v>0</v>
      </c>
      <c r="O189">
        <f t="shared" si="23"/>
        <v>0.27272727272727271</v>
      </c>
      <c r="P189">
        <f t="shared" si="24"/>
        <v>0.36363636363636365</v>
      </c>
    </row>
    <row r="190" spans="1:16" x14ac:dyDescent="0.4">
      <c r="A190">
        <v>0.30769230769230771</v>
      </c>
      <c r="B190">
        <v>0.13333333333333333</v>
      </c>
      <c r="C190" s="24">
        <v>0.36363636363636365</v>
      </c>
      <c r="D190">
        <v>0.4</v>
      </c>
      <c r="E190">
        <v>0</v>
      </c>
      <c r="F190">
        <v>9.0909090909090912E-2</v>
      </c>
      <c r="G190">
        <v>0.12</v>
      </c>
      <c r="H190">
        <v>0.125</v>
      </c>
      <c r="I190">
        <f t="shared" si="17"/>
        <v>0.30769230769230771</v>
      </c>
      <c r="J190">
        <f t="shared" si="18"/>
        <v>0.13333333333333333</v>
      </c>
      <c r="K190">
        <f t="shared" si="19"/>
        <v>0.36363636363636365</v>
      </c>
      <c r="L190">
        <f t="shared" si="20"/>
        <v>0.4</v>
      </c>
      <c r="M190">
        <f t="shared" si="21"/>
        <v>0</v>
      </c>
      <c r="N190">
        <f t="shared" si="22"/>
        <v>9.0909090909090912E-2</v>
      </c>
      <c r="O190">
        <f t="shared" si="23"/>
        <v>0.12</v>
      </c>
      <c r="P190">
        <f t="shared" si="24"/>
        <v>0.125</v>
      </c>
    </row>
    <row r="191" spans="1:16" x14ac:dyDescent="0.4">
      <c r="A191">
        <v>0.5</v>
      </c>
      <c r="B191">
        <v>0.13636363636363635</v>
      </c>
      <c r="C191" s="23">
        <v>0</v>
      </c>
      <c r="D191">
        <v>0.5714285714285714</v>
      </c>
      <c r="E191">
        <v>0</v>
      </c>
      <c r="F191">
        <v>0.5714285714285714</v>
      </c>
      <c r="G191">
        <v>0.22222222222222221</v>
      </c>
      <c r="H191">
        <v>0</v>
      </c>
      <c r="I191">
        <f t="shared" si="17"/>
        <v>0.5</v>
      </c>
      <c r="J191">
        <f t="shared" si="18"/>
        <v>0.13636363636363635</v>
      </c>
      <c r="K191">
        <f t="shared" si="19"/>
        <v>0</v>
      </c>
      <c r="L191">
        <f t="shared" si="20"/>
        <v>0.5714285714285714</v>
      </c>
      <c r="M191">
        <f t="shared" si="21"/>
        <v>0</v>
      </c>
      <c r="N191">
        <f t="shared" si="22"/>
        <v>0.5714285714285714</v>
      </c>
      <c r="O191">
        <f t="shared" si="23"/>
        <v>0.22222222222222221</v>
      </c>
      <c r="P191">
        <f t="shared" si="24"/>
        <v>0</v>
      </c>
    </row>
    <row r="192" spans="1:16" x14ac:dyDescent="0.4">
      <c r="A192">
        <v>0.36363636363636365</v>
      </c>
      <c r="B192">
        <v>0.4</v>
      </c>
      <c r="C192" s="24">
        <v>0.15789473684210525</v>
      </c>
      <c r="D192">
        <v>0.2857142857142857</v>
      </c>
      <c r="E192">
        <v>0</v>
      </c>
      <c r="F192">
        <v>0.26666666666666666</v>
      </c>
      <c r="G192">
        <v>0.125</v>
      </c>
      <c r="H192">
        <v>0.2857142857142857</v>
      </c>
      <c r="I192">
        <f t="shared" si="17"/>
        <v>0.36363636363636365</v>
      </c>
      <c r="J192">
        <f t="shared" si="18"/>
        <v>0.4</v>
      </c>
      <c r="K192">
        <f t="shared" si="19"/>
        <v>0.15789473684210525</v>
      </c>
      <c r="L192">
        <f t="shared" si="20"/>
        <v>0.2857142857142857</v>
      </c>
      <c r="M192">
        <f t="shared" si="21"/>
        <v>0</v>
      </c>
      <c r="N192">
        <f t="shared" si="22"/>
        <v>0.26666666666666666</v>
      </c>
      <c r="O192">
        <f t="shared" si="23"/>
        <v>0.125</v>
      </c>
      <c r="P192">
        <f t="shared" si="24"/>
        <v>0.2857142857142857</v>
      </c>
    </row>
    <row r="193" spans="1:16" x14ac:dyDescent="0.4">
      <c r="A193">
        <v>0.44444444444444442</v>
      </c>
      <c r="B193">
        <v>0.05</v>
      </c>
      <c r="C193" s="23">
        <v>0.33333333333333331</v>
      </c>
      <c r="D193">
        <v>7.8431372549019607E-2</v>
      </c>
      <c r="E193">
        <v>0</v>
      </c>
      <c r="F193">
        <v>0.375</v>
      </c>
      <c r="G193">
        <v>0.23529411764705882</v>
      </c>
      <c r="H193">
        <v>1.9607843137254902E-2</v>
      </c>
      <c r="I193">
        <f t="shared" si="17"/>
        <v>0.44444444444444442</v>
      </c>
      <c r="J193">
        <f t="shared" si="18"/>
        <v>0.05</v>
      </c>
      <c r="K193">
        <f t="shared" si="19"/>
        <v>0.33333333333333331</v>
      </c>
      <c r="L193">
        <f t="shared" si="20"/>
        <v>7.8431372549019607E-2</v>
      </c>
      <c r="M193">
        <f t="shared" si="21"/>
        <v>0</v>
      </c>
      <c r="N193">
        <f t="shared" si="22"/>
        <v>0.375</v>
      </c>
      <c r="O193">
        <f t="shared" si="23"/>
        <v>0.23529411764705882</v>
      </c>
      <c r="P193">
        <f t="shared" si="24"/>
        <v>1.9607843137254902E-2</v>
      </c>
    </row>
    <row r="194" spans="1:16" x14ac:dyDescent="0.4">
      <c r="A194">
        <v>0.30769230769230771</v>
      </c>
      <c r="B194">
        <v>0.44444444444444442</v>
      </c>
      <c r="C194" s="24">
        <v>0.4</v>
      </c>
      <c r="D194">
        <v>0.4</v>
      </c>
      <c r="E194">
        <v>8.3333333333333329E-2</v>
      </c>
      <c r="F194">
        <v>0.375</v>
      </c>
      <c r="G194">
        <v>0.33333333333333331</v>
      </c>
      <c r="H194">
        <v>0</v>
      </c>
      <c r="I194">
        <f t="shared" si="17"/>
        <v>0.30769230769230771</v>
      </c>
      <c r="J194">
        <f t="shared" si="18"/>
        <v>0.44444444444444442</v>
      </c>
      <c r="K194">
        <f t="shared" si="19"/>
        <v>0.4</v>
      </c>
      <c r="L194">
        <f t="shared" si="20"/>
        <v>0.4</v>
      </c>
      <c r="M194">
        <f t="shared" si="21"/>
        <v>8.3333333333333329E-2</v>
      </c>
      <c r="N194">
        <f t="shared" si="22"/>
        <v>0.375</v>
      </c>
      <c r="O194">
        <f t="shared" si="23"/>
        <v>0.33333333333333331</v>
      </c>
      <c r="P194">
        <f t="shared" si="24"/>
        <v>0</v>
      </c>
    </row>
    <row r="195" spans="1:16" x14ac:dyDescent="0.4">
      <c r="A195">
        <v>0.22222222222222221</v>
      </c>
      <c r="B195">
        <v>0.30769230769230771</v>
      </c>
      <c r="C195" s="23">
        <v>0.36363636363636365</v>
      </c>
      <c r="D195">
        <v>0.30769230769230771</v>
      </c>
      <c r="E195">
        <v>0.125</v>
      </c>
      <c r="F195">
        <v>0.22222222222222221</v>
      </c>
      <c r="G195">
        <v>0.33333333333333331</v>
      </c>
      <c r="H195">
        <v>0</v>
      </c>
      <c r="I195">
        <f t="shared" si="17"/>
        <v>0.22222222222222221</v>
      </c>
      <c r="J195">
        <f t="shared" si="18"/>
        <v>0.30769230769230771</v>
      </c>
      <c r="K195">
        <f t="shared" si="19"/>
        <v>0.36363636363636365</v>
      </c>
      <c r="L195">
        <f t="shared" si="20"/>
        <v>0.30769230769230771</v>
      </c>
      <c r="M195">
        <f t="shared" si="21"/>
        <v>0.125</v>
      </c>
      <c r="N195">
        <f t="shared" si="22"/>
        <v>0.22222222222222221</v>
      </c>
      <c r="O195">
        <f t="shared" si="23"/>
        <v>0.33333333333333331</v>
      </c>
      <c r="P195">
        <f t="shared" si="24"/>
        <v>0</v>
      </c>
    </row>
    <row r="196" spans="1:16" x14ac:dyDescent="0.4">
      <c r="A196">
        <v>0.18181818181818182</v>
      </c>
      <c r="B196">
        <v>0.25</v>
      </c>
      <c r="C196" s="24">
        <v>0.1</v>
      </c>
      <c r="D196">
        <v>0.26666666666666666</v>
      </c>
      <c r="E196">
        <v>0</v>
      </c>
      <c r="F196">
        <v>0.21052631578947367</v>
      </c>
      <c r="G196">
        <v>0</v>
      </c>
      <c r="H196">
        <v>0.25</v>
      </c>
      <c r="I196">
        <f t="shared" si="17"/>
        <v>0.18181818181818182</v>
      </c>
      <c r="J196">
        <f t="shared" si="18"/>
        <v>0.25</v>
      </c>
      <c r="K196">
        <f t="shared" si="19"/>
        <v>0.1</v>
      </c>
      <c r="L196">
        <f t="shared" si="20"/>
        <v>0.26666666666666666</v>
      </c>
      <c r="M196">
        <f t="shared" si="21"/>
        <v>0</v>
      </c>
      <c r="N196">
        <f t="shared" si="22"/>
        <v>0.21052631578947367</v>
      </c>
      <c r="O196">
        <f t="shared" si="23"/>
        <v>0</v>
      </c>
      <c r="P196">
        <f t="shared" si="24"/>
        <v>0.25</v>
      </c>
    </row>
    <row r="197" spans="1:16" x14ac:dyDescent="0.4">
      <c r="A197">
        <v>3.125E-2</v>
      </c>
      <c r="B197">
        <v>0.2</v>
      </c>
      <c r="C197" s="23">
        <v>0.1875</v>
      </c>
      <c r="D197">
        <v>0.22222222222222221</v>
      </c>
      <c r="E197">
        <v>0.13793103448275862</v>
      </c>
      <c r="F197">
        <v>0.30769230769230771</v>
      </c>
      <c r="G197">
        <v>0.17647058823529413</v>
      </c>
      <c r="H197">
        <v>4.7619047619047616E-2</v>
      </c>
      <c r="I197">
        <f t="shared" si="17"/>
        <v>3.125E-2</v>
      </c>
      <c r="J197">
        <f t="shared" si="18"/>
        <v>0.2</v>
      </c>
      <c r="K197">
        <f t="shared" si="19"/>
        <v>0.1875</v>
      </c>
      <c r="L197">
        <f t="shared" si="20"/>
        <v>0.22222222222222221</v>
      </c>
      <c r="M197">
        <f t="shared" si="21"/>
        <v>0.13793103448275862</v>
      </c>
      <c r="N197">
        <f t="shared" si="22"/>
        <v>0.30769230769230771</v>
      </c>
      <c r="O197">
        <f t="shared" si="23"/>
        <v>0.17647058823529413</v>
      </c>
      <c r="P197">
        <f t="shared" si="24"/>
        <v>4.7619047619047616E-2</v>
      </c>
    </row>
    <row r="198" spans="1:16" x14ac:dyDescent="0.4">
      <c r="A198">
        <v>0.13333333333333333</v>
      </c>
      <c r="B198">
        <v>0.30769230769230771</v>
      </c>
      <c r="C198" s="24">
        <v>0.33333333333333331</v>
      </c>
      <c r="D198">
        <v>0.23529411764705882</v>
      </c>
      <c r="E198">
        <v>3.125E-2</v>
      </c>
      <c r="F198">
        <v>0.2</v>
      </c>
      <c r="G198">
        <v>8.3333333333333329E-2</v>
      </c>
      <c r="H198">
        <v>0.21428571428571427</v>
      </c>
      <c r="I198">
        <f t="shared" si="17"/>
        <v>0.13333333333333333</v>
      </c>
      <c r="J198">
        <f t="shared" si="18"/>
        <v>0.30769230769230771</v>
      </c>
      <c r="K198">
        <f t="shared" si="19"/>
        <v>0.33333333333333331</v>
      </c>
      <c r="L198">
        <f t="shared" si="20"/>
        <v>0.23529411764705882</v>
      </c>
      <c r="M198">
        <f t="shared" si="21"/>
        <v>3.125E-2</v>
      </c>
      <c r="N198">
        <f t="shared" si="22"/>
        <v>0.2</v>
      </c>
      <c r="O198">
        <f t="shared" si="23"/>
        <v>8.3333333333333329E-2</v>
      </c>
      <c r="P198">
        <f t="shared" si="24"/>
        <v>0.21428571428571427</v>
      </c>
    </row>
    <row r="199" spans="1:16" x14ac:dyDescent="0.4">
      <c r="A199">
        <v>0.30769230769230771</v>
      </c>
      <c r="B199">
        <v>0.1</v>
      </c>
      <c r="C199" s="23">
        <v>0</v>
      </c>
      <c r="D199">
        <v>0.5714285714285714</v>
      </c>
      <c r="E199">
        <v>8.3333333333333329E-2</v>
      </c>
      <c r="F199">
        <v>0.5</v>
      </c>
      <c r="G199">
        <v>0.15384615384615385</v>
      </c>
      <c r="H199">
        <v>0.75</v>
      </c>
      <c r="I199">
        <f t="shared" si="17"/>
        <v>0.30769230769230771</v>
      </c>
      <c r="J199">
        <f t="shared" si="18"/>
        <v>0.1</v>
      </c>
      <c r="K199">
        <f t="shared" si="19"/>
        <v>0</v>
      </c>
      <c r="L199">
        <f t="shared" si="20"/>
        <v>0.5714285714285714</v>
      </c>
      <c r="M199">
        <f t="shared" si="21"/>
        <v>8.3333333333333329E-2</v>
      </c>
      <c r="N199">
        <f t="shared" si="22"/>
        <v>0.5</v>
      </c>
      <c r="O199">
        <f t="shared" si="23"/>
        <v>0.15384615384615385</v>
      </c>
      <c r="P199">
        <f t="shared" si="24"/>
        <v>0.75</v>
      </c>
    </row>
    <row r="200" spans="1:16" x14ac:dyDescent="0.4">
      <c r="A200">
        <v>3.4482758620689655E-2</v>
      </c>
      <c r="B200">
        <v>0.36363636363636365</v>
      </c>
      <c r="C200" s="24">
        <v>0.2857142857142857</v>
      </c>
      <c r="D200">
        <v>0.66666666666666663</v>
      </c>
      <c r="E200">
        <v>0.16</v>
      </c>
      <c r="F200">
        <v>0.3</v>
      </c>
      <c r="G200">
        <v>0.1111111111111111</v>
      </c>
      <c r="H200">
        <v>0.5</v>
      </c>
      <c r="I200">
        <f t="shared" ref="I200:I263" si="25">IF(A200&gt;1, 1, A200)</f>
        <v>3.4482758620689655E-2</v>
      </c>
      <c r="J200">
        <f t="shared" ref="J200:J263" si="26">IF(B200&gt;1, 1, B200)</f>
        <v>0.36363636363636365</v>
      </c>
      <c r="K200">
        <f t="shared" ref="K200:K263" si="27">IF(C200&gt;1, 1, C200)</f>
        <v>0.2857142857142857</v>
      </c>
      <c r="L200">
        <f t="shared" ref="L200:L263" si="28">IF(D200&gt;1, 1, D200)</f>
        <v>0.66666666666666663</v>
      </c>
      <c r="M200">
        <f t="shared" ref="M200:M263" si="29">IF(E200&gt;1, 1, E200)</f>
        <v>0.16</v>
      </c>
      <c r="N200">
        <f t="shared" ref="N200:N263" si="30">IF(F200&gt;1, 1, F200)</f>
        <v>0.3</v>
      </c>
      <c r="O200">
        <f t="shared" ref="O200:O263" si="31">IF(G200&gt;1, 1, G200)</f>
        <v>0.1111111111111111</v>
      </c>
      <c r="P200">
        <f t="shared" ref="P200:P263" si="32">IF(H200&gt;1, 1, H200)</f>
        <v>0.5</v>
      </c>
    </row>
    <row r="201" spans="1:16" x14ac:dyDescent="0.4">
      <c r="A201">
        <v>0.36363636363636365</v>
      </c>
      <c r="B201">
        <v>0</v>
      </c>
      <c r="C201" s="23">
        <v>0.4</v>
      </c>
      <c r="D201">
        <v>0.4</v>
      </c>
      <c r="E201">
        <v>0</v>
      </c>
      <c r="F201">
        <v>0</v>
      </c>
      <c r="G201">
        <v>0.15384615384615385</v>
      </c>
      <c r="H201">
        <v>0.1111111111111111</v>
      </c>
      <c r="I201">
        <f t="shared" si="25"/>
        <v>0.36363636363636365</v>
      </c>
      <c r="J201">
        <f t="shared" si="26"/>
        <v>0</v>
      </c>
      <c r="K201">
        <f t="shared" si="27"/>
        <v>0.4</v>
      </c>
      <c r="L201">
        <f t="shared" si="28"/>
        <v>0.4</v>
      </c>
      <c r="M201">
        <f t="shared" si="29"/>
        <v>0</v>
      </c>
      <c r="N201">
        <f t="shared" si="30"/>
        <v>0</v>
      </c>
      <c r="O201">
        <f t="shared" si="31"/>
        <v>0.15384615384615385</v>
      </c>
      <c r="P201">
        <f t="shared" si="32"/>
        <v>0.1111111111111111</v>
      </c>
    </row>
    <row r="202" spans="1:16" x14ac:dyDescent="0.4">
      <c r="A202">
        <v>0.36363636363636365</v>
      </c>
      <c r="B202">
        <v>3.4482758620689655E-2</v>
      </c>
      <c r="C202" s="24">
        <v>5.7971014492753624E-2</v>
      </c>
      <c r="D202">
        <v>0.22222222222222221</v>
      </c>
      <c r="E202">
        <v>0.1111111111111111</v>
      </c>
      <c r="F202">
        <v>1.4705882352941176E-2</v>
      </c>
      <c r="G202">
        <v>0.14285714285714285</v>
      </c>
      <c r="H202">
        <v>0.21428571428571427</v>
      </c>
      <c r="I202">
        <f t="shared" si="25"/>
        <v>0.36363636363636365</v>
      </c>
      <c r="J202">
        <f t="shared" si="26"/>
        <v>3.4482758620689655E-2</v>
      </c>
      <c r="K202">
        <f t="shared" si="27"/>
        <v>5.7971014492753624E-2</v>
      </c>
      <c r="L202">
        <f t="shared" si="28"/>
        <v>0.22222222222222221</v>
      </c>
      <c r="M202">
        <f t="shared" si="29"/>
        <v>0.1111111111111111</v>
      </c>
      <c r="N202">
        <f t="shared" si="30"/>
        <v>1.4705882352941176E-2</v>
      </c>
      <c r="O202">
        <f t="shared" si="31"/>
        <v>0.14285714285714285</v>
      </c>
      <c r="P202">
        <f t="shared" si="32"/>
        <v>0.21428571428571427</v>
      </c>
    </row>
    <row r="203" spans="1:16" x14ac:dyDescent="0.4">
      <c r="A203">
        <v>0.25</v>
      </c>
      <c r="B203">
        <v>0.33333333333333331</v>
      </c>
      <c r="C203" s="23">
        <v>0.36363636363636365</v>
      </c>
      <c r="D203">
        <v>0.33333333333333331</v>
      </c>
      <c r="E203">
        <v>0.125</v>
      </c>
      <c r="F203">
        <v>0.1</v>
      </c>
      <c r="G203">
        <v>0</v>
      </c>
      <c r="H203">
        <v>0.2</v>
      </c>
      <c r="I203">
        <f t="shared" si="25"/>
        <v>0.25</v>
      </c>
      <c r="J203">
        <f t="shared" si="26"/>
        <v>0.33333333333333331</v>
      </c>
      <c r="K203">
        <f t="shared" si="27"/>
        <v>0.36363636363636365</v>
      </c>
      <c r="L203">
        <f t="shared" si="28"/>
        <v>0.33333333333333331</v>
      </c>
      <c r="M203">
        <f t="shared" si="29"/>
        <v>0.125</v>
      </c>
      <c r="N203">
        <f t="shared" si="30"/>
        <v>0.1</v>
      </c>
      <c r="O203">
        <f t="shared" si="31"/>
        <v>0</v>
      </c>
      <c r="P203">
        <f t="shared" si="32"/>
        <v>0.2</v>
      </c>
    </row>
    <row r="204" spans="1:16" x14ac:dyDescent="0.4">
      <c r="A204">
        <v>0.5</v>
      </c>
      <c r="B204">
        <v>0.10714285714285714</v>
      </c>
      <c r="C204" s="24">
        <v>0.10810810810810811</v>
      </c>
      <c r="D204">
        <v>0.5</v>
      </c>
      <c r="E204">
        <v>0.14285714285714285</v>
      </c>
      <c r="F204">
        <v>2.7777777777777776E-2</v>
      </c>
      <c r="G204">
        <v>0.11764705882352941</v>
      </c>
      <c r="H204">
        <v>0.4</v>
      </c>
      <c r="I204">
        <f t="shared" si="25"/>
        <v>0.5</v>
      </c>
      <c r="J204">
        <f t="shared" si="26"/>
        <v>0.10714285714285714</v>
      </c>
      <c r="K204">
        <f t="shared" si="27"/>
        <v>0.10810810810810811</v>
      </c>
      <c r="L204">
        <f t="shared" si="28"/>
        <v>0.5</v>
      </c>
      <c r="M204">
        <f t="shared" si="29"/>
        <v>0.14285714285714285</v>
      </c>
      <c r="N204">
        <f t="shared" si="30"/>
        <v>2.7777777777777776E-2</v>
      </c>
      <c r="O204">
        <f t="shared" si="31"/>
        <v>0.11764705882352941</v>
      </c>
      <c r="P204">
        <f t="shared" si="32"/>
        <v>0.4</v>
      </c>
    </row>
    <row r="205" spans="1:16" x14ac:dyDescent="0.4">
      <c r="A205">
        <v>5.8823529411764705E-2</v>
      </c>
      <c r="B205">
        <v>0.16</v>
      </c>
      <c r="C205" s="23">
        <v>0.30769230769230771</v>
      </c>
      <c r="D205">
        <v>0.5</v>
      </c>
      <c r="E205">
        <v>0.30769230769230771</v>
      </c>
      <c r="F205">
        <v>0.3</v>
      </c>
      <c r="G205">
        <v>9.5238095238095233E-2</v>
      </c>
      <c r="H205">
        <v>0</v>
      </c>
      <c r="I205">
        <f t="shared" si="25"/>
        <v>5.8823529411764705E-2</v>
      </c>
      <c r="J205">
        <f t="shared" si="26"/>
        <v>0.16</v>
      </c>
      <c r="K205">
        <f t="shared" si="27"/>
        <v>0.30769230769230771</v>
      </c>
      <c r="L205">
        <f t="shared" si="28"/>
        <v>0.5</v>
      </c>
      <c r="M205">
        <f t="shared" si="29"/>
        <v>0.30769230769230771</v>
      </c>
      <c r="N205">
        <f t="shared" si="30"/>
        <v>0.3</v>
      </c>
      <c r="O205">
        <f t="shared" si="31"/>
        <v>9.5238095238095233E-2</v>
      </c>
      <c r="P205">
        <f t="shared" si="32"/>
        <v>0</v>
      </c>
    </row>
    <row r="206" spans="1:16" x14ac:dyDescent="0.4">
      <c r="A206">
        <v>0.23529411764705882</v>
      </c>
      <c r="B206">
        <v>0.36363636363636365</v>
      </c>
      <c r="C206" s="24">
        <v>0.2</v>
      </c>
      <c r="D206">
        <v>8.8888888888888892E-2</v>
      </c>
      <c r="E206">
        <v>6.6666666666666666E-2</v>
      </c>
      <c r="F206">
        <v>0.66666666666666663</v>
      </c>
      <c r="G206">
        <v>0.1</v>
      </c>
      <c r="H206">
        <v>0</v>
      </c>
      <c r="I206">
        <f t="shared" si="25"/>
        <v>0.23529411764705882</v>
      </c>
      <c r="J206">
        <f t="shared" si="26"/>
        <v>0.36363636363636365</v>
      </c>
      <c r="K206">
        <f t="shared" si="27"/>
        <v>0.2</v>
      </c>
      <c r="L206">
        <f t="shared" si="28"/>
        <v>8.8888888888888892E-2</v>
      </c>
      <c r="M206">
        <f t="shared" si="29"/>
        <v>6.6666666666666666E-2</v>
      </c>
      <c r="N206">
        <f t="shared" si="30"/>
        <v>0.66666666666666663</v>
      </c>
      <c r="O206">
        <f t="shared" si="31"/>
        <v>0.1</v>
      </c>
      <c r="P206">
        <f t="shared" si="32"/>
        <v>0</v>
      </c>
    </row>
    <row r="207" spans="1:16" x14ac:dyDescent="0.4">
      <c r="A207">
        <v>0</v>
      </c>
      <c r="B207">
        <v>8.3333333333333329E-2</v>
      </c>
      <c r="C207" s="23">
        <v>0.25</v>
      </c>
      <c r="D207">
        <v>0.3</v>
      </c>
      <c r="E207">
        <v>0.16</v>
      </c>
      <c r="F207">
        <v>0.5</v>
      </c>
      <c r="G207">
        <v>0.44444444444444442</v>
      </c>
      <c r="H207">
        <v>0.25</v>
      </c>
      <c r="I207">
        <f t="shared" si="25"/>
        <v>0</v>
      </c>
      <c r="J207">
        <f t="shared" si="26"/>
        <v>8.3333333333333329E-2</v>
      </c>
      <c r="K207">
        <f t="shared" si="27"/>
        <v>0.25</v>
      </c>
      <c r="L207">
        <f t="shared" si="28"/>
        <v>0.3</v>
      </c>
      <c r="M207">
        <f t="shared" si="29"/>
        <v>0.16</v>
      </c>
      <c r="N207">
        <f t="shared" si="30"/>
        <v>0.5</v>
      </c>
      <c r="O207">
        <f t="shared" si="31"/>
        <v>0.44444444444444442</v>
      </c>
      <c r="P207">
        <f t="shared" si="32"/>
        <v>0.25</v>
      </c>
    </row>
    <row r="208" spans="1:16" x14ac:dyDescent="0.4">
      <c r="A208">
        <v>0.23529411764705882</v>
      </c>
      <c r="B208">
        <v>0.5714285714285714</v>
      </c>
      <c r="C208" s="24">
        <v>8.6206896551724137E-3</v>
      </c>
      <c r="D208">
        <v>0</v>
      </c>
      <c r="E208">
        <v>0</v>
      </c>
      <c r="F208">
        <v>1.7699115044247787E-2</v>
      </c>
      <c r="G208">
        <v>0</v>
      </c>
      <c r="H208">
        <v>0.8</v>
      </c>
      <c r="I208">
        <f t="shared" si="25"/>
        <v>0.23529411764705882</v>
      </c>
      <c r="J208">
        <f t="shared" si="26"/>
        <v>0.5714285714285714</v>
      </c>
      <c r="K208">
        <f t="shared" si="27"/>
        <v>8.6206896551724137E-3</v>
      </c>
      <c r="L208">
        <f t="shared" si="28"/>
        <v>0</v>
      </c>
      <c r="M208">
        <f t="shared" si="29"/>
        <v>0</v>
      </c>
      <c r="N208">
        <f t="shared" si="30"/>
        <v>1.7699115044247787E-2</v>
      </c>
      <c r="O208">
        <f t="shared" si="31"/>
        <v>0</v>
      </c>
      <c r="P208">
        <f t="shared" si="32"/>
        <v>0.8</v>
      </c>
    </row>
    <row r="209" spans="1:16" x14ac:dyDescent="0.4">
      <c r="A209">
        <v>0.33333333333333331</v>
      </c>
      <c r="B209">
        <v>0.13793103448275862</v>
      </c>
      <c r="C209" s="23">
        <v>0.21052631578947367</v>
      </c>
      <c r="D209">
        <v>6.1538461538461542E-2</v>
      </c>
      <c r="E209">
        <v>0</v>
      </c>
      <c r="F209">
        <v>0.17647058823529413</v>
      </c>
      <c r="G209">
        <v>0</v>
      </c>
      <c r="H209">
        <v>0</v>
      </c>
      <c r="I209">
        <f t="shared" si="25"/>
        <v>0.33333333333333331</v>
      </c>
      <c r="J209">
        <f t="shared" si="26"/>
        <v>0.13793103448275862</v>
      </c>
      <c r="K209">
        <f t="shared" si="27"/>
        <v>0.21052631578947367</v>
      </c>
      <c r="L209">
        <f t="shared" si="28"/>
        <v>6.1538461538461542E-2</v>
      </c>
      <c r="M209">
        <f t="shared" si="29"/>
        <v>0</v>
      </c>
      <c r="N209">
        <f t="shared" si="30"/>
        <v>0.17647058823529413</v>
      </c>
      <c r="O209">
        <f t="shared" si="31"/>
        <v>0</v>
      </c>
      <c r="P209">
        <f t="shared" si="32"/>
        <v>0</v>
      </c>
    </row>
    <row r="210" spans="1:16" x14ac:dyDescent="0.4">
      <c r="A210">
        <v>0.11764705882352941</v>
      </c>
      <c r="B210">
        <v>0.17391304347826086</v>
      </c>
      <c r="C210" s="24">
        <v>0.30769230769230771</v>
      </c>
      <c r="D210">
        <v>0</v>
      </c>
      <c r="E210">
        <v>3.125E-2</v>
      </c>
      <c r="F210">
        <v>0.2</v>
      </c>
      <c r="G210">
        <v>0</v>
      </c>
      <c r="H210">
        <v>0.21052631578947367</v>
      </c>
      <c r="I210">
        <f t="shared" si="25"/>
        <v>0.11764705882352941</v>
      </c>
      <c r="J210">
        <f t="shared" si="26"/>
        <v>0.17391304347826086</v>
      </c>
      <c r="K210">
        <f t="shared" si="27"/>
        <v>0.30769230769230771</v>
      </c>
      <c r="L210">
        <f t="shared" si="28"/>
        <v>0</v>
      </c>
      <c r="M210">
        <f t="shared" si="29"/>
        <v>3.125E-2</v>
      </c>
      <c r="N210">
        <f t="shared" si="30"/>
        <v>0.2</v>
      </c>
      <c r="O210">
        <f t="shared" si="31"/>
        <v>0</v>
      </c>
      <c r="P210">
        <f t="shared" si="32"/>
        <v>0.21052631578947367</v>
      </c>
    </row>
    <row r="211" spans="1:16" x14ac:dyDescent="0.4">
      <c r="A211">
        <v>0.26666666666666666</v>
      </c>
      <c r="B211">
        <v>0.10810810810810811</v>
      </c>
      <c r="C211" s="23">
        <v>0.21428571428571427</v>
      </c>
      <c r="D211">
        <v>0.15384615384615385</v>
      </c>
      <c r="E211">
        <v>0.15384615384615385</v>
      </c>
      <c r="F211">
        <v>0.4</v>
      </c>
      <c r="G211">
        <v>9.375E-2</v>
      </c>
      <c r="H211">
        <v>0.44444444444444442</v>
      </c>
      <c r="I211">
        <f t="shared" si="25"/>
        <v>0.26666666666666666</v>
      </c>
      <c r="J211">
        <f t="shared" si="26"/>
        <v>0.10810810810810811</v>
      </c>
      <c r="K211">
        <f t="shared" si="27"/>
        <v>0.21428571428571427</v>
      </c>
      <c r="L211">
        <f t="shared" si="28"/>
        <v>0.15384615384615385</v>
      </c>
      <c r="M211">
        <f t="shared" si="29"/>
        <v>0.15384615384615385</v>
      </c>
      <c r="N211">
        <f t="shared" si="30"/>
        <v>0.4</v>
      </c>
      <c r="O211">
        <f t="shared" si="31"/>
        <v>9.375E-2</v>
      </c>
      <c r="P211">
        <f t="shared" si="32"/>
        <v>0.44444444444444442</v>
      </c>
    </row>
    <row r="212" spans="1:16" x14ac:dyDescent="0.4">
      <c r="A212">
        <v>0.18181818181818182</v>
      </c>
      <c r="B212">
        <v>0</v>
      </c>
      <c r="C212" s="24">
        <v>6.4516129032258063E-2</v>
      </c>
      <c r="D212">
        <v>0.25</v>
      </c>
      <c r="E212">
        <v>0.16666666666666666</v>
      </c>
      <c r="F212">
        <v>3.3333333333333333E-2</v>
      </c>
      <c r="G212">
        <v>0.30769230769230771</v>
      </c>
      <c r="H212">
        <v>0.15384615384615385</v>
      </c>
      <c r="I212">
        <f t="shared" si="25"/>
        <v>0.18181818181818182</v>
      </c>
      <c r="J212">
        <f t="shared" si="26"/>
        <v>0</v>
      </c>
      <c r="K212">
        <f t="shared" si="27"/>
        <v>6.4516129032258063E-2</v>
      </c>
      <c r="L212">
        <f t="shared" si="28"/>
        <v>0.25</v>
      </c>
      <c r="M212">
        <f t="shared" si="29"/>
        <v>0.16666666666666666</v>
      </c>
      <c r="N212">
        <f t="shared" si="30"/>
        <v>3.3333333333333333E-2</v>
      </c>
      <c r="O212">
        <f t="shared" si="31"/>
        <v>0.30769230769230771</v>
      </c>
      <c r="P212">
        <f t="shared" si="32"/>
        <v>0.15384615384615385</v>
      </c>
    </row>
    <row r="213" spans="1:16" x14ac:dyDescent="0.4">
      <c r="A213">
        <v>0.36363636363636365</v>
      </c>
      <c r="B213">
        <v>0.2857142857142857</v>
      </c>
      <c r="C213" s="23">
        <v>0.25</v>
      </c>
      <c r="D213">
        <v>0.36363636363636365</v>
      </c>
      <c r="E213">
        <v>0.33333333333333331</v>
      </c>
      <c r="F213">
        <v>7.1428571428571425E-2</v>
      </c>
      <c r="G213">
        <v>0</v>
      </c>
      <c r="H213">
        <v>0.2</v>
      </c>
      <c r="I213">
        <f t="shared" si="25"/>
        <v>0.36363636363636365</v>
      </c>
      <c r="J213">
        <f t="shared" si="26"/>
        <v>0.2857142857142857</v>
      </c>
      <c r="K213">
        <f t="shared" si="27"/>
        <v>0.25</v>
      </c>
      <c r="L213">
        <f t="shared" si="28"/>
        <v>0.36363636363636365</v>
      </c>
      <c r="M213">
        <f t="shared" si="29"/>
        <v>0.33333333333333331</v>
      </c>
      <c r="N213">
        <f t="shared" si="30"/>
        <v>7.1428571428571425E-2</v>
      </c>
      <c r="O213">
        <f t="shared" si="31"/>
        <v>0</v>
      </c>
      <c r="P213">
        <f t="shared" si="32"/>
        <v>0.2</v>
      </c>
    </row>
    <row r="214" spans="1:16" x14ac:dyDescent="0.4">
      <c r="A214">
        <v>0</v>
      </c>
      <c r="B214">
        <v>0.22222222222222221</v>
      </c>
      <c r="C214" s="24">
        <v>0.18181818181818182</v>
      </c>
      <c r="D214">
        <v>0.23529411764705882</v>
      </c>
      <c r="E214">
        <v>0.18181818181818182</v>
      </c>
      <c r="F214">
        <v>4.7619047619047616E-2</v>
      </c>
      <c r="G214">
        <v>7.6923076923076927E-2</v>
      </c>
      <c r="H214">
        <v>8.6956521739130432E-2</v>
      </c>
      <c r="I214">
        <f t="shared" si="25"/>
        <v>0</v>
      </c>
      <c r="J214">
        <f t="shared" si="26"/>
        <v>0.22222222222222221</v>
      </c>
      <c r="K214">
        <f t="shared" si="27"/>
        <v>0.18181818181818182</v>
      </c>
      <c r="L214">
        <f t="shared" si="28"/>
        <v>0.23529411764705882</v>
      </c>
      <c r="M214">
        <f t="shared" si="29"/>
        <v>0.18181818181818182</v>
      </c>
      <c r="N214">
        <f t="shared" si="30"/>
        <v>4.7619047619047616E-2</v>
      </c>
      <c r="O214">
        <f t="shared" si="31"/>
        <v>7.6923076923076927E-2</v>
      </c>
      <c r="P214">
        <f t="shared" si="32"/>
        <v>8.6956521739130432E-2</v>
      </c>
    </row>
    <row r="215" spans="1:16" x14ac:dyDescent="0.4">
      <c r="A215">
        <v>0.19047619047619047</v>
      </c>
      <c r="B215">
        <v>0.2</v>
      </c>
      <c r="C215" s="23">
        <v>0.10526315789473684</v>
      </c>
      <c r="D215">
        <v>0.36363636363636365</v>
      </c>
      <c r="E215">
        <v>0.11764705882352941</v>
      </c>
      <c r="F215">
        <v>5.5555555555555552E-2</v>
      </c>
      <c r="G215">
        <v>0</v>
      </c>
      <c r="H215">
        <v>0.18181818181818182</v>
      </c>
      <c r="I215">
        <f t="shared" si="25"/>
        <v>0.19047619047619047</v>
      </c>
      <c r="J215">
        <f t="shared" si="26"/>
        <v>0.2</v>
      </c>
      <c r="K215">
        <f t="shared" si="27"/>
        <v>0.10526315789473684</v>
      </c>
      <c r="L215">
        <f t="shared" si="28"/>
        <v>0.36363636363636365</v>
      </c>
      <c r="M215">
        <f t="shared" si="29"/>
        <v>0.11764705882352941</v>
      </c>
      <c r="N215">
        <f t="shared" si="30"/>
        <v>5.5555555555555552E-2</v>
      </c>
      <c r="O215">
        <f t="shared" si="31"/>
        <v>0</v>
      </c>
      <c r="P215">
        <f t="shared" si="32"/>
        <v>0.18181818181818182</v>
      </c>
    </row>
    <row r="216" spans="1:16" x14ac:dyDescent="0.4">
      <c r="A216">
        <v>0.15789473684210525</v>
      </c>
      <c r="B216">
        <v>0.18181818181818182</v>
      </c>
      <c r="C216" s="24">
        <v>6.4516129032258063E-2</v>
      </c>
      <c r="D216">
        <v>2.2988505747126436E-2</v>
      </c>
      <c r="E216">
        <v>0.25</v>
      </c>
      <c r="F216">
        <v>0</v>
      </c>
      <c r="G216">
        <v>4.7619047619047616E-2</v>
      </c>
      <c r="H216">
        <v>1.7699115044247787E-2</v>
      </c>
      <c r="I216">
        <f t="shared" si="25"/>
        <v>0.15789473684210525</v>
      </c>
      <c r="J216">
        <f t="shared" si="26"/>
        <v>0.18181818181818182</v>
      </c>
      <c r="K216">
        <f t="shared" si="27"/>
        <v>6.4516129032258063E-2</v>
      </c>
      <c r="L216">
        <f t="shared" si="28"/>
        <v>2.2988505747126436E-2</v>
      </c>
      <c r="M216">
        <f t="shared" si="29"/>
        <v>0.25</v>
      </c>
      <c r="N216">
        <f t="shared" si="30"/>
        <v>0</v>
      </c>
      <c r="O216">
        <f t="shared" si="31"/>
        <v>4.7619047619047616E-2</v>
      </c>
      <c r="P216">
        <f t="shared" si="32"/>
        <v>1.7699115044247787E-2</v>
      </c>
    </row>
    <row r="217" spans="1:16" x14ac:dyDescent="0.4">
      <c r="A217">
        <v>0</v>
      </c>
      <c r="B217">
        <v>0.16666666666666666</v>
      </c>
      <c r="C217" s="23">
        <v>3.5714285714285712E-2</v>
      </c>
      <c r="D217">
        <v>0.30769230769230771</v>
      </c>
      <c r="E217">
        <v>0.33333333333333331</v>
      </c>
      <c r="F217">
        <v>0</v>
      </c>
      <c r="G217">
        <v>7.6923076923076927E-2</v>
      </c>
      <c r="H217">
        <v>0</v>
      </c>
      <c r="I217">
        <f t="shared" si="25"/>
        <v>0</v>
      </c>
      <c r="J217">
        <f t="shared" si="26"/>
        <v>0.16666666666666666</v>
      </c>
      <c r="K217">
        <f t="shared" si="27"/>
        <v>3.5714285714285712E-2</v>
      </c>
      <c r="L217">
        <f t="shared" si="28"/>
        <v>0.30769230769230771</v>
      </c>
      <c r="M217">
        <f t="shared" si="29"/>
        <v>0.33333333333333331</v>
      </c>
      <c r="N217">
        <f t="shared" si="30"/>
        <v>0</v>
      </c>
      <c r="O217">
        <f t="shared" si="31"/>
        <v>7.6923076923076927E-2</v>
      </c>
      <c r="P217">
        <f t="shared" si="32"/>
        <v>0</v>
      </c>
    </row>
    <row r="218" spans="1:16" x14ac:dyDescent="0.4">
      <c r="A218">
        <v>0.30769230769230771</v>
      </c>
      <c r="B218">
        <v>0</v>
      </c>
      <c r="C218" s="24">
        <v>0.44444444444444442</v>
      </c>
      <c r="D218">
        <v>0.4</v>
      </c>
      <c r="E218">
        <v>0.2</v>
      </c>
      <c r="F218">
        <v>0.33333333333333331</v>
      </c>
      <c r="G218">
        <v>0.36363636363636365</v>
      </c>
      <c r="H218">
        <v>9.0909090909090912E-2</v>
      </c>
      <c r="I218">
        <f t="shared" si="25"/>
        <v>0.30769230769230771</v>
      </c>
      <c r="J218">
        <f t="shared" si="26"/>
        <v>0</v>
      </c>
      <c r="K218">
        <f t="shared" si="27"/>
        <v>0.44444444444444442</v>
      </c>
      <c r="L218">
        <f t="shared" si="28"/>
        <v>0.4</v>
      </c>
      <c r="M218">
        <f t="shared" si="29"/>
        <v>0.2</v>
      </c>
      <c r="N218">
        <f t="shared" si="30"/>
        <v>0.33333333333333331</v>
      </c>
      <c r="O218">
        <f t="shared" si="31"/>
        <v>0.36363636363636365</v>
      </c>
      <c r="P218">
        <f t="shared" si="32"/>
        <v>9.0909090909090912E-2</v>
      </c>
    </row>
    <row r="219" spans="1:16" x14ac:dyDescent="0.4">
      <c r="A219">
        <v>0.2857142857142857</v>
      </c>
      <c r="B219">
        <v>0.2857142857142857</v>
      </c>
      <c r="C219" s="23">
        <v>0.16</v>
      </c>
      <c r="D219">
        <v>0</v>
      </c>
      <c r="E219">
        <v>8.3333333333333329E-2</v>
      </c>
      <c r="F219">
        <v>0.14285714285714285</v>
      </c>
      <c r="G219">
        <v>0</v>
      </c>
      <c r="H219">
        <v>0.8</v>
      </c>
      <c r="I219">
        <f t="shared" si="25"/>
        <v>0.2857142857142857</v>
      </c>
      <c r="J219">
        <f t="shared" si="26"/>
        <v>0.2857142857142857</v>
      </c>
      <c r="K219">
        <f t="shared" si="27"/>
        <v>0.16</v>
      </c>
      <c r="L219">
        <f t="shared" si="28"/>
        <v>0</v>
      </c>
      <c r="M219">
        <f t="shared" si="29"/>
        <v>8.3333333333333329E-2</v>
      </c>
      <c r="N219">
        <f t="shared" si="30"/>
        <v>0.14285714285714285</v>
      </c>
      <c r="O219">
        <f t="shared" si="31"/>
        <v>0</v>
      </c>
      <c r="P219">
        <f t="shared" si="32"/>
        <v>0.8</v>
      </c>
    </row>
    <row r="220" spans="1:16" x14ac:dyDescent="0.4">
      <c r="A220">
        <v>0.33333333333333331</v>
      </c>
      <c r="B220">
        <v>0.30769230769230771</v>
      </c>
      <c r="C220" s="24">
        <v>0.66666666666666663</v>
      </c>
      <c r="D220">
        <v>0.5</v>
      </c>
      <c r="E220">
        <v>0</v>
      </c>
      <c r="F220">
        <v>0.4</v>
      </c>
      <c r="G220">
        <v>0.2</v>
      </c>
      <c r="H220">
        <v>0.4</v>
      </c>
      <c r="I220">
        <f t="shared" si="25"/>
        <v>0.33333333333333331</v>
      </c>
      <c r="J220">
        <f t="shared" si="26"/>
        <v>0.30769230769230771</v>
      </c>
      <c r="K220">
        <f t="shared" si="27"/>
        <v>0.66666666666666663</v>
      </c>
      <c r="L220">
        <f t="shared" si="28"/>
        <v>0.5</v>
      </c>
      <c r="M220">
        <f t="shared" si="29"/>
        <v>0</v>
      </c>
      <c r="N220">
        <f t="shared" si="30"/>
        <v>0.4</v>
      </c>
      <c r="O220">
        <f t="shared" si="31"/>
        <v>0.2</v>
      </c>
      <c r="P220">
        <f t="shared" si="32"/>
        <v>0.4</v>
      </c>
    </row>
    <row r="221" spans="1:16" x14ac:dyDescent="0.4">
      <c r="A221">
        <v>0.12903225806451613</v>
      </c>
      <c r="B221">
        <v>0.2</v>
      </c>
      <c r="C221" s="23">
        <v>0.14285714285714285</v>
      </c>
      <c r="D221">
        <v>0.26666666666666666</v>
      </c>
      <c r="E221">
        <v>3.4482758620689655E-2</v>
      </c>
      <c r="F221">
        <v>3.7037037037037035E-2</v>
      </c>
      <c r="G221">
        <v>0</v>
      </c>
      <c r="H221">
        <v>0.27272727272727271</v>
      </c>
      <c r="I221">
        <f t="shared" si="25"/>
        <v>0.12903225806451613</v>
      </c>
      <c r="J221">
        <f t="shared" si="26"/>
        <v>0.2</v>
      </c>
      <c r="K221">
        <f t="shared" si="27"/>
        <v>0.14285714285714285</v>
      </c>
      <c r="L221">
        <f t="shared" si="28"/>
        <v>0.26666666666666666</v>
      </c>
      <c r="M221">
        <f t="shared" si="29"/>
        <v>3.4482758620689655E-2</v>
      </c>
      <c r="N221">
        <f t="shared" si="30"/>
        <v>3.7037037037037035E-2</v>
      </c>
      <c r="O221">
        <f t="shared" si="31"/>
        <v>0</v>
      </c>
      <c r="P221">
        <f t="shared" si="32"/>
        <v>0.27272727272727271</v>
      </c>
    </row>
    <row r="222" spans="1:16" x14ac:dyDescent="0.4">
      <c r="A222">
        <v>0.12903225806451613</v>
      </c>
      <c r="B222">
        <v>0.4</v>
      </c>
      <c r="C222" s="24">
        <v>0.2857142857142857</v>
      </c>
      <c r="D222">
        <v>0.4</v>
      </c>
      <c r="E222">
        <v>0.1111111111111111</v>
      </c>
      <c r="F222">
        <v>0</v>
      </c>
      <c r="G222">
        <v>0</v>
      </c>
      <c r="H222">
        <v>0</v>
      </c>
      <c r="I222">
        <f t="shared" si="25"/>
        <v>0.12903225806451613</v>
      </c>
      <c r="J222">
        <f t="shared" si="26"/>
        <v>0.4</v>
      </c>
      <c r="K222">
        <f t="shared" si="27"/>
        <v>0.2857142857142857</v>
      </c>
      <c r="L222">
        <f t="shared" si="28"/>
        <v>0.4</v>
      </c>
      <c r="M222">
        <f t="shared" si="29"/>
        <v>0.1111111111111111</v>
      </c>
      <c r="N222">
        <f t="shared" si="30"/>
        <v>0</v>
      </c>
      <c r="O222">
        <f t="shared" si="31"/>
        <v>0</v>
      </c>
      <c r="P222">
        <f t="shared" si="32"/>
        <v>0</v>
      </c>
    </row>
    <row r="223" spans="1:16" x14ac:dyDescent="0.4">
      <c r="A223">
        <v>0.13793103448275862</v>
      </c>
      <c r="B223">
        <v>7.6923076923076927E-2</v>
      </c>
      <c r="C223" s="23">
        <v>0.30769230769230771</v>
      </c>
      <c r="D223">
        <v>0.26666666666666666</v>
      </c>
      <c r="E223">
        <v>0</v>
      </c>
      <c r="F223">
        <v>8.3333333333333329E-2</v>
      </c>
      <c r="G223">
        <v>0.25</v>
      </c>
      <c r="H223">
        <v>7.6923076923076927E-2</v>
      </c>
      <c r="I223">
        <f t="shared" si="25"/>
        <v>0.13793103448275862</v>
      </c>
      <c r="J223">
        <f t="shared" si="26"/>
        <v>7.6923076923076927E-2</v>
      </c>
      <c r="K223">
        <f t="shared" si="27"/>
        <v>0.30769230769230771</v>
      </c>
      <c r="L223">
        <f t="shared" si="28"/>
        <v>0.26666666666666666</v>
      </c>
      <c r="M223">
        <f t="shared" si="29"/>
        <v>0</v>
      </c>
      <c r="N223">
        <f t="shared" si="30"/>
        <v>8.3333333333333329E-2</v>
      </c>
      <c r="O223">
        <f t="shared" si="31"/>
        <v>0.25</v>
      </c>
      <c r="P223">
        <f t="shared" si="32"/>
        <v>7.6923076923076927E-2</v>
      </c>
    </row>
    <row r="224" spans="1:16" x14ac:dyDescent="0.4">
      <c r="A224">
        <v>8.3333333333333329E-2</v>
      </c>
      <c r="B224">
        <v>0.33333333333333331</v>
      </c>
      <c r="C224" s="24">
        <v>0.30769230769230771</v>
      </c>
      <c r="D224">
        <v>0.36363636363636365</v>
      </c>
      <c r="E224">
        <v>0.36363636363636365</v>
      </c>
      <c r="F224">
        <v>0.18181818181818182</v>
      </c>
      <c r="G224">
        <v>0.1</v>
      </c>
      <c r="H224">
        <v>0.1</v>
      </c>
      <c r="I224">
        <f t="shared" si="25"/>
        <v>8.3333333333333329E-2</v>
      </c>
      <c r="J224">
        <f t="shared" si="26"/>
        <v>0.33333333333333331</v>
      </c>
      <c r="K224">
        <f t="shared" si="27"/>
        <v>0.30769230769230771</v>
      </c>
      <c r="L224">
        <f t="shared" si="28"/>
        <v>0.36363636363636365</v>
      </c>
      <c r="M224">
        <f t="shared" si="29"/>
        <v>0.36363636363636365</v>
      </c>
      <c r="N224">
        <f t="shared" si="30"/>
        <v>0.18181818181818182</v>
      </c>
      <c r="O224">
        <f t="shared" si="31"/>
        <v>0.1</v>
      </c>
      <c r="P224">
        <f t="shared" si="32"/>
        <v>0.1</v>
      </c>
    </row>
    <row r="225" spans="1:16" x14ac:dyDescent="0.4">
      <c r="A225">
        <v>0.19047619047619047</v>
      </c>
      <c r="B225">
        <v>0.26666666666666666</v>
      </c>
      <c r="C225" s="23">
        <v>0.30769230769230771</v>
      </c>
      <c r="D225">
        <v>0.66666666666666663</v>
      </c>
      <c r="E225">
        <v>0</v>
      </c>
      <c r="F225">
        <v>0.18181818181818182</v>
      </c>
      <c r="G225">
        <v>0</v>
      </c>
      <c r="H225">
        <v>0.2</v>
      </c>
      <c r="I225">
        <f t="shared" si="25"/>
        <v>0.19047619047619047</v>
      </c>
      <c r="J225">
        <f t="shared" si="26"/>
        <v>0.26666666666666666</v>
      </c>
      <c r="K225">
        <f t="shared" si="27"/>
        <v>0.30769230769230771</v>
      </c>
      <c r="L225">
        <f t="shared" si="28"/>
        <v>0.66666666666666663</v>
      </c>
      <c r="M225">
        <f t="shared" si="29"/>
        <v>0</v>
      </c>
      <c r="N225">
        <f t="shared" si="30"/>
        <v>0.18181818181818182</v>
      </c>
      <c r="O225">
        <f t="shared" si="31"/>
        <v>0</v>
      </c>
      <c r="P225">
        <f t="shared" si="32"/>
        <v>0.2</v>
      </c>
    </row>
    <row r="226" spans="1:16" x14ac:dyDescent="0.4">
      <c r="A226">
        <v>0.44444444444444442</v>
      </c>
      <c r="B226">
        <v>0.25</v>
      </c>
      <c r="C226" s="24">
        <v>0.2</v>
      </c>
      <c r="D226">
        <v>5.9701492537313432E-2</v>
      </c>
      <c r="E226">
        <v>0</v>
      </c>
      <c r="F226">
        <v>5.2631578947368418E-2</v>
      </c>
      <c r="G226">
        <v>0.14285714285714285</v>
      </c>
      <c r="H226">
        <v>1.3333333333333334E-2</v>
      </c>
      <c r="I226">
        <f t="shared" si="25"/>
        <v>0.44444444444444442</v>
      </c>
      <c r="J226">
        <f t="shared" si="26"/>
        <v>0.25</v>
      </c>
      <c r="K226">
        <f t="shared" si="27"/>
        <v>0.2</v>
      </c>
      <c r="L226">
        <f t="shared" si="28"/>
        <v>5.9701492537313432E-2</v>
      </c>
      <c r="M226">
        <f t="shared" si="29"/>
        <v>0</v>
      </c>
      <c r="N226">
        <f t="shared" si="30"/>
        <v>5.2631578947368418E-2</v>
      </c>
      <c r="O226">
        <f t="shared" si="31"/>
        <v>0.14285714285714285</v>
      </c>
      <c r="P226">
        <f t="shared" si="32"/>
        <v>1.3333333333333334E-2</v>
      </c>
    </row>
    <row r="227" spans="1:16" x14ac:dyDescent="0.4">
      <c r="A227">
        <v>0.25</v>
      </c>
      <c r="B227">
        <v>0.30769230769230771</v>
      </c>
      <c r="C227" s="23">
        <v>7.6923076923076927E-2</v>
      </c>
      <c r="D227">
        <v>0.23529411764705882</v>
      </c>
      <c r="E227">
        <v>7.1428571428571425E-2</v>
      </c>
      <c r="F227">
        <v>4.0816326530612242E-2</v>
      </c>
      <c r="G227">
        <v>8.3333333333333329E-2</v>
      </c>
      <c r="H227">
        <v>6.6666666666666666E-2</v>
      </c>
      <c r="I227">
        <f t="shared" si="25"/>
        <v>0.25</v>
      </c>
      <c r="J227">
        <f t="shared" si="26"/>
        <v>0.30769230769230771</v>
      </c>
      <c r="K227">
        <f t="shared" si="27"/>
        <v>7.6923076923076927E-2</v>
      </c>
      <c r="L227">
        <f t="shared" si="28"/>
        <v>0.23529411764705882</v>
      </c>
      <c r="M227">
        <f t="shared" si="29"/>
        <v>7.1428571428571425E-2</v>
      </c>
      <c r="N227">
        <f t="shared" si="30"/>
        <v>4.0816326530612242E-2</v>
      </c>
      <c r="O227">
        <f t="shared" si="31"/>
        <v>8.3333333333333329E-2</v>
      </c>
      <c r="P227">
        <f t="shared" si="32"/>
        <v>6.6666666666666666E-2</v>
      </c>
    </row>
    <row r="228" spans="1:16" x14ac:dyDescent="0.4">
      <c r="A228">
        <v>0.15384615384615385</v>
      </c>
      <c r="B228">
        <v>0.22222222222222221</v>
      </c>
      <c r="C228" s="24">
        <v>0.4</v>
      </c>
      <c r="D228">
        <v>0.44444444444444442</v>
      </c>
      <c r="E228">
        <v>0</v>
      </c>
      <c r="F228">
        <v>0.42857142857142855</v>
      </c>
      <c r="G228">
        <v>0</v>
      </c>
      <c r="H228">
        <v>0</v>
      </c>
      <c r="I228">
        <f t="shared" si="25"/>
        <v>0.15384615384615385</v>
      </c>
      <c r="J228">
        <f t="shared" si="26"/>
        <v>0.22222222222222221</v>
      </c>
      <c r="K228">
        <f t="shared" si="27"/>
        <v>0.4</v>
      </c>
      <c r="L228">
        <f t="shared" si="28"/>
        <v>0.44444444444444442</v>
      </c>
      <c r="M228">
        <f t="shared" si="29"/>
        <v>0</v>
      </c>
      <c r="N228">
        <f t="shared" si="30"/>
        <v>0.42857142857142855</v>
      </c>
      <c r="O228">
        <f t="shared" si="31"/>
        <v>0</v>
      </c>
      <c r="P228">
        <f t="shared" si="32"/>
        <v>0</v>
      </c>
    </row>
    <row r="229" spans="1:16" x14ac:dyDescent="0.4">
      <c r="A229">
        <v>0.23529411764705882</v>
      </c>
      <c r="B229">
        <v>0.44444444444444442</v>
      </c>
      <c r="C229" s="23">
        <v>0.33333333333333331</v>
      </c>
      <c r="D229">
        <v>0.05</v>
      </c>
      <c r="E229">
        <v>6.25E-2</v>
      </c>
      <c r="F229">
        <v>0.2</v>
      </c>
      <c r="G229">
        <v>0</v>
      </c>
      <c r="H229">
        <v>0.13333333333333333</v>
      </c>
      <c r="I229">
        <f t="shared" si="25"/>
        <v>0.23529411764705882</v>
      </c>
      <c r="J229">
        <f t="shared" si="26"/>
        <v>0.44444444444444442</v>
      </c>
      <c r="K229">
        <f t="shared" si="27"/>
        <v>0.33333333333333331</v>
      </c>
      <c r="L229">
        <f t="shared" si="28"/>
        <v>0.05</v>
      </c>
      <c r="M229">
        <f t="shared" si="29"/>
        <v>6.25E-2</v>
      </c>
      <c r="N229">
        <f t="shared" si="30"/>
        <v>0.2</v>
      </c>
      <c r="O229">
        <f t="shared" si="31"/>
        <v>0</v>
      </c>
      <c r="P229">
        <f t="shared" si="32"/>
        <v>0.13333333333333333</v>
      </c>
    </row>
    <row r="230" spans="1:16" x14ac:dyDescent="0.4">
      <c r="A230">
        <v>0.44444444444444442</v>
      </c>
      <c r="B230">
        <v>0.25</v>
      </c>
      <c r="C230" s="24">
        <v>0.4</v>
      </c>
      <c r="D230">
        <v>0.33333333333333331</v>
      </c>
      <c r="E230">
        <v>0.6</v>
      </c>
      <c r="F230">
        <v>0.22222222222222221</v>
      </c>
      <c r="G230">
        <v>0</v>
      </c>
      <c r="H230">
        <v>0.27272727272727271</v>
      </c>
      <c r="I230">
        <f t="shared" si="25"/>
        <v>0.44444444444444442</v>
      </c>
      <c r="J230">
        <f t="shared" si="26"/>
        <v>0.25</v>
      </c>
      <c r="K230">
        <f t="shared" si="27"/>
        <v>0.4</v>
      </c>
      <c r="L230">
        <f t="shared" si="28"/>
        <v>0.33333333333333331</v>
      </c>
      <c r="M230">
        <f t="shared" si="29"/>
        <v>0.6</v>
      </c>
      <c r="N230">
        <f t="shared" si="30"/>
        <v>0.22222222222222221</v>
      </c>
      <c r="O230">
        <f t="shared" si="31"/>
        <v>0</v>
      </c>
      <c r="P230">
        <f t="shared" si="32"/>
        <v>0.27272727272727271</v>
      </c>
    </row>
    <row r="231" spans="1:16" x14ac:dyDescent="0.4">
      <c r="A231">
        <v>0.44444444444444442</v>
      </c>
      <c r="B231">
        <v>0</v>
      </c>
      <c r="C231" s="23">
        <v>0.23076923076923078</v>
      </c>
      <c r="D231">
        <v>0</v>
      </c>
      <c r="E231">
        <v>0.125</v>
      </c>
      <c r="F231">
        <v>0.36363636363636365</v>
      </c>
      <c r="G231">
        <v>0.33333333333333331</v>
      </c>
      <c r="H231">
        <v>0.66666666666666663</v>
      </c>
      <c r="I231">
        <f t="shared" si="25"/>
        <v>0.44444444444444442</v>
      </c>
      <c r="J231">
        <f t="shared" si="26"/>
        <v>0</v>
      </c>
      <c r="K231">
        <f t="shared" si="27"/>
        <v>0.23076923076923078</v>
      </c>
      <c r="L231">
        <f t="shared" si="28"/>
        <v>0</v>
      </c>
      <c r="M231">
        <f t="shared" si="29"/>
        <v>0.125</v>
      </c>
      <c r="N231">
        <f t="shared" si="30"/>
        <v>0.36363636363636365</v>
      </c>
      <c r="O231">
        <f t="shared" si="31"/>
        <v>0.33333333333333331</v>
      </c>
      <c r="P231">
        <f t="shared" si="32"/>
        <v>0.66666666666666663</v>
      </c>
    </row>
    <row r="232" spans="1:16" x14ac:dyDescent="0.4">
      <c r="A232">
        <v>0.44444444444444442</v>
      </c>
      <c r="B232">
        <v>0.13333333333333333</v>
      </c>
      <c r="C232" s="24">
        <v>0.125</v>
      </c>
      <c r="D232">
        <v>0.2</v>
      </c>
      <c r="E232">
        <v>0</v>
      </c>
      <c r="F232">
        <v>3.3333333333333333E-2</v>
      </c>
      <c r="G232">
        <v>7.1428571428571425E-2</v>
      </c>
      <c r="H232">
        <v>0.33333333333333331</v>
      </c>
      <c r="I232">
        <f t="shared" si="25"/>
        <v>0.44444444444444442</v>
      </c>
      <c r="J232">
        <f t="shared" si="26"/>
        <v>0.13333333333333333</v>
      </c>
      <c r="K232">
        <f t="shared" si="27"/>
        <v>0.125</v>
      </c>
      <c r="L232">
        <f t="shared" si="28"/>
        <v>0.2</v>
      </c>
      <c r="M232">
        <f t="shared" si="29"/>
        <v>0</v>
      </c>
      <c r="N232">
        <f t="shared" si="30"/>
        <v>3.3333333333333333E-2</v>
      </c>
      <c r="O232">
        <f t="shared" si="31"/>
        <v>7.1428571428571425E-2</v>
      </c>
      <c r="P232">
        <f t="shared" si="32"/>
        <v>0.33333333333333331</v>
      </c>
    </row>
    <row r="233" spans="1:16" x14ac:dyDescent="0.4">
      <c r="A233">
        <v>0.2857142857142857</v>
      </c>
      <c r="B233">
        <v>0</v>
      </c>
      <c r="C233" s="23">
        <v>0.44444444444444442</v>
      </c>
      <c r="D233">
        <v>0.2857142857142857</v>
      </c>
      <c r="E233">
        <v>0</v>
      </c>
      <c r="F233">
        <v>0.125</v>
      </c>
      <c r="G233">
        <v>0.23529411764705882</v>
      </c>
      <c r="H233">
        <v>0</v>
      </c>
      <c r="I233">
        <f t="shared" si="25"/>
        <v>0.2857142857142857</v>
      </c>
      <c r="J233">
        <f t="shared" si="26"/>
        <v>0</v>
      </c>
      <c r="K233">
        <f t="shared" si="27"/>
        <v>0.44444444444444442</v>
      </c>
      <c r="L233">
        <f t="shared" si="28"/>
        <v>0.2857142857142857</v>
      </c>
      <c r="M233">
        <f t="shared" si="29"/>
        <v>0</v>
      </c>
      <c r="N233">
        <f t="shared" si="30"/>
        <v>0.125</v>
      </c>
      <c r="O233">
        <f t="shared" si="31"/>
        <v>0.23529411764705882</v>
      </c>
      <c r="P233">
        <f t="shared" si="32"/>
        <v>0</v>
      </c>
    </row>
    <row r="234" spans="1:16" x14ac:dyDescent="0.4">
      <c r="A234">
        <v>0.44444444444444442</v>
      </c>
      <c r="B234">
        <v>0</v>
      </c>
      <c r="C234" s="24">
        <v>0.1111111111111111</v>
      </c>
      <c r="D234">
        <v>0.5</v>
      </c>
      <c r="E234">
        <v>0</v>
      </c>
      <c r="F234">
        <v>0</v>
      </c>
      <c r="G234">
        <v>0.30769230769230771</v>
      </c>
      <c r="H234">
        <v>0.14285714285714285</v>
      </c>
      <c r="I234">
        <f t="shared" si="25"/>
        <v>0.44444444444444442</v>
      </c>
      <c r="J234">
        <f t="shared" si="26"/>
        <v>0</v>
      </c>
      <c r="K234">
        <f t="shared" si="27"/>
        <v>0.1111111111111111</v>
      </c>
      <c r="L234">
        <f t="shared" si="28"/>
        <v>0.5</v>
      </c>
      <c r="M234">
        <f t="shared" si="29"/>
        <v>0</v>
      </c>
      <c r="N234">
        <f t="shared" si="30"/>
        <v>0</v>
      </c>
      <c r="O234">
        <f t="shared" si="31"/>
        <v>0.30769230769230771</v>
      </c>
      <c r="P234">
        <f t="shared" si="32"/>
        <v>0.14285714285714285</v>
      </c>
    </row>
    <row r="235" spans="1:16" x14ac:dyDescent="0.4">
      <c r="A235">
        <v>0.4</v>
      </c>
      <c r="B235">
        <v>0.44444444444444442</v>
      </c>
      <c r="C235" s="23">
        <v>0.2</v>
      </c>
      <c r="D235">
        <v>4.878048780487805E-2</v>
      </c>
      <c r="E235">
        <v>0.1111111111111111</v>
      </c>
      <c r="F235">
        <v>0.05</v>
      </c>
      <c r="G235">
        <v>0.14285714285714285</v>
      </c>
      <c r="H235">
        <v>2.9411764705882353E-2</v>
      </c>
      <c r="I235">
        <f t="shared" si="25"/>
        <v>0.4</v>
      </c>
      <c r="J235">
        <f t="shared" si="26"/>
        <v>0.44444444444444442</v>
      </c>
      <c r="K235">
        <f t="shared" si="27"/>
        <v>0.2</v>
      </c>
      <c r="L235">
        <f t="shared" si="28"/>
        <v>4.878048780487805E-2</v>
      </c>
      <c r="M235">
        <f t="shared" si="29"/>
        <v>0.1111111111111111</v>
      </c>
      <c r="N235">
        <f t="shared" si="30"/>
        <v>0.05</v>
      </c>
      <c r="O235">
        <f t="shared" si="31"/>
        <v>0.14285714285714285</v>
      </c>
      <c r="P235">
        <f t="shared" si="32"/>
        <v>2.9411764705882353E-2</v>
      </c>
    </row>
    <row r="236" spans="1:16" x14ac:dyDescent="0.4">
      <c r="A236">
        <v>0.12903225806451613</v>
      </c>
      <c r="B236">
        <v>0.2857142857142857</v>
      </c>
      <c r="C236" s="24">
        <v>0.5714285714285714</v>
      </c>
      <c r="D236">
        <v>0.66666666666666663</v>
      </c>
      <c r="E236">
        <v>3.4482758620689655E-2</v>
      </c>
      <c r="F236">
        <v>0.16666666666666666</v>
      </c>
      <c r="G236">
        <v>8.3333333333333329E-2</v>
      </c>
      <c r="H236">
        <v>0</v>
      </c>
      <c r="I236">
        <f t="shared" si="25"/>
        <v>0.12903225806451613</v>
      </c>
      <c r="J236">
        <f t="shared" si="26"/>
        <v>0.2857142857142857</v>
      </c>
      <c r="K236">
        <f t="shared" si="27"/>
        <v>0.5714285714285714</v>
      </c>
      <c r="L236">
        <f t="shared" si="28"/>
        <v>0.66666666666666663</v>
      </c>
      <c r="M236">
        <f t="shared" si="29"/>
        <v>3.4482758620689655E-2</v>
      </c>
      <c r="N236">
        <f t="shared" si="30"/>
        <v>0.16666666666666666</v>
      </c>
      <c r="O236">
        <f t="shared" si="31"/>
        <v>8.3333333333333329E-2</v>
      </c>
      <c r="P236">
        <f t="shared" si="32"/>
        <v>0</v>
      </c>
    </row>
    <row r="237" spans="1:16" x14ac:dyDescent="0.4">
      <c r="A237">
        <v>0.25</v>
      </c>
      <c r="B237">
        <v>0.15384615384615385</v>
      </c>
      <c r="C237" s="23">
        <v>0</v>
      </c>
      <c r="D237">
        <v>0.44444444444444442</v>
      </c>
      <c r="E237">
        <v>6.25E-2</v>
      </c>
      <c r="F237">
        <v>0.16666666666666666</v>
      </c>
      <c r="G237">
        <v>0.13043478260869565</v>
      </c>
      <c r="H237">
        <v>0</v>
      </c>
      <c r="I237">
        <f t="shared" si="25"/>
        <v>0.25</v>
      </c>
      <c r="J237">
        <f t="shared" si="26"/>
        <v>0.15384615384615385</v>
      </c>
      <c r="K237">
        <f t="shared" si="27"/>
        <v>0</v>
      </c>
      <c r="L237">
        <f t="shared" si="28"/>
        <v>0.44444444444444442</v>
      </c>
      <c r="M237">
        <f t="shared" si="29"/>
        <v>6.25E-2</v>
      </c>
      <c r="N237">
        <f t="shared" si="30"/>
        <v>0.16666666666666666</v>
      </c>
      <c r="O237">
        <f t="shared" si="31"/>
        <v>0.13043478260869565</v>
      </c>
      <c r="P237">
        <f t="shared" si="32"/>
        <v>0</v>
      </c>
    </row>
    <row r="238" spans="1:16" x14ac:dyDescent="0.4">
      <c r="A238">
        <v>0.30769230769230771</v>
      </c>
      <c r="B238">
        <v>0.44444444444444442</v>
      </c>
      <c r="C238" s="24">
        <v>0.125</v>
      </c>
      <c r="D238">
        <v>0.4</v>
      </c>
      <c r="E238">
        <v>0.18181818181818182</v>
      </c>
      <c r="F238">
        <v>0.33333333333333331</v>
      </c>
      <c r="G238">
        <v>0</v>
      </c>
      <c r="H238">
        <v>0.125</v>
      </c>
      <c r="I238">
        <f t="shared" si="25"/>
        <v>0.30769230769230771</v>
      </c>
      <c r="J238">
        <f t="shared" si="26"/>
        <v>0.44444444444444442</v>
      </c>
      <c r="K238">
        <f t="shared" si="27"/>
        <v>0.125</v>
      </c>
      <c r="L238">
        <f t="shared" si="28"/>
        <v>0.4</v>
      </c>
      <c r="M238">
        <f t="shared" si="29"/>
        <v>0.18181818181818182</v>
      </c>
      <c r="N238">
        <f t="shared" si="30"/>
        <v>0.33333333333333331</v>
      </c>
      <c r="O238">
        <f t="shared" si="31"/>
        <v>0</v>
      </c>
      <c r="P238">
        <f t="shared" si="32"/>
        <v>0.125</v>
      </c>
    </row>
    <row r="239" spans="1:16" x14ac:dyDescent="0.4">
      <c r="A239">
        <v>0.4</v>
      </c>
      <c r="B239">
        <v>0.33333333333333331</v>
      </c>
      <c r="C239" s="23">
        <v>0.44444444444444442</v>
      </c>
      <c r="D239">
        <v>0.36363636363636365</v>
      </c>
      <c r="E239">
        <v>0.1111111111111111</v>
      </c>
      <c r="F239">
        <v>0.14285714285714285</v>
      </c>
      <c r="G239">
        <v>0</v>
      </c>
      <c r="H239">
        <v>0.23076923076923078</v>
      </c>
      <c r="I239">
        <f t="shared" si="25"/>
        <v>0.4</v>
      </c>
      <c r="J239">
        <f t="shared" si="26"/>
        <v>0.33333333333333331</v>
      </c>
      <c r="K239">
        <f t="shared" si="27"/>
        <v>0.44444444444444442</v>
      </c>
      <c r="L239">
        <f t="shared" si="28"/>
        <v>0.36363636363636365</v>
      </c>
      <c r="M239">
        <f t="shared" si="29"/>
        <v>0.1111111111111111</v>
      </c>
      <c r="N239">
        <f t="shared" si="30"/>
        <v>0.14285714285714285</v>
      </c>
      <c r="O239">
        <f t="shared" si="31"/>
        <v>0</v>
      </c>
      <c r="P239">
        <f t="shared" si="32"/>
        <v>0.23076923076923078</v>
      </c>
    </row>
    <row r="240" spans="1:16" x14ac:dyDescent="0.4">
      <c r="A240">
        <v>0.12121212121212122</v>
      </c>
      <c r="B240">
        <v>0.2857142857142857</v>
      </c>
      <c r="C240" s="24">
        <v>0.36363636363636365</v>
      </c>
      <c r="D240">
        <v>0.2</v>
      </c>
      <c r="E240">
        <v>0</v>
      </c>
      <c r="F240">
        <v>9.0909090909090912E-2</v>
      </c>
      <c r="G240">
        <v>0.16666666666666666</v>
      </c>
      <c r="H240">
        <v>0.33333333333333331</v>
      </c>
      <c r="I240">
        <f t="shared" si="25"/>
        <v>0.12121212121212122</v>
      </c>
      <c r="J240">
        <f t="shared" si="26"/>
        <v>0.2857142857142857</v>
      </c>
      <c r="K240">
        <f t="shared" si="27"/>
        <v>0.36363636363636365</v>
      </c>
      <c r="L240">
        <f t="shared" si="28"/>
        <v>0.2</v>
      </c>
      <c r="M240">
        <f t="shared" si="29"/>
        <v>0</v>
      </c>
      <c r="N240">
        <f t="shared" si="30"/>
        <v>9.0909090909090912E-2</v>
      </c>
      <c r="O240">
        <f t="shared" si="31"/>
        <v>0.16666666666666666</v>
      </c>
      <c r="P240">
        <f t="shared" si="32"/>
        <v>0.33333333333333331</v>
      </c>
    </row>
    <row r="241" spans="1:16" x14ac:dyDescent="0.4">
      <c r="A241">
        <v>0.44444444444444442</v>
      </c>
      <c r="B241">
        <v>0.36363636363636365</v>
      </c>
      <c r="C241" s="23">
        <v>0</v>
      </c>
      <c r="D241">
        <v>0.2</v>
      </c>
      <c r="E241">
        <v>0.125</v>
      </c>
      <c r="F241">
        <v>0.66666666666666663</v>
      </c>
      <c r="G241">
        <v>0.1</v>
      </c>
      <c r="H241">
        <v>0.21052631578947367</v>
      </c>
      <c r="I241">
        <f t="shared" si="25"/>
        <v>0.44444444444444442</v>
      </c>
      <c r="J241">
        <f t="shared" si="26"/>
        <v>0.36363636363636365</v>
      </c>
      <c r="K241">
        <f t="shared" si="27"/>
        <v>0</v>
      </c>
      <c r="L241">
        <f t="shared" si="28"/>
        <v>0.2</v>
      </c>
      <c r="M241">
        <f t="shared" si="29"/>
        <v>0.125</v>
      </c>
      <c r="N241">
        <f t="shared" si="30"/>
        <v>0.66666666666666663</v>
      </c>
      <c r="O241">
        <f t="shared" si="31"/>
        <v>0.1</v>
      </c>
      <c r="P241">
        <f t="shared" si="32"/>
        <v>0.21052631578947367</v>
      </c>
    </row>
    <row r="242" spans="1:16" x14ac:dyDescent="0.4">
      <c r="A242">
        <v>0.44444444444444442</v>
      </c>
      <c r="B242">
        <v>0.5</v>
      </c>
      <c r="C242" s="24">
        <v>0.33333333333333331</v>
      </c>
      <c r="D242">
        <v>7.5471698113207544E-2</v>
      </c>
      <c r="E242">
        <v>0.125</v>
      </c>
      <c r="F242">
        <v>0</v>
      </c>
      <c r="G242">
        <v>0</v>
      </c>
      <c r="H242">
        <v>0</v>
      </c>
      <c r="I242">
        <f t="shared" si="25"/>
        <v>0.44444444444444442</v>
      </c>
      <c r="J242">
        <f t="shared" si="26"/>
        <v>0.5</v>
      </c>
      <c r="K242">
        <f t="shared" si="27"/>
        <v>0.33333333333333331</v>
      </c>
      <c r="L242">
        <f t="shared" si="28"/>
        <v>7.5471698113207544E-2</v>
      </c>
      <c r="M242">
        <f t="shared" si="29"/>
        <v>0.125</v>
      </c>
      <c r="N242">
        <f t="shared" si="30"/>
        <v>0</v>
      </c>
      <c r="O242">
        <f t="shared" si="31"/>
        <v>0</v>
      </c>
      <c r="P242">
        <f t="shared" si="32"/>
        <v>0</v>
      </c>
    </row>
    <row r="243" spans="1:16" x14ac:dyDescent="0.4">
      <c r="A243">
        <v>0.4</v>
      </c>
      <c r="B243">
        <v>0.4</v>
      </c>
      <c r="C243" s="23">
        <v>0.26666666666666666</v>
      </c>
      <c r="D243">
        <v>0.5714285714285714</v>
      </c>
      <c r="E243">
        <v>0</v>
      </c>
      <c r="F243">
        <v>0.16666666666666666</v>
      </c>
      <c r="G243">
        <v>0</v>
      </c>
      <c r="H243">
        <v>0</v>
      </c>
      <c r="I243">
        <f t="shared" si="25"/>
        <v>0.4</v>
      </c>
      <c r="J243">
        <f t="shared" si="26"/>
        <v>0.4</v>
      </c>
      <c r="K243">
        <f t="shared" si="27"/>
        <v>0.26666666666666666</v>
      </c>
      <c r="L243">
        <f t="shared" si="28"/>
        <v>0.5714285714285714</v>
      </c>
      <c r="M243">
        <f t="shared" si="29"/>
        <v>0</v>
      </c>
      <c r="N243">
        <f t="shared" si="30"/>
        <v>0.16666666666666666</v>
      </c>
      <c r="O243">
        <f t="shared" si="31"/>
        <v>0</v>
      </c>
      <c r="P243">
        <f t="shared" si="32"/>
        <v>0</v>
      </c>
    </row>
    <row r="244" spans="1:16" x14ac:dyDescent="0.4">
      <c r="A244">
        <v>0.21052631578947367</v>
      </c>
      <c r="B244">
        <v>0.16</v>
      </c>
      <c r="C244" s="24">
        <v>4.2553191489361701E-2</v>
      </c>
      <c r="D244">
        <v>8.3333333333333329E-2</v>
      </c>
      <c r="E244">
        <v>0.10526315789473684</v>
      </c>
      <c r="F244">
        <v>0</v>
      </c>
      <c r="G244">
        <v>8.6956521739130432E-2</v>
      </c>
      <c r="H244">
        <v>0.5</v>
      </c>
      <c r="I244">
        <f t="shared" si="25"/>
        <v>0.21052631578947367</v>
      </c>
      <c r="J244">
        <f t="shared" si="26"/>
        <v>0.16</v>
      </c>
      <c r="K244">
        <f t="shared" si="27"/>
        <v>4.2553191489361701E-2</v>
      </c>
      <c r="L244">
        <f t="shared" si="28"/>
        <v>8.3333333333333329E-2</v>
      </c>
      <c r="M244">
        <f t="shared" si="29"/>
        <v>0.10526315789473684</v>
      </c>
      <c r="N244">
        <f t="shared" si="30"/>
        <v>0</v>
      </c>
      <c r="O244">
        <f t="shared" si="31"/>
        <v>8.6956521739130432E-2</v>
      </c>
      <c r="P244">
        <f t="shared" si="32"/>
        <v>0.5</v>
      </c>
    </row>
    <row r="245" spans="1:16" x14ac:dyDescent="0.4">
      <c r="A245">
        <v>5.4054054054054057E-2</v>
      </c>
      <c r="B245">
        <v>0.30769230769230771</v>
      </c>
      <c r="C245" s="23">
        <v>0.16666666666666666</v>
      </c>
      <c r="D245">
        <v>0.4</v>
      </c>
      <c r="E245">
        <v>0.11764705882352941</v>
      </c>
      <c r="F245">
        <v>1</v>
      </c>
      <c r="G245">
        <v>0.2</v>
      </c>
      <c r="H245">
        <v>9.0909090909090912E-2</v>
      </c>
      <c r="I245">
        <f t="shared" si="25"/>
        <v>5.4054054054054057E-2</v>
      </c>
      <c r="J245">
        <f t="shared" si="26"/>
        <v>0.30769230769230771</v>
      </c>
      <c r="K245">
        <f t="shared" si="27"/>
        <v>0.16666666666666666</v>
      </c>
      <c r="L245">
        <f t="shared" si="28"/>
        <v>0.4</v>
      </c>
      <c r="M245">
        <f t="shared" si="29"/>
        <v>0.11764705882352941</v>
      </c>
      <c r="N245">
        <f t="shared" si="30"/>
        <v>1</v>
      </c>
      <c r="O245">
        <f t="shared" si="31"/>
        <v>0.2</v>
      </c>
      <c r="P245">
        <f t="shared" si="32"/>
        <v>9.0909090909090912E-2</v>
      </c>
    </row>
    <row r="246" spans="1:16" x14ac:dyDescent="0.4">
      <c r="A246">
        <v>0.14285714285714285</v>
      </c>
      <c r="B246">
        <v>0.30769230769230771</v>
      </c>
      <c r="C246" s="24">
        <v>0.13793103448275862</v>
      </c>
      <c r="D246">
        <v>0.13793103448275862</v>
      </c>
      <c r="E246">
        <v>3.8461538461538464E-2</v>
      </c>
      <c r="F246">
        <v>7.6923076923076927E-2</v>
      </c>
      <c r="G246">
        <v>0</v>
      </c>
      <c r="H246">
        <v>6.8965517241379309E-2</v>
      </c>
      <c r="I246">
        <f t="shared" si="25"/>
        <v>0.14285714285714285</v>
      </c>
      <c r="J246">
        <f t="shared" si="26"/>
        <v>0.30769230769230771</v>
      </c>
      <c r="K246">
        <f t="shared" si="27"/>
        <v>0.13793103448275862</v>
      </c>
      <c r="L246">
        <f t="shared" si="28"/>
        <v>0.13793103448275862</v>
      </c>
      <c r="M246">
        <f t="shared" si="29"/>
        <v>3.8461538461538464E-2</v>
      </c>
      <c r="N246">
        <f t="shared" si="30"/>
        <v>7.6923076923076927E-2</v>
      </c>
      <c r="O246">
        <f t="shared" si="31"/>
        <v>0</v>
      </c>
      <c r="P246">
        <f t="shared" si="32"/>
        <v>6.8965517241379309E-2</v>
      </c>
    </row>
    <row r="247" spans="1:16" x14ac:dyDescent="0.4">
      <c r="A247">
        <v>0.2857142857142857</v>
      </c>
      <c r="B247">
        <v>0.2</v>
      </c>
      <c r="C247" s="23">
        <v>0.1111111111111111</v>
      </c>
      <c r="D247">
        <v>0.26666666666666666</v>
      </c>
      <c r="E247">
        <v>7.6923076923076927E-2</v>
      </c>
      <c r="F247">
        <v>0.16666666666666666</v>
      </c>
      <c r="G247">
        <v>0</v>
      </c>
      <c r="H247">
        <v>0</v>
      </c>
      <c r="I247">
        <f t="shared" si="25"/>
        <v>0.2857142857142857</v>
      </c>
      <c r="J247">
        <f t="shared" si="26"/>
        <v>0.2</v>
      </c>
      <c r="K247">
        <f t="shared" si="27"/>
        <v>0.1111111111111111</v>
      </c>
      <c r="L247">
        <f t="shared" si="28"/>
        <v>0.26666666666666666</v>
      </c>
      <c r="M247">
        <f t="shared" si="29"/>
        <v>7.6923076923076927E-2</v>
      </c>
      <c r="N247">
        <f t="shared" si="30"/>
        <v>0.16666666666666666</v>
      </c>
      <c r="O247">
        <f t="shared" si="31"/>
        <v>0</v>
      </c>
      <c r="P247">
        <f t="shared" si="32"/>
        <v>0</v>
      </c>
    </row>
    <row r="248" spans="1:16" x14ac:dyDescent="0.4">
      <c r="A248">
        <v>3.5714285714285712E-2</v>
      </c>
      <c r="B248">
        <v>0.12121212121212122</v>
      </c>
      <c r="C248" s="24">
        <v>5.6338028169014086E-2</v>
      </c>
      <c r="D248">
        <v>0.36363636363636365</v>
      </c>
      <c r="E248">
        <v>0.16666666666666666</v>
      </c>
      <c r="F248">
        <v>4.4776119402985072E-2</v>
      </c>
      <c r="G248">
        <v>0</v>
      </c>
      <c r="H248">
        <v>0.1</v>
      </c>
      <c r="I248">
        <f t="shared" si="25"/>
        <v>3.5714285714285712E-2</v>
      </c>
      <c r="J248">
        <f t="shared" si="26"/>
        <v>0.12121212121212122</v>
      </c>
      <c r="K248">
        <f t="shared" si="27"/>
        <v>5.6338028169014086E-2</v>
      </c>
      <c r="L248">
        <f t="shared" si="28"/>
        <v>0.36363636363636365</v>
      </c>
      <c r="M248">
        <f t="shared" si="29"/>
        <v>0.16666666666666666</v>
      </c>
      <c r="N248">
        <f t="shared" si="30"/>
        <v>4.4776119402985072E-2</v>
      </c>
      <c r="O248">
        <f t="shared" si="31"/>
        <v>0</v>
      </c>
      <c r="P248">
        <f t="shared" si="32"/>
        <v>0.1</v>
      </c>
    </row>
    <row r="249" spans="1:16" x14ac:dyDescent="0.4">
      <c r="A249">
        <v>0.2857142857142857</v>
      </c>
      <c r="B249">
        <v>0.4</v>
      </c>
      <c r="C249" s="23">
        <v>0.44444444444444442</v>
      </c>
      <c r="D249">
        <v>0.17391304347826086</v>
      </c>
      <c r="E249">
        <v>0</v>
      </c>
      <c r="F249">
        <v>0.125</v>
      </c>
      <c r="G249">
        <v>0</v>
      </c>
      <c r="H249">
        <v>4.5454545454545456E-2</v>
      </c>
      <c r="I249">
        <f t="shared" si="25"/>
        <v>0.2857142857142857</v>
      </c>
      <c r="J249">
        <f t="shared" si="26"/>
        <v>0.4</v>
      </c>
      <c r="K249">
        <f t="shared" si="27"/>
        <v>0.44444444444444442</v>
      </c>
      <c r="L249">
        <f t="shared" si="28"/>
        <v>0.17391304347826086</v>
      </c>
      <c r="M249">
        <f t="shared" si="29"/>
        <v>0</v>
      </c>
      <c r="N249">
        <f t="shared" si="30"/>
        <v>0.125</v>
      </c>
      <c r="O249">
        <f t="shared" si="31"/>
        <v>0</v>
      </c>
      <c r="P249">
        <f t="shared" si="32"/>
        <v>4.5454545454545456E-2</v>
      </c>
    </row>
    <row r="250" spans="1:16" x14ac:dyDescent="0.4">
      <c r="A250">
        <v>0</v>
      </c>
      <c r="B250">
        <v>0.36363636363636365</v>
      </c>
      <c r="C250" s="24">
        <v>0.4</v>
      </c>
      <c r="D250">
        <v>0.13333333333333333</v>
      </c>
      <c r="E250">
        <v>0.18181818181818182</v>
      </c>
      <c r="F250">
        <v>0.42857142857142855</v>
      </c>
      <c r="G250">
        <v>0.25</v>
      </c>
      <c r="H250">
        <v>0.36363636363636365</v>
      </c>
      <c r="I250">
        <f t="shared" si="25"/>
        <v>0</v>
      </c>
      <c r="J250">
        <f t="shared" si="26"/>
        <v>0.36363636363636365</v>
      </c>
      <c r="K250">
        <f t="shared" si="27"/>
        <v>0.4</v>
      </c>
      <c r="L250">
        <f t="shared" si="28"/>
        <v>0.13333333333333333</v>
      </c>
      <c r="M250">
        <f t="shared" si="29"/>
        <v>0.18181818181818182</v>
      </c>
      <c r="N250">
        <f t="shared" si="30"/>
        <v>0.42857142857142855</v>
      </c>
      <c r="O250">
        <f t="shared" si="31"/>
        <v>0.25</v>
      </c>
      <c r="P250">
        <f t="shared" si="32"/>
        <v>0.36363636363636365</v>
      </c>
    </row>
    <row r="251" spans="1:16" x14ac:dyDescent="0.4">
      <c r="A251">
        <v>0</v>
      </c>
      <c r="B251">
        <v>0.16666666666666666</v>
      </c>
      <c r="C251" s="23">
        <v>0.10256410256410256</v>
      </c>
      <c r="D251">
        <v>0.26666666666666666</v>
      </c>
      <c r="E251">
        <v>0.44444444444444442</v>
      </c>
      <c r="F251">
        <v>0</v>
      </c>
      <c r="G251">
        <v>4.5454545454545456E-2</v>
      </c>
      <c r="H251">
        <v>6.6666666666666666E-2</v>
      </c>
      <c r="I251">
        <f t="shared" si="25"/>
        <v>0</v>
      </c>
      <c r="J251">
        <f t="shared" si="26"/>
        <v>0.16666666666666666</v>
      </c>
      <c r="K251">
        <f t="shared" si="27"/>
        <v>0.10256410256410256</v>
      </c>
      <c r="L251">
        <f t="shared" si="28"/>
        <v>0.26666666666666666</v>
      </c>
      <c r="M251">
        <f t="shared" si="29"/>
        <v>0.44444444444444442</v>
      </c>
      <c r="N251">
        <f t="shared" si="30"/>
        <v>0</v>
      </c>
      <c r="O251">
        <f t="shared" si="31"/>
        <v>4.5454545454545456E-2</v>
      </c>
      <c r="P251">
        <f t="shared" si="32"/>
        <v>6.6666666666666666E-2</v>
      </c>
    </row>
    <row r="252" spans="1:16" x14ac:dyDescent="0.4">
      <c r="A252">
        <v>0.36363636363636365</v>
      </c>
      <c r="B252">
        <v>0</v>
      </c>
      <c r="C252" s="24">
        <v>0.33333333333333331</v>
      </c>
      <c r="D252">
        <v>0.66666666666666663</v>
      </c>
      <c r="E252">
        <v>0</v>
      </c>
      <c r="F252">
        <v>1</v>
      </c>
      <c r="G252">
        <v>0.19047619047619047</v>
      </c>
      <c r="H252">
        <v>0.3</v>
      </c>
      <c r="I252">
        <f t="shared" si="25"/>
        <v>0.36363636363636365</v>
      </c>
      <c r="J252">
        <f t="shared" si="26"/>
        <v>0</v>
      </c>
      <c r="K252">
        <f t="shared" si="27"/>
        <v>0.33333333333333331</v>
      </c>
      <c r="L252">
        <f t="shared" si="28"/>
        <v>0.66666666666666663</v>
      </c>
      <c r="M252">
        <f t="shared" si="29"/>
        <v>0</v>
      </c>
      <c r="N252">
        <f t="shared" si="30"/>
        <v>1</v>
      </c>
      <c r="O252">
        <f t="shared" si="31"/>
        <v>0.19047619047619047</v>
      </c>
      <c r="P252">
        <f t="shared" si="32"/>
        <v>0.3</v>
      </c>
    </row>
    <row r="253" spans="1:16" x14ac:dyDescent="0.4">
      <c r="A253">
        <v>0.2857142857142857</v>
      </c>
      <c r="B253">
        <v>0.19047619047619047</v>
      </c>
      <c r="C253" s="23">
        <v>0.19047619047619047</v>
      </c>
      <c r="D253">
        <v>8.6956521739130432E-2</v>
      </c>
      <c r="E253">
        <v>7.6923076923076927E-2</v>
      </c>
      <c r="F253">
        <v>0</v>
      </c>
      <c r="G253">
        <v>3.5714285714285712E-2</v>
      </c>
      <c r="H253">
        <v>2.0408163265306121E-2</v>
      </c>
      <c r="I253">
        <f t="shared" si="25"/>
        <v>0.2857142857142857</v>
      </c>
      <c r="J253">
        <f t="shared" si="26"/>
        <v>0.19047619047619047</v>
      </c>
      <c r="K253">
        <f t="shared" si="27"/>
        <v>0.19047619047619047</v>
      </c>
      <c r="L253">
        <f t="shared" si="28"/>
        <v>8.6956521739130432E-2</v>
      </c>
      <c r="M253">
        <f t="shared" si="29"/>
        <v>7.6923076923076927E-2</v>
      </c>
      <c r="N253">
        <f t="shared" si="30"/>
        <v>0</v>
      </c>
      <c r="O253">
        <f t="shared" si="31"/>
        <v>3.5714285714285712E-2</v>
      </c>
      <c r="P253">
        <f t="shared" si="32"/>
        <v>2.0408163265306121E-2</v>
      </c>
    </row>
    <row r="254" spans="1:16" x14ac:dyDescent="0.4">
      <c r="A254">
        <v>0.16666666666666666</v>
      </c>
      <c r="B254">
        <v>0.36363636363636365</v>
      </c>
      <c r="C254" s="24">
        <v>0.30769230769230771</v>
      </c>
      <c r="D254">
        <v>0.5714285714285714</v>
      </c>
      <c r="E254">
        <v>9.5238095238095233E-2</v>
      </c>
      <c r="F254">
        <v>0</v>
      </c>
      <c r="G254">
        <v>0.1111111111111111</v>
      </c>
      <c r="H254">
        <v>0.4</v>
      </c>
      <c r="I254">
        <f t="shared" si="25"/>
        <v>0.16666666666666666</v>
      </c>
      <c r="J254">
        <f t="shared" si="26"/>
        <v>0.36363636363636365</v>
      </c>
      <c r="K254">
        <f t="shared" si="27"/>
        <v>0.30769230769230771</v>
      </c>
      <c r="L254">
        <f t="shared" si="28"/>
        <v>0.5714285714285714</v>
      </c>
      <c r="M254">
        <f t="shared" si="29"/>
        <v>9.5238095238095233E-2</v>
      </c>
      <c r="N254">
        <f t="shared" si="30"/>
        <v>0</v>
      </c>
      <c r="O254">
        <f t="shared" si="31"/>
        <v>0.1111111111111111</v>
      </c>
      <c r="P254">
        <f t="shared" si="32"/>
        <v>0.4</v>
      </c>
    </row>
    <row r="255" spans="1:16" x14ac:dyDescent="0.4">
      <c r="A255">
        <v>0.2857142857142857</v>
      </c>
      <c r="B255">
        <v>0</v>
      </c>
      <c r="C255" s="23">
        <v>0.18181818181818182</v>
      </c>
      <c r="D255">
        <v>0.66666666666666663</v>
      </c>
      <c r="E255">
        <v>7.6923076923076927E-2</v>
      </c>
      <c r="F255">
        <v>0.5</v>
      </c>
      <c r="G255">
        <v>1</v>
      </c>
      <c r="H255">
        <v>0</v>
      </c>
      <c r="I255">
        <f t="shared" si="25"/>
        <v>0.2857142857142857</v>
      </c>
      <c r="J255">
        <f t="shared" si="26"/>
        <v>0</v>
      </c>
      <c r="K255">
        <f t="shared" si="27"/>
        <v>0.18181818181818182</v>
      </c>
      <c r="L255">
        <f t="shared" si="28"/>
        <v>0.66666666666666663</v>
      </c>
      <c r="M255">
        <f t="shared" si="29"/>
        <v>7.6923076923076927E-2</v>
      </c>
      <c r="N255">
        <f t="shared" si="30"/>
        <v>0.5</v>
      </c>
      <c r="O255">
        <f t="shared" si="31"/>
        <v>1</v>
      </c>
      <c r="P255">
        <f t="shared" si="32"/>
        <v>0</v>
      </c>
    </row>
    <row r="256" spans="1:16" x14ac:dyDescent="0.4">
      <c r="A256">
        <v>0.44444444444444442</v>
      </c>
      <c r="B256">
        <v>0.36363636363636365</v>
      </c>
      <c r="C256" s="24">
        <v>0.4</v>
      </c>
      <c r="D256">
        <v>0.33333333333333331</v>
      </c>
      <c r="E256">
        <v>0.125</v>
      </c>
      <c r="F256">
        <v>0.125</v>
      </c>
      <c r="G256">
        <v>0.25</v>
      </c>
      <c r="H256">
        <v>9.0909090909090912E-2</v>
      </c>
      <c r="I256">
        <f t="shared" si="25"/>
        <v>0.44444444444444442</v>
      </c>
      <c r="J256">
        <f t="shared" si="26"/>
        <v>0.36363636363636365</v>
      </c>
      <c r="K256">
        <f t="shared" si="27"/>
        <v>0.4</v>
      </c>
      <c r="L256">
        <f t="shared" si="28"/>
        <v>0.33333333333333331</v>
      </c>
      <c r="M256">
        <f t="shared" si="29"/>
        <v>0.125</v>
      </c>
      <c r="N256">
        <f t="shared" si="30"/>
        <v>0.125</v>
      </c>
      <c r="O256">
        <f t="shared" si="31"/>
        <v>0.25</v>
      </c>
      <c r="P256">
        <f t="shared" si="32"/>
        <v>9.0909090909090912E-2</v>
      </c>
    </row>
    <row r="257" spans="1:16" x14ac:dyDescent="0.4">
      <c r="A257">
        <v>0</v>
      </c>
      <c r="B257">
        <v>0.15384615384615385</v>
      </c>
      <c r="C257" s="23">
        <v>5.7142857142857141E-2</v>
      </c>
      <c r="D257">
        <v>7.6923076923076927E-2</v>
      </c>
      <c r="E257">
        <v>0.5714285714285714</v>
      </c>
      <c r="F257">
        <v>0.125</v>
      </c>
      <c r="G257">
        <v>0.04</v>
      </c>
      <c r="H257">
        <v>1.9230769230769232E-2</v>
      </c>
      <c r="I257">
        <f t="shared" si="25"/>
        <v>0</v>
      </c>
      <c r="J257">
        <f t="shared" si="26"/>
        <v>0.15384615384615385</v>
      </c>
      <c r="K257">
        <f t="shared" si="27"/>
        <v>5.7142857142857141E-2</v>
      </c>
      <c r="L257">
        <f t="shared" si="28"/>
        <v>7.6923076923076927E-2</v>
      </c>
      <c r="M257">
        <f t="shared" si="29"/>
        <v>0.5714285714285714</v>
      </c>
      <c r="N257">
        <f t="shared" si="30"/>
        <v>0.125</v>
      </c>
      <c r="O257">
        <f t="shared" si="31"/>
        <v>0.04</v>
      </c>
      <c r="P257">
        <f t="shared" si="32"/>
        <v>1.9230769230769232E-2</v>
      </c>
    </row>
    <row r="258" spans="1:16" x14ac:dyDescent="0.4">
      <c r="A258">
        <v>0.36363636363636365</v>
      </c>
      <c r="B258">
        <v>4.7619047619047616E-2</v>
      </c>
      <c r="C258" s="24">
        <v>6.4516129032258063E-2</v>
      </c>
      <c r="D258">
        <v>8.6956521739130432E-2</v>
      </c>
      <c r="E258">
        <v>0</v>
      </c>
      <c r="F258">
        <v>1.6393442622950821E-2</v>
      </c>
      <c r="G258">
        <v>0.23529411764705882</v>
      </c>
      <c r="H258">
        <v>2.0833333333333332E-2</v>
      </c>
      <c r="I258">
        <f t="shared" si="25"/>
        <v>0.36363636363636365</v>
      </c>
      <c r="J258">
        <f t="shared" si="26"/>
        <v>4.7619047619047616E-2</v>
      </c>
      <c r="K258">
        <f t="shared" si="27"/>
        <v>6.4516129032258063E-2</v>
      </c>
      <c r="L258">
        <f t="shared" si="28"/>
        <v>8.6956521739130432E-2</v>
      </c>
      <c r="M258">
        <f t="shared" si="29"/>
        <v>0</v>
      </c>
      <c r="N258">
        <f t="shared" si="30"/>
        <v>1.6393442622950821E-2</v>
      </c>
      <c r="O258">
        <f t="shared" si="31"/>
        <v>0.23529411764705882</v>
      </c>
      <c r="P258">
        <f t="shared" si="32"/>
        <v>2.0833333333333332E-2</v>
      </c>
    </row>
    <row r="259" spans="1:16" x14ac:dyDescent="0.4">
      <c r="A259">
        <v>0.36363636363636365</v>
      </c>
      <c r="B259">
        <v>0.2857142857142857</v>
      </c>
      <c r="C259" s="23">
        <v>0.23529411764705882</v>
      </c>
      <c r="D259">
        <v>0.2857142857142857</v>
      </c>
      <c r="E259">
        <v>9.0909090909090912E-2</v>
      </c>
      <c r="F259">
        <v>0.21428571428571427</v>
      </c>
      <c r="G259">
        <v>0</v>
      </c>
      <c r="H259">
        <v>0.3</v>
      </c>
      <c r="I259">
        <f t="shared" si="25"/>
        <v>0.36363636363636365</v>
      </c>
      <c r="J259">
        <f t="shared" si="26"/>
        <v>0.2857142857142857</v>
      </c>
      <c r="K259">
        <f t="shared" si="27"/>
        <v>0.23529411764705882</v>
      </c>
      <c r="L259">
        <f t="shared" si="28"/>
        <v>0.2857142857142857</v>
      </c>
      <c r="M259">
        <f t="shared" si="29"/>
        <v>9.0909090909090912E-2</v>
      </c>
      <c r="N259">
        <f t="shared" si="30"/>
        <v>0.21428571428571427</v>
      </c>
      <c r="O259">
        <f t="shared" si="31"/>
        <v>0</v>
      </c>
      <c r="P259">
        <f t="shared" si="32"/>
        <v>0.3</v>
      </c>
    </row>
    <row r="260" spans="1:16" x14ac:dyDescent="0.4">
      <c r="A260">
        <v>0.23529411764705882</v>
      </c>
      <c r="B260">
        <v>5.2631578947368418E-2</v>
      </c>
      <c r="C260" s="24">
        <v>0.2</v>
      </c>
      <c r="D260">
        <v>0.17391304347826086</v>
      </c>
      <c r="E260">
        <v>0.13333333333333333</v>
      </c>
      <c r="F260">
        <v>0</v>
      </c>
      <c r="G260">
        <v>0.11764705882352941</v>
      </c>
      <c r="H260">
        <v>0.125</v>
      </c>
      <c r="I260">
        <f t="shared" si="25"/>
        <v>0.23529411764705882</v>
      </c>
      <c r="J260">
        <f t="shared" si="26"/>
        <v>5.2631578947368418E-2</v>
      </c>
      <c r="K260">
        <f t="shared" si="27"/>
        <v>0.2</v>
      </c>
      <c r="L260">
        <f t="shared" si="28"/>
        <v>0.17391304347826086</v>
      </c>
      <c r="M260">
        <f t="shared" si="29"/>
        <v>0.13333333333333333</v>
      </c>
      <c r="N260">
        <f t="shared" si="30"/>
        <v>0</v>
      </c>
      <c r="O260">
        <f t="shared" si="31"/>
        <v>0.11764705882352941</v>
      </c>
      <c r="P260">
        <f t="shared" si="32"/>
        <v>0.125</v>
      </c>
    </row>
    <row r="261" spans="1:16" x14ac:dyDescent="0.4">
      <c r="A261">
        <v>0.30769230769230771</v>
      </c>
      <c r="B261">
        <v>0.04</v>
      </c>
      <c r="C261" s="23">
        <v>0.26666666666666666</v>
      </c>
      <c r="D261">
        <v>0.66666666666666663</v>
      </c>
      <c r="E261">
        <v>9.0909090909090912E-2</v>
      </c>
      <c r="F261">
        <v>7.1428571428571425E-2</v>
      </c>
      <c r="G261">
        <v>0.2</v>
      </c>
      <c r="H261">
        <v>0.2</v>
      </c>
      <c r="I261">
        <f t="shared" si="25"/>
        <v>0.30769230769230771</v>
      </c>
      <c r="J261">
        <f t="shared" si="26"/>
        <v>0.04</v>
      </c>
      <c r="K261">
        <f t="shared" si="27"/>
        <v>0.26666666666666666</v>
      </c>
      <c r="L261">
        <f t="shared" si="28"/>
        <v>0.66666666666666663</v>
      </c>
      <c r="M261">
        <f t="shared" si="29"/>
        <v>9.0909090909090912E-2</v>
      </c>
      <c r="N261">
        <f t="shared" si="30"/>
        <v>7.1428571428571425E-2</v>
      </c>
      <c r="O261">
        <f t="shared" si="31"/>
        <v>0.2</v>
      </c>
      <c r="P261">
        <f t="shared" si="32"/>
        <v>0.2</v>
      </c>
    </row>
    <row r="262" spans="1:16" x14ac:dyDescent="0.4">
      <c r="A262">
        <v>0.25</v>
      </c>
      <c r="B262">
        <v>4.878048780487805E-2</v>
      </c>
      <c r="C262" s="24">
        <v>4.0816326530612242E-2</v>
      </c>
      <c r="D262">
        <v>0.5</v>
      </c>
      <c r="E262">
        <v>6.6666666666666666E-2</v>
      </c>
      <c r="F262">
        <v>2.1052631578947368E-2</v>
      </c>
      <c r="G262">
        <v>0.10526315789473684</v>
      </c>
      <c r="H262">
        <v>0</v>
      </c>
      <c r="I262">
        <f t="shared" si="25"/>
        <v>0.25</v>
      </c>
      <c r="J262">
        <f t="shared" si="26"/>
        <v>4.878048780487805E-2</v>
      </c>
      <c r="K262">
        <f t="shared" si="27"/>
        <v>4.0816326530612242E-2</v>
      </c>
      <c r="L262">
        <f t="shared" si="28"/>
        <v>0.5</v>
      </c>
      <c r="M262">
        <f t="shared" si="29"/>
        <v>6.6666666666666666E-2</v>
      </c>
      <c r="N262">
        <f t="shared" si="30"/>
        <v>2.1052631578947368E-2</v>
      </c>
      <c r="O262">
        <f t="shared" si="31"/>
        <v>0.10526315789473684</v>
      </c>
      <c r="P262">
        <f t="shared" si="32"/>
        <v>0</v>
      </c>
    </row>
    <row r="263" spans="1:16" x14ac:dyDescent="0.4">
      <c r="A263">
        <v>0.21052631578947367</v>
      </c>
      <c r="B263">
        <v>0.2</v>
      </c>
      <c r="C263" s="23">
        <v>5.4545454545454543E-2</v>
      </c>
      <c r="D263">
        <v>0.21052631578947367</v>
      </c>
      <c r="E263">
        <v>0.15789473684210525</v>
      </c>
      <c r="F263">
        <v>7.6923076923076927E-2</v>
      </c>
      <c r="G263">
        <v>0.11764705882352941</v>
      </c>
      <c r="H263">
        <v>0</v>
      </c>
      <c r="I263">
        <f t="shared" si="25"/>
        <v>0.21052631578947367</v>
      </c>
      <c r="J263">
        <f t="shared" si="26"/>
        <v>0.2</v>
      </c>
      <c r="K263">
        <f t="shared" si="27"/>
        <v>5.4545454545454543E-2</v>
      </c>
      <c r="L263">
        <f t="shared" si="28"/>
        <v>0.21052631578947367</v>
      </c>
      <c r="M263">
        <f t="shared" si="29"/>
        <v>0.15789473684210525</v>
      </c>
      <c r="N263">
        <f t="shared" si="30"/>
        <v>7.6923076923076927E-2</v>
      </c>
      <c r="O263">
        <f t="shared" si="31"/>
        <v>0.11764705882352941</v>
      </c>
      <c r="P263">
        <f t="shared" si="32"/>
        <v>0</v>
      </c>
    </row>
    <row r="264" spans="1:16" x14ac:dyDescent="0.4">
      <c r="A264">
        <v>0.14814814814814814</v>
      </c>
      <c r="B264">
        <v>0.19047619047619047</v>
      </c>
      <c r="C264" s="24">
        <v>0.10810810810810811</v>
      </c>
      <c r="D264">
        <v>5.6338028169014086E-2</v>
      </c>
      <c r="E264">
        <v>0.11538461538461539</v>
      </c>
      <c r="F264">
        <v>5.8823529411764705E-2</v>
      </c>
      <c r="G264">
        <v>5.8823529411764705E-2</v>
      </c>
      <c r="H264">
        <v>4.4117647058823532E-2</v>
      </c>
      <c r="I264">
        <f t="shared" ref="I264:I327" si="33">IF(A264&gt;1, 1, A264)</f>
        <v>0.14814814814814814</v>
      </c>
      <c r="J264">
        <f t="shared" ref="J264:J327" si="34">IF(B264&gt;1, 1, B264)</f>
        <v>0.19047619047619047</v>
      </c>
      <c r="K264">
        <f t="shared" ref="K264:K327" si="35">IF(C264&gt;1, 1, C264)</f>
        <v>0.10810810810810811</v>
      </c>
      <c r="L264">
        <f t="shared" ref="L264:L327" si="36">IF(D264&gt;1, 1, D264)</f>
        <v>5.6338028169014086E-2</v>
      </c>
      <c r="M264">
        <f t="shared" ref="M264:M327" si="37">IF(E264&gt;1, 1, E264)</f>
        <v>0.11538461538461539</v>
      </c>
      <c r="N264">
        <f t="shared" ref="N264:N327" si="38">IF(F264&gt;1, 1, F264)</f>
        <v>5.8823529411764705E-2</v>
      </c>
      <c r="O264">
        <f t="shared" ref="O264:O327" si="39">IF(G264&gt;1, 1, G264)</f>
        <v>5.8823529411764705E-2</v>
      </c>
      <c r="P264">
        <f t="shared" ref="P264:P327" si="40">IF(H264&gt;1, 1, H264)</f>
        <v>4.4117647058823532E-2</v>
      </c>
    </row>
    <row r="265" spans="1:16" x14ac:dyDescent="0.4">
      <c r="A265">
        <v>0.36363636363636365</v>
      </c>
      <c r="B265">
        <v>0</v>
      </c>
      <c r="C265" s="23">
        <v>0.36363636363636365</v>
      </c>
      <c r="D265">
        <v>8.5106382978723402E-2</v>
      </c>
      <c r="E265">
        <v>0.25</v>
      </c>
      <c r="F265">
        <v>0</v>
      </c>
      <c r="G265">
        <v>0.23529411764705882</v>
      </c>
      <c r="H265">
        <v>1.8181818181818181E-2</v>
      </c>
      <c r="I265">
        <f t="shared" si="33"/>
        <v>0.36363636363636365</v>
      </c>
      <c r="J265">
        <f t="shared" si="34"/>
        <v>0</v>
      </c>
      <c r="K265">
        <f t="shared" si="35"/>
        <v>0.36363636363636365</v>
      </c>
      <c r="L265">
        <f t="shared" si="36"/>
        <v>8.5106382978723402E-2</v>
      </c>
      <c r="M265">
        <f t="shared" si="37"/>
        <v>0.25</v>
      </c>
      <c r="N265">
        <f t="shared" si="38"/>
        <v>0</v>
      </c>
      <c r="O265">
        <f t="shared" si="39"/>
        <v>0.23529411764705882</v>
      </c>
      <c r="P265">
        <f t="shared" si="40"/>
        <v>1.8181818181818181E-2</v>
      </c>
    </row>
    <row r="266" spans="1:16" x14ac:dyDescent="0.4">
      <c r="A266">
        <v>0.10526315789473684</v>
      </c>
      <c r="B266">
        <v>0.14814814814814814</v>
      </c>
      <c r="C266" s="24">
        <v>0.36363636363636365</v>
      </c>
      <c r="D266">
        <v>0.19047619047619047</v>
      </c>
      <c r="E266">
        <v>0.25</v>
      </c>
      <c r="F266">
        <v>0.22222222222222221</v>
      </c>
      <c r="G266">
        <v>4.1666666666666664E-2</v>
      </c>
      <c r="H266">
        <v>0.05</v>
      </c>
      <c r="I266">
        <f t="shared" si="33"/>
        <v>0.10526315789473684</v>
      </c>
      <c r="J266">
        <f t="shared" si="34"/>
        <v>0.14814814814814814</v>
      </c>
      <c r="K266">
        <f t="shared" si="35"/>
        <v>0.36363636363636365</v>
      </c>
      <c r="L266">
        <f t="shared" si="36"/>
        <v>0.19047619047619047</v>
      </c>
      <c r="M266">
        <f t="shared" si="37"/>
        <v>0.25</v>
      </c>
      <c r="N266">
        <f t="shared" si="38"/>
        <v>0.22222222222222221</v>
      </c>
      <c r="O266">
        <f t="shared" si="39"/>
        <v>4.1666666666666664E-2</v>
      </c>
      <c r="P266">
        <f t="shared" si="40"/>
        <v>0.05</v>
      </c>
    </row>
    <row r="267" spans="1:16" x14ac:dyDescent="0.4">
      <c r="A267">
        <v>0.4</v>
      </c>
      <c r="B267">
        <v>0.23529411764705882</v>
      </c>
      <c r="C267" s="23">
        <v>0.2857142857142857</v>
      </c>
      <c r="D267">
        <v>0.33333333333333331</v>
      </c>
      <c r="E267">
        <v>0.125</v>
      </c>
      <c r="F267">
        <v>0.25</v>
      </c>
      <c r="G267">
        <v>6.25E-2</v>
      </c>
      <c r="H267">
        <v>0.66666666666666663</v>
      </c>
      <c r="I267">
        <f t="shared" si="33"/>
        <v>0.4</v>
      </c>
      <c r="J267">
        <f t="shared" si="34"/>
        <v>0.23529411764705882</v>
      </c>
      <c r="K267">
        <f t="shared" si="35"/>
        <v>0.2857142857142857</v>
      </c>
      <c r="L267">
        <f t="shared" si="36"/>
        <v>0.33333333333333331</v>
      </c>
      <c r="M267">
        <f t="shared" si="37"/>
        <v>0.125</v>
      </c>
      <c r="N267">
        <f t="shared" si="38"/>
        <v>0.25</v>
      </c>
      <c r="O267">
        <f t="shared" si="39"/>
        <v>6.25E-2</v>
      </c>
      <c r="P267">
        <f t="shared" si="40"/>
        <v>0.66666666666666663</v>
      </c>
    </row>
    <row r="268" spans="1:16" x14ac:dyDescent="0.4">
      <c r="A268">
        <v>0.19047619047619047</v>
      </c>
      <c r="B268">
        <v>0.44444444444444442</v>
      </c>
      <c r="C268" s="24">
        <v>0.125</v>
      </c>
      <c r="D268">
        <v>0.26666666666666666</v>
      </c>
      <c r="E268">
        <v>4.3478260869565216E-2</v>
      </c>
      <c r="F268">
        <v>0.66666666666666663</v>
      </c>
      <c r="G268">
        <v>0.5</v>
      </c>
      <c r="H268">
        <v>0.18181818181818182</v>
      </c>
      <c r="I268">
        <f t="shared" si="33"/>
        <v>0.19047619047619047</v>
      </c>
      <c r="J268">
        <f t="shared" si="34"/>
        <v>0.44444444444444442</v>
      </c>
      <c r="K268">
        <f t="shared" si="35"/>
        <v>0.125</v>
      </c>
      <c r="L268">
        <f t="shared" si="36"/>
        <v>0.26666666666666666</v>
      </c>
      <c r="M268">
        <f t="shared" si="37"/>
        <v>4.3478260869565216E-2</v>
      </c>
      <c r="N268">
        <f t="shared" si="38"/>
        <v>0.66666666666666663</v>
      </c>
      <c r="O268">
        <f t="shared" si="39"/>
        <v>0.5</v>
      </c>
      <c r="P268">
        <f t="shared" si="40"/>
        <v>0.18181818181818182</v>
      </c>
    </row>
    <row r="269" spans="1:16" x14ac:dyDescent="0.4">
      <c r="A269">
        <v>0.12903225806451613</v>
      </c>
      <c r="B269">
        <v>0.30769230769230771</v>
      </c>
      <c r="C269" s="23">
        <v>0.33333333333333331</v>
      </c>
      <c r="D269">
        <v>0.21052631578947367</v>
      </c>
      <c r="E269">
        <v>6.8965517241379309E-2</v>
      </c>
      <c r="F269">
        <v>0.1</v>
      </c>
      <c r="G269">
        <v>9.0909090909090912E-2</v>
      </c>
      <c r="H269">
        <v>0.15789473684210525</v>
      </c>
      <c r="I269">
        <f t="shared" si="33"/>
        <v>0.12903225806451613</v>
      </c>
      <c r="J269">
        <f t="shared" si="34"/>
        <v>0.30769230769230771</v>
      </c>
      <c r="K269">
        <f t="shared" si="35"/>
        <v>0.33333333333333331</v>
      </c>
      <c r="L269">
        <f t="shared" si="36"/>
        <v>0.21052631578947367</v>
      </c>
      <c r="M269">
        <f t="shared" si="37"/>
        <v>6.8965517241379309E-2</v>
      </c>
      <c r="N269">
        <f t="shared" si="38"/>
        <v>0.1</v>
      </c>
      <c r="O269">
        <f t="shared" si="39"/>
        <v>9.0909090909090912E-2</v>
      </c>
      <c r="P269">
        <f t="shared" si="40"/>
        <v>0.15789473684210525</v>
      </c>
    </row>
    <row r="270" spans="1:16" x14ac:dyDescent="0.4">
      <c r="A270">
        <v>0</v>
      </c>
      <c r="B270">
        <v>0.22222222222222221</v>
      </c>
      <c r="C270" s="24">
        <v>0.13793103448275862</v>
      </c>
      <c r="D270">
        <v>0</v>
      </c>
      <c r="E270">
        <v>0.30769230769230771</v>
      </c>
      <c r="F270">
        <v>3.5714285714285712E-2</v>
      </c>
      <c r="G270">
        <v>0.125</v>
      </c>
      <c r="H270">
        <v>0.16666666666666666</v>
      </c>
      <c r="I270">
        <f t="shared" si="33"/>
        <v>0</v>
      </c>
      <c r="J270">
        <f t="shared" si="34"/>
        <v>0.22222222222222221</v>
      </c>
      <c r="K270">
        <f t="shared" si="35"/>
        <v>0.13793103448275862</v>
      </c>
      <c r="L270">
        <f t="shared" si="36"/>
        <v>0</v>
      </c>
      <c r="M270">
        <f t="shared" si="37"/>
        <v>0.30769230769230771</v>
      </c>
      <c r="N270">
        <f t="shared" si="38"/>
        <v>3.5714285714285712E-2</v>
      </c>
      <c r="O270">
        <f t="shared" si="39"/>
        <v>0.125</v>
      </c>
      <c r="P270">
        <f t="shared" si="40"/>
        <v>0.16666666666666666</v>
      </c>
    </row>
    <row r="271" spans="1:16" x14ac:dyDescent="0.4">
      <c r="A271">
        <v>0.25</v>
      </c>
      <c r="B271">
        <v>0</v>
      </c>
      <c r="C271" s="23">
        <v>0.30769230769230771</v>
      </c>
      <c r="D271">
        <v>0.22222222222222221</v>
      </c>
      <c r="E271">
        <v>0</v>
      </c>
      <c r="F271">
        <v>0.33333333333333331</v>
      </c>
      <c r="G271">
        <v>0.36363636363636365</v>
      </c>
      <c r="H271">
        <v>0</v>
      </c>
      <c r="I271">
        <f t="shared" si="33"/>
        <v>0.25</v>
      </c>
      <c r="J271">
        <f t="shared" si="34"/>
        <v>0</v>
      </c>
      <c r="K271">
        <f t="shared" si="35"/>
        <v>0.30769230769230771</v>
      </c>
      <c r="L271">
        <f t="shared" si="36"/>
        <v>0.22222222222222221</v>
      </c>
      <c r="M271">
        <f t="shared" si="37"/>
        <v>0</v>
      </c>
      <c r="N271">
        <f t="shared" si="38"/>
        <v>0.33333333333333331</v>
      </c>
      <c r="O271">
        <f t="shared" si="39"/>
        <v>0.36363636363636365</v>
      </c>
      <c r="P271">
        <f t="shared" si="40"/>
        <v>0</v>
      </c>
    </row>
    <row r="272" spans="1:16" x14ac:dyDescent="0.4">
      <c r="A272">
        <v>0.21052631578947367</v>
      </c>
      <c r="B272">
        <v>0.44444444444444442</v>
      </c>
      <c r="C272" s="24">
        <v>0.13793103448275862</v>
      </c>
      <c r="D272">
        <v>0.5714285714285714</v>
      </c>
      <c r="E272">
        <v>5.5555555555555552E-2</v>
      </c>
      <c r="F272">
        <v>0.1111111111111111</v>
      </c>
      <c r="G272">
        <v>0</v>
      </c>
      <c r="H272">
        <v>0.75</v>
      </c>
      <c r="I272">
        <f t="shared" si="33"/>
        <v>0.21052631578947367</v>
      </c>
      <c r="J272">
        <f t="shared" si="34"/>
        <v>0.44444444444444442</v>
      </c>
      <c r="K272">
        <f t="shared" si="35"/>
        <v>0.13793103448275862</v>
      </c>
      <c r="L272">
        <f t="shared" si="36"/>
        <v>0.5714285714285714</v>
      </c>
      <c r="M272">
        <f t="shared" si="37"/>
        <v>5.5555555555555552E-2</v>
      </c>
      <c r="N272">
        <f t="shared" si="38"/>
        <v>0.1111111111111111</v>
      </c>
      <c r="O272">
        <f t="shared" si="39"/>
        <v>0</v>
      </c>
      <c r="P272">
        <f t="shared" si="40"/>
        <v>0.75</v>
      </c>
    </row>
    <row r="273" spans="1:16" x14ac:dyDescent="0.4">
      <c r="A273">
        <v>0.4</v>
      </c>
      <c r="B273">
        <v>0.14814814814814814</v>
      </c>
      <c r="C273" s="23">
        <v>0.23529411764705882</v>
      </c>
      <c r="D273">
        <v>0.5</v>
      </c>
      <c r="E273">
        <v>0.25</v>
      </c>
      <c r="F273">
        <v>0.23076923076923078</v>
      </c>
      <c r="G273">
        <v>3.5714285714285712E-2</v>
      </c>
      <c r="H273">
        <v>0.4</v>
      </c>
      <c r="I273">
        <f t="shared" si="33"/>
        <v>0.4</v>
      </c>
      <c r="J273">
        <f t="shared" si="34"/>
        <v>0.14814814814814814</v>
      </c>
      <c r="K273">
        <f t="shared" si="35"/>
        <v>0.23529411764705882</v>
      </c>
      <c r="L273">
        <f t="shared" si="36"/>
        <v>0.5</v>
      </c>
      <c r="M273">
        <f t="shared" si="37"/>
        <v>0.25</v>
      </c>
      <c r="N273">
        <f t="shared" si="38"/>
        <v>0.23076923076923078</v>
      </c>
      <c r="O273">
        <f t="shared" si="39"/>
        <v>3.5714285714285712E-2</v>
      </c>
      <c r="P273">
        <f t="shared" si="40"/>
        <v>0.4</v>
      </c>
    </row>
    <row r="274" spans="1:16" x14ac:dyDescent="0.4">
      <c r="A274">
        <v>0</v>
      </c>
      <c r="B274">
        <v>0.14285714285714285</v>
      </c>
      <c r="C274" s="24">
        <v>0.2</v>
      </c>
      <c r="D274">
        <v>0.2</v>
      </c>
      <c r="E274">
        <v>0.11764705882352941</v>
      </c>
      <c r="F274">
        <v>0.30769230769230771</v>
      </c>
      <c r="G274">
        <v>0.22222222222222221</v>
      </c>
      <c r="H274">
        <v>0.44444444444444442</v>
      </c>
      <c r="I274">
        <f t="shared" si="33"/>
        <v>0</v>
      </c>
      <c r="J274">
        <f t="shared" si="34"/>
        <v>0.14285714285714285</v>
      </c>
      <c r="K274">
        <f t="shared" si="35"/>
        <v>0.2</v>
      </c>
      <c r="L274">
        <f t="shared" si="36"/>
        <v>0.2</v>
      </c>
      <c r="M274">
        <f t="shared" si="37"/>
        <v>0.11764705882352941</v>
      </c>
      <c r="N274">
        <f t="shared" si="38"/>
        <v>0.30769230769230771</v>
      </c>
      <c r="O274">
        <f t="shared" si="39"/>
        <v>0.22222222222222221</v>
      </c>
      <c r="P274">
        <f t="shared" si="40"/>
        <v>0.44444444444444442</v>
      </c>
    </row>
    <row r="275" spans="1:16" x14ac:dyDescent="0.4">
      <c r="A275">
        <v>0.30769230769230771</v>
      </c>
      <c r="B275">
        <v>0.33333333333333331</v>
      </c>
      <c r="C275" s="23">
        <v>0.4</v>
      </c>
      <c r="D275">
        <v>0.22222222222222221</v>
      </c>
      <c r="E275">
        <v>9.0909090909090912E-2</v>
      </c>
      <c r="F275">
        <v>0.1111111111111111</v>
      </c>
      <c r="G275">
        <v>0.1</v>
      </c>
      <c r="H275">
        <v>6.6666666666666666E-2</v>
      </c>
      <c r="I275">
        <f t="shared" si="33"/>
        <v>0.30769230769230771</v>
      </c>
      <c r="J275">
        <f t="shared" si="34"/>
        <v>0.33333333333333331</v>
      </c>
      <c r="K275">
        <f t="shared" si="35"/>
        <v>0.4</v>
      </c>
      <c r="L275">
        <f t="shared" si="36"/>
        <v>0.22222222222222221</v>
      </c>
      <c r="M275">
        <f t="shared" si="37"/>
        <v>9.0909090909090912E-2</v>
      </c>
      <c r="N275">
        <f t="shared" si="38"/>
        <v>0.1111111111111111</v>
      </c>
      <c r="O275">
        <f t="shared" si="39"/>
        <v>0.1</v>
      </c>
      <c r="P275">
        <f t="shared" si="40"/>
        <v>6.6666666666666666E-2</v>
      </c>
    </row>
    <row r="276" spans="1:16" x14ac:dyDescent="0.4">
      <c r="A276">
        <v>0.14285714285714285</v>
      </c>
      <c r="B276">
        <v>0.36363636363636365</v>
      </c>
      <c r="C276" s="24">
        <v>0.33333333333333331</v>
      </c>
      <c r="D276">
        <v>0.2857142857142857</v>
      </c>
      <c r="E276">
        <v>0.08</v>
      </c>
      <c r="F276">
        <v>0</v>
      </c>
      <c r="G276">
        <v>0.1111111111111111</v>
      </c>
      <c r="H276">
        <v>0.25</v>
      </c>
      <c r="I276">
        <f t="shared" si="33"/>
        <v>0.14285714285714285</v>
      </c>
      <c r="J276">
        <f t="shared" si="34"/>
        <v>0.36363636363636365</v>
      </c>
      <c r="K276">
        <f t="shared" si="35"/>
        <v>0.33333333333333331</v>
      </c>
      <c r="L276">
        <f t="shared" si="36"/>
        <v>0.2857142857142857</v>
      </c>
      <c r="M276">
        <f t="shared" si="37"/>
        <v>0.08</v>
      </c>
      <c r="N276">
        <f t="shared" si="38"/>
        <v>0</v>
      </c>
      <c r="O276">
        <f t="shared" si="39"/>
        <v>0.1111111111111111</v>
      </c>
      <c r="P276">
        <f t="shared" si="40"/>
        <v>0.25</v>
      </c>
    </row>
    <row r="277" spans="1:16" x14ac:dyDescent="0.4">
      <c r="A277">
        <v>0</v>
      </c>
      <c r="B277">
        <v>0.19047619047619047</v>
      </c>
      <c r="C277" s="23">
        <v>0.15384615384615385</v>
      </c>
      <c r="D277">
        <v>0.4</v>
      </c>
      <c r="E277">
        <v>0.17391304347826086</v>
      </c>
      <c r="F277">
        <v>0</v>
      </c>
      <c r="G277">
        <v>0</v>
      </c>
      <c r="H277">
        <v>0.33333333333333331</v>
      </c>
      <c r="I277">
        <f t="shared" si="33"/>
        <v>0</v>
      </c>
      <c r="J277">
        <f t="shared" si="34"/>
        <v>0.19047619047619047</v>
      </c>
      <c r="K277">
        <f t="shared" si="35"/>
        <v>0.15384615384615385</v>
      </c>
      <c r="L277">
        <f t="shared" si="36"/>
        <v>0.4</v>
      </c>
      <c r="M277">
        <f t="shared" si="37"/>
        <v>0.17391304347826086</v>
      </c>
      <c r="N277">
        <f t="shared" si="38"/>
        <v>0</v>
      </c>
      <c r="O277">
        <f t="shared" si="39"/>
        <v>0</v>
      </c>
      <c r="P277">
        <f t="shared" si="40"/>
        <v>0.33333333333333331</v>
      </c>
    </row>
    <row r="278" spans="1:16" x14ac:dyDescent="0.4">
      <c r="A278">
        <v>6.8965517241379309E-2</v>
      </c>
      <c r="B278">
        <v>0.4</v>
      </c>
      <c r="C278" s="24">
        <v>0.4</v>
      </c>
      <c r="D278">
        <v>0.5</v>
      </c>
      <c r="E278">
        <v>0.16666666666666666</v>
      </c>
      <c r="F278">
        <v>0.42857142857142855</v>
      </c>
      <c r="G278">
        <v>0</v>
      </c>
      <c r="H278">
        <v>0.15789473684210525</v>
      </c>
      <c r="I278">
        <f t="shared" si="33"/>
        <v>6.8965517241379309E-2</v>
      </c>
      <c r="J278">
        <f t="shared" si="34"/>
        <v>0.4</v>
      </c>
      <c r="K278">
        <f t="shared" si="35"/>
        <v>0.4</v>
      </c>
      <c r="L278">
        <f t="shared" si="36"/>
        <v>0.5</v>
      </c>
      <c r="M278">
        <f t="shared" si="37"/>
        <v>0.16666666666666666</v>
      </c>
      <c r="N278">
        <f t="shared" si="38"/>
        <v>0.42857142857142855</v>
      </c>
      <c r="O278">
        <f t="shared" si="39"/>
        <v>0</v>
      </c>
      <c r="P278">
        <f t="shared" si="40"/>
        <v>0.15789473684210525</v>
      </c>
    </row>
    <row r="279" spans="1:16" x14ac:dyDescent="0.4">
      <c r="A279">
        <v>0.21052631578947367</v>
      </c>
      <c r="B279">
        <v>0.33333333333333331</v>
      </c>
      <c r="C279" s="23">
        <v>0.2</v>
      </c>
      <c r="D279">
        <v>3.9215686274509803E-2</v>
      </c>
      <c r="E279">
        <v>0</v>
      </c>
      <c r="F279">
        <v>0.5</v>
      </c>
      <c r="G279">
        <v>0.1</v>
      </c>
      <c r="H279">
        <v>8.3333333333333329E-2</v>
      </c>
      <c r="I279">
        <f t="shared" si="33"/>
        <v>0.21052631578947367</v>
      </c>
      <c r="J279">
        <f t="shared" si="34"/>
        <v>0.33333333333333331</v>
      </c>
      <c r="K279">
        <f t="shared" si="35"/>
        <v>0.2</v>
      </c>
      <c r="L279">
        <f t="shared" si="36"/>
        <v>3.9215686274509803E-2</v>
      </c>
      <c r="M279">
        <f t="shared" si="37"/>
        <v>0</v>
      </c>
      <c r="N279">
        <f t="shared" si="38"/>
        <v>0.5</v>
      </c>
      <c r="O279">
        <f t="shared" si="39"/>
        <v>0.1</v>
      </c>
      <c r="P279">
        <f t="shared" si="40"/>
        <v>8.3333333333333329E-2</v>
      </c>
    </row>
    <row r="280" spans="1:16" x14ac:dyDescent="0.4">
      <c r="A280">
        <v>0.1111111111111111</v>
      </c>
      <c r="B280">
        <v>0.21052631578947367</v>
      </c>
      <c r="C280" s="24">
        <v>0.33333333333333331</v>
      </c>
      <c r="D280">
        <v>0.4</v>
      </c>
      <c r="E280">
        <v>0.17391304347826086</v>
      </c>
      <c r="F280">
        <v>0.22222222222222221</v>
      </c>
      <c r="G280">
        <v>0</v>
      </c>
      <c r="H280">
        <v>0</v>
      </c>
      <c r="I280">
        <f t="shared" si="33"/>
        <v>0.1111111111111111</v>
      </c>
      <c r="J280">
        <f t="shared" si="34"/>
        <v>0.21052631578947367</v>
      </c>
      <c r="K280">
        <f t="shared" si="35"/>
        <v>0.33333333333333331</v>
      </c>
      <c r="L280">
        <f t="shared" si="36"/>
        <v>0.4</v>
      </c>
      <c r="M280">
        <f t="shared" si="37"/>
        <v>0.17391304347826086</v>
      </c>
      <c r="N280">
        <f t="shared" si="38"/>
        <v>0.22222222222222221</v>
      </c>
      <c r="O280">
        <f t="shared" si="39"/>
        <v>0</v>
      </c>
      <c r="P280">
        <f t="shared" si="40"/>
        <v>0</v>
      </c>
    </row>
    <row r="281" spans="1:16" x14ac:dyDescent="0.4">
      <c r="A281">
        <v>0</v>
      </c>
      <c r="B281">
        <v>0.15384615384615385</v>
      </c>
      <c r="C281" s="23">
        <v>0.13793103448275862</v>
      </c>
      <c r="D281">
        <v>0.30769230769230771</v>
      </c>
      <c r="E281">
        <v>0.21052631578947367</v>
      </c>
      <c r="F281">
        <v>3.4482758620689655E-2</v>
      </c>
      <c r="G281">
        <v>0.13636363636363635</v>
      </c>
      <c r="H281">
        <v>0.23076923076923078</v>
      </c>
      <c r="I281">
        <f t="shared" si="33"/>
        <v>0</v>
      </c>
      <c r="J281">
        <f t="shared" si="34"/>
        <v>0.15384615384615385</v>
      </c>
      <c r="K281">
        <f t="shared" si="35"/>
        <v>0.13793103448275862</v>
      </c>
      <c r="L281">
        <f t="shared" si="36"/>
        <v>0.30769230769230771</v>
      </c>
      <c r="M281">
        <f t="shared" si="37"/>
        <v>0.21052631578947367</v>
      </c>
      <c r="N281">
        <f t="shared" si="38"/>
        <v>3.4482758620689655E-2</v>
      </c>
      <c r="O281">
        <f t="shared" si="39"/>
        <v>0.13636363636363635</v>
      </c>
      <c r="P281">
        <f t="shared" si="40"/>
        <v>0.23076923076923078</v>
      </c>
    </row>
    <row r="282" spans="1:16" x14ac:dyDescent="0.4">
      <c r="A282">
        <v>0.23529411764705882</v>
      </c>
      <c r="B282">
        <v>0.17391304347826086</v>
      </c>
      <c r="C282" s="24">
        <v>0.2</v>
      </c>
      <c r="D282">
        <v>4.49438202247191E-2</v>
      </c>
      <c r="E282">
        <v>0</v>
      </c>
      <c r="F282">
        <v>5.2631578947368418E-2</v>
      </c>
      <c r="G282">
        <v>9.5238095238095233E-2</v>
      </c>
      <c r="H282">
        <v>0</v>
      </c>
      <c r="I282">
        <f t="shared" si="33"/>
        <v>0.23529411764705882</v>
      </c>
      <c r="J282">
        <f t="shared" si="34"/>
        <v>0.17391304347826086</v>
      </c>
      <c r="K282">
        <f t="shared" si="35"/>
        <v>0.2</v>
      </c>
      <c r="L282">
        <f t="shared" si="36"/>
        <v>4.49438202247191E-2</v>
      </c>
      <c r="M282">
        <f t="shared" si="37"/>
        <v>0</v>
      </c>
      <c r="N282">
        <f t="shared" si="38"/>
        <v>5.2631578947368418E-2</v>
      </c>
      <c r="O282">
        <f t="shared" si="39"/>
        <v>9.5238095238095233E-2</v>
      </c>
      <c r="P282">
        <f t="shared" si="40"/>
        <v>0</v>
      </c>
    </row>
    <row r="283" spans="1:16" x14ac:dyDescent="0.4">
      <c r="A283">
        <v>0.19047619047619047</v>
      </c>
      <c r="B283">
        <v>0.2857142857142857</v>
      </c>
      <c r="C283" s="23">
        <v>0.10526315789473684</v>
      </c>
      <c r="D283">
        <v>4.9180327868852458E-2</v>
      </c>
      <c r="E283">
        <v>9.5238095238095233E-2</v>
      </c>
      <c r="F283">
        <v>2.7027027027027029E-2</v>
      </c>
      <c r="G283">
        <v>0.3</v>
      </c>
      <c r="H283">
        <v>6.1538461538461542E-2</v>
      </c>
      <c r="I283">
        <f t="shared" si="33"/>
        <v>0.19047619047619047</v>
      </c>
      <c r="J283">
        <f t="shared" si="34"/>
        <v>0.2857142857142857</v>
      </c>
      <c r="K283">
        <f t="shared" si="35"/>
        <v>0.10526315789473684</v>
      </c>
      <c r="L283">
        <f t="shared" si="36"/>
        <v>4.9180327868852458E-2</v>
      </c>
      <c r="M283">
        <f t="shared" si="37"/>
        <v>9.5238095238095233E-2</v>
      </c>
      <c r="N283">
        <f t="shared" si="38"/>
        <v>2.7027027027027029E-2</v>
      </c>
      <c r="O283">
        <f t="shared" si="39"/>
        <v>0.3</v>
      </c>
      <c r="P283">
        <f t="shared" si="40"/>
        <v>6.1538461538461542E-2</v>
      </c>
    </row>
    <row r="284" spans="1:16" x14ac:dyDescent="0.4">
      <c r="A284">
        <v>0</v>
      </c>
      <c r="B284">
        <v>0.16666666666666666</v>
      </c>
      <c r="C284" s="24">
        <v>0.25</v>
      </c>
      <c r="D284">
        <v>0.2857142857142857</v>
      </c>
      <c r="E284">
        <v>0.4</v>
      </c>
      <c r="F284">
        <v>6.25E-2</v>
      </c>
      <c r="G284">
        <v>8.8235294117647065E-2</v>
      </c>
      <c r="H284">
        <v>0</v>
      </c>
      <c r="I284">
        <f t="shared" si="33"/>
        <v>0</v>
      </c>
      <c r="J284">
        <f t="shared" si="34"/>
        <v>0.16666666666666666</v>
      </c>
      <c r="K284">
        <f t="shared" si="35"/>
        <v>0.25</v>
      </c>
      <c r="L284">
        <f t="shared" si="36"/>
        <v>0.2857142857142857</v>
      </c>
      <c r="M284">
        <f t="shared" si="37"/>
        <v>0.4</v>
      </c>
      <c r="N284">
        <f t="shared" si="38"/>
        <v>6.25E-2</v>
      </c>
      <c r="O284">
        <f t="shared" si="39"/>
        <v>8.8235294117647065E-2</v>
      </c>
      <c r="P284">
        <f t="shared" si="40"/>
        <v>0</v>
      </c>
    </row>
    <row r="285" spans="1:16" x14ac:dyDescent="0.4">
      <c r="A285">
        <v>0.36363636363636365</v>
      </c>
      <c r="B285">
        <v>0.05</v>
      </c>
      <c r="C285" s="23">
        <v>0.33333333333333331</v>
      </c>
      <c r="D285">
        <v>0.5</v>
      </c>
      <c r="E285">
        <v>0.1111111111111111</v>
      </c>
      <c r="F285">
        <v>8.3333333333333329E-2</v>
      </c>
      <c r="G285">
        <v>0.23529411764705882</v>
      </c>
      <c r="H285">
        <v>0</v>
      </c>
      <c r="I285">
        <f t="shared" si="33"/>
        <v>0.36363636363636365</v>
      </c>
      <c r="J285">
        <f t="shared" si="34"/>
        <v>0.05</v>
      </c>
      <c r="K285">
        <f t="shared" si="35"/>
        <v>0.33333333333333331</v>
      </c>
      <c r="L285">
        <f t="shared" si="36"/>
        <v>0.5</v>
      </c>
      <c r="M285">
        <f t="shared" si="37"/>
        <v>0.1111111111111111</v>
      </c>
      <c r="N285">
        <f t="shared" si="38"/>
        <v>8.3333333333333329E-2</v>
      </c>
      <c r="O285">
        <f t="shared" si="39"/>
        <v>0.23529411764705882</v>
      </c>
      <c r="P285">
        <f t="shared" si="40"/>
        <v>0</v>
      </c>
    </row>
    <row r="286" spans="1:16" x14ac:dyDescent="0.4">
      <c r="A286">
        <v>0.2</v>
      </c>
      <c r="B286">
        <v>0.2857142857142857</v>
      </c>
      <c r="C286" s="24">
        <v>0.4</v>
      </c>
      <c r="D286">
        <v>0.27272727272727271</v>
      </c>
      <c r="E286">
        <v>5.5555555555555552E-2</v>
      </c>
      <c r="F286">
        <v>0.1111111111111111</v>
      </c>
      <c r="G286">
        <v>8.3333333333333329E-2</v>
      </c>
      <c r="H286">
        <v>0.5714285714285714</v>
      </c>
      <c r="I286">
        <f t="shared" si="33"/>
        <v>0.2</v>
      </c>
      <c r="J286">
        <f t="shared" si="34"/>
        <v>0.2857142857142857</v>
      </c>
      <c r="K286">
        <f t="shared" si="35"/>
        <v>0.4</v>
      </c>
      <c r="L286">
        <f t="shared" si="36"/>
        <v>0.27272727272727271</v>
      </c>
      <c r="M286">
        <f t="shared" si="37"/>
        <v>5.5555555555555552E-2</v>
      </c>
      <c r="N286">
        <f t="shared" si="38"/>
        <v>0.1111111111111111</v>
      </c>
      <c r="O286">
        <f t="shared" si="39"/>
        <v>8.3333333333333329E-2</v>
      </c>
      <c r="P286">
        <f t="shared" si="40"/>
        <v>0.5714285714285714</v>
      </c>
    </row>
    <row r="287" spans="1:16" x14ac:dyDescent="0.4">
      <c r="A287">
        <v>0.25</v>
      </c>
      <c r="B287">
        <v>0.5714285714285714</v>
      </c>
      <c r="C287" s="23">
        <v>3.7037037037037035E-2</v>
      </c>
      <c r="D287">
        <v>0.16666666666666666</v>
      </c>
      <c r="E287">
        <v>0.23076923076923078</v>
      </c>
      <c r="F287">
        <v>5.1948051948051951E-2</v>
      </c>
      <c r="G287">
        <v>0</v>
      </c>
      <c r="H287">
        <v>0</v>
      </c>
      <c r="I287">
        <f t="shared" si="33"/>
        <v>0.25</v>
      </c>
      <c r="J287">
        <f t="shared" si="34"/>
        <v>0.5714285714285714</v>
      </c>
      <c r="K287">
        <f t="shared" si="35"/>
        <v>3.7037037037037035E-2</v>
      </c>
      <c r="L287">
        <f t="shared" si="36"/>
        <v>0.16666666666666666</v>
      </c>
      <c r="M287">
        <f t="shared" si="37"/>
        <v>0.23076923076923078</v>
      </c>
      <c r="N287">
        <f t="shared" si="38"/>
        <v>5.1948051948051951E-2</v>
      </c>
      <c r="O287">
        <f t="shared" si="39"/>
        <v>0</v>
      </c>
      <c r="P287">
        <f t="shared" si="40"/>
        <v>0</v>
      </c>
    </row>
    <row r="288" spans="1:16" x14ac:dyDescent="0.4">
      <c r="A288">
        <v>0.33333333333333331</v>
      </c>
      <c r="B288">
        <v>0.4</v>
      </c>
      <c r="C288" s="24">
        <v>0.25</v>
      </c>
      <c r="D288">
        <v>0.33333333333333331</v>
      </c>
      <c r="E288">
        <v>0</v>
      </c>
      <c r="F288">
        <v>0</v>
      </c>
      <c r="G288">
        <v>0.1111111111111111</v>
      </c>
      <c r="H288">
        <v>0.33333333333333331</v>
      </c>
      <c r="I288">
        <f t="shared" si="33"/>
        <v>0.33333333333333331</v>
      </c>
      <c r="J288">
        <f t="shared" si="34"/>
        <v>0.4</v>
      </c>
      <c r="K288">
        <f t="shared" si="35"/>
        <v>0.25</v>
      </c>
      <c r="L288">
        <f t="shared" si="36"/>
        <v>0.33333333333333331</v>
      </c>
      <c r="M288">
        <f t="shared" si="37"/>
        <v>0</v>
      </c>
      <c r="N288">
        <f t="shared" si="38"/>
        <v>0</v>
      </c>
      <c r="O288">
        <f t="shared" si="39"/>
        <v>0.1111111111111111</v>
      </c>
      <c r="P288">
        <f t="shared" si="40"/>
        <v>0.33333333333333331</v>
      </c>
    </row>
    <row r="289" spans="1:16" x14ac:dyDescent="0.4">
      <c r="A289">
        <v>0.44444444444444442</v>
      </c>
      <c r="B289">
        <v>2.8571428571428571E-2</v>
      </c>
      <c r="C289" s="23">
        <v>0.5714285714285714</v>
      </c>
      <c r="D289">
        <v>0.2857142857142857</v>
      </c>
      <c r="E289">
        <v>0</v>
      </c>
      <c r="F289">
        <v>0.16666666666666666</v>
      </c>
      <c r="G289">
        <v>0.1111111111111111</v>
      </c>
      <c r="H289">
        <v>0.16666666666666666</v>
      </c>
      <c r="I289">
        <f t="shared" si="33"/>
        <v>0.44444444444444442</v>
      </c>
      <c r="J289">
        <f t="shared" si="34"/>
        <v>2.8571428571428571E-2</v>
      </c>
      <c r="K289">
        <f t="shared" si="35"/>
        <v>0.5714285714285714</v>
      </c>
      <c r="L289">
        <f t="shared" si="36"/>
        <v>0.2857142857142857</v>
      </c>
      <c r="M289">
        <f t="shared" si="37"/>
        <v>0</v>
      </c>
      <c r="N289">
        <f t="shared" si="38"/>
        <v>0.16666666666666666</v>
      </c>
      <c r="O289">
        <f t="shared" si="39"/>
        <v>0.1111111111111111</v>
      </c>
      <c r="P289">
        <f t="shared" si="40"/>
        <v>0.16666666666666666</v>
      </c>
    </row>
    <row r="290" spans="1:16" x14ac:dyDescent="0.4">
      <c r="A290">
        <v>0.26666666666666666</v>
      </c>
      <c r="B290">
        <v>0.13793103448275862</v>
      </c>
      <c r="C290" s="24">
        <v>0.33333333333333331</v>
      </c>
      <c r="D290">
        <v>0.33333333333333331</v>
      </c>
      <c r="E290">
        <v>7.1428571428571425E-2</v>
      </c>
      <c r="F290">
        <v>0.3</v>
      </c>
      <c r="G290">
        <v>0.12</v>
      </c>
      <c r="H290">
        <v>5.2631578947368418E-2</v>
      </c>
      <c r="I290">
        <f t="shared" si="33"/>
        <v>0.26666666666666666</v>
      </c>
      <c r="J290">
        <f t="shared" si="34"/>
        <v>0.13793103448275862</v>
      </c>
      <c r="K290">
        <f t="shared" si="35"/>
        <v>0.33333333333333331</v>
      </c>
      <c r="L290">
        <f t="shared" si="36"/>
        <v>0.33333333333333331</v>
      </c>
      <c r="M290">
        <f t="shared" si="37"/>
        <v>7.1428571428571425E-2</v>
      </c>
      <c r="N290">
        <f t="shared" si="38"/>
        <v>0.3</v>
      </c>
      <c r="O290">
        <f t="shared" si="39"/>
        <v>0.12</v>
      </c>
      <c r="P290">
        <f t="shared" si="40"/>
        <v>5.2631578947368418E-2</v>
      </c>
    </row>
    <row r="291" spans="1:16" x14ac:dyDescent="0.4">
      <c r="A291">
        <v>0.36363636363636365</v>
      </c>
      <c r="B291">
        <v>0.66666666666666663</v>
      </c>
      <c r="C291" s="23">
        <v>0.5714285714285714</v>
      </c>
      <c r="D291">
        <v>1</v>
      </c>
      <c r="E291">
        <v>8.3333333333333329E-2</v>
      </c>
      <c r="F291">
        <v>0</v>
      </c>
      <c r="G291">
        <v>0</v>
      </c>
      <c r="H291">
        <v>0.5</v>
      </c>
      <c r="I291">
        <f t="shared" si="33"/>
        <v>0.36363636363636365</v>
      </c>
      <c r="J291">
        <f t="shared" si="34"/>
        <v>0.66666666666666663</v>
      </c>
      <c r="K291">
        <f t="shared" si="35"/>
        <v>0.5714285714285714</v>
      </c>
      <c r="L291">
        <f t="shared" si="36"/>
        <v>1</v>
      </c>
      <c r="M291">
        <f t="shared" si="37"/>
        <v>8.3333333333333329E-2</v>
      </c>
      <c r="N291">
        <f t="shared" si="38"/>
        <v>0</v>
      </c>
      <c r="O291">
        <f t="shared" si="39"/>
        <v>0</v>
      </c>
      <c r="P291">
        <f t="shared" si="40"/>
        <v>0.5</v>
      </c>
    </row>
    <row r="292" spans="1:16" x14ac:dyDescent="0.4">
      <c r="A292">
        <v>0.36363636363636365</v>
      </c>
      <c r="B292">
        <v>0.36363636363636365</v>
      </c>
      <c r="C292" s="24">
        <v>0.1</v>
      </c>
      <c r="D292">
        <v>0.30769230769230771</v>
      </c>
      <c r="E292">
        <v>8.3333333333333329E-2</v>
      </c>
      <c r="F292">
        <v>8.3333333333333329E-2</v>
      </c>
      <c r="G292">
        <v>0</v>
      </c>
      <c r="H292">
        <v>0</v>
      </c>
      <c r="I292">
        <f t="shared" si="33"/>
        <v>0.36363636363636365</v>
      </c>
      <c r="J292">
        <f t="shared" si="34"/>
        <v>0.36363636363636365</v>
      </c>
      <c r="K292">
        <f t="shared" si="35"/>
        <v>0.1</v>
      </c>
      <c r="L292">
        <f t="shared" si="36"/>
        <v>0.30769230769230771</v>
      </c>
      <c r="M292">
        <f t="shared" si="37"/>
        <v>8.3333333333333329E-2</v>
      </c>
      <c r="N292">
        <f t="shared" si="38"/>
        <v>8.3333333333333329E-2</v>
      </c>
      <c r="O292">
        <f t="shared" si="39"/>
        <v>0</v>
      </c>
      <c r="P292">
        <f t="shared" si="40"/>
        <v>0</v>
      </c>
    </row>
    <row r="293" spans="1:16" x14ac:dyDescent="0.4">
      <c r="A293">
        <v>0.13333333333333333</v>
      </c>
      <c r="B293">
        <v>0.17391304347826086</v>
      </c>
      <c r="C293" s="23">
        <v>0.5</v>
      </c>
      <c r="D293">
        <v>0.125</v>
      </c>
      <c r="E293">
        <v>0.11538461538461539</v>
      </c>
      <c r="F293">
        <v>0.14285714285714285</v>
      </c>
      <c r="G293">
        <v>4.7619047619047616E-2</v>
      </c>
      <c r="H293">
        <v>0.10714285714285714</v>
      </c>
      <c r="I293">
        <f t="shared" si="33"/>
        <v>0.13333333333333333</v>
      </c>
      <c r="J293">
        <f t="shared" si="34"/>
        <v>0.17391304347826086</v>
      </c>
      <c r="K293">
        <f t="shared" si="35"/>
        <v>0.5</v>
      </c>
      <c r="L293">
        <f t="shared" si="36"/>
        <v>0.125</v>
      </c>
      <c r="M293">
        <f t="shared" si="37"/>
        <v>0.11538461538461539</v>
      </c>
      <c r="N293">
        <f t="shared" si="38"/>
        <v>0.14285714285714285</v>
      </c>
      <c r="O293">
        <f t="shared" si="39"/>
        <v>4.7619047619047616E-2</v>
      </c>
      <c r="P293">
        <f t="shared" si="40"/>
        <v>0.10714285714285714</v>
      </c>
    </row>
    <row r="294" spans="1:16" x14ac:dyDescent="0.4">
      <c r="A294">
        <v>0.30769230769230771</v>
      </c>
      <c r="B294">
        <v>0.21052631578947367</v>
      </c>
      <c r="C294" s="24">
        <v>0.30769230769230771</v>
      </c>
      <c r="D294">
        <v>0.15384615384615385</v>
      </c>
      <c r="E294">
        <v>0.18181818181818182</v>
      </c>
      <c r="F294">
        <v>0</v>
      </c>
      <c r="G294">
        <v>0.11764705882352941</v>
      </c>
      <c r="H294">
        <v>4.1666666666666664E-2</v>
      </c>
      <c r="I294">
        <f t="shared" si="33"/>
        <v>0.30769230769230771</v>
      </c>
      <c r="J294">
        <f t="shared" si="34"/>
        <v>0.21052631578947367</v>
      </c>
      <c r="K294">
        <f t="shared" si="35"/>
        <v>0.30769230769230771</v>
      </c>
      <c r="L294">
        <f t="shared" si="36"/>
        <v>0.15384615384615385</v>
      </c>
      <c r="M294">
        <f t="shared" si="37"/>
        <v>0.18181818181818182</v>
      </c>
      <c r="N294">
        <f t="shared" si="38"/>
        <v>0</v>
      </c>
      <c r="O294">
        <f t="shared" si="39"/>
        <v>0.11764705882352941</v>
      </c>
      <c r="P294">
        <f t="shared" si="40"/>
        <v>4.1666666666666664E-2</v>
      </c>
    </row>
    <row r="295" spans="1:16" x14ac:dyDescent="0.4">
      <c r="A295">
        <v>0.25</v>
      </c>
      <c r="B295">
        <v>9.5238095238095233E-2</v>
      </c>
      <c r="C295" s="23">
        <v>0.44444444444444442</v>
      </c>
      <c r="D295">
        <v>0.25</v>
      </c>
      <c r="E295">
        <v>0.23076923076923078</v>
      </c>
      <c r="F295">
        <v>0.1111111111111111</v>
      </c>
      <c r="G295">
        <v>0.17391304347826086</v>
      </c>
      <c r="H295">
        <v>0</v>
      </c>
      <c r="I295">
        <f t="shared" si="33"/>
        <v>0.25</v>
      </c>
      <c r="J295">
        <f t="shared" si="34"/>
        <v>9.5238095238095233E-2</v>
      </c>
      <c r="K295">
        <f t="shared" si="35"/>
        <v>0.44444444444444442</v>
      </c>
      <c r="L295">
        <f t="shared" si="36"/>
        <v>0.25</v>
      </c>
      <c r="M295">
        <f t="shared" si="37"/>
        <v>0.23076923076923078</v>
      </c>
      <c r="N295">
        <f t="shared" si="38"/>
        <v>0.1111111111111111</v>
      </c>
      <c r="O295">
        <f t="shared" si="39"/>
        <v>0.17391304347826086</v>
      </c>
      <c r="P295">
        <f t="shared" si="40"/>
        <v>0</v>
      </c>
    </row>
    <row r="296" spans="1:16" x14ac:dyDescent="0.4">
      <c r="A296">
        <v>0.36363636363636365</v>
      </c>
      <c r="B296">
        <v>0.25</v>
      </c>
      <c r="C296" s="24">
        <v>0.16</v>
      </c>
      <c r="D296">
        <v>0.25</v>
      </c>
      <c r="E296">
        <v>0.1</v>
      </c>
      <c r="F296">
        <v>0.13636363636363635</v>
      </c>
      <c r="G296">
        <v>0</v>
      </c>
      <c r="H296">
        <v>0.25</v>
      </c>
      <c r="I296">
        <f t="shared" si="33"/>
        <v>0.36363636363636365</v>
      </c>
      <c r="J296">
        <f t="shared" si="34"/>
        <v>0.25</v>
      </c>
      <c r="K296">
        <f t="shared" si="35"/>
        <v>0.16</v>
      </c>
      <c r="L296">
        <f t="shared" si="36"/>
        <v>0.25</v>
      </c>
      <c r="M296">
        <f t="shared" si="37"/>
        <v>0.1</v>
      </c>
      <c r="N296">
        <f t="shared" si="38"/>
        <v>0.13636363636363635</v>
      </c>
      <c r="O296">
        <f t="shared" si="39"/>
        <v>0</v>
      </c>
      <c r="P296">
        <f t="shared" si="40"/>
        <v>0.25</v>
      </c>
    </row>
    <row r="297" spans="1:16" x14ac:dyDescent="0.4">
      <c r="A297">
        <v>0.33333333333333331</v>
      </c>
      <c r="B297">
        <v>0</v>
      </c>
      <c r="C297" s="23">
        <v>0.36363636363636365</v>
      </c>
      <c r="D297">
        <v>0.16666666666666666</v>
      </c>
      <c r="E297">
        <v>0.33333333333333331</v>
      </c>
      <c r="F297">
        <v>0.22222222222222221</v>
      </c>
      <c r="G297">
        <v>0.44444444444444442</v>
      </c>
      <c r="H297">
        <v>0</v>
      </c>
      <c r="I297">
        <f t="shared" si="33"/>
        <v>0.33333333333333331</v>
      </c>
      <c r="J297">
        <f t="shared" si="34"/>
        <v>0</v>
      </c>
      <c r="K297">
        <f t="shared" si="35"/>
        <v>0.36363636363636365</v>
      </c>
      <c r="L297">
        <f t="shared" si="36"/>
        <v>0.16666666666666666</v>
      </c>
      <c r="M297">
        <f t="shared" si="37"/>
        <v>0.33333333333333331</v>
      </c>
      <c r="N297">
        <f t="shared" si="38"/>
        <v>0.22222222222222221</v>
      </c>
      <c r="O297">
        <f t="shared" si="39"/>
        <v>0.44444444444444442</v>
      </c>
      <c r="P297">
        <f t="shared" si="40"/>
        <v>0</v>
      </c>
    </row>
    <row r="298" spans="1:16" x14ac:dyDescent="0.4">
      <c r="A298">
        <v>0.33333333333333331</v>
      </c>
      <c r="B298">
        <v>0.125</v>
      </c>
      <c r="C298" s="24">
        <v>7.6923076923076927E-2</v>
      </c>
      <c r="D298">
        <v>0.23529411764705882</v>
      </c>
      <c r="E298">
        <v>0</v>
      </c>
      <c r="F298">
        <v>0.17391304347826086</v>
      </c>
      <c r="G298">
        <v>0</v>
      </c>
      <c r="H298">
        <v>0</v>
      </c>
      <c r="I298">
        <f t="shared" si="33"/>
        <v>0.33333333333333331</v>
      </c>
      <c r="J298">
        <f t="shared" si="34"/>
        <v>0.125</v>
      </c>
      <c r="K298">
        <f t="shared" si="35"/>
        <v>7.6923076923076927E-2</v>
      </c>
      <c r="L298">
        <f t="shared" si="36"/>
        <v>0.23529411764705882</v>
      </c>
      <c r="M298">
        <f t="shared" si="37"/>
        <v>0</v>
      </c>
      <c r="N298">
        <f t="shared" si="38"/>
        <v>0.17391304347826086</v>
      </c>
      <c r="O298">
        <f t="shared" si="39"/>
        <v>0</v>
      </c>
      <c r="P298">
        <f t="shared" si="40"/>
        <v>0</v>
      </c>
    </row>
    <row r="299" spans="1:16" x14ac:dyDescent="0.4">
      <c r="A299">
        <v>0.11428571428571428</v>
      </c>
      <c r="B299">
        <v>0.4</v>
      </c>
      <c r="C299" s="23">
        <v>0.30769230769230771</v>
      </c>
      <c r="D299">
        <v>0.2</v>
      </c>
      <c r="E299">
        <v>5.8823529411764705E-2</v>
      </c>
      <c r="F299">
        <v>0.33333333333333331</v>
      </c>
      <c r="G299">
        <v>0.1111111111111111</v>
      </c>
      <c r="H299">
        <v>6.9767441860465115E-2</v>
      </c>
      <c r="I299">
        <f t="shared" si="33"/>
        <v>0.11428571428571428</v>
      </c>
      <c r="J299">
        <f t="shared" si="34"/>
        <v>0.4</v>
      </c>
      <c r="K299">
        <f t="shared" si="35"/>
        <v>0.30769230769230771</v>
      </c>
      <c r="L299">
        <f t="shared" si="36"/>
        <v>0.2</v>
      </c>
      <c r="M299">
        <f t="shared" si="37"/>
        <v>5.8823529411764705E-2</v>
      </c>
      <c r="N299">
        <f t="shared" si="38"/>
        <v>0.33333333333333331</v>
      </c>
      <c r="O299">
        <f t="shared" si="39"/>
        <v>0.1111111111111111</v>
      </c>
      <c r="P299">
        <f t="shared" si="40"/>
        <v>6.9767441860465115E-2</v>
      </c>
    </row>
    <row r="300" spans="1:16" x14ac:dyDescent="0.4">
      <c r="A300">
        <v>0.14814814814814814</v>
      </c>
      <c r="B300">
        <v>0</v>
      </c>
      <c r="C300" s="24">
        <v>0.125</v>
      </c>
      <c r="D300">
        <v>0.44444444444444442</v>
      </c>
      <c r="E300">
        <v>0</v>
      </c>
      <c r="F300">
        <v>0.8</v>
      </c>
      <c r="G300">
        <v>0.23529411764705882</v>
      </c>
      <c r="H300">
        <v>0.5</v>
      </c>
      <c r="I300">
        <f t="shared" si="33"/>
        <v>0.14814814814814814</v>
      </c>
      <c r="J300">
        <f t="shared" si="34"/>
        <v>0</v>
      </c>
      <c r="K300">
        <f t="shared" si="35"/>
        <v>0.125</v>
      </c>
      <c r="L300">
        <f t="shared" si="36"/>
        <v>0.44444444444444442</v>
      </c>
      <c r="M300">
        <f t="shared" si="37"/>
        <v>0</v>
      </c>
      <c r="N300">
        <f t="shared" si="38"/>
        <v>0.8</v>
      </c>
      <c r="O300">
        <f t="shared" si="39"/>
        <v>0.23529411764705882</v>
      </c>
      <c r="P300">
        <f t="shared" si="40"/>
        <v>0.5</v>
      </c>
    </row>
    <row r="301" spans="1:16" x14ac:dyDescent="0.4">
      <c r="A301">
        <v>0</v>
      </c>
      <c r="B301">
        <v>0.19047619047619047</v>
      </c>
      <c r="C301" s="23">
        <v>0.33333333333333331</v>
      </c>
      <c r="D301">
        <v>5.7971014492753624E-2</v>
      </c>
      <c r="E301">
        <v>0.44444444444444442</v>
      </c>
      <c r="F301">
        <v>0.33333333333333331</v>
      </c>
      <c r="G301">
        <v>0.13636363636363635</v>
      </c>
      <c r="H301">
        <v>0.02</v>
      </c>
      <c r="I301">
        <f t="shared" si="33"/>
        <v>0</v>
      </c>
      <c r="J301">
        <f t="shared" si="34"/>
        <v>0.19047619047619047</v>
      </c>
      <c r="K301">
        <f t="shared" si="35"/>
        <v>0.33333333333333331</v>
      </c>
      <c r="L301">
        <f t="shared" si="36"/>
        <v>5.7971014492753624E-2</v>
      </c>
      <c r="M301">
        <f t="shared" si="37"/>
        <v>0.44444444444444442</v>
      </c>
      <c r="N301">
        <f t="shared" si="38"/>
        <v>0.33333333333333331</v>
      </c>
      <c r="O301">
        <f t="shared" si="39"/>
        <v>0.13636363636363635</v>
      </c>
      <c r="P301">
        <f t="shared" si="40"/>
        <v>0.02</v>
      </c>
    </row>
    <row r="302" spans="1:16" x14ac:dyDescent="0.4">
      <c r="A302">
        <v>0.14285714285714285</v>
      </c>
      <c r="B302">
        <v>0.25</v>
      </c>
      <c r="C302" s="24">
        <v>0.4</v>
      </c>
      <c r="D302">
        <v>0.75</v>
      </c>
      <c r="E302">
        <v>0.125</v>
      </c>
      <c r="F302">
        <v>0.42857142857142855</v>
      </c>
      <c r="G302">
        <v>0</v>
      </c>
      <c r="H302">
        <v>1</v>
      </c>
      <c r="I302">
        <f t="shared" si="33"/>
        <v>0.14285714285714285</v>
      </c>
      <c r="J302">
        <f t="shared" si="34"/>
        <v>0.25</v>
      </c>
      <c r="K302">
        <f t="shared" si="35"/>
        <v>0.4</v>
      </c>
      <c r="L302">
        <f t="shared" si="36"/>
        <v>0.75</v>
      </c>
      <c r="M302">
        <f t="shared" si="37"/>
        <v>0.125</v>
      </c>
      <c r="N302">
        <f t="shared" si="38"/>
        <v>0.42857142857142855</v>
      </c>
      <c r="O302">
        <f t="shared" si="39"/>
        <v>0</v>
      </c>
      <c r="P302">
        <f t="shared" si="40"/>
        <v>1</v>
      </c>
    </row>
    <row r="303" spans="1:16" x14ac:dyDescent="0.4">
      <c r="A303">
        <v>0</v>
      </c>
      <c r="B303">
        <v>0.4</v>
      </c>
      <c r="C303" s="23">
        <v>0</v>
      </c>
      <c r="D303">
        <v>7.8947368421052627E-2</v>
      </c>
      <c r="E303">
        <v>0.21052631578947367</v>
      </c>
      <c r="F303">
        <v>0.44444444444444442</v>
      </c>
      <c r="G303">
        <v>0</v>
      </c>
      <c r="H303">
        <v>9.3023255813953487E-2</v>
      </c>
      <c r="I303">
        <f t="shared" si="33"/>
        <v>0</v>
      </c>
      <c r="J303">
        <f t="shared" si="34"/>
        <v>0.4</v>
      </c>
      <c r="K303">
        <f t="shared" si="35"/>
        <v>0</v>
      </c>
      <c r="L303">
        <f t="shared" si="36"/>
        <v>7.8947368421052627E-2</v>
      </c>
      <c r="M303">
        <f t="shared" si="37"/>
        <v>0.21052631578947367</v>
      </c>
      <c r="N303">
        <f t="shared" si="38"/>
        <v>0.44444444444444442</v>
      </c>
      <c r="O303">
        <f t="shared" si="39"/>
        <v>0</v>
      </c>
      <c r="P303">
        <f t="shared" si="40"/>
        <v>9.3023255813953487E-2</v>
      </c>
    </row>
    <row r="304" spans="1:16" x14ac:dyDescent="0.4">
      <c r="A304">
        <v>8.1081081081081086E-2</v>
      </c>
      <c r="B304">
        <v>0</v>
      </c>
      <c r="C304" s="24">
        <v>6.4516129032258063E-2</v>
      </c>
      <c r="D304">
        <v>0.2857142857142857</v>
      </c>
      <c r="E304">
        <v>0.12121212121212122</v>
      </c>
      <c r="F304">
        <v>1.6949152542372881E-2</v>
      </c>
      <c r="G304">
        <v>0.2857142857142857</v>
      </c>
      <c r="H304">
        <v>0.2</v>
      </c>
      <c r="I304">
        <f t="shared" si="33"/>
        <v>8.1081081081081086E-2</v>
      </c>
      <c r="J304">
        <f t="shared" si="34"/>
        <v>0</v>
      </c>
      <c r="K304">
        <f t="shared" si="35"/>
        <v>6.4516129032258063E-2</v>
      </c>
      <c r="L304">
        <f t="shared" si="36"/>
        <v>0.2857142857142857</v>
      </c>
      <c r="M304">
        <f t="shared" si="37"/>
        <v>0.12121212121212122</v>
      </c>
      <c r="N304">
        <f t="shared" si="38"/>
        <v>1.6949152542372881E-2</v>
      </c>
      <c r="O304">
        <f t="shared" si="39"/>
        <v>0.2857142857142857</v>
      </c>
      <c r="P304">
        <f t="shared" si="40"/>
        <v>0.2</v>
      </c>
    </row>
    <row r="305" spans="1:16" x14ac:dyDescent="0.4">
      <c r="A305">
        <v>0.44444444444444442</v>
      </c>
      <c r="B305">
        <v>0.4</v>
      </c>
      <c r="C305" s="23">
        <v>0.26666666666666666</v>
      </c>
      <c r="D305">
        <v>9.0909090909090912E-2</v>
      </c>
      <c r="E305">
        <v>0</v>
      </c>
      <c r="F305">
        <v>0</v>
      </c>
      <c r="G305">
        <v>0.2857142857142857</v>
      </c>
      <c r="H305">
        <v>0.5</v>
      </c>
      <c r="I305">
        <f t="shared" si="33"/>
        <v>0.44444444444444442</v>
      </c>
      <c r="J305">
        <f t="shared" si="34"/>
        <v>0.4</v>
      </c>
      <c r="K305">
        <f t="shared" si="35"/>
        <v>0.26666666666666666</v>
      </c>
      <c r="L305">
        <f t="shared" si="36"/>
        <v>9.0909090909090912E-2</v>
      </c>
      <c r="M305">
        <f t="shared" si="37"/>
        <v>0</v>
      </c>
      <c r="N305">
        <f t="shared" si="38"/>
        <v>0</v>
      </c>
      <c r="O305">
        <f t="shared" si="39"/>
        <v>0.2857142857142857</v>
      </c>
      <c r="P305">
        <f t="shared" si="40"/>
        <v>0.5</v>
      </c>
    </row>
    <row r="306" spans="1:16" x14ac:dyDescent="0.4">
      <c r="A306">
        <v>0.23529411764705882</v>
      </c>
      <c r="B306">
        <v>0.16</v>
      </c>
      <c r="C306" s="24">
        <v>0.44444444444444442</v>
      </c>
      <c r="D306">
        <v>0.33333333333333331</v>
      </c>
      <c r="E306">
        <v>0</v>
      </c>
      <c r="F306">
        <v>0</v>
      </c>
      <c r="G306">
        <v>9.0909090909090912E-2</v>
      </c>
      <c r="H306">
        <v>0</v>
      </c>
      <c r="I306">
        <f t="shared" si="33"/>
        <v>0.23529411764705882</v>
      </c>
      <c r="J306">
        <f t="shared" si="34"/>
        <v>0.16</v>
      </c>
      <c r="K306">
        <f t="shared" si="35"/>
        <v>0.44444444444444442</v>
      </c>
      <c r="L306">
        <f t="shared" si="36"/>
        <v>0.33333333333333331</v>
      </c>
      <c r="M306">
        <f t="shared" si="37"/>
        <v>0</v>
      </c>
      <c r="N306">
        <f t="shared" si="38"/>
        <v>0</v>
      </c>
      <c r="O306">
        <f t="shared" si="39"/>
        <v>9.0909090909090912E-2</v>
      </c>
      <c r="P306">
        <f t="shared" si="40"/>
        <v>0</v>
      </c>
    </row>
    <row r="307" spans="1:16" x14ac:dyDescent="0.4">
      <c r="A307">
        <v>0.17391304347826086</v>
      </c>
      <c r="B307">
        <v>0.30769230769230771</v>
      </c>
      <c r="C307" s="23">
        <v>0.30769230769230771</v>
      </c>
      <c r="D307">
        <v>0.22222222222222221</v>
      </c>
      <c r="E307">
        <v>4.5454545454545456E-2</v>
      </c>
      <c r="F307">
        <v>0.27272727272727271</v>
      </c>
      <c r="G307">
        <v>0</v>
      </c>
      <c r="H307">
        <v>0</v>
      </c>
      <c r="I307">
        <f t="shared" si="33"/>
        <v>0.17391304347826086</v>
      </c>
      <c r="J307">
        <f t="shared" si="34"/>
        <v>0.30769230769230771</v>
      </c>
      <c r="K307">
        <f t="shared" si="35"/>
        <v>0.30769230769230771</v>
      </c>
      <c r="L307">
        <f t="shared" si="36"/>
        <v>0.22222222222222221</v>
      </c>
      <c r="M307">
        <f t="shared" si="37"/>
        <v>4.5454545454545456E-2</v>
      </c>
      <c r="N307">
        <f t="shared" si="38"/>
        <v>0.27272727272727271</v>
      </c>
      <c r="O307">
        <f t="shared" si="39"/>
        <v>0</v>
      </c>
      <c r="P307">
        <f t="shared" si="40"/>
        <v>0</v>
      </c>
    </row>
    <row r="308" spans="1:16" x14ac:dyDescent="0.4">
      <c r="A308">
        <v>7.407407407407407E-2</v>
      </c>
      <c r="B308">
        <v>0.10256410256410256</v>
      </c>
      <c r="C308" s="24">
        <v>0.23529411764705882</v>
      </c>
      <c r="D308">
        <v>0.44444444444444442</v>
      </c>
      <c r="E308">
        <v>0.17391304347826086</v>
      </c>
      <c r="F308">
        <v>0</v>
      </c>
      <c r="G308">
        <v>8.1081081081081086E-2</v>
      </c>
      <c r="H308">
        <v>0.33333333333333331</v>
      </c>
      <c r="I308">
        <f t="shared" si="33"/>
        <v>7.407407407407407E-2</v>
      </c>
      <c r="J308">
        <f t="shared" si="34"/>
        <v>0.10256410256410256</v>
      </c>
      <c r="K308">
        <f t="shared" si="35"/>
        <v>0.23529411764705882</v>
      </c>
      <c r="L308">
        <f t="shared" si="36"/>
        <v>0.44444444444444442</v>
      </c>
      <c r="M308">
        <f t="shared" si="37"/>
        <v>0.17391304347826086</v>
      </c>
      <c r="N308">
        <f t="shared" si="38"/>
        <v>0</v>
      </c>
      <c r="O308">
        <f t="shared" si="39"/>
        <v>8.1081081081081086E-2</v>
      </c>
      <c r="P308">
        <f t="shared" si="40"/>
        <v>0.33333333333333331</v>
      </c>
    </row>
    <row r="309" spans="1:16" x14ac:dyDescent="0.4">
      <c r="A309">
        <v>0</v>
      </c>
      <c r="B309">
        <v>0.22222222222222221</v>
      </c>
      <c r="C309" s="23">
        <v>0.16666666666666666</v>
      </c>
      <c r="D309">
        <v>0.44444444444444442</v>
      </c>
      <c r="E309">
        <v>0.15384615384615385</v>
      </c>
      <c r="F309">
        <v>0</v>
      </c>
      <c r="G309">
        <v>2.8571428571428571E-2</v>
      </c>
      <c r="H309">
        <v>0</v>
      </c>
      <c r="I309">
        <f t="shared" si="33"/>
        <v>0</v>
      </c>
      <c r="J309">
        <f t="shared" si="34"/>
        <v>0.22222222222222221</v>
      </c>
      <c r="K309">
        <f t="shared" si="35"/>
        <v>0.16666666666666666</v>
      </c>
      <c r="L309">
        <f t="shared" si="36"/>
        <v>0.44444444444444442</v>
      </c>
      <c r="M309">
        <f t="shared" si="37"/>
        <v>0.15384615384615385</v>
      </c>
      <c r="N309">
        <f t="shared" si="38"/>
        <v>0</v>
      </c>
      <c r="O309">
        <f t="shared" si="39"/>
        <v>2.8571428571428571E-2</v>
      </c>
      <c r="P309">
        <f t="shared" si="40"/>
        <v>0</v>
      </c>
    </row>
    <row r="310" spans="1:16" x14ac:dyDescent="0.4">
      <c r="A310">
        <v>0.12121212121212122</v>
      </c>
      <c r="B310">
        <v>0</v>
      </c>
      <c r="C310" s="24">
        <v>0.22222222222222221</v>
      </c>
      <c r="D310">
        <v>0.30769230769230771</v>
      </c>
      <c r="E310">
        <v>0.10714285714285714</v>
      </c>
      <c r="F310">
        <v>0.21428571428571427</v>
      </c>
      <c r="G310">
        <v>0.14814814814814814</v>
      </c>
      <c r="H310">
        <v>8.3333333333333329E-2</v>
      </c>
      <c r="I310">
        <f t="shared" si="33"/>
        <v>0.12121212121212122</v>
      </c>
      <c r="J310">
        <f t="shared" si="34"/>
        <v>0</v>
      </c>
      <c r="K310">
        <f t="shared" si="35"/>
        <v>0.22222222222222221</v>
      </c>
      <c r="L310">
        <f t="shared" si="36"/>
        <v>0.30769230769230771</v>
      </c>
      <c r="M310">
        <f t="shared" si="37"/>
        <v>0.10714285714285714</v>
      </c>
      <c r="N310">
        <f t="shared" si="38"/>
        <v>0.21428571428571427</v>
      </c>
      <c r="O310">
        <f t="shared" si="39"/>
        <v>0.14814814814814814</v>
      </c>
      <c r="P310">
        <f t="shared" si="40"/>
        <v>8.3333333333333329E-2</v>
      </c>
    </row>
    <row r="311" spans="1:16" x14ac:dyDescent="0.4">
      <c r="A311">
        <v>0.16666666666666666</v>
      </c>
      <c r="B311">
        <v>0.25</v>
      </c>
      <c r="C311" s="23">
        <v>0.22222222222222221</v>
      </c>
      <c r="D311">
        <v>0.33333333333333331</v>
      </c>
      <c r="E311">
        <v>0</v>
      </c>
      <c r="F311">
        <v>5.8823529411764705E-2</v>
      </c>
      <c r="G311">
        <v>0.16666666666666666</v>
      </c>
      <c r="H311">
        <v>0</v>
      </c>
      <c r="I311">
        <f t="shared" si="33"/>
        <v>0.16666666666666666</v>
      </c>
      <c r="J311">
        <f t="shared" si="34"/>
        <v>0.25</v>
      </c>
      <c r="K311">
        <f t="shared" si="35"/>
        <v>0.22222222222222221</v>
      </c>
      <c r="L311">
        <f t="shared" si="36"/>
        <v>0.33333333333333331</v>
      </c>
      <c r="M311">
        <f t="shared" si="37"/>
        <v>0</v>
      </c>
      <c r="N311">
        <f t="shared" si="38"/>
        <v>5.8823529411764705E-2</v>
      </c>
      <c r="O311">
        <f t="shared" si="39"/>
        <v>0.16666666666666666</v>
      </c>
      <c r="P311">
        <f t="shared" si="40"/>
        <v>0</v>
      </c>
    </row>
    <row r="312" spans="1:16" x14ac:dyDescent="0.4">
      <c r="A312">
        <v>0.2857142857142857</v>
      </c>
      <c r="B312">
        <v>0.1</v>
      </c>
      <c r="C312" s="24">
        <v>0.2</v>
      </c>
      <c r="D312">
        <v>5.4054054054054057E-2</v>
      </c>
      <c r="E312">
        <v>7.6923076923076927E-2</v>
      </c>
      <c r="F312">
        <v>0.05</v>
      </c>
      <c r="G312">
        <v>0.23529411764705882</v>
      </c>
      <c r="H312">
        <v>3.0927835051546393E-2</v>
      </c>
      <c r="I312">
        <f t="shared" si="33"/>
        <v>0.2857142857142857</v>
      </c>
      <c r="J312">
        <f t="shared" si="34"/>
        <v>0.1</v>
      </c>
      <c r="K312">
        <f t="shared" si="35"/>
        <v>0.2</v>
      </c>
      <c r="L312">
        <f t="shared" si="36"/>
        <v>5.4054054054054057E-2</v>
      </c>
      <c r="M312">
        <f t="shared" si="37"/>
        <v>7.6923076923076927E-2</v>
      </c>
      <c r="N312">
        <f t="shared" si="38"/>
        <v>0.05</v>
      </c>
      <c r="O312">
        <f t="shared" si="39"/>
        <v>0.23529411764705882</v>
      </c>
      <c r="P312">
        <f t="shared" si="40"/>
        <v>3.0927835051546393E-2</v>
      </c>
    </row>
    <row r="313" spans="1:16" x14ac:dyDescent="0.4">
      <c r="A313">
        <v>0.14814814814814814</v>
      </c>
      <c r="B313">
        <v>3.7037037037037035E-2</v>
      </c>
      <c r="C313" s="23">
        <v>9.9009900990099011E-3</v>
      </c>
      <c r="D313">
        <v>0.30769230769230771</v>
      </c>
      <c r="E313">
        <v>0.04</v>
      </c>
      <c r="F313">
        <v>4.1237113402061855E-2</v>
      </c>
      <c r="G313">
        <v>0.17391304347826086</v>
      </c>
      <c r="H313">
        <v>0.18181818181818182</v>
      </c>
      <c r="I313">
        <f t="shared" si="33"/>
        <v>0.14814814814814814</v>
      </c>
      <c r="J313">
        <f t="shared" si="34"/>
        <v>3.7037037037037035E-2</v>
      </c>
      <c r="K313">
        <f t="shared" si="35"/>
        <v>9.9009900990099011E-3</v>
      </c>
      <c r="L313">
        <f t="shared" si="36"/>
        <v>0.30769230769230771</v>
      </c>
      <c r="M313">
        <f t="shared" si="37"/>
        <v>0.04</v>
      </c>
      <c r="N313">
        <f t="shared" si="38"/>
        <v>4.1237113402061855E-2</v>
      </c>
      <c r="O313">
        <f t="shared" si="39"/>
        <v>0.17391304347826086</v>
      </c>
      <c r="P313">
        <f t="shared" si="40"/>
        <v>0.18181818181818182</v>
      </c>
    </row>
    <row r="314" spans="1:16" x14ac:dyDescent="0.4">
      <c r="A314">
        <v>0.4</v>
      </c>
      <c r="B314">
        <v>0.36363636363636365</v>
      </c>
      <c r="C314" s="24">
        <v>1.7241379310344827E-2</v>
      </c>
      <c r="D314">
        <v>0.5714285714285714</v>
      </c>
      <c r="E314">
        <v>0</v>
      </c>
      <c r="F314">
        <v>0</v>
      </c>
      <c r="G314">
        <v>0.25</v>
      </c>
      <c r="H314">
        <v>0.2</v>
      </c>
      <c r="I314">
        <f t="shared" si="33"/>
        <v>0.4</v>
      </c>
      <c r="J314">
        <f t="shared" si="34"/>
        <v>0.36363636363636365</v>
      </c>
      <c r="K314">
        <f t="shared" si="35"/>
        <v>1.7241379310344827E-2</v>
      </c>
      <c r="L314">
        <f t="shared" si="36"/>
        <v>0.5714285714285714</v>
      </c>
      <c r="M314">
        <f t="shared" si="37"/>
        <v>0</v>
      </c>
      <c r="N314">
        <f t="shared" si="38"/>
        <v>0</v>
      </c>
      <c r="O314">
        <f t="shared" si="39"/>
        <v>0.25</v>
      </c>
      <c r="P314">
        <f t="shared" si="40"/>
        <v>0.2</v>
      </c>
    </row>
    <row r="315" spans="1:16" x14ac:dyDescent="0.4">
      <c r="A315">
        <v>0.19047619047619047</v>
      </c>
      <c r="B315">
        <v>0.22222222222222221</v>
      </c>
      <c r="C315" s="23">
        <v>0.1111111111111111</v>
      </c>
      <c r="D315">
        <v>0.2</v>
      </c>
      <c r="E315">
        <v>0</v>
      </c>
      <c r="F315">
        <v>8.3333333333333329E-2</v>
      </c>
      <c r="G315">
        <v>0</v>
      </c>
      <c r="H315">
        <v>0.16</v>
      </c>
      <c r="I315">
        <f t="shared" si="33"/>
        <v>0.19047619047619047</v>
      </c>
      <c r="J315">
        <f t="shared" si="34"/>
        <v>0.22222222222222221</v>
      </c>
      <c r="K315">
        <f t="shared" si="35"/>
        <v>0.1111111111111111</v>
      </c>
      <c r="L315">
        <f t="shared" si="36"/>
        <v>0.2</v>
      </c>
      <c r="M315">
        <f t="shared" si="37"/>
        <v>0</v>
      </c>
      <c r="N315">
        <f t="shared" si="38"/>
        <v>8.3333333333333329E-2</v>
      </c>
      <c r="O315">
        <f t="shared" si="39"/>
        <v>0</v>
      </c>
      <c r="P315">
        <f t="shared" si="40"/>
        <v>0.16</v>
      </c>
    </row>
    <row r="316" spans="1:16" x14ac:dyDescent="0.4">
      <c r="A316">
        <v>0.23529411764705882</v>
      </c>
      <c r="B316">
        <v>0.2</v>
      </c>
      <c r="C316" s="24">
        <v>7.6923076923076927E-2</v>
      </c>
      <c r="D316">
        <v>1.9607843137254902E-2</v>
      </c>
      <c r="E316">
        <v>5.2631578947368418E-2</v>
      </c>
      <c r="F316">
        <v>0.36363636363636365</v>
      </c>
      <c r="G316">
        <v>0.1875</v>
      </c>
      <c r="H316">
        <v>7.1428571428571425E-2</v>
      </c>
      <c r="I316">
        <f t="shared" si="33"/>
        <v>0.23529411764705882</v>
      </c>
      <c r="J316">
        <f t="shared" si="34"/>
        <v>0.2</v>
      </c>
      <c r="K316">
        <f t="shared" si="35"/>
        <v>7.6923076923076927E-2</v>
      </c>
      <c r="L316">
        <f t="shared" si="36"/>
        <v>1.9607843137254902E-2</v>
      </c>
      <c r="M316">
        <f t="shared" si="37"/>
        <v>5.2631578947368418E-2</v>
      </c>
      <c r="N316">
        <f t="shared" si="38"/>
        <v>0.36363636363636365</v>
      </c>
      <c r="O316">
        <f t="shared" si="39"/>
        <v>0.1875</v>
      </c>
      <c r="P316">
        <f t="shared" si="40"/>
        <v>7.1428571428571425E-2</v>
      </c>
    </row>
    <row r="317" spans="1:16" x14ac:dyDescent="0.4">
      <c r="A317">
        <v>7.6923076923076927E-2</v>
      </c>
      <c r="B317">
        <v>0.44444444444444442</v>
      </c>
      <c r="C317" s="23">
        <v>0.4</v>
      </c>
      <c r="D317">
        <v>0.23529411764705882</v>
      </c>
      <c r="E317">
        <v>0.4</v>
      </c>
      <c r="F317">
        <v>0.5</v>
      </c>
      <c r="G317">
        <v>0</v>
      </c>
      <c r="H317">
        <v>0</v>
      </c>
      <c r="I317">
        <f t="shared" si="33"/>
        <v>7.6923076923076927E-2</v>
      </c>
      <c r="J317">
        <f t="shared" si="34"/>
        <v>0.44444444444444442</v>
      </c>
      <c r="K317">
        <f t="shared" si="35"/>
        <v>0.4</v>
      </c>
      <c r="L317">
        <f t="shared" si="36"/>
        <v>0.23529411764705882</v>
      </c>
      <c r="M317">
        <f t="shared" si="37"/>
        <v>0.4</v>
      </c>
      <c r="N317">
        <f t="shared" si="38"/>
        <v>0.5</v>
      </c>
      <c r="O317">
        <f t="shared" si="39"/>
        <v>0</v>
      </c>
      <c r="P317">
        <f t="shared" si="40"/>
        <v>0</v>
      </c>
    </row>
    <row r="318" spans="1:16" x14ac:dyDescent="0.4">
      <c r="A318">
        <v>0.2857142857142857</v>
      </c>
      <c r="B318">
        <v>0.16666666666666666</v>
      </c>
      <c r="C318" s="24">
        <v>0.36363636363636365</v>
      </c>
      <c r="D318">
        <v>0.33333333333333331</v>
      </c>
      <c r="E318">
        <v>0.18181818181818182</v>
      </c>
      <c r="F318">
        <v>0.375</v>
      </c>
      <c r="G318">
        <v>9.0909090909090912E-2</v>
      </c>
      <c r="H318">
        <v>6.6666666666666666E-2</v>
      </c>
      <c r="I318">
        <f t="shared" si="33"/>
        <v>0.2857142857142857</v>
      </c>
      <c r="J318">
        <f t="shared" si="34"/>
        <v>0.16666666666666666</v>
      </c>
      <c r="K318">
        <f t="shared" si="35"/>
        <v>0.36363636363636365</v>
      </c>
      <c r="L318">
        <f t="shared" si="36"/>
        <v>0.33333333333333331</v>
      </c>
      <c r="M318">
        <f t="shared" si="37"/>
        <v>0.18181818181818182</v>
      </c>
      <c r="N318">
        <f t="shared" si="38"/>
        <v>0.375</v>
      </c>
      <c r="O318">
        <f t="shared" si="39"/>
        <v>9.0909090909090912E-2</v>
      </c>
      <c r="P318">
        <f t="shared" si="40"/>
        <v>6.6666666666666666E-2</v>
      </c>
    </row>
    <row r="319" spans="1:16" x14ac:dyDescent="0.4">
      <c r="A319">
        <v>6.25E-2</v>
      </c>
      <c r="B319">
        <v>0.36363636363636365</v>
      </c>
      <c r="C319" s="23">
        <v>0.5714285714285714</v>
      </c>
      <c r="D319">
        <v>0.26666666666666666</v>
      </c>
      <c r="E319">
        <v>0.14285714285714285</v>
      </c>
      <c r="F319">
        <v>0.75</v>
      </c>
      <c r="G319">
        <v>0</v>
      </c>
      <c r="H319">
        <v>0.08</v>
      </c>
      <c r="I319">
        <f t="shared" si="33"/>
        <v>6.25E-2</v>
      </c>
      <c r="J319">
        <f t="shared" si="34"/>
        <v>0.36363636363636365</v>
      </c>
      <c r="K319">
        <f t="shared" si="35"/>
        <v>0.5714285714285714</v>
      </c>
      <c r="L319">
        <f t="shared" si="36"/>
        <v>0.26666666666666666</v>
      </c>
      <c r="M319">
        <f t="shared" si="37"/>
        <v>0.14285714285714285</v>
      </c>
      <c r="N319">
        <f t="shared" si="38"/>
        <v>0.75</v>
      </c>
      <c r="O319">
        <f t="shared" si="39"/>
        <v>0</v>
      </c>
      <c r="P319">
        <f t="shared" si="40"/>
        <v>0.08</v>
      </c>
    </row>
    <row r="320" spans="1:16" x14ac:dyDescent="0.4">
      <c r="A320">
        <v>0.15384615384615385</v>
      </c>
      <c r="B320">
        <v>0</v>
      </c>
      <c r="C320" s="24">
        <v>0.22222222222222221</v>
      </c>
      <c r="D320">
        <v>6.6666666666666666E-2</v>
      </c>
      <c r="E320">
        <v>0.14285714285714285</v>
      </c>
      <c r="F320">
        <v>0.2</v>
      </c>
      <c r="G320">
        <v>0.25</v>
      </c>
      <c r="H320">
        <v>0.26666666666666666</v>
      </c>
      <c r="I320">
        <f t="shared" si="33"/>
        <v>0.15384615384615385</v>
      </c>
      <c r="J320">
        <f t="shared" si="34"/>
        <v>0</v>
      </c>
      <c r="K320">
        <f t="shared" si="35"/>
        <v>0.22222222222222221</v>
      </c>
      <c r="L320">
        <f t="shared" si="36"/>
        <v>6.6666666666666666E-2</v>
      </c>
      <c r="M320">
        <f t="shared" si="37"/>
        <v>0.14285714285714285</v>
      </c>
      <c r="N320">
        <f t="shared" si="38"/>
        <v>0.2</v>
      </c>
      <c r="O320">
        <f t="shared" si="39"/>
        <v>0.25</v>
      </c>
      <c r="P320">
        <f t="shared" si="40"/>
        <v>0.26666666666666666</v>
      </c>
    </row>
    <row r="321" spans="1:16" x14ac:dyDescent="0.4">
      <c r="A321">
        <v>0.4</v>
      </c>
      <c r="B321">
        <v>0.15384615384615385</v>
      </c>
      <c r="C321" s="23">
        <v>0.4</v>
      </c>
      <c r="D321">
        <v>0.30769230769230771</v>
      </c>
      <c r="E321">
        <v>0.125</v>
      </c>
      <c r="F321">
        <v>0.1111111111111111</v>
      </c>
      <c r="G321">
        <v>4.3478260869565216E-2</v>
      </c>
      <c r="H321">
        <v>7.1428571428571425E-2</v>
      </c>
      <c r="I321">
        <f t="shared" si="33"/>
        <v>0.4</v>
      </c>
      <c r="J321">
        <f t="shared" si="34"/>
        <v>0.15384615384615385</v>
      </c>
      <c r="K321">
        <f t="shared" si="35"/>
        <v>0.4</v>
      </c>
      <c r="L321">
        <f t="shared" si="36"/>
        <v>0.30769230769230771</v>
      </c>
      <c r="M321">
        <f t="shared" si="37"/>
        <v>0.125</v>
      </c>
      <c r="N321">
        <f t="shared" si="38"/>
        <v>0.1111111111111111</v>
      </c>
      <c r="O321">
        <f t="shared" si="39"/>
        <v>4.3478260869565216E-2</v>
      </c>
      <c r="P321">
        <f t="shared" si="40"/>
        <v>7.1428571428571425E-2</v>
      </c>
    </row>
    <row r="322" spans="1:16" x14ac:dyDescent="0.4">
      <c r="A322">
        <v>0.30769230769230771</v>
      </c>
      <c r="B322">
        <v>0.11428571428571428</v>
      </c>
      <c r="C322" s="24">
        <v>0.5714285714285714</v>
      </c>
      <c r="D322">
        <v>0.5</v>
      </c>
      <c r="E322">
        <v>8.3333333333333329E-2</v>
      </c>
      <c r="F322">
        <v>0.16666666666666666</v>
      </c>
      <c r="G322">
        <v>6.25E-2</v>
      </c>
      <c r="H322">
        <v>0.14285714285714285</v>
      </c>
      <c r="I322">
        <f t="shared" si="33"/>
        <v>0.30769230769230771</v>
      </c>
      <c r="J322">
        <f t="shared" si="34"/>
        <v>0.11428571428571428</v>
      </c>
      <c r="K322">
        <f t="shared" si="35"/>
        <v>0.5714285714285714</v>
      </c>
      <c r="L322">
        <f t="shared" si="36"/>
        <v>0.5</v>
      </c>
      <c r="M322">
        <f t="shared" si="37"/>
        <v>8.3333333333333329E-2</v>
      </c>
      <c r="N322">
        <f t="shared" si="38"/>
        <v>0.16666666666666666</v>
      </c>
      <c r="O322">
        <f t="shared" si="39"/>
        <v>6.25E-2</v>
      </c>
      <c r="P322">
        <f t="shared" si="40"/>
        <v>0.14285714285714285</v>
      </c>
    </row>
    <row r="323" spans="1:16" x14ac:dyDescent="0.4">
      <c r="A323">
        <v>0.17391304347826086</v>
      </c>
      <c r="B323">
        <v>0.36363636363636365</v>
      </c>
      <c r="C323" s="23">
        <v>4.3010752688172046E-2</v>
      </c>
      <c r="D323">
        <v>0.5</v>
      </c>
      <c r="E323">
        <v>4.5454545454545456E-2</v>
      </c>
      <c r="F323">
        <v>3.3333333333333333E-2</v>
      </c>
      <c r="G323">
        <v>0.1111111111111111</v>
      </c>
      <c r="H323">
        <v>9.0909090909090912E-2</v>
      </c>
      <c r="I323">
        <f t="shared" si="33"/>
        <v>0.17391304347826086</v>
      </c>
      <c r="J323">
        <f t="shared" si="34"/>
        <v>0.36363636363636365</v>
      </c>
      <c r="K323">
        <f t="shared" si="35"/>
        <v>4.3010752688172046E-2</v>
      </c>
      <c r="L323">
        <f t="shared" si="36"/>
        <v>0.5</v>
      </c>
      <c r="M323">
        <f t="shared" si="37"/>
        <v>4.5454545454545456E-2</v>
      </c>
      <c r="N323">
        <f t="shared" si="38"/>
        <v>3.3333333333333333E-2</v>
      </c>
      <c r="O323">
        <f t="shared" si="39"/>
        <v>0.1111111111111111</v>
      </c>
      <c r="P323">
        <f t="shared" si="40"/>
        <v>9.0909090909090912E-2</v>
      </c>
    </row>
    <row r="324" spans="1:16" x14ac:dyDescent="0.4">
      <c r="A324">
        <v>0.30769230769230771</v>
      </c>
      <c r="B324">
        <v>0.33333333333333331</v>
      </c>
      <c r="C324" s="24">
        <v>0.16666666666666666</v>
      </c>
      <c r="D324">
        <v>9.7560975609756101E-2</v>
      </c>
      <c r="E324">
        <v>9.0909090909090912E-2</v>
      </c>
      <c r="F324">
        <v>9.0909090909090912E-2</v>
      </c>
      <c r="G324">
        <v>0</v>
      </c>
      <c r="H324">
        <v>0</v>
      </c>
      <c r="I324">
        <f t="shared" si="33"/>
        <v>0.30769230769230771</v>
      </c>
      <c r="J324">
        <f t="shared" si="34"/>
        <v>0.33333333333333331</v>
      </c>
      <c r="K324">
        <f t="shared" si="35"/>
        <v>0.16666666666666666</v>
      </c>
      <c r="L324">
        <f t="shared" si="36"/>
        <v>9.7560975609756101E-2</v>
      </c>
      <c r="M324">
        <f t="shared" si="37"/>
        <v>9.0909090909090912E-2</v>
      </c>
      <c r="N324">
        <f t="shared" si="38"/>
        <v>9.0909090909090912E-2</v>
      </c>
      <c r="O324">
        <f t="shared" si="39"/>
        <v>0</v>
      </c>
      <c r="P324">
        <f t="shared" si="40"/>
        <v>0</v>
      </c>
    </row>
    <row r="325" spans="1:16" x14ac:dyDescent="0.4">
      <c r="A325">
        <v>0.16</v>
      </c>
      <c r="B325">
        <v>0</v>
      </c>
      <c r="C325" s="23">
        <v>0.4</v>
      </c>
      <c r="D325">
        <v>0.4</v>
      </c>
      <c r="E325">
        <v>4.1666666666666664E-2</v>
      </c>
      <c r="F325">
        <v>0.1111111111111111</v>
      </c>
      <c r="G325">
        <v>0.14285714285714285</v>
      </c>
      <c r="H325">
        <v>0.25</v>
      </c>
      <c r="I325">
        <f t="shared" si="33"/>
        <v>0.16</v>
      </c>
      <c r="J325">
        <f t="shared" si="34"/>
        <v>0</v>
      </c>
      <c r="K325">
        <f t="shared" si="35"/>
        <v>0.4</v>
      </c>
      <c r="L325">
        <f t="shared" si="36"/>
        <v>0.4</v>
      </c>
      <c r="M325">
        <f t="shared" si="37"/>
        <v>4.1666666666666664E-2</v>
      </c>
      <c r="N325">
        <f t="shared" si="38"/>
        <v>0.1111111111111111</v>
      </c>
      <c r="O325">
        <f t="shared" si="39"/>
        <v>0.14285714285714285</v>
      </c>
      <c r="P325">
        <f t="shared" si="40"/>
        <v>0.25</v>
      </c>
    </row>
    <row r="326" spans="1:16" x14ac:dyDescent="0.4">
      <c r="A326">
        <v>0.125</v>
      </c>
      <c r="B326">
        <v>0.4</v>
      </c>
      <c r="C326" s="24">
        <v>0.44444444444444442</v>
      </c>
      <c r="D326">
        <v>0.21052631578947367</v>
      </c>
      <c r="E326">
        <v>3.3333333333333333E-2</v>
      </c>
      <c r="F326">
        <v>0.125</v>
      </c>
      <c r="G326">
        <v>0.125</v>
      </c>
      <c r="H326">
        <v>5.8823529411764705E-2</v>
      </c>
      <c r="I326">
        <f t="shared" si="33"/>
        <v>0.125</v>
      </c>
      <c r="J326">
        <f t="shared" si="34"/>
        <v>0.4</v>
      </c>
      <c r="K326">
        <f t="shared" si="35"/>
        <v>0.44444444444444442</v>
      </c>
      <c r="L326">
        <f t="shared" si="36"/>
        <v>0.21052631578947367</v>
      </c>
      <c r="M326">
        <f t="shared" si="37"/>
        <v>3.3333333333333333E-2</v>
      </c>
      <c r="N326">
        <f t="shared" si="38"/>
        <v>0.125</v>
      </c>
      <c r="O326">
        <f t="shared" si="39"/>
        <v>0.125</v>
      </c>
      <c r="P326">
        <f t="shared" si="40"/>
        <v>5.8823529411764705E-2</v>
      </c>
    </row>
    <row r="327" spans="1:16" x14ac:dyDescent="0.4">
      <c r="A327">
        <v>0.36363636363636365</v>
      </c>
      <c r="B327">
        <v>0.19047619047619047</v>
      </c>
      <c r="C327" s="23">
        <v>0.33333333333333331</v>
      </c>
      <c r="D327">
        <v>0.18181818181818182</v>
      </c>
      <c r="E327">
        <v>0</v>
      </c>
      <c r="F327">
        <v>0.33333333333333331</v>
      </c>
      <c r="G327">
        <v>5.2631578947368418E-2</v>
      </c>
      <c r="H327">
        <v>4.7619047619047616E-2</v>
      </c>
      <c r="I327">
        <f t="shared" si="33"/>
        <v>0.36363636363636365</v>
      </c>
      <c r="J327">
        <f t="shared" si="34"/>
        <v>0.19047619047619047</v>
      </c>
      <c r="K327">
        <f t="shared" si="35"/>
        <v>0.33333333333333331</v>
      </c>
      <c r="L327">
        <f t="shared" si="36"/>
        <v>0.18181818181818182</v>
      </c>
      <c r="M327">
        <f t="shared" si="37"/>
        <v>0</v>
      </c>
      <c r="N327">
        <f t="shared" si="38"/>
        <v>0.33333333333333331</v>
      </c>
      <c r="O327">
        <f t="shared" si="39"/>
        <v>5.2631578947368418E-2</v>
      </c>
      <c r="P327">
        <f t="shared" si="40"/>
        <v>4.7619047619047616E-2</v>
      </c>
    </row>
    <row r="328" spans="1:16" x14ac:dyDescent="0.4">
      <c r="A328">
        <v>0.12903225806451613</v>
      </c>
      <c r="B328">
        <v>0.15384615384615385</v>
      </c>
      <c r="C328" s="24">
        <v>0.1</v>
      </c>
      <c r="D328">
        <v>0.44444444444444442</v>
      </c>
      <c r="E328">
        <v>0.1111111111111111</v>
      </c>
      <c r="F328">
        <v>0.5</v>
      </c>
      <c r="G328">
        <v>0.08</v>
      </c>
      <c r="H328">
        <v>7.6923076923076927E-2</v>
      </c>
      <c r="I328">
        <f t="shared" ref="I328:I391" si="41">IF(A328&gt;1, 1, A328)</f>
        <v>0.12903225806451613</v>
      </c>
      <c r="J328">
        <f t="shared" ref="J328:J391" si="42">IF(B328&gt;1, 1, B328)</f>
        <v>0.15384615384615385</v>
      </c>
      <c r="K328">
        <f t="shared" ref="K328:K391" si="43">IF(C328&gt;1, 1, C328)</f>
        <v>0.1</v>
      </c>
      <c r="L328">
        <f t="shared" ref="L328:L391" si="44">IF(D328&gt;1, 1, D328)</f>
        <v>0.44444444444444442</v>
      </c>
      <c r="M328">
        <f t="shared" ref="M328:M391" si="45">IF(E328&gt;1, 1, E328)</f>
        <v>0.1111111111111111</v>
      </c>
      <c r="N328">
        <f t="shared" ref="N328:N391" si="46">IF(F328&gt;1, 1, F328)</f>
        <v>0.5</v>
      </c>
      <c r="O328">
        <f t="shared" ref="O328:O391" si="47">IF(G328&gt;1, 1, G328)</f>
        <v>0.08</v>
      </c>
      <c r="P328">
        <f t="shared" ref="P328:P391" si="48">IF(H328&gt;1, 1, H328)</f>
        <v>7.6923076923076927E-2</v>
      </c>
    </row>
    <row r="329" spans="1:16" x14ac:dyDescent="0.4">
      <c r="A329">
        <v>0.30769230769230771</v>
      </c>
      <c r="B329">
        <v>0.2857142857142857</v>
      </c>
      <c r="C329" s="23">
        <v>0.21052631578947367</v>
      </c>
      <c r="D329">
        <v>4.1666666666666664E-2</v>
      </c>
      <c r="E329">
        <v>0</v>
      </c>
      <c r="F329">
        <v>5.8823529411764705E-2</v>
      </c>
      <c r="G329">
        <v>0</v>
      </c>
      <c r="H329">
        <v>2.8301886792452831E-2</v>
      </c>
      <c r="I329">
        <f t="shared" si="41"/>
        <v>0.30769230769230771</v>
      </c>
      <c r="J329">
        <f t="shared" si="42"/>
        <v>0.2857142857142857</v>
      </c>
      <c r="K329">
        <f t="shared" si="43"/>
        <v>0.21052631578947367</v>
      </c>
      <c r="L329">
        <f t="shared" si="44"/>
        <v>4.1666666666666664E-2</v>
      </c>
      <c r="M329">
        <f t="shared" si="45"/>
        <v>0</v>
      </c>
      <c r="N329">
        <f t="shared" si="46"/>
        <v>5.8823529411764705E-2</v>
      </c>
      <c r="O329">
        <f t="shared" si="47"/>
        <v>0</v>
      </c>
      <c r="P329">
        <f t="shared" si="48"/>
        <v>2.8301886792452831E-2</v>
      </c>
    </row>
    <row r="330" spans="1:16" x14ac:dyDescent="0.4">
      <c r="A330">
        <v>0</v>
      </c>
      <c r="B330">
        <v>6.9767441860465115E-2</v>
      </c>
      <c r="C330" s="24">
        <v>0.5714285714285714</v>
      </c>
      <c r="D330">
        <v>5.2631578947368418E-2</v>
      </c>
      <c r="E330">
        <v>0.13333333333333333</v>
      </c>
      <c r="F330">
        <v>0</v>
      </c>
      <c r="G330">
        <v>0.10526315789473684</v>
      </c>
      <c r="H330">
        <v>4.0540540540540543E-2</v>
      </c>
      <c r="I330">
        <f t="shared" si="41"/>
        <v>0</v>
      </c>
      <c r="J330">
        <f t="shared" si="42"/>
        <v>6.9767441860465115E-2</v>
      </c>
      <c r="K330">
        <f t="shared" si="43"/>
        <v>0.5714285714285714</v>
      </c>
      <c r="L330">
        <f t="shared" si="44"/>
        <v>5.2631578947368418E-2</v>
      </c>
      <c r="M330">
        <f t="shared" si="45"/>
        <v>0.13333333333333333</v>
      </c>
      <c r="N330">
        <f t="shared" si="46"/>
        <v>0</v>
      </c>
      <c r="O330">
        <f t="shared" si="47"/>
        <v>0.10526315789473684</v>
      </c>
      <c r="P330">
        <f t="shared" si="48"/>
        <v>4.0540540540540543E-2</v>
      </c>
    </row>
    <row r="331" spans="1:16" x14ac:dyDescent="0.4">
      <c r="A331">
        <v>0.18181818181818182</v>
      </c>
      <c r="B331">
        <v>0.25</v>
      </c>
      <c r="C331" s="23">
        <v>8.3333333333333329E-2</v>
      </c>
      <c r="D331">
        <v>8.3333333333333329E-2</v>
      </c>
      <c r="E331">
        <v>0.05</v>
      </c>
      <c r="F331">
        <v>0.4</v>
      </c>
      <c r="G331">
        <v>7.6923076923076927E-2</v>
      </c>
      <c r="H331">
        <v>0.30769230769230771</v>
      </c>
      <c r="I331">
        <f t="shared" si="41"/>
        <v>0.18181818181818182</v>
      </c>
      <c r="J331">
        <f t="shared" si="42"/>
        <v>0.25</v>
      </c>
      <c r="K331">
        <f t="shared" si="43"/>
        <v>8.3333333333333329E-2</v>
      </c>
      <c r="L331">
        <f t="shared" si="44"/>
        <v>8.3333333333333329E-2</v>
      </c>
      <c r="M331">
        <f t="shared" si="45"/>
        <v>0.05</v>
      </c>
      <c r="N331">
        <f t="shared" si="46"/>
        <v>0.4</v>
      </c>
      <c r="O331">
        <f t="shared" si="47"/>
        <v>7.6923076923076927E-2</v>
      </c>
      <c r="P331">
        <f t="shared" si="48"/>
        <v>0.30769230769230771</v>
      </c>
    </row>
    <row r="332" spans="1:16" x14ac:dyDescent="0.4">
      <c r="A332">
        <v>0.1111111111111111</v>
      </c>
      <c r="B332">
        <v>0.16666666666666666</v>
      </c>
      <c r="C332" s="24">
        <v>0.23529411764705882</v>
      </c>
      <c r="D332">
        <v>0.36363636363636365</v>
      </c>
      <c r="E332">
        <v>0</v>
      </c>
      <c r="F332">
        <v>0</v>
      </c>
      <c r="G332">
        <v>9.0909090909090912E-2</v>
      </c>
      <c r="H332">
        <v>0.25</v>
      </c>
      <c r="I332">
        <f t="shared" si="41"/>
        <v>0.1111111111111111</v>
      </c>
      <c r="J332">
        <f t="shared" si="42"/>
        <v>0.16666666666666666</v>
      </c>
      <c r="K332">
        <f t="shared" si="43"/>
        <v>0.23529411764705882</v>
      </c>
      <c r="L332">
        <f t="shared" si="44"/>
        <v>0.36363636363636365</v>
      </c>
      <c r="M332">
        <f t="shared" si="45"/>
        <v>0</v>
      </c>
      <c r="N332">
        <f t="shared" si="46"/>
        <v>0</v>
      </c>
      <c r="O332">
        <f t="shared" si="47"/>
        <v>9.0909090909090912E-2</v>
      </c>
      <c r="P332">
        <f t="shared" si="48"/>
        <v>0.25</v>
      </c>
    </row>
    <row r="333" spans="1:16" x14ac:dyDescent="0.4">
      <c r="A333">
        <v>0.2857142857142857</v>
      </c>
      <c r="B333">
        <v>0.23529411764705882</v>
      </c>
      <c r="C333" s="23">
        <v>0.17391304347826086</v>
      </c>
      <c r="D333">
        <v>9.5238095238095233E-2</v>
      </c>
      <c r="E333">
        <v>0</v>
      </c>
      <c r="F333">
        <v>0.15</v>
      </c>
      <c r="G333">
        <v>0</v>
      </c>
      <c r="H333">
        <v>0</v>
      </c>
      <c r="I333">
        <f t="shared" si="41"/>
        <v>0.2857142857142857</v>
      </c>
      <c r="J333">
        <f t="shared" si="42"/>
        <v>0.23529411764705882</v>
      </c>
      <c r="K333">
        <f t="shared" si="43"/>
        <v>0.17391304347826086</v>
      </c>
      <c r="L333">
        <f t="shared" si="44"/>
        <v>9.5238095238095233E-2</v>
      </c>
      <c r="M333">
        <f t="shared" si="45"/>
        <v>0</v>
      </c>
      <c r="N333">
        <f t="shared" si="46"/>
        <v>0.15</v>
      </c>
      <c r="O333">
        <f t="shared" si="47"/>
        <v>0</v>
      </c>
      <c r="P333">
        <f t="shared" si="48"/>
        <v>0</v>
      </c>
    </row>
    <row r="334" spans="1:16" x14ac:dyDescent="0.4">
      <c r="A334">
        <v>0.5</v>
      </c>
      <c r="B334">
        <v>0.30769230769230771</v>
      </c>
      <c r="C334" s="24">
        <v>0.30769230769230771</v>
      </c>
      <c r="D334">
        <v>0.5</v>
      </c>
      <c r="E334">
        <v>0</v>
      </c>
      <c r="F334">
        <v>7.6923076923076927E-2</v>
      </c>
      <c r="G334">
        <v>0.2</v>
      </c>
      <c r="H334">
        <v>0</v>
      </c>
      <c r="I334">
        <f t="shared" si="41"/>
        <v>0.5</v>
      </c>
      <c r="J334">
        <f t="shared" si="42"/>
        <v>0.30769230769230771</v>
      </c>
      <c r="K334">
        <f t="shared" si="43"/>
        <v>0.30769230769230771</v>
      </c>
      <c r="L334">
        <f t="shared" si="44"/>
        <v>0.5</v>
      </c>
      <c r="M334">
        <f t="shared" si="45"/>
        <v>0</v>
      </c>
      <c r="N334">
        <f t="shared" si="46"/>
        <v>7.6923076923076927E-2</v>
      </c>
      <c r="O334">
        <f t="shared" si="47"/>
        <v>0.2</v>
      </c>
      <c r="P334">
        <f t="shared" si="48"/>
        <v>0</v>
      </c>
    </row>
    <row r="335" spans="1:16" x14ac:dyDescent="0.4">
      <c r="A335">
        <v>0.4</v>
      </c>
      <c r="B335">
        <v>0.16666666666666666</v>
      </c>
      <c r="C335" s="23">
        <v>8.5714285714285715E-2</v>
      </c>
      <c r="D335">
        <v>0.4</v>
      </c>
      <c r="E335">
        <v>0</v>
      </c>
      <c r="F335">
        <v>0.12903225806451613</v>
      </c>
      <c r="G335">
        <v>1</v>
      </c>
      <c r="H335">
        <v>0.25</v>
      </c>
      <c r="I335">
        <f t="shared" si="41"/>
        <v>0.4</v>
      </c>
      <c r="J335">
        <f t="shared" si="42"/>
        <v>0.16666666666666666</v>
      </c>
      <c r="K335">
        <f t="shared" si="43"/>
        <v>8.5714285714285715E-2</v>
      </c>
      <c r="L335">
        <f t="shared" si="44"/>
        <v>0.4</v>
      </c>
      <c r="M335">
        <f t="shared" si="45"/>
        <v>0</v>
      </c>
      <c r="N335">
        <f t="shared" si="46"/>
        <v>0.12903225806451613</v>
      </c>
      <c r="O335">
        <f t="shared" si="47"/>
        <v>1</v>
      </c>
      <c r="P335">
        <f t="shared" si="48"/>
        <v>0.25</v>
      </c>
    </row>
    <row r="336" spans="1:16" x14ac:dyDescent="0.4">
      <c r="A336">
        <v>0.10810810810810811</v>
      </c>
      <c r="B336">
        <v>0.25</v>
      </c>
      <c r="C336" s="24">
        <v>0.6</v>
      </c>
      <c r="D336">
        <v>0.125</v>
      </c>
      <c r="E336">
        <v>2.7777777777777776E-2</v>
      </c>
      <c r="F336">
        <v>1</v>
      </c>
      <c r="G336">
        <v>0.25</v>
      </c>
      <c r="H336">
        <v>2.7777777777777776E-2</v>
      </c>
      <c r="I336">
        <f t="shared" si="41"/>
        <v>0.10810810810810811</v>
      </c>
      <c r="J336">
        <f t="shared" si="42"/>
        <v>0.25</v>
      </c>
      <c r="K336">
        <f t="shared" si="43"/>
        <v>0.6</v>
      </c>
      <c r="L336">
        <f t="shared" si="44"/>
        <v>0.125</v>
      </c>
      <c r="M336">
        <f t="shared" si="45"/>
        <v>2.7777777777777776E-2</v>
      </c>
      <c r="N336">
        <f t="shared" si="46"/>
        <v>1</v>
      </c>
      <c r="O336">
        <f t="shared" si="47"/>
        <v>0.25</v>
      </c>
      <c r="P336">
        <f t="shared" si="48"/>
        <v>2.7777777777777776E-2</v>
      </c>
    </row>
    <row r="337" spans="1:16" x14ac:dyDescent="0.4">
      <c r="A337">
        <v>0.14285714285714285</v>
      </c>
      <c r="B337">
        <v>0.12903225806451613</v>
      </c>
      <c r="C337" s="23">
        <v>0.16666666666666666</v>
      </c>
      <c r="D337">
        <v>0.18181818181818182</v>
      </c>
      <c r="E337">
        <v>0.08</v>
      </c>
      <c r="F337">
        <v>0.44444444444444442</v>
      </c>
      <c r="G337">
        <v>0</v>
      </c>
      <c r="H337">
        <v>4.7619047619047616E-2</v>
      </c>
      <c r="I337">
        <f t="shared" si="41"/>
        <v>0.14285714285714285</v>
      </c>
      <c r="J337">
        <f t="shared" si="42"/>
        <v>0.12903225806451613</v>
      </c>
      <c r="K337">
        <f t="shared" si="43"/>
        <v>0.16666666666666666</v>
      </c>
      <c r="L337">
        <f t="shared" si="44"/>
        <v>0.18181818181818182</v>
      </c>
      <c r="M337">
        <f t="shared" si="45"/>
        <v>0.08</v>
      </c>
      <c r="N337">
        <f t="shared" si="46"/>
        <v>0.44444444444444442</v>
      </c>
      <c r="O337">
        <f t="shared" si="47"/>
        <v>0</v>
      </c>
      <c r="P337">
        <f t="shared" si="48"/>
        <v>4.7619047619047616E-2</v>
      </c>
    </row>
    <row r="338" spans="1:16" x14ac:dyDescent="0.4">
      <c r="A338">
        <v>0.25</v>
      </c>
      <c r="B338">
        <v>0.36363636363636365</v>
      </c>
      <c r="C338" s="24">
        <v>0.16</v>
      </c>
      <c r="D338">
        <v>0.44444444444444442</v>
      </c>
      <c r="E338">
        <v>7.1428571428571425E-2</v>
      </c>
      <c r="F338">
        <v>4.1666666666666664E-2</v>
      </c>
      <c r="G338">
        <v>0.1111111111111111</v>
      </c>
      <c r="H338">
        <v>0.125</v>
      </c>
      <c r="I338">
        <f t="shared" si="41"/>
        <v>0.25</v>
      </c>
      <c r="J338">
        <f t="shared" si="42"/>
        <v>0.36363636363636365</v>
      </c>
      <c r="K338">
        <f t="shared" si="43"/>
        <v>0.16</v>
      </c>
      <c r="L338">
        <f t="shared" si="44"/>
        <v>0.44444444444444442</v>
      </c>
      <c r="M338">
        <f t="shared" si="45"/>
        <v>7.1428571428571425E-2</v>
      </c>
      <c r="N338">
        <f t="shared" si="46"/>
        <v>4.1666666666666664E-2</v>
      </c>
      <c r="O338">
        <f t="shared" si="47"/>
        <v>0.1111111111111111</v>
      </c>
      <c r="P338">
        <f t="shared" si="48"/>
        <v>0.125</v>
      </c>
    </row>
    <row r="339" spans="1:16" x14ac:dyDescent="0.4">
      <c r="A339">
        <v>0.44444444444444442</v>
      </c>
      <c r="B339">
        <v>0.14285714285714285</v>
      </c>
      <c r="C339" s="23">
        <v>4.7058823529411764E-2</v>
      </c>
      <c r="D339">
        <v>0</v>
      </c>
      <c r="E339">
        <v>0</v>
      </c>
      <c r="F339">
        <v>1.1904761904761904E-2</v>
      </c>
      <c r="G339">
        <v>3.8461538461538464E-2</v>
      </c>
      <c r="H339">
        <v>0.33333333333333331</v>
      </c>
      <c r="I339">
        <f t="shared" si="41"/>
        <v>0.44444444444444442</v>
      </c>
      <c r="J339">
        <f t="shared" si="42"/>
        <v>0.14285714285714285</v>
      </c>
      <c r="K339">
        <f t="shared" si="43"/>
        <v>4.7058823529411764E-2</v>
      </c>
      <c r="L339">
        <f t="shared" si="44"/>
        <v>0</v>
      </c>
      <c r="M339">
        <f t="shared" si="45"/>
        <v>0</v>
      </c>
      <c r="N339">
        <f t="shared" si="46"/>
        <v>1.1904761904761904E-2</v>
      </c>
      <c r="O339">
        <f t="shared" si="47"/>
        <v>3.8461538461538464E-2</v>
      </c>
      <c r="P339">
        <f t="shared" si="48"/>
        <v>0.33333333333333331</v>
      </c>
    </row>
    <row r="340" spans="1:16" x14ac:dyDescent="0.4">
      <c r="A340">
        <v>8.8888888888888892E-2</v>
      </c>
      <c r="B340">
        <v>0.2</v>
      </c>
      <c r="C340" s="24">
        <v>0.33333333333333331</v>
      </c>
      <c r="D340">
        <v>0.44444444444444442</v>
      </c>
      <c r="E340">
        <v>0</v>
      </c>
      <c r="F340">
        <v>9.0909090909090912E-2</v>
      </c>
      <c r="G340">
        <v>0.1111111111111111</v>
      </c>
      <c r="H340">
        <v>0</v>
      </c>
      <c r="I340">
        <f t="shared" si="41"/>
        <v>8.8888888888888892E-2</v>
      </c>
      <c r="J340">
        <f t="shared" si="42"/>
        <v>0.2</v>
      </c>
      <c r="K340">
        <f t="shared" si="43"/>
        <v>0.33333333333333331</v>
      </c>
      <c r="L340">
        <f t="shared" si="44"/>
        <v>0.44444444444444442</v>
      </c>
      <c r="M340">
        <f t="shared" si="45"/>
        <v>0</v>
      </c>
      <c r="N340">
        <f t="shared" si="46"/>
        <v>9.0909090909090912E-2</v>
      </c>
      <c r="O340">
        <f t="shared" si="47"/>
        <v>0.1111111111111111</v>
      </c>
      <c r="P340">
        <f t="shared" si="48"/>
        <v>0</v>
      </c>
    </row>
    <row r="341" spans="1:16" x14ac:dyDescent="0.4">
      <c r="A341">
        <v>0.13333333333333333</v>
      </c>
      <c r="B341">
        <v>0.33333333333333331</v>
      </c>
      <c r="C341" s="23">
        <v>0.17391304347826086</v>
      </c>
      <c r="D341">
        <v>0.36363636363636365</v>
      </c>
      <c r="E341">
        <v>3.7037037037037035E-2</v>
      </c>
      <c r="F341">
        <v>4.5454545454545456E-2</v>
      </c>
      <c r="G341">
        <v>0</v>
      </c>
      <c r="H341">
        <v>0</v>
      </c>
      <c r="I341">
        <f t="shared" si="41"/>
        <v>0.13333333333333333</v>
      </c>
      <c r="J341">
        <f t="shared" si="42"/>
        <v>0.33333333333333331</v>
      </c>
      <c r="K341">
        <f t="shared" si="43"/>
        <v>0.17391304347826086</v>
      </c>
      <c r="L341">
        <f t="shared" si="44"/>
        <v>0.36363636363636365</v>
      </c>
      <c r="M341">
        <f t="shared" si="45"/>
        <v>3.7037037037037035E-2</v>
      </c>
      <c r="N341">
        <f t="shared" si="46"/>
        <v>4.5454545454545456E-2</v>
      </c>
      <c r="O341">
        <f t="shared" si="47"/>
        <v>0</v>
      </c>
      <c r="P341">
        <f t="shared" si="48"/>
        <v>0</v>
      </c>
    </row>
    <row r="342" spans="1:16" x14ac:dyDescent="0.4">
      <c r="A342">
        <v>0.25</v>
      </c>
      <c r="B342">
        <v>0.2857142857142857</v>
      </c>
      <c r="C342" s="24">
        <v>5.7142857142857141E-2</v>
      </c>
      <c r="D342">
        <v>0.16</v>
      </c>
      <c r="E342">
        <v>0.23076923076923078</v>
      </c>
      <c r="F342">
        <v>2.9850746268656716E-2</v>
      </c>
      <c r="G342">
        <v>0</v>
      </c>
      <c r="H342">
        <v>0</v>
      </c>
      <c r="I342">
        <f t="shared" si="41"/>
        <v>0.25</v>
      </c>
      <c r="J342">
        <f t="shared" si="42"/>
        <v>0.2857142857142857</v>
      </c>
      <c r="K342">
        <f t="shared" si="43"/>
        <v>5.7142857142857141E-2</v>
      </c>
      <c r="L342">
        <f t="shared" si="44"/>
        <v>0.16</v>
      </c>
      <c r="M342">
        <f t="shared" si="45"/>
        <v>0.23076923076923078</v>
      </c>
      <c r="N342">
        <f t="shared" si="46"/>
        <v>2.9850746268656716E-2</v>
      </c>
      <c r="O342">
        <f t="shared" si="47"/>
        <v>0</v>
      </c>
      <c r="P342">
        <f t="shared" si="48"/>
        <v>0</v>
      </c>
    </row>
    <row r="343" spans="1:16" x14ac:dyDescent="0.4">
      <c r="A343">
        <v>0</v>
      </c>
      <c r="B343">
        <v>0.36363636363636365</v>
      </c>
      <c r="C343" s="23">
        <v>5.7971014492753624E-2</v>
      </c>
      <c r="D343">
        <v>0.3</v>
      </c>
      <c r="E343">
        <v>0.18181818181818182</v>
      </c>
      <c r="F343">
        <v>4.6875E-2</v>
      </c>
      <c r="G343">
        <v>0</v>
      </c>
      <c r="H343">
        <v>0.16</v>
      </c>
      <c r="I343">
        <f t="shared" si="41"/>
        <v>0</v>
      </c>
      <c r="J343">
        <f t="shared" si="42"/>
        <v>0.36363636363636365</v>
      </c>
      <c r="K343">
        <f t="shared" si="43"/>
        <v>5.7971014492753624E-2</v>
      </c>
      <c r="L343">
        <f t="shared" si="44"/>
        <v>0.3</v>
      </c>
      <c r="M343">
        <f t="shared" si="45"/>
        <v>0.18181818181818182</v>
      </c>
      <c r="N343">
        <f t="shared" si="46"/>
        <v>4.6875E-2</v>
      </c>
      <c r="O343">
        <f t="shared" si="47"/>
        <v>0</v>
      </c>
      <c r="P343">
        <f t="shared" si="48"/>
        <v>0.16</v>
      </c>
    </row>
    <row r="344" spans="1:16" x14ac:dyDescent="0.4">
      <c r="A344">
        <v>0.36363636363636365</v>
      </c>
      <c r="B344">
        <v>0.33333333333333331</v>
      </c>
      <c r="C344" s="24">
        <v>0.26666666666666666</v>
      </c>
      <c r="D344">
        <v>0.5714285714285714</v>
      </c>
      <c r="E344">
        <v>0</v>
      </c>
      <c r="F344">
        <v>7.1428571428571425E-2</v>
      </c>
      <c r="G344">
        <v>0</v>
      </c>
      <c r="H344">
        <v>1</v>
      </c>
      <c r="I344">
        <f t="shared" si="41"/>
        <v>0.36363636363636365</v>
      </c>
      <c r="J344">
        <f t="shared" si="42"/>
        <v>0.33333333333333331</v>
      </c>
      <c r="K344">
        <f t="shared" si="43"/>
        <v>0.26666666666666666</v>
      </c>
      <c r="L344">
        <f t="shared" si="44"/>
        <v>0.5714285714285714</v>
      </c>
      <c r="M344">
        <f t="shared" si="45"/>
        <v>0</v>
      </c>
      <c r="N344">
        <f t="shared" si="46"/>
        <v>7.1428571428571425E-2</v>
      </c>
      <c r="O344">
        <f t="shared" si="47"/>
        <v>0</v>
      </c>
      <c r="P344">
        <f t="shared" si="48"/>
        <v>1</v>
      </c>
    </row>
    <row r="345" spans="1:16" x14ac:dyDescent="0.4">
      <c r="A345">
        <v>0.36363636363636365</v>
      </c>
      <c r="B345">
        <v>0.26666666666666666</v>
      </c>
      <c r="C345" s="23">
        <v>0.26666666666666666</v>
      </c>
      <c r="D345">
        <v>0.3</v>
      </c>
      <c r="E345">
        <v>0.375</v>
      </c>
      <c r="F345">
        <v>0.23076923076923078</v>
      </c>
      <c r="G345">
        <v>0.15384615384615385</v>
      </c>
      <c r="H345">
        <v>0.5714285714285714</v>
      </c>
      <c r="I345">
        <f t="shared" si="41"/>
        <v>0.36363636363636365</v>
      </c>
      <c r="J345">
        <f t="shared" si="42"/>
        <v>0.26666666666666666</v>
      </c>
      <c r="K345">
        <f t="shared" si="43"/>
        <v>0.26666666666666666</v>
      </c>
      <c r="L345">
        <f t="shared" si="44"/>
        <v>0.3</v>
      </c>
      <c r="M345">
        <f t="shared" si="45"/>
        <v>0.375</v>
      </c>
      <c r="N345">
        <f t="shared" si="46"/>
        <v>0.23076923076923078</v>
      </c>
      <c r="O345">
        <f t="shared" si="47"/>
        <v>0.15384615384615385</v>
      </c>
      <c r="P345">
        <f t="shared" si="48"/>
        <v>0.5714285714285714</v>
      </c>
    </row>
    <row r="346" spans="1:16" x14ac:dyDescent="0.4">
      <c r="A346">
        <v>0.5</v>
      </c>
      <c r="B346">
        <v>0.14285714285714285</v>
      </c>
      <c r="C346" s="24">
        <v>0.18181818181818182</v>
      </c>
      <c r="D346">
        <v>0.33333333333333331</v>
      </c>
      <c r="E346">
        <v>0.16666666666666666</v>
      </c>
      <c r="F346">
        <v>4.7619047619047616E-2</v>
      </c>
      <c r="G346">
        <v>0.125</v>
      </c>
      <c r="H346">
        <v>0</v>
      </c>
      <c r="I346">
        <f t="shared" si="41"/>
        <v>0.5</v>
      </c>
      <c r="J346">
        <f t="shared" si="42"/>
        <v>0.14285714285714285</v>
      </c>
      <c r="K346">
        <f t="shared" si="43"/>
        <v>0.18181818181818182</v>
      </c>
      <c r="L346">
        <f t="shared" si="44"/>
        <v>0.33333333333333331</v>
      </c>
      <c r="M346">
        <f t="shared" si="45"/>
        <v>0.16666666666666666</v>
      </c>
      <c r="N346">
        <f t="shared" si="46"/>
        <v>4.7619047619047616E-2</v>
      </c>
      <c r="O346">
        <f t="shared" si="47"/>
        <v>0.125</v>
      </c>
      <c r="P346">
        <f t="shared" si="48"/>
        <v>0</v>
      </c>
    </row>
    <row r="347" spans="1:16" x14ac:dyDescent="0.4">
      <c r="A347">
        <v>0.44444444444444442</v>
      </c>
      <c r="B347">
        <v>0.25</v>
      </c>
      <c r="C347" s="23">
        <v>0.8</v>
      </c>
      <c r="D347">
        <v>4.7619047619047616E-2</v>
      </c>
      <c r="E347">
        <v>0</v>
      </c>
      <c r="F347">
        <v>1</v>
      </c>
      <c r="G347">
        <v>6.6666666666666666E-2</v>
      </c>
      <c r="H347">
        <v>9.0909090909090912E-2</v>
      </c>
      <c r="I347">
        <f t="shared" si="41"/>
        <v>0.44444444444444442</v>
      </c>
      <c r="J347">
        <f t="shared" si="42"/>
        <v>0.25</v>
      </c>
      <c r="K347">
        <f t="shared" si="43"/>
        <v>0.8</v>
      </c>
      <c r="L347">
        <f t="shared" si="44"/>
        <v>4.7619047619047616E-2</v>
      </c>
      <c r="M347">
        <f t="shared" si="45"/>
        <v>0</v>
      </c>
      <c r="N347">
        <f t="shared" si="46"/>
        <v>1</v>
      </c>
      <c r="O347">
        <f t="shared" si="47"/>
        <v>6.6666666666666666E-2</v>
      </c>
      <c r="P347">
        <f t="shared" si="48"/>
        <v>9.0909090909090912E-2</v>
      </c>
    </row>
    <row r="348" spans="1:16" x14ac:dyDescent="0.4">
      <c r="A348">
        <v>0.10714285714285714</v>
      </c>
      <c r="B348">
        <v>0.18181818181818182</v>
      </c>
      <c r="C348" s="24">
        <v>6.0606060606060608E-2</v>
      </c>
      <c r="D348">
        <v>0</v>
      </c>
      <c r="E348">
        <v>0.15384615384615385</v>
      </c>
      <c r="F348">
        <v>0</v>
      </c>
      <c r="G348">
        <v>0.1</v>
      </c>
      <c r="H348">
        <v>0.8</v>
      </c>
      <c r="I348">
        <f t="shared" si="41"/>
        <v>0.10714285714285714</v>
      </c>
      <c r="J348">
        <f t="shared" si="42"/>
        <v>0.18181818181818182</v>
      </c>
      <c r="K348">
        <f t="shared" si="43"/>
        <v>6.0606060606060608E-2</v>
      </c>
      <c r="L348">
        <f t="shared" si="44"/>
        <v>0</v>
      </c>
      <c r="M348">
        <f t="shared" si="45"/>
        <v>0.15384615384615385</v>
      </c>
      <c r="N348">
        <f t="shared" si="46"/>
        <v>0</v>
      </c>
      <c r="O348">
        <f t="shared" si="47"/>
        <v>0.1</v>
      </c>
      <c r="P348">
        <f t="shared" si="48"/>
        <v>0.8</v>
      </c>
    </row>
    <row r="349" spans="1:16" x14ac:dyDescent="0.4">
      <c r="A349">
        <v>0.36363636363636365</v>
      </c>
      <c r="B349">
        <v>0.19047619047619047</v>
      </c>
      <c r="C349" s="23">
        <v>0.18181818181818182</v>
      </c>
      <c r="D349">
        <v>0.25</v>
      </c>
      <c r="E349">
        <v>0.1111111111111111</v>
      </c>
      <c r="F349">
        <v>0.5</v>
      </c>
      <c r="G349">
        <v>0.1111111111111111</v>
      </c>
      <c r="H349">
        <v>1</v>
      </c>
      <c r="I349">
        <f t="shared" si="41"/>
        <v>0.36363636363636365</v>
      </c>
      <c r="J349">
        <f t="shared" si="42"/>
        <v>0.19047619047619047</v>
      </c>
      <c r="K349">
        <f t="shared" si="43"/>
        <v>0.18181818181818182</v>
      </c>
      <c r="L349">
        <f t="shared" si="44"/>
        <v>0.25</v>
      </c>
      <c r="M349">
        <f t="shared" si="45"/>
        <v>0.1111111111111111</v>
      </c>
      <c r="N349">
        <f t="shared" si="46"/>
        <v>0.5</v>
      </c>
      <c r="O349">
        <f t="shared" si="47"/>
        <v>0.1111111111111111</v>
      </c>
      <c r="P349">
        <f t="shared" si="48"/>
        <v>1</v>
      </c>
    </row>
    <row r="350" spans="1:16" x14ac:dyDescent="0.4">
      <c r="A350">
        <v>0</v>
      </c>
      <c r="B350">
        <v>0.33333333333333331</v>
      </c>
      <c r="C350" s="24">
        <v>0.2857142857142857</v>
      </c>
      <c r="D350">
        <v>0.15384615384615385</v>
      </c>
      <c r="E350">
        <v>0.2857142857142857</v>
      </c>
      <c r="F350">
        <v>0.16666666666666666</v>
      </c>
      <c r="G350">
        <v>9.0909090909090912E-2</v>
      </c>
      <c r="H350">
        <v>8.6956521739130432E-2</v>
      </c>
      <c r="I350">
        <f t="shared" si="41"/>
        <v>0</v>
      </c>
      <c r="J350">
        <f t="shared" si="42"/>
        <v>0.33333333333333331</v>
      </c>
      <c r="K350">
        <f t="shared" si="43"/>
        <v>0.2857142857142857</v>
      </c>
      <c r="L350">
        <f t="shared" si="44"/>
        <v>0.15384615384615385</v>
      </c>
      <c r="M350">
        <f t="shared" si="45"/>
        <v>0.2857142857142857</v>
      </c>
      <c r="N350">
        <f t="shared" si="46"/>
        <v>0.16666666666666666</v>
      </c>
      <c r="O350">
        <f t="shared" si="47"/>
        <v>9.0909090909090912E-2</v>
      </c>
      <c r="P350">
        <f t="shared" si="48"/>
        <v>8.6956521739130432E-2</v>
      </c>
    </row>
    <row r="351" spans="1:16" x14ac:dyDescent="0.4">
      <c r="A351">
        <v>0.2857142857142857</v>
      </c>
      <c r="B351">
        <v>0.26666666666666666</v>
      </c>
      <c r="C351" s="23">
        <v>6.3492063492063489E-2</v>
      </c>
      <c r="D351">
        <v>0.2</v>
      </c>
      <c r="E351">
        <v>0</v>
      </c>
      <c r="F351">
        <v>5.1724137931034482E-2</v>
      </c>
      <c r="G351">
        <v>0.16666666666666666</v>
      </c>
      <c r="H351">
        <v>5.2631578947368418E-2</v>
      </c>
      <c r="I351">
        <f t="shared" si="41"/>
        <v>0.2857142857142857</v>
      </c>
      <c r="J351">
        <f t="shared" si="42"/>
        <v>0.26666666666666666</v>
      </c>
      <c r="K351">
        <f t="shared" si="43"/>
        <v>6.3492063492063489E-2</v>
      </c>
      <c r="L351">
        <f t="shared" si="44"/>
        <v>0.2</v>
      </c>
      <c r="M351">
        <f t="shared" si="45"/>
        <v>0</v>
      </c>
      <c r="N351">
        <f t="shared" si="46"/>
        <v>5.1724137931034482E-2</v>
      </c>
      <c r="O351">
        <f t="shared" si="47"/>
        <v>0.16666666666666666</v>
      </c>
      <c r="P351">
        <f t="shared" si="48"/>
        <v>5.2631578947368418E-2</v>
      </c>
    </row>
    <row r="352" spans="1:16" x14ac:dyDescent="0.4">
      <c r="A352">
        <v>0.44444444444444442</v>
      </c>
      <c r="B352">
        <v>0</v>
      </c>
      <c r="C352" s="24">
        <v>0.125</v>
      </c>
      <c r="D352">
        <v>0.5</v>
      </c>
      <c r="E352">
        <v>0</v>
      </c>
      <c r="F352">
        <v>0.33333333333333331</v>
      </c>
      <c r="G352">
        <v>0.22222222222222221</v>
      </c>
      <c r="H352">
        <v>0.33333333333333331</v>
      </c>
      <c r="I352">
        <f t="shared" si="41"/>
        <v>0.44444444444444442</v>
      </c>
      <c r="J352">
        <f t="shared" si="42"/>
        <v>0</v>
      </c>
      <c r="K352">
        <f t="shared" si="43"/>
        <v>0.125</v>
      </c>
      <c r="L352">
        <f t="shared" si="44"/>
        <v>0.5</v>
      </c>
      <c r="M352">
        <f t="shared" si="45"/>
        <v>0</v>
      </c>
      <c r="N352">
        <f t="shared" si="46"/>
        <v>0.33333333333333331</v>
      </c>
      <c r="O352">
        <f t="shared" si="47"/>
        <v>0.22222222222222221</v>
      </c>
      <c r="P352">
        <f t="shared" si="48"/>
        <v>0.33333333333333331</v>
      </c>
    </row>
    <row r="353" spans="1:16" x14ac:dyDescent="0.4">
      <c r="A353">
        <v>0.21052631578947367</v>
      </c>
      <c r="B353">
        <v>0.30769230769230771</v>
      </c>
      <c r="C353" s="23">
        <v>6.1538461538461542E-2</v>
      </c>
      <c r="D353">
        <v>0.125</v>
      </c>
      <c r="E353">
        <v>5.8823529411764705E-2</v>
      </c>
      <c r="F353">
        <v>3.2258064516129031E-2</v>
      </c>
      <c r="G353">
        <v>0</v>
      </c>
      <c r="H353">
        <v>3.2258064516129031E-2</v>
      </c>
      <c r="I353">
        <f t="shared" si="41"/>
        <v>0.21052631578947367</v>
      </c>
      <c r="J353">
        <f t="shared" si="42"/>
        <v>0.30769230769230771</v>
      </c>
      <c r="K353">
        <f t="shared" si="43"/>
        <v>6.1538461538461542E-2</v>
      </c>
      <c r="L353">
        <f t="shared" si="44"/>
        <v>0.125</v>
      </c>
      <c r="M353">
        <f t="shared" si="45"/>
        <v>5.8823529411764705E-2</v>
      </c>
      <c r="N353">
        <f t="shared" si="46"/>
        <v>3.2258064516129031E-2</v>
      </c>
      <c r="O353">
        <f t="shared" si="47"/>
        <v>0</v>
      </c>
      <c r="P353">
        <f t="shared" si="48"/>
        <v>3.2258064516129031E-2</v>
      </c>
    </row>
    <row r="354" spans="1:16" x14ac:dyDescent="0.4">
      <c r="A354">
        <v>0.23529411764705882</v>
      </c>
      <c r="B354">
        <v>0.36363636363636365</v>
      </c>
      <c r="C354" s="24">
        <v>0.2</v>
      </c>
      <c r="D354">
        <v>0.21052631578947367</v>
      </c>
      <c r="E354">
        <v>6.25E-2</v>
      </c>
      <c r="F354">
        <v>0.5</v>
      </c>
      <c r="G354">
        <v>0.1</v>
      </c>
      <c r="H354">
        <v>0</v>
      </c>
      <c r="I354">
        <f t="shared" si="41"/>
        <v>0.23529411764705882</v>
      </c>
      <c r="J354">
        <f t="shared" si="42"/>
        <v>0.36363636363636365</v>
      </c>
      <c r="K354">
        <f t="shared" si="43"/>
        <v>0.2</v>
      </c>
      <c r="L354">
        <f t="shared" si="44"/>
        <v>0.21052631578947367</v>
      </c>
      <c r="M354">
        <f t="shared" si="45"/>
        <v>6.25E-2</v>
      </c>
      <c r="N354">
        <f t="shared" si="46"/>
        <v>0.5</v>
      </c>
      <c r="O354">
        <f t="shared" si="47"/>
        <v>0.1</v>
      </c>
      <c r="P354">
        <f t="shared" si="48"/>
        <v>0</v>
      </c>
    </row>
    <row r="355" spans="1:16" x14ac:dyDescent="0.4">
      <c r="A355">
        <v>0.36363636363636365</v>
      </c>
      <c r="B355">
        <v>0.25</v>
      </c>
      <c r="C355" s="23">
        <v>0.4</v>
      </c>
      <c r="D355">
        <v>0.16666666666666666</v>
      </c>
      <c r="E355">
        <v>0.1</v>
      </c>
      <c r="F355">
        <v>0.5</v>
      </c>
      <c r="G355">
        <v>0.25</v>
      </c>
      <c r="H355">
        <v>0.2857142857142857</v>
      </c>
      <c r="I355">
        <f t="shared" si="41"/>
        <v>0.36363636363636365</v>
      </c>
      <c r="J355">
        <f t="shared" si="42"/>
        <v>0.25</v>
      </c>
      <c r="K355">
        <f t="shared" si="43"/>
        <v>0.4</v>
      </c>
      <c r="L355">
        <f t="shared" si="44"/>
        <v>0.16666666666666666</v>
      </c>
      <c r="M355">
        <f t="shared" si="45"/>
        <v>0.1</v>
      </c>
      <c r="N355">
        <f t="shared" si="46"/>
        <v>0.5</v>
      </c>
      <c r="O355">
        <f t="shared" si="47"/>
        <v>0.25</v>
      </c>
      <c r="P355">
        <f t="shared" si="48"/>
        <v>0.2857142857142857</v>
      </c>
    </row>
    <row r="356" spans="1:16" x14ac:dyDescent="0.4">
      <c r="A356">
        <v>0.21052631578947367</v>
      </c>
      <c r="B356">
        <v>0.44444444444444442</v>
      </c>
      <c r="C356" s="24">
        <v>0.15384615384615385</v>
      </c>
      <c r="D356">
        <v>4.3478260869565216E-2</v>
      </c>
      <c r="E356">
        <v>0</v>
      </c>
      <c r="F356">
        <v>0.36363636363636365</v>
      </c>
      <c r="G356">
        <v>0.125</v>
      </c>
      <c r="H356">
        <v>0.1</v>
      </c>
      <c r="I356">
        <f t="shared" si="41"/>
        <v>0.21052631578947367</v>
      </c>
      <c r="J356">
        <f t="shared" si="42"/>
        <v>0.44444444444444442</v>
      </c>
      <c r="K356">
        <f t="shared" si="43"/>
        <v>0.15384615384615385</v>
      </c>
      <c r="L356">
        <f t="shared" si="44"/>
        <v>4.3478260869565216E-2</v>
      </c>
      <c r="M356">
        <f t="shared" si="45"/>
        <v>0</v>
      </c>
      <c r="N356">
        <f t="shared" si="46"/>
        <v>0.36363636363636365</v>
      </c>
      <c r="O356">
        <f t="shared" si="47"/>
        <v>0.125</v>
      </c>
      <c r="P356">
        <f t="shared" si="48"/>
        <v>0.1</v>
      </c>
    </row>
    <row r="357" spans="1:16" x14ac:dyDescent="0.4">
      <c r="A357">
        <v>0.4</v>
      </c>
      <c r="B357">
        <v>0.4</v>
      </c>
      <c r="C357" s="23">
        <v>0.4</v>
      </c>
      <c r="D357">
        <v>0.42857142857142855</v>
      </c>
      <c r="E357">
        <v>0.1111111111111111</v>
      </c>
      <c r="F357">
        <v>1</v>
      </c>
      <c r="G357">
        <v>0</v>
      </c>
      <c r="H357">
        <v>0.30769230769230771</v>
      </c>
      <c r="I357">
        <f t="shared" si="41"/>
        <v>0.4</v>
      </c>
      <c r="J357">
        <f t="shared" si="42"/>
        <v>0.4</v>
      </c>
      <c r="K357">
        <f t="shared" si="43"/>
        <v>0.4</v>
      </c>
      <c r="L357">
        <f t="shared" si="44"/>
        <v>0.42857142857142855</v>
      </c>
      <c r="M357">
        <f t="shared" si="45"/>
        <v>0.1111111111111111</v>
      </c>
      <c r="N357">
        <f t="shared" si="46"/>
        <v>1</v>
      </c>
      <c r="O357">
        <f t="shared" si="47"/>
        <v>0</v>
      </c>
      <c r="P357">
        <f t="shared" si="48"/>
        <v>0.30769230769230771</v>
      </c>
    </row>
    <row r="358" spans="1:16" x14ac:dyDescent="0.4">
      <c r="A358">
        <v>0</v>
      </c>
      <c r="B358">
        <v>0.36363636363636365</v>
      </c>
      <c r="C358" s="24">
        <v>0.2857142857142857</v>
      </c>
      <c r="D358">
        <v>0.19047619047619047</v>
      </c>
      <c r="E358">
        <v>0.14814814814814814</v>
      </c>
      <c r="F358">
        <v>0</v>
      </c>
      <c r="G358">
        <v>0.1</v>
      </c>
      <c r="H358">
        <v>0.1</v>
      </c>
      <c r="I358">
        <f t="shared" si="41"/>
        <v>0</v>
      </c>
      <c r="J358">
        <f t="shared" si="42"/>
        <v>0.36363636363636365</v>
      </c>
      <c r="K358">
        <f t="shared" si="43"/>
        <v>0.2857142857142857</v>
      </c>
      <c r="L358">
        <f t="shared" si="44"/>
        <v>0.19047619047619047</v>
      </c>
      <c r="M358">
        <f t="shared" si="45"/>
        <v>0.14814814814814814</v>
      </c>
      <c r="N358">
        <f t="shared" si="46"/>
        <v>0</v>
      </c>
      <c r="O358">
        <f t="shared" si="47"/>
        <v>0.1</v>
      </c>
      <c r="P358">
        <f t="shared" si="48"/>
        <v>0.1</v>
      </c>
    </row>
    <row r="359" spans="1:16" x14ac:dyDescent="0.4">
      <c r="A359">
        <v>0.33333333333333331</v>
      </c>
      <c r="B359">
        <v>0.33333333333333331</v>
      </c>
      <c r="C359" s="23">
        <v>0.44444444444444442</v>
      </c>
      <c r="D359">
        <v>0.125</v>
      </c>
      <c r="E359">
        <v>0</v>
      </c>
      <c r="F359">
        <v>0.125</v>
      </c>
      <c r="G359">
        <v>0</v>
      </c>
      <c r="H359">
        <v>0.2857142857142857</v>
      </c>
      <c r="I359">
        <f t="shared" si="41"/>
        <v>0.33333333333333331</v>
      </c>
      <c r="J359">
        <f t="shared" si="42"/>
        <v>0.33333333333333331</v>
      </c>
      <c r="K359">
        <f t="shared" si="43"/>
        <v>0.44444444444444442</v>
      </c>
      <c r="L359">
        <f t="shared" si="44"/>
        <v>0.125</v>
      </c>
      <c r="M359">
        <f t="shared" si="45"/>
        <v>0</v>
      </c>
      <c r="N359">
        <f t="shared" si="46"/>
        <v>0.125</v>
      </c>
      <c r="O359">
        <f t="shared" si="47"/>
        <v>0</v>
      </c>
      <c r="P359">
        <f t="shared" si="48"/>
        <v>0.2857142857142857</v>
      </c>
    </row>
    <row r="360" spans="1:16" x14ac:dyDescent="0.4">
      <c r="A360">
        <v>0.13793103448275862</v>
      </c>
      <c r="B360">
        <v>4.7619047619047616E-2</v>
      </c>
      <c r="C360" s="24">
        <v>0.2</v>
      </c>
      <c r="D360">
        <v>4.7619047619047616E-2</v>
      </c>
      <c r="E360">
        <v>0</v>
      </c>
      <c r="F360">
        <v>5.2631578947368418E-2</v>
      </c>
      <c r="G360">
        <v>0.14285714285714285</v>
      </c>
      <c r="H360">
        <v>9.8039215686274508E-3</v>
      </c>
      <c r="I360">
        <f t="shared" si="41"/>
        <v>0.13793103448275862</v>
      </c>
      <c r="J360">
        <f t="shared" si="42"/>
        <v>4.7619047619047616E-2</v>
      </c>
      <c r="K360">
        <f t="shared" si="43"/>
        <v>0.2</v>
      </c>
      <c r="L360">
        <f t="shared" si="44"/>
        <v>4.7619047619047616E-2</v>
      </c>
      <c r="M360">
        <f t="shared" si="45"/>
        <v>0</v>
      </c>
      <c r="N360">
        <f t="shared" si="46"/>
        <v>5.2631578947368418E-2</v>
      </c>
      <c r="O360">
        <f t="shared" si="47"/>
        <v>0.14285714285714285</v>
      </c>
      <c r="P360">
        <f t="shared" si="48"/>
        <v>9.8039215686274508E-3</v>
      </c>
    </row>
    <row r="361" spans="1:16" x14ac:dyDescent="0.4">
      <c r="A361">
        <v>0.12121212121212122</v>
      </c>
      <c r="B361">
        <v>0.2</v>
      </c>
      <c r="C361" s="23">
        <v>0</v>
      </c>
      <c r="D361">
        <v>0</v>
      </c>
      <c r="E361">
        <v>0</v>
      </c>
      <c r="F361">
        <v>0.44444444444444442</v>
      </c>
      <c r="G361">
        <v>5.8823529411764705E-2</v>
      </c>
      <c r="H361">
        <v>7.0175438596491224E-2</v>
      </c>
      <c r="I361">
        <f t="shared" si="41"/>
        <v>0.12121212121212122</v>
      </c>
      <c r="J361">
        <f t="shared" si="42"/>
        <v>0.2</v>
      </c>
      <c r="K361">
        <f t="shared" si="43"/>
        <v>0</v>
      </c>
      <c r="L361">
        <f t="shared" si="44"/>
        <v>0</v>
      </c>
      <c r="M361">
        <f t="shared" si="45"/>
        <v>0</v>
      </c>
      <c r="N361">
        <f t="shared" si="46"/>
        <v>0.44444444444444442</v>
      </c>
      <c r="O361">
        <f t="shared" si="47"/>
        <v>5.8823529411764705E-2</v>
      </c>
      <c r="P361">
        <f t="shared" si="48"/>
        <v>7.0175438596491224E-2</v>
      </c>
    </row>
    <row r="362" spans="1:16" x14ac:dyDescent="0.4">
      <c r="A362">
        <v>0.44444444444444442</v>
      </c>
      <c r="B362">
        <v>0.26666666666666666</v>
      </c>
      <c r="C362" s="24">
        <v>0.21052631578947367</v>
      </c>
      <c r="D362">
        <v>0.44444444444444442</v>
      </c>
      <c r="E362">
        <v>0</v>
      </c>
      <c r="F362">
        <v>0.11764705882352941</v>
      </c>
      <c r="G362">
        <v>0</v>
      </c>
      <c r="H362">
        <v>0.16666666666666666</v>
      </c>
      <c r="I362">
        <f t="shared" si="41"/>
        <v>0.44444444444444442</v>
      </c>
      <c r="J362">
        <f t="shared" si="42"/>
        <v>0.26666666666666666</v>
      </c>
      <c r="K362">
        <f t="shared" si="43"/>
        <v>0.21052631578947367</v>
      </c>
      <c r="L362">
        <f t="shared" si="44"/>
        <v>0.44444444444444442</v>
      </c>
      <c r="M362">
        <f t="shared" si="45"/>
        <v>0</v>
      </c>
      <c r="N362">
        <f t="shared" si="46"/>
        <v>0.11764705882352941</v>
      </c>
      <c r="O362">
        <f t="shared" si="47"/>
        <v>0</v>
      </c>
      <c r="P362">
        <f t="shared" si="48"/>
        <v>0.16666666666666666</v>
      </c>
    </row>
    <row r="363" spans="1:16" x14ac:dyDescent="0.4">
      <c r="A363">
        <v>0.30769230769230771</v>
      </c>
      <c r="B363">
        <v>0.4</v>
      </c>
      <c r="C363" s="23">
        <v>0.26666666666666666</v>
      </c>
      <c r="D363">
        <v>0.2</v>
      </c>
      <c r="E363">
        <v>0</v>
      </c>
      <c r="F363">
        <v>6.6666666666666666E-2</v>
      </c>
      <c r="G363">
        <v>0</v>
      </c>
      <c r="H363">
        <v>0.25</v>
      </c>
      <c r="I363">
        <f t="shared" si="41"/>
        <v>0.30769230769230771</v>
      </c>
      <c r="J363">
        <f t="shared" si="42"/>
        <v>0.4</v>
      </c>
      <c r="K363">
        <f t="shared" si="43"/>
        <v>0.26666666666666666</v>
      </c>
      <c r="L363">
        <f t="shared" si="44"/>
        <v>0.2</v>
      </c>
      <c r="M363">
        <f t="shared" si="45"/>
        <v>0</v>
      </c>
      <c r="N363">
        <f t="shared" si="46"/>
        <v>6.6666666666666666E-2</v>
      </c>
      <c r="O363">
        <f t="shared" si="47"/>
        <v>0</v>
      </c>
      <c r="P363">
        <f t="shared" si="48"/>
        <v>0.25</v>
      </c>
    </row>
    <row r="364" spans="1:16" x14ac:dyDescent="0.4">
      <c r="A364">
        <v>0.16</v>
      </c>
      <c r="B364">
        <v>0.16666666666666666</v>
      </c>
      <c r="C364" s="24">
        <v>8.6956521739130432E-2</v>
      </c>
      <c r="D364">
        <v>0.33333333333333331</v>
      </c>
      <c r="E364">
        <v>9.0909090909090912E-2</v>
      </c>
      <c r="F364">
        <v>0.2</v>
      </c>
      <c r="G364">
        <v>0.13636363636363635</v>
      </c>
      <c r="H364">
        <v>0</v>
      </c>
      <c r="I364">
        <f t="shared" si="41"/>
        <v>0.16</v>
      </c>
      <c r="J364">
        <f t="shared" si="42"/>
        <v>0.16666666666666666</v>
      </c>
      <c r="K364">
        <f t="shared" si="43"/>
        <v>8.6956521739130432E-2</v>
      </c>
      <c r="L364">
        <f t="shared" si="44"/>
        <v>0.33333333333333331</v>
      </c>
      <c r="M364">
        <f t="shared" si="45"/>
        <v>9.0909090909090912E-2</v>
      </c>
      <c r="N364">
        <f t="shared" si="46"/>
        <v>0.2</v>
      </c>
      <c r="O364">
        <f t="shared" si="47"/>
        <v>0.13636363636363635</v>
      </c>
      <c r="P364">
        <f t="shared" si="48"/>
        <v>0</v>
      </c>
    </row>
    <row r="365" spans="1:16" x14ac:dyDescent="0.4">
      <c r="A365">
        <v>0</v>
      </c>
      <c r="B365">
        <v>0.44444444444444442</v>
      </c>
      <c r="C365" s="23">
        <v>0.21428571428571427</v>
      </c>
      <c r="D365">
        <v>5.4054054054054057E-2</v>
      </c>
      <c r="E365">
        <v>0.21052631578947367</v>
      </c>
      <c r="F365">
        <v>0.36363636363636365</v>
      </c>
      <c r="G365">
        <v>0.14285714285714285</v>
      </c>
      <c r="H365">
        <v>0.11764705882352941</v>
      </c>
      <c r="I365">
        <f t="shared" si="41"/>
        <v>0</v>
      </c>
      <c r="J365">
        <f t="shared" si="42"/>
        <v>0.44444444444444442</v>
      </c>
      <c r="K365">
        <f t="shared" si="43"/>
        <v>0.21428571428571427</v>
      </c>
      <c r="L365">
        <f t="shared" si="44"/>
        <v>5.4054054054054057E-2</v>
      </c>
      <c r="M365">
        <f t="shared" si="45"/>
        <v>0.21052631578947367</v>
      </c>
      <c r="N365">
        <f t="shared" si="46"/>
        <v>0.36363636363636365</v>
      </c>
      <c r="O365">
        <f t="shared" si="47"/>
        <v>0.14285714285714285</v>
      </c>
      <c r="P365">
        <f t="shared" si="48"/>
        <v>0.11764705882352941</v>
      </c>
    </row>
    <row r="366" spans="1:16" x14ac:dyDescent="0.4">
      <c r="A366">
        <v>0.30769230769230771</v>
      </c>
      <c r="B366">
        <v>4.3478260869565216E-2</v>
      </c>
      <c r="C366" s="24">
        <v>0.18181818181818182</v>
      </c>
      <c r="D366">
        <v>0.5714285714285714</v>
      </c>
      <c r="E366">
        <v>0</v>
      </c>
      <c r="F366">
        <v>0.05</v>
      </c>
      <c r="G366">
        <v>0.15384615384615385</v>
      </c>
      <c r="H366">
        <v>0</v>
      </c>
      <c r="I366">
        <f t="shared" si="41"/>
        <v>0.30769230769230771</v>
      </c>
      <c r="J366">
        <f t="shared" si="42"/>
        <v>4.3478260869565216E-2</v>
      </c>
      <c r="K366">
        <f t="shared" si="43"/>
        <v>0.18181818181818182</v>
      </c>
      <c r="L366">
        <f t="shared" si="44"/>
        <v>0.5714285714285714</v>
      </c>
      <c r="M366">
        <f t="shared" si="45"/>
        <v>0</v>
      </c>
      <c r="N366">
        <f t="shared" si="46"/>
        <v>0.05</v>
      </c>
      <c r="O366">
        <f t="shared" si="47"/>
        <v>0.15384615384615385</v>
      </c>
      <c r="P366">
        <f t="shared" si="48"/>
        <v>0</v>
      </c>
    </row>
    <row r="367" spans="1:16" x14ac:dyDescent="0.4">
      <c r="A367">
        <v>0.21428571428571427</v>
      </c>
      <c r="B367">
        <v>0.23529411764705882</v>
      </c>
      <c r="C367" s="23">
        <v>0.15</v>
      </c>
      <c r="D367">
        <v>0.33333333333333331</v>
      </c>
      <c r="E367">
        <v>0.36363636363636365</v>
      </c>
      <c r="F367">
        <v>0.22222222222222221</v>
      </c>
      <c r="G367">
        <v>0.15789473684210525</v>
      </c>
      <c r="H367">
        <v>2.3255813953488372E-2</v>
      </c>
      <c r="I367">
        <f t="shared" si="41"/>
        <v>0.21428571428571427</v>
      </c>
      <c r="J367">
        <f t="shared" si="42"/>
        <v>0.23529411764705882</v>
      </c>
      <c r="K367">
        <f t="shared" si="43"/>
        <v>0.15</v>
      </c>
      <c r="L367">
        <f t="shared" si="44"/>
        <v>0.33333333333333331</v>
      </c>
      <c r="M367">
        <f t="shared" si="45"/>
        <v>0.36363636363636365</v>
      </c>
      <c r="N367">
        <f t="shared" si="46"/>
        <v>0.22222222222222221</v>
      </c>
      <c r="O367">
        <f t="shared" si="47"/>
        <v>0.15789473684210525</v>
      </c>
      <c r="P367">
        <f t="shared" si="48"/>
        <v>2.3255813953488372E-2</v>
      </c>
    </row>
    <row r="368" spans="1:16" x14ac:dyDescent="0.4">
      <c r="A368">
        <v>0.25</v>
      </c>
      <c r="B368">
        <v>0.11428571428571428</v>
      </c>
      <c r="C368" s="24">
        <v>0.66666666666666663</v>
      </c>
      <c r="D368">
        <v>0.5</v>
      </c>
      <c r="E368">
        <v>0.15384615384615385</v>
      </c>
      <c r="F368">
        <v>0</v>
      </c>
      <c r="G368">
        <v>3.125E-2</v>
      </c>
      <c r="H368">
        <v>0.13793103448275862</v>
      </c>
      <c r="I368">
        <f t="shared" si="41"/>
        <v>0.25</v>
      </c>
      <c r="J368">
        <f t="shared" si="42"/>
        <v>0.11428571428571428</v>
      </c>
      <c r="K368">
        <f t="shared" si="43"/>
        <v>0.66666666666666663</v>
      </c>
      <c r="L368">
        <f t="shared" si="44"/>
        <v>0.5</v>
      </c>
      <c r="M368">
        <f t="shared" si="45"/>
        <v>0.15384615384615385</v>
      </c>
      <c r="N368">
        <f t="shared" si="46"/>
        <v>0</v>
      </c>
      <c r="O368">
        <f t="shared" si="47"/>
        <v>3.125E-2</v>
      </c>
      <c r="P368">
        <f t="shared" si="48"/>
        <v>0.13793103448275862</v>
      </c>
    </row>
    <row r="369" spans="1:16" x14ac:dyDescent="0.4">
      <c r="A369">
        <v>0.18181818181818182</v>
      </c>
      <c r="B369">
        <v>5.2631578947368418E-2</v>
      </c>
      <c r="C369" s="23">
        <v>8.8888888888888892E-2</v>
      </c>
      <c r="D369">
        <v>0.23529411764705882</v>
      </c>
      <c r="E369">
        <v>0</v>
      </c>
      <c r="F369">
        <v>2.2222222222222223E-2</v>
      </c>
      <c r="G369">
        <v>0.23529411764705882</v>
      </c>
      <c r="H369">
        <v>0</v>
      </c>
      <c r="I369">
        <f t="shared" si="41"/>
        <v>0.18181818181818182</v>
      </c>
      <c r="J369">
        <f t="shared" si="42"/>
        <v>5.2631578947368418E-2</v>
      </c>
      <c r="K369">
        <f t="shared" si="43"/>
        <v>8.8888888888888892E-2</v>
      </c>
      <c r="L369">
        <f t="shared" si="44"/>
        <v>0.23529411764705882</v>
      </c>
      <c r="M369">
        <f t="shared" si="45"/>
        <v>0</v>
      </c>
      <c r="N369">
        <f t="shared" si="46"/>
        <v>2.2222222222222223E-2</v>
      </c>
      <c r="O369">
        <f t="shared" si="47"/>
        <v>0.23529411764705882</v>
      </c>
      <c r="P369">
        <f t="shared" si="48"/>
        <v>0</v>
      </c>
    </row>
    <row r="370" spans="1:16" x14ac:dyDescent="0.4">
      <c r="A370">
        <v>1.9230769230769232E-2</v>
      </c>
      <c r="B370">
        <v>0.16</v>
      </c>
      <c r="C370" s="24">
        <v>0.26666666666666666</v>
      </c>
      <c r="D370">
        <v>0.15</v>
      </c>
      <c r="E370">
        <v>8.3333333333333329E-2</v>
      </c>
      <c r="F370">
        <v>0.25</v>
      </c>
      <c r="G370">
        <v>0</v>
      </c>
      <c r="H370">
        <v>0.23529411764705882</v>
      </c>
      <c r="I370">
        <f t="shared" si="41"/>
        <v>1.9230769230769232E-2</v>
      </c>
      <c r="J370">
        <f t="shared" si="42"/>
        <v>0.16</v>
      </c>
      <c r="K370">
        <f t="shared" si="43"/>
        <v>0.26666666666666666</v>
      </c>
      <c r="L370">
        <f t="shared" si="44"/>
        <v>0.15</v>
      </c>
      <c r="M370">
        <f t="shared" si="45"/>
        <v>8.3333333333333329E-2</v>
      </c>
      <c r="N370">
        <f t="shared" si="46"/>
        <v>0.25</v>
      </c>
      <c r="O370">
        <f t="shared" si="47"/>
        <v>0</v>
      </c>
      <c r="P370">
        <f t="shared" si="48"/>
        <v>0.23529411764705882</v>
      </c>
    </row>
    <row r="371" spans="1:16" x14ac:dyDescent="0.4">
      <c r="A371">
        <v>0.33333333333333331</v>
      </c>
      <c r="B371">
        <v>0.16666666666666666</v>
      </c>
      <c r="C371" s="23">
        <v>4.2553191489361701E-2</v>
      </c>
      <c r="D371">
        <v>0.33333333333333331</v>
      </c>
      <c r="E371">
        <v>0</v>
      </c>
      <c r="F371">
        <v>0</v>
      </c>
      <c r="G371">
        <v>0.14285714285714285</v>
      </c>
      <c r="H371">
        <v>0.375</v>
      </c>
      <c r="I371">
        <f t="shared" si="41"/>
        <v>0.33333333333333331</v>
      </c>
      <c r="J371">
        <f t="shared" si="42"/>
        <v>0.16666666666666666</v>
      </c>
      <c r="K371">
        <f t="shared" si="43"/>
        <v>4.2553191489361701E-2</v>
      </c>
      <c r="L371">
        <f t="shared" si="44"/>
        <v>0.33333333333333331</v>
      </c>
      <c r="M371">
        <f t="shared" si="45"/>
        <v>0</v>
      </c>
      <c r="N371">
        <f t="shared" si="46"/>
        <v>0</v>
      </c>
      <c r="O371">
        <f t="shared" si="47"/>
        <v>0.14285714285714285</v>
      </c>
      <c r="P371">
        <f t="shared" si="48"/>
        <v>0.375</v>
      </c>
    </row>
    <row r="372" spans="1:16" x14ac:dyDescent="0.4">
      <c r="A372">
        <v>0.19047619047619047</v>
      </c>
      <c r="B372">
        <v>0.33333333333333331</v>
      </c>
      <c r="C372" s="24">
        <v>0.17647058823529413</v>
      </c>
      <c r="D372">
        <v>0.42857142857142855</v>
      </c>
      <c r="E372">
        <v>0</v>
      </c>
      <c r="F372">
        <v>0.2857142857142857</v>
      </c>
      <c r="G372">
        <v>0</v>
      </c>
      <c r="H372">
        <v>1</v>
      </c>
      <c r="I372">
        <f t="shared" si="41"/>
        <v>0.19047619047619047</v>
      </c>
      <c r="J372">
        <f t="shared" si="42"/>
        <v>0.33333333333333331</v>
      </c>
      <c r="K372">
        <f t="shared" si="43"/>
        <v>0.17647058823529413</v>
      </c>
      <c r="L372">
        <f t="shared" si="44"/>
        <v>0.42857142857142855</v>
      </c>
      <c r="M372">
        <f t="shared" si="45"/>
        <v>0</v>
      </c>
      <c r="N372">
        <f t="shared" si="46"/>
        <v>0.2857142857142857</v>
      </c>
      <c r="O372">
        <f t="shared" si="47"/>
        <v>0</v>
      </c>
      <c r="P372">
        <f t="shared" si="48"/>
        <v>1</v>
      </c>
    </row>
    <row r="373" spans="1:16" x14ac:dyDescent="0.4">
      <c r="A373">
        <v>0.5</v>
      </c>
      <c r="B373">
        <v>0.18181818181818182</v>
      </c>
      <c r="C373" s="23">
        <v>0.15384615384615385</v>
      </c>
      <c r="D373">
        <v>0.2</v>
      </c>
      <c r="E373">
        <v>0.14285714285714285</v>
      </c>
      <c r="F373">
        <v>0</v>
      </c>
      <c r="G373">
        <v>0.15789473684210525</v>
      </c>
      <c r="H373">
        <v>0</v>
      </c>
      <c r="I373">
        <f t="shared" si="41"/>
        <v>0.5</v>
      </c>
      <c r="J373">
        <f t="shared" si="42"/>
        <v>0.18181818181818182</v>
      </c>
      <c r="K373">
        <f t="shared" si="43"/>
        <v>0.15384615384615385</v>
      </c>
      <c r="L373">
        <f t="shared" si="44"/>
        <v>0.2</v>
      </c>
      <c r="M373">
        <f t="shared" si="45"/>
        <v>0.14285714285714285</v>
      </c>
      <c r="N373">
        <f t="shared" si="46"/>
        <v>0</v>
      </c>
      <c r="O373">
        <f t="shared" si="47"/>
        <v>0.15789473684210525</v>
      </c>
      <c r="P373">
        <f t="shared" si="48"/>
        <v>0</v>
      </c>
    </row>
    <row r="374" spans="1:16" x14ac:dyDescent="0.4">
      <c r="A374">
        <v>0.26666666666666666</v>
      </c>
      <c r="B374">
        <v>0.36363636363636365</v>
      </c>
      <c r="C374" s="24">
        <v>0.23529411764705882</v>
      </c>
      <c r="D374">
        <v>0.5</v>
      </c>
      <c r="E374">
        <v>0</v>
      </c>
      <c r="F374">
        <v>6.25E-2</v>
      </c>
      <c r="G374">
        <v>0</v>
      </c>
      <c r="H374">
        <v>0</v>
      </c>
      <c r="I374">
        <f t="shared" si="41"/>
        <v>0.26666666666666666</v>
      </c>
      <c r="J374">
        <f t="shared" si="42"/>
        <v>0.36363636363636365</v>
      </c>
      <c r="K374">
        <f t="shared" si="43"/>
        <v>0.23529411764705882</v>
      </c>
      <c r="L374">
        <f t="shared" si="44"/>
        <v>0.5</v>
      </c>
      <c r="M374">
        <f t="shared" si="45"/>
        <v>0</v>
      </c>
      <c r="N374">
        <f t="shared" si="46"/>
        <v>6.25E-2</v>
      </c>
      <c r="O374">
        <f t="shared" si="47"/>
        <v>0</v>
      </c>
      <c r="P374">
        <f t="shared" si="48"/>
        <v>0</v>
      </c>
    </row>
    <row r="375" spans="1:16" x14ac:dyDescent="0.4">
      <c r="A375">
        <v>0.2857142857142857</v>
      </c>
      <c r="B375">
        <v>0.5</v>
      </c>
      <c r="C375" s="23">
        <v>0.2857142857142857</v>
      </c>
      <c r="D375">
        <v>0.4</v>
      </c>
      <c r="E375">
        <v>0</v>
      </c>
      <c r="F375">
        <v>0.16666666666666666</v>
      </c>
      <c r="G375">
        <v>0</v>
      </c>
      <c r="H375">
        <v>0.5</v>
      </c>
      <c r="I375">
        <f t="shared" si="41"/>
        <v>0.2857142857142857</v>
      </c>
      <c r="J375">
        <f t="shared" si="42"/>
        <v>0.5</v>
      </c>
      <c r="K375">
        <f t="shared" si="43"/>
        <v>0.2857142857142857</v>
      </c>
      <c r="L375">
        <f t="shared" si="44"/>
        <v>0.4</v>
      </c>
      <c r="M375">
        <f t="shared" si="45"/>
        <v>0</v>
      </c>
      <c r="N375">
        <f t="shared" si="46"/>
        <v>0.16666666666666666</v>
      </c>
      <c r="O375">
        <f t="shared" si="47"/>
        <v>0</v>
      </c>
      <c r="P375">
        <f t="shared" si="48"/>
        <v>0.5</v>
      </c>
    </row>
    <row r="376" spans="1:16" x14ac:dyDescent="0.4">
      <c r="A376">
        <v>0.25</v>
      </c>
      <c r="B376">
        <v>0.23529411764705882</v>
      </c>
      <c r="C376" s="24">
        <v>0.08</v>
      </c>
      <c r="D376">
        <v>0.44444444444444442</v>
      </c>
      <c r="E376">
        <v>0.14285714285714285</v>
      </c>
      <c r="F376">
        <v>0</v>
      </c>
      <c r="G376">
        <v>0</v>
      </c>
      <c r="H376">
        <v>0.42857142857142855</v>
      </c>
      <c r="I376">
        <f t="shared" si="41"/>
        <v>0.25</v>
      </c>
      <c r="J376">
        <f t="shared" si="42"/>
        <v>0.23529411764705882</v>
      </c>
      <c r="K376">
        <f t="shared" si="43"/>
        <v>0.08</v>
      </c>
      <c r="L376">
        <f t="shared" si="44"/>
        <v>0.44444444444444442</v>
      </c>
      <c r="M376">
        <f t="shared" si="45"/>
        <v>0.14285714285714285</v>
      </c>
      <c r="N376">
        <f t="shared" si="46"/>
        <v>0</v>
      </c>
      <c r="O376">
        <f t="shared" si="47"/>
        <v>0</v>
      </c>
      <c r="P376">
        <f t="shared" si="48"/>
        <v>0.42857142857142855</v>
      </c>
    </row>
    <row r="377" spans="1:16" x14ac:dyDescent="0.4">
      <c r="A377">
        <v>0.30769230769230771</v>
      </c>
      <c r="B377">
        <v>0.23529411764705882</v>
      </c>
      <c r="C377" s="23">
        <v>0.36363636363636365</v>
      </c>
      <c r="D377">
        <v>0.15384615384615385</v>
      </c>
      <c r="E377">
        <v>8.3333333333333329E-2</v>
      </c>
      <c r="F377">
        <v>0.1</v>
      </c>
      <c r="G377">
        <v>0.14285714285714285</v>
      </c>
      <c r="H377">
        <v>7.8947368421052627E-2</v>
      </c>
      <c r="I377">
        <f t="shared" si="41"/>
        <v>0.30769230769230771</v>
      </c>
      <c r="J377">
        <f t="shared" si="42"/>
        <v>0.23529411764705882</v>
      </c>
      <c r="K377">
        <f t="shared" si="43"/>
        <v>0.36363636363636365</v>
      </c>
      <c r="L377">
        <f t="shared" si="44"/>
        <v>0.15384615384615385</v>
      </c>
      <c r="M377">
        <f t="shared" si="45"/>
        <v>8.3333333333333329E-2</v>
      </c>
      <c r="N377">
        <f t="shared" si="46"/>
        <v>0.1</v>
      </c>
      <c r="O377">
        <f t="shared" si="47"/>
        <v>0.14285714285714285</v>
      </c>
      <c r="P377">
        <f t="shared" si="48"/>
        <v>7.8947368421052627E-2</v>
      </c>
    </row>
    <row r="378" spans="1:16" x14ac:dyDescent="0.4">
      <c r="A378">
        <v>0.36363636363636365</v>
      </c>
      <c r="B378">
        <v>0.2</v>
      </c>
      <c r="C378" s="24">
        <v>0.125</v>
      </c>
      <c r="D378">
        <v>0.26666666666666666</v>
      </c>
      <c r="E378">
        <v>0.22222222222222221</v>
      </c>
      <c r="F378">
        <v>0.1</v>
      </c>
      <c r="G378">
        <v>0.16666666666666666</v>
      </c>
      <c r="H378">
        <v>3.4482758620689655E-2</v>
      </c>
      <c r="I378">
        <f t="shared" si="41"/>
        <v>0.36363636363636365</v>
      </c>
      <c r="J378">
        <f t="shared" si="42"/>
        <v>0.2</v>
      </c>
      <c r="K378">
        <f t="shared" si="43"/>
        <v>0.125</v>
      </c>
      <c r="L378">
        <f t="shared" si="44"/>
        <v>0.26666666666666666</v>
      </c>
      <c r="M378">
        <f t="shared" si="45"/>
        <v>0.22222222222222221</v>
      </c>
      <c r="N378">
        <f t="shared" si="46"/>
        <v>0.1</v>
      </c>
      <c r="O378">
        <f t="shared" si="47"/>
        <v>0.16666666666666666</v>
      </c>
      <c r="P378">
        <f t="shared" si="48"/>
        <v>3.4482758620689655E-2</v>
      </c>
    </row>
    <row r="379" spans="1:16" x14ac:dyDescent="0.4">
      <c r="A379">
        <v>0.2857142857142857</v>
      </c>
      <c r="B379">
        <v>0.30769230769230771</v>
      </c>
      <c r="C379" s="23">
        <v>0.1111111111111111</v>
      </c>
      <c r="D379">
        <v>0.44444444444444442</v>
      </c>
      <c r="E379">
        <v>0.27272727272727271</v>
      </c>
      <c r="F379">
        <v>0.5714285714285714</v>
      </c>
      <c r="G379">
        <v>0</v>
      </c>
      <c r="H379">
        <v>0.125</v>
      </c>
      <c r="I379">
        <f t="shared" si="41"/>
        <v>0.2857142857142857</v>
      </c>
      <c r="J379">
        <f t="shared" si="42"/>
        <v>0.30769230769230771</v>
      </c>
      <c r="K379">
        <f t="shared" si="43"/>
        <v>0.1111111111111111</v>
      </c>
      <c r="L379">
        <f t="shared" si="44"/>
        <v>0.44444444444444442</v>
      </c>
      <c r="M379">
        <f t="shared" si="45"/>
        <v>0.27272727272727271</v>
      </c>
      <c r="N379">
        <f t="shared" si="46"/>
        <v>0.5714285714285714</v>
      </c>
      <c r="O379">
        <f t="shared" si="47"/>
        <v>0</v>
      </c>
      <c r="P379">
        <f t="shared" si="48"/>
        <v>0.125</v>
      </c>
    </row>
    <row r="380" spans="1:16" x14ac:dyDescent="0.4">
      <c r="A380">
        <v>0.2857142857142857</v>
      </c>
      <c r="B380">
        <v>0.26666666666666666</v>
      </c>
      <c r="C380" s="24">
        <v>0.4</v>
      </c>
      <c r="D380">
        <v>0.375</v>
      </c>
      <c r="E380">
        <v>7.6923076923076927E-2</v>
      </c>
      <c r="F380">
        <v>0.2857142857142857</v>
      </c>
      <c r="G380">
        <v>0.16666666666666666</v>
      </c>
      <c r="H380">
        <v>0.8</v>
      </c>
      <c r="I380">
        <f t="shared" si="41"/>
        <v>0.2857142857142857</v>
      </c>
      <c r="J380">
        <f t="shared" si="42"/>
        <v>0.26666666666666666</v>
      </c>
      <c r="K380">
        <f t="shared" si="43"/>
        <v>0.4</v>
      </c>
      <c r="L380">
        <f t="shared" si="44"/>
        <v>0.375</v>
      </c>
      <c r="M380">
        <f t="shared" si="45"/>
        <v>7.6923076923076927E-2</v>
      </c>
      <c r="N380">
        <f t="shared" si="46"/>
        <v>0.2857142857142857</v>
      </c>
      <c r="O380">
        <f t="shared" si="47"/>
        <v>0.16666666666666666</v>
      </c>
      <c r="P380">
        <f t="shared" si="48"/>
        <v>0.8</v>
      </c>
    </row>
    <row r="381" spans="1:16" x14ac:dyDescent="0.4">
      <c r="A381">
        <v>5.5555555555555552E-2</v>
      </c>
      <c r="B381">
        <v>4.7619047619047616E-2</v>
      </c>
      <c r="C381" s="23">
        <v>0.5714285714285714</v>
      </c>
      <c r="D381">
        <v>0.44444444444444442</v>
      </c>
      <c r="E381">
        <v>0.2857142857142857</v>
      </c>
      <c r="F381">
        <v>0</v>
      </c>
      <c r="G381">
        <v>0.19047619047619047</v>
      </c>
      <c r="H381">
        <v>0</v>
      </c>
      <c r="I381">
        <f t="shared" si="41"/>
        <v>5.5555555555555552E-2</v>
      </c>
      <c r="J381">
        <f t="shared" si="42"/>
        <v>4.7619047619047616E-2</v>
      </c>
      <c r="K381">
        <f t="shared" si="43"/>
        <v>0.5714285714285714</v>
      </c>
      <c r="L381">
        <f t="shared" si="44"/>
        <v>0.44444444444444442</v>
      </c>
      <c r="M381">
        <f t="shared" si="45"/>
        <v>0.2857142857142857</v>
      </c>
      <c r="N381">
        <f t="shared" si="46"/>
        <v>0</v>
      </c>
      <c r="O381">
        <f t="shared" si="47"/>
        <v>0.19047619047619047</v>
      </c>
      <c r="P381">
        <f t="shared" si="48"/>
        <v>0</v>
      </c>
    </row>
    <row r="382" spans="1:16" x14ac:dyDescent="0.4">
      <c r="A382">
        <v>3.3333333333333333E-2</v>
      </c>
      <c r="B382">
        <v>0.16666666666666666</v>
      </c>
      <c r="C382" s="24">
        <v>0.21052631578947367</v>
      </c>
      <c r="D382">
        <v>0.18181818181818182</v>
      </c>
      <c r="E382">
        <v>0.16</v>
      </c>
      <c r="F382">
        <v>0</v>
      </c>
      <c r="G382">
        <v>9.5238095238095233E-2</v>
      </c>
      <c r="H382">
        <v>0.10526315789473684</v>
      </c>
      <c r="I382">
        <f t="shared" si="41"/>
        <v>3.3333333333333333E-2</v>
      </c>
      <c r="J382">
        <f t="shared" si="42"/>
        <v>0.16666666666666666</v>
      </c>
      <c r="K382">
        <f t="shared" si="43"/>
        <v>0.21052631578947367</v>
      </c>
      <c r="L382">
        <f t="shared" si="44"/>
        <v>0.18181818181818182</v>
      </c>
      <c r="M382">
        <f t="shared" si="45"/>
        <v>0.16</v>
      </c>
      <c r="N382">
        <f t="shared" si="46"/>
        <v>0</v>
      </c>
      <c r="O382">
        <f t="shared" si="47"/>
        <v>9.5238095238095233E-2</v>
      </c>
      <c r="P382">
        <f t="shared" si="48"/>
        <v>0.10526315789473684</v>
      </c>
    </row>
    <row r="383" spans="1:16" x14ac:dyDescent="0.4">
      <c r="A383">
        <v>0.22222222222222221</v>
      </c>
      <c r="B383">
        <v>0.5</v>
      </c>
      <c r="C383" s="23">
        <v>7.0175438596491224E-2</v>
      </c>
      <c r="D383">
        <v>0.22222222222222221</v>
      </c>
      <c r="E383">
        <v>0.8</v>
      </c>
      <c r="F383">
        <v>5.7692307692307696E-2</v>
      </c>
      <c r="G383">
        <v>0</v>
      </c>
      <c r="H383">
        <v>7.6923076923076927E-2</v>
      </c>
      <c r="I383">
        <f t="shared" si="41"/>
        <v>0.22222222222222221</v>
      </c>
      <c r="J383">
        <f t="shared" si="42"/>
        <v>0.5</v>
      </c>
      <c r="K383">
        <f t="shared" si="43"/>
        <v>7.0175438596491224E-2</v>
      </c>
      <c r="L383">
        <f t="shared" si="44"/>
        <v>0.22222222222222221</v>
      </c>
      <c r="M383">
        <f t="shared" si="45"/>
        <v>0.8</v>
      </c>
      <c r="N383">
        <f t="shared" si="46"/>
        <v>5.7692307692307696E-2</v>
      </c>
      <c r="O383">
        <f t="shared" si="47"/>
        <v>0</v>
      </c>
      <c r="P383">
        <f t="shared" si="48"/>
        <v>7.6923076923076927E-2</v>
      </c>
    </row>
    <row r="384" spans="1:16" x14ac:dyDescent="0.4">
      <c r="A384">
        <v>0.36363636363636365</v>
      </c>
      <c r="B384">
        <v>0.4</v>
      </c>
      <c r="C384" s="24">
        <v>0.13333333333333333</v>
      </c>
      <c r="D384">
        <v>0.23529411764705882</v>
      </c>
      <c r="E384">
        <v>0</v>
      </c>
      <c r="F384">
        <v>0</v>
      </c>
      <c r="G384">
        <v>0.2857142857142857</v>
      </c>
      <c r="H384">
        <v>6.25E-2</v>
      </c>
      <c r="I384">
        <f t="shared" si="41"/>
        <v>0.36363636363636365</v>
      </c>
      <c r="J384">
        <f t="shared" si="42"/>
        <v>0.4</v>
      </c>
      <c r="K384">
        <f t="shared" si="43"/>
        <v>0.13333333333333333</v>
      </c>
      <c r="L384">
        <f t="shared" si="44"/>
        <v>0.23529411764705882</v>
      </c>
      <c r="M384">
        <f t="shared" si="45"/>
        <v>0</v>
      </c>
      <c r="N384">
        <f t="shared" si="46"/>
        <v>0</v>
      </c>
      <c r="O384">
        <f t="shared" si="47"/>
        <v>0.2857142857142857</v>
      </c>
      <c r="P384">
        <f t="shared" si="48"/>
        <v>6.25E-2</v>
      </c>
    </row>
    <row r="385" spans="1:16" x14ac:dyDescent="0.4">
      <c r="A385">
        <v>0.33333333333333331</v>
      </c>
      <c r="B385">
        <v>0</v>
      </c>
      <c r="C385" s="23">
        <v>6.5573770491803282E-2</v>
      </c>
      <c r="D385">
        <v>0.11764705882352941</v>
      </c>
      <c r="E385">
        <v>0</v>
      </c>
      <c r="F385">
        <v>1.6666666666666666E-2</v>
      </c>
      <c r="G385">
        <v>0.44444444444444442</v>
      </c>
      <c r="H385">
        <v>0</v>
      </c>
      <c r="I385">
        <f t="shared" si="41"/>
        <v>0.33333333333333331</v>
      </c>
      <c r="J385">
        <f t="shared" si="42"/>
        <v>0</v>
      </c>
      <c r="K385">
        <f t="shared" si="43"/>
        <v>6.5573770491803282E-2</v>
      </c>
      <c r="L385">
        <f t="shared" si="44"/>
        <v>0.11764705882352941</v>
      </c>
      <c r="M385">
        <f t="shared" si="45"/>
        <v>0</v>
      </c>
      <c r="N385">
        <f t="shared" si="46"/>
        <v>1.6666666666666666E-2</v>
      </c>
      <c r="O385">
        <f t="shared" si="47"/>
        <v>0.44444444444444442</v>
      </c>
      <c r="P385">
        <f t="shared" si="48"/>
        <v>0</v>
      </c>
    </row>
    <row r="386" spans="1:16" x14ac:dyDescent="0.4">
      <c r="A386">
        <v>0</v>
      </c>
      <c r="B386">
        <v>0</v>
      </c>
      <c r="C386" s="24">
        <v>8.1632653061224483E-2</v>
      </c>
      <c r="D386">
        <v>0.33333333333333331</v>
      </c>
      <c r="E386">
        <v>0.18181818181818182</v>
      </c>
      <c r="F386">
        <v>0</v>
      </c>
      <c r="G386">
        <v>0.44444444444444442</v>
      </c>
      <c r="H386">
        <v>0.2</v>
      </c>
      <c r="I386">
        <f t="shared" si="41"/>
        <v>0</v>
      </c>
      <c r="J386">
        <f t="shared" si="42"/>
        <v>0</v>
      </c>
      <c r="K386">
        <f t="shared" si="43"/>
        <v>8.1632653061224483E-2</v>
      </c>
      <c r="L386">
        <f t="shared" si="44"/>
        <v>0.33333333333333331</v>
      </c>
      <c r="M386">
        <f t="shared" si="45"/>
        <v>0.18181818181818182</v>
      </c>
      <c r="N386">
        <f t="shared" si="46"/>
        <v>0</v>
      </c>
      <c r="O386">
        <f t="shared" si="47"/>
        <v>0.44444444444444442</v>
      </c>
      <c r="P386">
        <f t="shared" si="48"/>
        <v>0.2</v>
      </c>
    </row>
    <row r="387" spans="1:16" x14ac:dyDescent="0.4">
      <c r="A387">
        <v>0.23529411764705882</v>
      </c>
      <c r="B387">
        <v>0.14285714285714285</v>
      </c>
      <c r="C387" s="23">
        <v>3.4482758620689655E-2</v>
      </c>
      <c r="D387">
        <v>0.3</v>
      </c>
      <c r="E387">
        <v>6.6666666666666666E-2</v>
      </c>
      <c r="F387">
        <v>0.15384615384615385</v>
      </c>
      <c r="G387">
        <v>0</v>
      </c>
      <c r="H387">
        <v>0.5714285714285714</v>
      </c>
      <c r="I387">
        <f t="shared" si="41"/>
        <v>0.23529411764705882</v>
      </c>
      <c r="J387">
        <f t="shared" si="42"/>
        <v>0.14285714285714285</v>
      </c>
      <c r="K387">
        <f t="shared" si="43"/>
        <v>3.4482758620689655E-2</v>
      </c>
      <c r="L387">
        <f t="shared" si="44"/>
        <v>0.3</v>
      </c>
      <c r="M387">
        <f t="shared" si="45"/>
        <v>6.6666666666666666E-2</v>
      </c>
      <c r="N387">
        <f t="shared" si="46"/>
        <v>0.15384615384615385</v>
      </c>
      <c r="O387">
        <f t="shared" si="47"/>
        <v>0</v>
      </c>
      <c r="P387">
        <f t="shared" si="48"/>
        <v>0.5714285714285714</v>
      </c>
    </row>
    <row r="388" spans="1:16" x14ac:dyDescent="0.4">
      <c r="A388">
        <v>0</v>
      </c>
      <c r="B388">
        <v>0.2</v>
      </c>
      <c r="C388" s="24">
        <v>0.36363636363636365</v>
      </c>
      <c r="D388">
        <v>0.2</v>
      </c>
      <c r="E388">
        <v>0.5714285714285714</v>
      </c>
      <c r="F388">
        <v>0.375</v>
      </c>
      <c r="G388">
        <v>7.6923076923076927E-2</v>
      </c>
      <c r="H388">
        <v>0</v>
      </c>
      <c r="I388">
        <f t="shared" si="41"/>
        <v>0</v>
      </c>
      <c r="J388">
        <f t="shared" si="42"/>
        <v>0.2</v>
      </c>
      <c r="K388">
        <f t="shared" si="43"/>
        <v>0.36363636363636365</v>
      </c>
      <c r="L388">
        <f t="shared" si="44"/>
        <v>0.2</v>
      </c>
      <c r="M388">
        <f t="shared" si="45"/>
        <v>0.5714285714285714</v>
      </c>
      <c r="N388">
        <f t="shared" si="46"/>
        <v>0.375</v>
      </c>
      <c r="O388">
        <f t="shared" si="47"/>
        <v>7.6923076923076927E-2</v>
      </c>
      <c r="P388">
        <f t="shared" si="48"/>
        <v>0</v>
      </c>
    </row>
    <row r="389" spans="1:16" x14ac:dyDescent="0.4">
      <c r="A389">
        <v>0.2</v>
      </c>
      <c r="B389">
        <v>0.11428571428571428</v>
      </c>
      <c r="C389" s="23">
        <v>0.4</v>
      </c>
      <c r="D389">
        <v>0.33333333333333331</v>
      </c>
      <c r="E389">
        <v>5.5555555555555552E-2</v>
      </c>
      <c r="F389">
        <v>0.1</v>
      </c>
      <c r="G389">
        <v>2.7777777777777776E-2</v>
      </c>
      <c r="H389">
        <v>0.2</v>
      </c>
      <c r="I389">
        <f t="shared" si="41"/>
        <v>0.2</v>
      </c>
      <c r="J389">
        <f t="shared" si="42"/>
        <v>0.11428571428571428</v>
      </c>
      <c r="K389">
        <f t="shared" si="43"/>
        <v>0.4</v>
      </c>
      <c r="L389">
        <f t="shared" si="44"/>
        <v>0.33333333333333331</v>
      </c>
      <c r="M389">
        <f t="shared" si="45"/>
        <v>5.5555555555555552E-2</v>
      </c>
      <c r="N389">
        <f t="shared" si="46"/>
        <v>0.1</v>
      </c>
      <c r="O389">
        <f t="shared" si="47"/>
        <v>2.7777777777777776E-2</v>
      </c>
      <c r="P389">
        <f t="shared" si="48"/>
        <v>0.2</v>
      </c>
    </row>
    <row r="390" spans="1:16" x14ac:dyDescent="0.4">
      <c r="A390">
        <v>0</v>
      </c>
      <c r="B390">
        <v>0.16666666666666666</v>
      </c>
      <c r="C390" s="24">
        <v>0.26666666666666666</v>
      </c>
      <c r="D390">
        <v>0.04</v>
      </c>
      <c r="E390">
        <v>0.66666666666666663</v>
      </c>
      <c r="F390">
        <v>0.15384615384615385</v>
      </c>
      <c r="G390">
        <v>9.5238095238095233E-2</v>
      </c>
      <c r="H390">
        <v>0.14814814814814814</v>
      </c>
      <c r="I390">
        <f t="shared" si="41"/>
        <v>0</v>
      </c>
      <c r="J390">
        <f t="shared" si="42"/>
        <v>0.16666666666666666</v>
      </c>
      <c r="K390">
        <f t="shared" si="43"/>
        <v>0.26666666666666666</v>
      </c>
      <c r="L390">
        <f t="shared" si="44"/>
        <v>0.04</v>
      </c>
      <c r="M390">
        <f t="shared" si="45"/>
        <v>0.66666666666666663</v>
      </c>
      <c r="N390">
        <f t="shared" si="46"/>
        <v>0.15384615384615385</v>
      </c>
      <c r="O390">
        <f t="shared" si="47"/>
        <v>9.5238095238095233E-2</v>
      </c>
      <c r="P390">
        <f t="shared" si="48"/>
        <v>0.14814814814814814</v>
      </c>
    </row>
    <row r="391" spans="1:16" x14ac:dyDescent="0.4">
      <c r="A391">
        <v>0.16</v>
      </c>
      <c r="B391">
        <v>0</v>
      </c>
      <c r="C391" s="23">
        <v>0.4</v>
      </c>
      <c r="D391">
        <v>0.5</v>
      </c>
      <c r="E391">
        <v>0</v>
      </c>
      <c r="F391">
        <v>0.1111111111111111</v>
      </c>
      <c r="G391">
        <v>0.23529411764705882</v>
      </c>
      <c r="H391">
        <v>0</v>
      </c>
      <c r="I391">
        <f t="shared" si="41"/>
        <v>0.16</v>
      </c>
      <c r="J391">
        <f t="shared" si="42"/>
        <v>0</v>
      </c>
      <c r="K391">
        <f t="shared" si="43"/>
        <v>0.4</v>
      </c>
      <c r="L391">
        <f t="shared" si="44"/>
        <v>0.5</v>
      </c>
      <c r="M391">
        <f t="shared" si="45"/>
        <v>0</v>
      </c>
      <c r="N391">
        <f t="shared" si="46"/>
        <v>0.1111111111111111</v>
      </c>
      <c r="O391">
        <f t="shared" si="47"/>
        <v>0.23529411764705882</v>
      </c>
      <c r="P391">
        <f t="shared" si="48"/>
        <v>0</v>
      </c>
    </row>
    <row r="392" spans="1:16" x14ac:dyDescent="0.4">
      <c r="A392">
        <v>0.26666666666666666</v>
      </c>
      <c r="B392">
        <v>0.30769230769230771</v>
      </c>
      <c r="C392" s="24">
        <v>0.19047619047619047</v>
      </c>
      <c r="D392">
        <v>0.44444444444444442</v>
      </c>
      <c r="E392">
        <v>7.6923076923076927E-2</v>
      </c>
      <c r="F392">
        <v>0.16666666666666666</v>
      </c>
      <c r="G392">
        <v>0</v>
      </c>
      <c r="H392">
        <v>0.5</v>
      </c>
      <c r="I392">
        <f t="shared" ref="I392:I455" si="49">IF(A392&gt;1, 1, A392)</f>
        <v>0.26666666666666666</v>
      </c>
      <c r="J392">
        <f t="shared" ref="J392:J455" si="50">IF(B392&gt;1, 1, B392)</f>
        <v>0.30769230769230771</v>
      </c>
      <c r="K392">
        <f t="shared" ref="K392:K455" si="51">IF(C392&gt;1, 1, C392)</f>
        <v>0.19047619047619047</v>
      </c>
      <c r="L392">
        <f t="shared" ref="L392:L455" si="52">IF(D392&gt;1, 1, D392)</f>
        <v>0.44444444444444442</v>
      </c>
      <c r="M392">
        <f t="shared" ref="M392:M455" si="53">IF(E392&gt;1, 1, E392)</f>
        <v>7.6923076923076927E-2</v>
      </c>
      <c r="N392">
        <f t="shared" ref="N392:N455" si="54">IF(F392&gt;1, 1, F392)</f>
        <v>0.16666666666666666</v>
      </c>
      <c r="O392">
        <f t="shared" ref="O392:O455" si="55">IF(G392&gt;1, 1, G392)</f>
        <v>0</v>
      </c>
      <c r="P392">
        <f t="shared" ref="P392:P455" si="56">IF(H392&gt;1, 1, H392)</f>
        <v>0.5</v>
      </c>
    </row>
    <row r="393" spans="1:16" x14ac:dyDescent="0.4">
      <c r="A393">
        <v>0.33333333333333331</v>
      </c>
      <c r="B393">
        <v>0.4</v>
      </c>
      <c r="C393" s="23">
        <v>8.3333333333333329E-2</v>
      </c>
      <c r="D393">
        <v>0.44444444444444442</v>
      </c>
      <c r="E393">
        <v>0.2</v>
      </c>
      <c r="F393">
        <v>0.4</v>
      </c>
      <c r="G393">
        <v>0.2857142857142857</v>
      </c>
      <c r="H393">
        <v>0</v>
      </c>
      <c r="I393">
        <f t="shared" si="49"/>
        <v>0.33333333333333331</v>
      </c>
      <c r="J393">
        <f t="shared" si="50"/>
        <v>0.4</v>
      </c>
      <c r="K393">
        <f t="shared" si="51"/>
        <v>8.3333333333333329E-2</v>
      </c>
      <c r="L393">
        <f t="shared" si="52"/>
        <v>0.44444444444444442</v>
      </c>
      <c r="M393">
        <f t="shared" si="53"/>
        <v>0.2</v>
      </c>
      <c r="N393">
        <f t="shared" si="54"/>
        <v>0.4</v>
      </c>
      <c r="O393">
        <f t="shared" si="55"/>
        <v>0.2857142857142857</v>
      </c>
      <c r="P393">
        <f t="shared" si="56"/>
        <v>0</v>
      </c>
    </row>
    <row r="394" spans="1:16" x14ac:dyDescent="0.4">
      <c r="A394">
        <v>0.22222222222222221</v>
      </c>
      <c r="B394">
        <v>0</v>
      </c>
      <c r="C394" s="24">
        <v>0.19047619047619047</v>
      </c>
      <c r="D394">
        <v>7.6923076923076927E-2</v>
      </c>
      <c r="E394">
        <v>0.125</v>
      </c>
      <c r="F394">
        <v>5.2631578947368418E-2</v>
      </c>
      <c r="G394">
        <v>0.25</v>
      </c>
      <c r="H394">
        <v>0.05</v>
      </c>
      <c r="I394">
        <f t="shared" si="49"/>
        <v>0.22222222222222221</v>
      </c>
      <c r="J394">
        <f t="shared" si="50"/>
        <v>0</v>
      </c>
      <c r="K394">
        <f t="shared" si="51"/>
        <v>0.19047619047619047</v>
      </c>
      <c r="L394">
        <f t="shared" si="52"/>
        <v>7.6923076923076927E-2</v>
      </c>
      <c r="M394">
        <f t="shared" si="53"/>
        <v>0.125</v>
      </c>
      <c r="N394">
        <f t="shared" si="54"/>
        <v>5.2631578947368418E-2</v>
      </c>
      <c r="O394">
        <f t="shared" si="55"/>
        <v>0.25</v>
      </c>
      <c r="P394">
        <f t="shared" si="56"/>
        <v>0.05</v>
      </c>
    </row>
    <row r="395" spans="1:16" x14ac:dyDescent="0.4">
      <c r="A395">
        <v>0.13333333333333333</v>
      </c>
      <c r="B395">
        <v>0.30769230769230771</v>
      </c>
      <c r="C395" s="23">
        <v>0.30769230769230771</v>
      </c>
      <c r="D395">
        <v>0.2857142857142857</v>
      </c>
      <c r="E395">
        <v>0.33333333333333331</v>
      </c>
      <c r="F395">
        <v>8.3333333333333329E-2</v>
      </c>
      <c r="G395">
        <v>0</v>
      </c>
      <c r="H395">
        <v>5.2631578947368418E-2</v>
      </c>
      <c r="I395">
        <f t="shared" si="49"/>
        <v>0.13333333333333333</v>
      </c>
      <c r="J395">
        <f t="shared" si="50"/>
        <v>0.30769230769230771</v>
      </c>
      <c r="K395">
        <f t="shared" si="51"/>
        <v>0.30769230769230771</v>
      </c>
      <c r="L395">
        <f t="shared" si="52"/>
        <v>0.2857142857142857</v>
      </c>
      <c r="M395">
        <f t="shared" si="53"/>
        <v>0.33333333333333331</v>
      </c>
      <c r="N395">
        <f t="shared" si="54"/>
        <v>8.3333333333333329E-2</v>
      </c>
      <c r="O395">
        <f t="shared" si="55"/>
        <v>0</v>
      </c>
      <c r="P395">
        <f t="shared" si="56"/>
        <v>5.2631578947368418E-2</v>
      </c>
    </row>
    <row r="396" spans="1:16" x14ac:dyDescent="0.4">
      <c r="A396">
        <v>0</v>
      </c>
      <c r="B396">
        <v>6.6666666666666666E-2</v>
      </c>
      <c r="C396" s="24">
        <v>0.2857142857142857</v>
      </c>
      <c r="D396">
        <v>0.33333333333333331</v>
      </c>
      <c r="E396">
        <v>0.18181818181818182</v>
      </c>
      <c r="F396">
        <v>0</v>
      </c>
      <c r="G396">
        <v>0.33333333333333331</v>
      </c>
      <c r="H396">
        <v>0</v>
      </c>
      <c r="I396">
        <f t="shared" si="49"/>
        <v>0</v>
      </c>
      <c r="J396">
        <f t="shared" si="50"/>
        <v>6.6666666666666666E-2</v>
      </c>
      <c r="K396">
        <f t="shared" si="51"/>
        <v>0.2857142857142857</v>
      </c>
      <c r="L396">
        <f t="shared" si="52"/>
        <v>0.33333333333333331</v>
      </c>
      <c r="M396">
        <f t="shared" si="53"/>
        <v>0.18181818181818182</v>
      </c>
      <c r="N396">
        <f t="shared" si="54"/>
        <v>0</v>
      </c>
      <c r="O396">
        <f t="shared" si="55"/>
        <v>0.33333333333333331</v>
      </c>
      <c r="P396">
        <f t="shared" si="56"/>
        <v>0</v>
      </c>
    </row>
    <row r="397" spans="1:16" x14ac:dyDescent="0.4">
      <c r="A397">
        <v>0.2857142857142857</v>
      </c>
      <c r="B397">
        <v>0.30769230769230771</v>
      </c>
      <c r="C397" s="23">
        <v>0.33333333333333331</v>
      </c>
      <c r="D397">
        <v>7.5471698113207544E-2</v>
      </c>
      <c r="E397">
        <v>9.0909090909090912E-2</v>
      </c>
      <c r="F397">
        <v>0.1</v>
      </c>
      <c r="G397">
        <v>0.2</v>
      </c>
      <c r="H397">
        <v>0</v>
      </c>
      <c r="I397">
        <f t="shared" si="49"/>
        <v>0.2857142857142857</v>
      </c>
      <c r="J397">
        <f t="shared" si="50"/>
        <v>0.30769230769230771</v>
      </c>
      <c r="K397">
        <f t="shared" si="51"/>
        <v>0.33333333333333331</v>
      </c>
      <c r="L397">
        <f t="shared" si="52"/>
        <v>7.5471698113207544E-2</v>
      </c>
      <c r="M397">
        <f t="shared" si="53"/>
        <v>9.0909090909090912E-2</v>
      </c>
      <c r="N397">
        <f t="shared" si="54"/>
        <v>0.1</v>
      </c>
      <c r="O397">
        <f t="shared" si="55"/>
        <v>0.2</v>
      </c>
      <c r="P397">
        <f t="shared" si="56"/>
        <v>0</v>
      </c>
    </row>
    <row r="398" spans="1:16" x14ac:dyDescent="0.4">
      <c r="A398">
        <v>0.4</v>
      </c>
      <c r="B398">
        <v>0.25</v>
      </c>
      <c r="C398" s="24">
        <v>0.22222222222222221</v>
      </c>
      <c r="D398">
        <v>0.22222222222222221</v>
      </c>
      <c r="E398">
        <v>0.1111111111111111</v>
      </c>
      <c r="F398">
        <v>0.66666666666666663</v>
      </c>
      <c r="G398">
        <v>0.14285714285714285</v>
      </c>
      <c r="H398">
        <v>0.36363636363636365</v>
      </c>
      <c r="I398">
        <f t="shared" si="49"/>
        <v>0.4</v>
      </c>
      <c r="J398">
        <f t="shared" si="50"/>
        <v>0.25</v>
      </c>
      <c r="K398">
        <f t="shared" si="51"/>
        <v>0.22222222222222221</v>
      </c>
      <c r="L398">
        <f t="shared" si="52"/>
        <v>0.22222222222222221</v>
      </c>
      <c r="M398">
        <f t="shared" si="53"/>
        <v>0.1111111111111111</v>
      </c>
      <c r="N398">
        <f t="shared" si="54"/>
        <v>0.66666666666666663</v>
      </c>
      <c r="O398">
        <f t="shared" si="55"/>
        <v>0.14285714285714285</v>
      </c>
      <c r="P398">
        <f t="shared" si="56"/>
        <v>0.36363636363636365</v>
      </c>
    </row>
    <row r="399" spans="1:16" x14ac:dyDescent="0.4">
      <c r="A399">
        <v>0.2857142857142857</v>
      </c>
      <c r="B399">
        <v>0</v>
      </c>
      <c r="C399" s="23">
        <v>0.5714285714285714</v>
      </c>
      <c r="D399">
        <v>0.14285714285714285</v>
      </c>
      <c r="E399">
        <v>7.6923076923076927E-2</v>
      </c>
      <c r="F399">
        <v>0.2</v>
      </c>
      <c r="G399">
        <v>0.8</v>
      </c>
      <c r="H399">
        <v>0.13043478260869565</v>
      </c>
      <c r="I399">
        <f t="shared" si="49"/>
        <v>0.2857142857142857</v>
      </c>
      <c r="J399">
        <f t="shared" si="50"/>
        <v>0</v>
      </c>
      <c r="K399">
        <f t="shared" si="51"/>
        <v>0.5714285714285714</v>
      </c>
      <c r="L399">
        <f t="shared" si="52"/>
        <v>0.14285714285714285</v>
      </c>
      <c r="M399">
        <f t="shared" si="53"/>
        <v>7.6923076923076927E-2</v>
      </c>
      <c r="N399">
        <f t="shared" si="54"/>
        <v>0.2</v>
      </c>
      <c r="O399">
        <f t="shared" si="55"/>
        <v>0.8</v>
      </c>
      <c r="P399">
        <f t="shared" si="56"/>
        <v>0.13043478260869565</v>
      </c>
    </row>
    <row r="400" spans="1:16" x14ac:dyDescent="0.4">
      <c r="A400">
        <v>0.30769230769230771</v>
      </c>
      <c r="B400">
        <v>7.6923076923076927E-2</v>
      </c>
      <c r="C400" s="24">
        <v>0.33333333333333331</v>
      </c>
      <c r="D400">
        <v>0.5</v>
      </c>
      <c r="E400">
        <v>0.18181818181818182</v>
      </c>
      <c r="F400">
        <v>9.0909090909090912E-2</v>
      </c>
      <c r="G400">
        <v>0.44444444444444442</v>
      </c>
      <c r="H400">
        <v>0</v>
      </c>
      <c r="I400">
        <f t="shared" si="49"/>
        <v>0.30769230769230771</v>
      </c>
      <c r="J400">
        <f t="shared" si="50"/>
        <v>7.6923076923076927E-2</v>
      </c>
      <c r="K400">
        <f t="shared" si="51"/>
        <v>0.33333333333333331</v>
      </c>
      <c r="L400">
        <f t="shared" si="52"/>
        <v>0.5</v>
      </c>
      <c r="M400">
        <f t="shared" si="53"/>
        <v>0.18181818181818182</v>
      </c>
      <c r="N400">
        <f t="shared" si="54"/>
        <v>9.0909090909090912E-2</v>
      </c>
      <c r="O400">
        <f t="shared" si="55"/>
        <v>0.44444444444444442</v>
      </c>
      <c r="P400">
        <f t="shared" si="56"/>
        <v>0</v>
      </c>
    </row>
    <row r="401" spans="1:16" x14ac:dyDescent="0.4">
      <c r="A401">
        <v>0</v>
      </c>
      <c r="B401">
        <v>0.26666666666666666</v>
      </c>
      <c r="C401" s="23">
        <v>7.8947368421052627E-2</v>
      </c>
      <c r="D401">
        <v>0.36363636363636365</v>
      </c>
      <c r="E401">
        <v>0.26666666666666666</v>
      </c>
      <c r="F401">
        <v>0.11428571428571428</v>
      </c>
      <c r="G401">
        <v>0.27272727272727271</v>
      </c>
      <c r="H401">
        <v>0.1</v>
      </c>
      <c r="I401">
        <f t="shared" si="49"/>
        <v>0</v>
      </c>
      <c r="J401">
        <f t="shared" si="50"/>
        <v>0.26666666666666666</v>
      </c>
      <c r="K401">
        <f t="shared" si="51"/>
        <v>7.8947368421052627E-2</v>
      </c>
      <c r="L401">
        <f t="shared" si="52"/>
        <v>0.36363636363636365</v>
      </c>
      <c r="M401">
        <f t="shared" si="53"/>
        <v>0.26666666666666666</v>
      </c>
      <c r="N401">
        <f t="shared" si="54"/>
        <v>0.11428571428571428</v>
      </c>
      <c r="O401">
        <f t="shared" si="55"/>
        <v>0.27272727272727271</v>
      </c>
      <c r="P401">
        <f t="shared" si="56"/>
        <v>0.1</v>
      </c>
    </row>
    <row r="402" spans="1:16" x14ac:dyDescent="0.4">
      <c r="A402">
        <v>0.11428571428571428</v>
      </c>
      <c r="B402">
        <v>0.33333333333333331</v>
      </c>
      <c r="C402" s="24">
        <v>0.4</v>
      </c>
      <c r="D402">
        <v>0.15384615384615385</v>
      </c>
      <c r="E402">
        <v>6.4516129032258063E-2</v>
      </c>
      <c r="F402">
        <v>0</v>
      </c>
      <c r="G402">
        <v>9.0909090909090912E-2</v>
      </c>
      <c r="H402">
        <v>0</v>
      </c>
      <c r="I402">
        <f t="shared" si="49"/>
        <v>0.11428571428571428</v>
      </c>
      <c r="J402">
        <f t="shared" si="50"/>
        <v>0.33333333333333331</v>
      </c>
      <c r="K402">
        <f t="shared" si="51"/>
        <v>0.4</v>
      </c>
      <c r="L402">
        <f t="shared" si="52"/>
        <v>0.15384615384615385</v>
      </c>
      <c r="M402">
        <f t="shared" si="53"/>
        <v>6.4516129032258063E-2</v>
      </c>
      <c r="N402">
        <f t="shared" si="54"/>
        <v>0</v>
      </c>
      <c r="O402">
        <f t="shared" si="55"/>
        <v>9.0909090909090912E-2</v>
      </c>
      <c r="P402">
        <f t="shared" si="56"/>
        <v>0</v>
      </c>
    </row>
    <row r="403" spans="1:16" x14ac:dyDescent="0.4">
      <c r="A403">
        <v>8.3333333333333329E-2</v>
      </c>
      <c r="B403">
        <v>0.44444444444444442</v>
      </c>
      <c r="C403" s="23">
        <v>0.44444444444444442</v>
      </c>
      <c r="D403">
        <v>0.44444444444444442</v>
      </c>
      <c r="E403">
        <v>0.125</v>
      </c>
      <c r="F403">
        <v>0.2857142857142857</v>
      </c>
      <c r="G403">
        <v>0.33333333333333331</v>
      </c>
      <c r="H403">
        <v>0.2857142857142857</v>
      </c>
      <c r="I403">
        <f t="shared" si="49"/>
        <v>8.3333333333333329E-2</v>
      </c>
      <c r="J403">
        <f t="shared" si="50"/>
        <v>0.44444444444444442</v>
      </c>
      <c r="K403">
        <f t="shared" si="51"/>
        <v>0.44444444444444442</v>
      </c>
      <c r="L403">
        <f t="shared" si="52"/>
        <v>0.44444444444444442</v>
      </c>
      <c r="M403">
        <f t="shared" si="53"/>
        <v>0.125</v>
      </c>
      <c r="N403">
        <f t="shared" si="54"/>
        <v>0.2857142857142857</v>
      </c>
      <c r="O403">
        <f t="shared" si="55"/>
        <v>0.33333333333333331</v>
      </c>
      <c r="P403">
        <f t="shared" si="56"/>
        <v>0.2857142857142857</v>
      </c>
    </row>
    <row r="404" spans="1:16" x14ac:dyDescent="0.4">
      <c r="A404">
        <v>0.36363636363636365</v>
      </c>
      <c r="B404">
        <v>0.2</v>
      </c>
      <c r="C404" s="24">
        <v>0.5714285714285714</v>
      </c>
      <c r="D404">
        <v>8.3333333333333329E-2</v>
      </c>
      <c r="E404">
        <v>0</v>
      </c>
      <c r="F404">
        <v>0.125</v>
      </c>
      <c r="G404">
        <v>5.2631578947368418E-2</v>
      </c>
      <c r="H404">
        <v>2.1276595744680851E-2</v>
      </c>
      <c r="I404">
        <f t="shared" si="49"/>
        <v>0.36363636363636365</v>
      </c>
      <c r="J404">
        <f t="shared" si="50"/>
        <v>0.2</v>
      </c>
      <c r="K404">
        <f t="shared" si="51"/>
        <v>0.5714285714285714</v>
      </c>
      <c r="L404">
        <f t="shared" si="52"/>
        <v>8.3333333333333329E-2</v>
      </c>
      <c r="M404">
        <f t="shared" si="53"/>
        <v>0</v>
      </c>
      <c r="N404">
        <f t="shared" si="54"/>
        <v>0.125</v>
      </c>
      <c r="O404">
        <f t="shared" si="55"/>
        <v>5.2631578947368418E-2</v>
      </c>
      <c r="P404">
        <f t="shared" si="56"/>
        <v>2.1276595744680851E-2</v>
      </c>
    </row>
    <row r="405" spans="1:16" x14ac:dyDescent="0.4">
      <c r="A405">
        <v>0.36363636363636365</v>
      </c>
      <c r="B405">
        <v>0.4</v>
      </c>
      <c r="C405" s="23">
        <v>6.5573770491803282E-2</v>
      </c>
      <c r="D405">
        <v>5.8823529411764705E-2</v>
      </c>
      <c r="E405">
        <v>0.1111111111111111</v>
      </c>
      <c r="F405">
        <v>0</v>
      </c>
      <c r="G405">
        <v>0.125</v>
      </c>
      <c r="H405">
        <v>0.11764705882352941</v>
      </c>
      <c r="I405">
        <f t="shared" si="49"/>
        <v>0.36363636363636365</v>
      </c>
      <c r="J405">
        <f t="shared" si="50"/>
        <v>0.4</v>
      </c>
      <c r="K405">
        <f t="shared" si="51"/>
        <v>6.5573770491803282E-2</v>
      </c>
      <c r="L405">
        <f t="shared" si="52"/>
        <v>5.8823529411764705E-2</v>
      </c>
      <c r="M405">
        <f t="shared" si="53"/>
        <v>0.1111111111111111</v>
      </c>
      <c r="N405">
        <f t="shared" si="54"/>
        <v>0</v>
      </c>
      <c r="O405">
        <f t="shared" si="55"/>
        <v>0.125</v>
      </c>
      <c r="P405">
        <f t="shared" si="56"/>
        <v>0.11764705882352941</v>
      </c>
    </row>
    <row r="406" spans="1:16" x14ac:dyDescent="0.4">
      <c r="A406">
        <v>0.25</v>
      </c>
      <c r="B406">
        <v>0.23529411764705882</v>
      </c>
      <c r="C406" s="24">
        <v>0</v>
      </c>
      <c r="D406">
        <v>0.5714285714285714</v>
      </c>
      <c r="E406">
        <v>0</v>
      </c>
      <c r="F406">
        <v>0.14285714285714285</v>
      </c>
      <c r="G406">
        <v>0.23076923076923078</v>
      </c>
      <c r="H406">
        <v>0</v>
      </c>
      <c r="I406">
        <f t="shared" si="49"/>
        <v>0.25</v>
      </c>
      <c r="J406">
        <f t="shared" si="50"/>
        <v>0.23529411764705882</v>
      </c>
      <c r="K406">
        <f t="shared" si="51"/>
        <v>0</v>
      </c>
      <c r="L406">
        <f t="shared" si="52"/>
        <v>0.5714285714285714</v>
      </c>
      <c r="M406">
        <f t="shared" si="53"/>
        <v>0</v>
      </c>
      <c r="N406">
        <f t="shared" si="54"/>
        <v>0.14285714285714285</v>
      </c>
      <c r="O406">
        <f t="shared" si="55"/>
        <v>0.23076923076923078</v>
      </c>
      <c r="P406">
        <f t="shared" si="56"/>
        <v>0</v>
      </c>
    </row>
    <row r="407" spans="1:16" x14ac:dyDescent="0.4">
      <c r="A407">
        <v>0.13333333333333333</v>
      </c>
      <c r="B407">
        <v>0.36363636363636365</v>
      </c>
      <c r="C407" s="23">
        <v>2.9126213592233011E-2</v>
      </c>
      <c r="D407">
        <v>0.5</v>
      </c>
      <c r="E407">
        <v>0.11538461538461539</v>
      </c>
      <c r="F407">
        <v>4.1666666666666664E-2</v>
      </c>
      <c r="G407">
        <v>0.22222222222222221</v>
      </c>
      <c r="H407">
        <v>0</v>
      </c>
      <c r="I407">
        <f t="shared" si="49"/>
        <v>0.13333333333333333</v>
      </c>
      <c r="J407">
        <f t="shared" si="50"/>
        <v>0.36363636363636365</v>
      </c>
      <c r="K407">
        <f t="shared" si="51"/>
        <v>2.9126213592233011E-2</v>
      </c>
      <c r="L407">
        <f t="shared" si="52"/>
        <v>0.5</v>
      </c>
      <c r="M407">
        <f t="shared" si="53"/>
        <v>0.11538461538461539</v>
      </c>
      <c r="N407">
        <f t="shared" si="54"/>
        <v>4.1666666666666664E-2</v>
      </c>
      <c r="O407">
        <f t="shared" si="55"/>
        <v>0.22222222222222221</v>
      </c>
      <c r="P407">
        <f t="shared" si="56"/>
        <v>0</v>
      </c>
    </row>
    <row r="408" spans="1:16" x14ac:dyDescent="0.4">
      <c r="A408">
        <v>3.2258064516129031E-2</v>
      </c>
      <c r="B408">
        <v>0.44444444444444442</v>
      </c>
      <c r="C408" s="24">
        <v>0.13793103448275862</v>
      </c>
      <c r="D408">
        <v>0.22222222222222221</v>
      </c>
      <c r="E408">
        <v>0.14814814814814814</v>
      </c>
      <c r="F408">
        <v>3.7037037037037035E-2</v>
      </c>
      <c r="G408">
        <v>0.125</v>
      </c>
      <c r="H408">
        <v>0</v>
      </c>
      <c r="I408">
        <f t="shared" si="49"/>
        <v>3.2258064516129031E-2</v>
      </c>
      <c r="J408">
        <f t="shared" si="50"/>
        <v>0.44444444444444442</v>
      </c>
      <c r="K408">
        <f t="shared" si="51"/>
        <v>0.13793103448275862</v>
      </c>
      <c r="L408">
        <f t="shared" si="52"/>
        <v>0.22222222222222221</v>
      </c>
      <c r="M408">
        <f t="shared" si="53"/>
        <v>0.14814814814814814</v>
      </c>
      <c r="N408">
        <f t="shared" si="54"/>
        <v>3.7037037037037035E-2</v>
      </c>
      <c r="O408">
        <f t="shared" si="55"/>
        <v>0.125</v>
      </c>
      <c r="P408">
        <f t="shared" si="56"/>
        <v>0</v>
      </c>
    </row>
    <row r="409" spans="1:16" x14ac:dyDescent="0.4">
      <c r="A409">
        <v>0.26666666666666666</v>
      </c>
      <c r="B409">
        <v>0.33333333333333331</v>
      </c>
      <c r="C409" s="23">
        <v>0.22222222222222221</v>
      </c>
      <c r="D409">
        <v>0.22222222222222221</v>
      </c>
      <c r="E409">
        <v>7.6923076923076927E-2</v>
      </c>
      <c r="F409">
        <v>0</v>
      </c>
      <c r="G409">
        <v>0.1</v>
      </c>
      <c r="H409">
        <v>0.2</v>
      </c>
      <c r="I409">
        <f t="shared" si="49"/>
        <v>0.26666666666666666</v>
      </c>
      <c r="J409">
        <f t="shared" si="50"/>
        <v>0.33333333333333331</v>
      </c>
      <c r="K409">
        <f t="shared" si="51"/>
        <v>0.22222222222222221</v>
      </c>
      <c r="L409">
        <f t="shared" si="52"/>
        <v>0.22222222222222221</v>
      </c>
      <c r="M409">
        <f t="shared" si="53"/>
        <v>7.6923076923076927E-2</v>
      </c>
      <c r="N409">
        <f t="shared" si="54"/>
        <v>0</v>
      </c>
      <c r="O409">
        <f t="shared" si="55"/>
        <v>0.1</v>
      </c>
      <c r="P409">
        <f t="shared" si="56"/>
        <v>0.2</v>
      </c>
    </row>
    <row r="410" spans="1:16" x14ac:dyDescent="0.4">
      <c r="A410">
        <v>0.25</v>
      </c>
      <c r="B410">
        <v>0.2857142857142857</v>
      </c>
      <c r="C410" s="24">
        <v>0.36363636363636365</v>
      </c>
      <c r="D410">
        <v>3.0303030303030304E-2</v>
      </c>
      <c r="E410">
        <v>6.6666666666666666E-2</v>
      </c>
      <c r="F410">
        <v>0.1111111111111111</v>
      </c>
      <c r="G410">
        <v>7.6923076923076927E-2</v>
      </c>
      <c r="H410">
        <v>1.7543859649122806E-2</v>
      </c>
      <c r="I410">
        <f t="shared" si="49"/>
        <v>0.25</v>
      </c>
      <c r="J410">
        <f t="shared" si="50"/>
        <v>0.2857142857142857</v>
      </c>
      <c r="K410">
        <f t="shared" si="51"/>
        <v>0.36363636363636365</v>
      </c>
      <c r="L410">
        <f t="shared" si="52"/>
        <v>3.0303030303030304E-2</v>
      </c>
      <c r="M410">
        <f t="shared" si="53"/>
        <v>6.6666666666666666E-2</v>
      </c>
      <c r="N410">
        <f t="shared" si="54"/>
        <v>0.1111111111111111</v>
      </c>
      <c r="O410">
        <f t="shared" si="55"/>
        <v>7.6923076923076927E-2</v>
      </c>
      <c r="P410">
        <f t="shared" si="56"/>
        <v>1.7543859649122806E-2</v>
      </c>
    </row>
    <row r="411" spans="1:16" x14ac:dyDescent="0.4">
      <c r="A411">
        <v>0.22222222222222221</v>
      </c>
      <c r="B411">
        <v>0.5</v>
      </c>
      <c r="C411" s="23">
        <v>2.5423728813559324E-2</v>
      </c>
      <c r="D411">
        <v>0.5</v>
      </c>
      <c r="E411">
        <v>0.2</v>
      </c>
      <c r="F411">
        <v>1.7543859649122806E-2</v>
      </c>
      <c r="G411">
        <v>0</v>
      </c>
      <c r="H411">
        <v>0.16666666666666666</v>
      </c>
      <c r="I411">
        <f t="shared" si="49"/>
        <v>0.22222222222222221</v>
      </c>
      <c r="J411">
        <f t="shared" si="50"/>
        <v>0.5</v>
      </c>
      <c r="K411">
        <f t="shared" si="51"/>
        <v>2.5423728813559324E-2</v>
      </c>
      <c r="L411">
        <f t="shared" si="52"/>
        <v>0.5</v>
      </c>
      <c r="M411">
        <f t="shared" si="53"/>
        <v>0.2</v>
      </c>
      <c r="N411">
        <f t="shared" si="54"/>
        <v>1.7543859649122806E-2</v>
      </c>
      <c r="O411">
        <f t="shared" si="55"/>
        <v>0</v>
      </c>
      <c r="P411">
        <f t="shared" si="56"/>
        <v>0.16666666666666666</v>
      </c>
    </row>
    <row r="412" spans="1:16" x14ac:dyDescent="0.4">
      <c r="A412">
        <v>0.4</v>
      </c>
      <c r="B412">
        <v>0.30769230769230771</v>
      </c>
      <c r="C412" s="24">
        <v>0.30769230769230771</v>
      </c>
      <c r="D412">
        <v>0.13793103448275862</v>
      </c>
      <c r="E412">
        <v>0</v>
      </c>
      <c r="F412">
        <v>0</v>
      </c>
      <c r="G412">
        <v>8.3333333333333329E-2</v>
      </c>
      <c r="H412">
        <v>0</v>
      </c>
      <c r="I412">
        <f t="shared" si="49"/>
        <v>0.4</v>
      </c>
      <c r="J412">
        <f t="shared" si="50"/>
        <v>0.30769230769230771</v>
      </c>
      <c r="K412">
        <f t="shared" si="51"/>
        <v>0.30769230769230771</v>
      </c>
      <c r="L412">
        <f t="shared" si="52"/>
        <v>0.13793103448275862</v>
      </c>
      <c r="M412">
        <f t="shared" si="53"/>
        <v>0</v>
      </c>
      <c r="N412">
        <f t="shared" si="54"/>
        <v>0</v>
      </c>
      <c r="O412">
        <f t="shared" si="55"/>
        <v>8.3333333333333329E-2</v>
      </c>
      <c r="P412">
        <f t="shared" si="56"/>
        <v>0</v>
      </c>
    </row>
    <row r="413" spans="1:16" x14ac:dyDescent="0.4">
      <c r="A413">
        <v>0</v>
      </c>
      <c r="B413">
        <v>0.12121212121212122</v>
      </c>
      <c r="C413" s="23">
        <v>8.5106382978723402E-2</v>
      </c>
      <c r="D413">
        <v>0.4</v>
      </c>
      <c r="E413">
        <v>0.21052631578947367</v>
      </c>
      <c r="F413">
        <v>0</v>
      </c>
      <c r="G413">
        <v>0.1</v>
      </c>
      <c r="H413">
        <v>7.1428571428571425E-2</v>
      </c>
      <c r="I413">
        <f t="shared" si="49"/>
        <v>0</v>
      </c>
      <c r="J413">
        <f t="shared" si="50"/>
        <v>0.12121212121212122</v>
      </c>
      <c r="K413">
        <f t="shared" si="51"/>
        <v>8.5106382978723402E-2</v>
      </c>
      <c r="L413">
        <f t="shared" si="52"/>
        <v>0.4</v>
      </c>
      <c r="M413">
        <f t="shared" si="53"/>
        <v>0.21052631578947367</v>
      </c>
      <c r="N413">
        <f t="shared" si="54"/>
        <v>0</v>
      </c>
      <c r="O413">
        <f t="shared" si="55"/>
        <v>0.1</v>
      </c>
      <c r="P413">
        <f t="shared" si="56"/>
        <v>7.1428571428571425E-2</v>
      </c>
    </row>
    <row r="414" spans="1:16" x14ac:dyDescent="0.4">
      <c r="A414">
        <v>0.23529411764705882</v>
      </c>
      <c r="B414">
        <v>0.22222222222222221</v>
      </c>
      <c r="C414" s="24">
        <v>0.22222222222222221</v>
      </c>
      <c r="D414">
        <v>0.375</v>
      </c>
      <c r="E414">
        <v>0</v>
      </c>
      <c r="F414">
        <v>5.5555555555555552E-2</v>
      </c>
      <c r="G414">
        <v>0</v>
      </c>
      <c r="H414">
        <v>0.8</v>
      </c>
      <c r="I414">
        <f t="shared" si="49"/>
        <v>0.23529411764705882</v>
      </c>
      <c r="J414">
        <f t="shared" si="50"/>
        <v>0.22222222222222221</v>
      </c>
      <c r="K414">
        <f t="shared" si="51"/>
        <v>0.22222222222222221</v>
      </c>
      <c r="L414">
        <f t="shared" si="52"/>
        <v>0.375</v>
      </c>
      <c r="M414">
        <f t="shared" si="53"/>
        <v>0</v>
      </c>
      <c r="N414">
        <f t="shared" si="54"/>
        <v>5.5555555555555552E-2</v>
      </c>
      <c r="O414">
        <f t="shared" si="55"/>
        <v>0</v>
      </c>
      <c r="P414">
        <f t="shared" si="56"/>
        <v>0.8</v>
      </c>
    </row>
    <row r="415" spans="1:16" x14ac:dyDescent="0.4">
      <c r="A415">
        <v>0.36363636363636365</v>
      </c>
      <c r="B415">
        <v>0.2857142857142857</v>
      </c>
      <c r="C415" s="23">
        <v>0.23529411764705882</v>
      </c>
      <c r="D415">
        <v>0.2857142857142857</v>
      </c>
      <c r="E415">
        <v>0.1111111111111111</v>
      </c>
      <c r="F415">
        <v>0</v>
      </c>
      <c r="G415">
        <v>7.6923076923076927E-2</v>
      </c>
      <c r="H415">
        <v>0.2</v>
      </c>
      <c r="I415">
        <f t="shared" si="49"/>
        <v>0.36363636363636365</v>
      </c>
      <c r="J415">
        <f t="shared" si="50"/>
        <v>0.2857142857142857</v>
      </c>
      <c r="K415">
        <f t="shared" si="51"/>
        <v>0.23529411764705882</v>
      </c>
      <c r="L415">
        <f t="shared" si="52"/>
        <v>0.2857142857142857</v>
      </c>
      <c r="M415">
        <f t="shared" si="53"/>
        <v>0.1111111111111111</v>
      </c>
      <c r="N415">
        <f t="shared" si="54"/>
        <v>0</v>
      </c>
      <c r="O415">
        <f t="shared" si="55"/>
        <v>7.6923076923076927E-2</v>
      </c>
      <c r="P415">
        <f t="shared" si="56"/>
        <v>0.2</v>
      </c>
    </row>
    <row r="416" spans="1:16" x14ac:dyDescent="0.4">
      <c r="A416">
        <v>0.36363636363636365</v>
      </c>
      <c r="B416">
        <v>0.19047619047619047</v>
      </c>
      <c r="C416" s="24">
        <v>0.44444444444444442</v>
      </c>
      <c r="D416">
        <v>0.44444444444444442</v>
      </c>
      <c r="E416">
        <v>0.1</v>
      </c>
      <c r="F416">
        <v>0</v>
      </c>
      <c r="G416">
        <v>0.17647058823529413</v>
      </c>
      <c r="H416">
        <v>0.5</v>
      </c>
      <c r="I416">
        <f t="shared" si="49"/>
        <v>0.36363636363636365</v>
      </c>
      <c r="J416">
        <f t="shared" si="50"/>
        <v>0.19047619047619047</v>
      </c>
      <c r="K416">
        <f t="shared" si="51"/>
        <v>0.44444444444444442</v>
      </c>
      <c r="L416">
        <f t="shared" si="52"/>
        <v>0.44444444444444442</v>
      </c>
      <c r="M416">
        <f t="shared" si="53"/>
        <v>0.1</v>
      </c>
      <c r="N416">
        <f t="shared" si="54"/>
        <v>0</v>
      </c>
      <c r="O416">
        <f t="shared" si="55"/>
        <v>0.17647058823529413</v>
      </c>
      <c r="P416">
        <f t="shared" si="56"/>
        <v>0.5</v>
      </c>
    </row>
    <row r="417" spans="1:16" x14ac:dyDescent="0.4">
      <c r="A417">
        <v>0.16666666666666666</v>
      </c>
      <c r="B417">
        <v>0.12903225806451613</v>
      </c>
      <c r="C417" s="23">
        <v>0.21052631578947367</v>
      </c>
      <c r="D417">
        <v>0.33333333333333331</v>
      </c>
      <c r="E417">
        <v>0</v>
      </c>
      <c r="F417">
        <v>0.1111111111111111</v>
      </c>
      <c r="G417">
        <v>0</v>
      </c>
      <c r="H417">
        <v>0.1</v>
      </c>
      <c r="I417">
        <f t="shared" si="49"/>
        <v>0.16666666666666666</v>
      </c>
      <c r="J417">
        <f t="shared" si="50"/>
        <v>0.12903225806451613</v>
      </c>
      <c r="K417">
        <f t="shared" si="51"/>
        <v>0.21052631578947367</v>
      </c>
      <c r="L417">
        <f t="shared" si="52"/>
        <v>0.33333333333333331</v>
      </c>
      <c r="M417">
        <f t="shared" si="53"/>
        <v>0</v>
      </c>
      <c r="N417">
        <f t="shared" si="54"/>
        <v>0.1111111111111111</v>
      </c>
      <c r="O417">
        <f t="shared" si="55"/>
        <v>0</v>
      </c>
      <c r="P417">
        <f t="shared" si="56"/>
        <v>0.1</v>
      </c>
    </row>
    <row r="418" spans="1:16" x14ac:dyDescent="0.4">
      <c r="A418">
        <v>0.26666666666666666</v>
      </c>
      <c r="B418">
        <v>0.33333333333333331</v>
      </c>
      <c r="C418" s="24">
        <v>0.36363636363636365</v>
      </c>
      <c r="D418">
        <v>0</v>
      </c>
      <c r="E418">
        <v>7.1428571428571425E-2</v>
      </c>
      <c r="F418">
        <v>9.0909090909090912E-2</v>
      </c>
      <c r="G418">
        <v>0</v>
      </c>
      <c r="H418">
        <v>0.23529411764705882</v>
      </c>
      <c r="I418">
        <f t="shared" si="49"/>
        <v>0.26666666666666666</v>
      </c>
      <c r="J418">
        <f t="shared" si="50"/>
        <v>0.33333333333333331</v>
      </c>
      <c r="K418">
        <f t="shared" si="51"/>
        <v>0.36363636363636365</v>
      </c>
      <c r="L418">
        <f t="shared" si="52"/>
        <v>0</v>
      </c>
      <c r="M418">
        <f t="shared" si="53"/>
        <v>7.1428571428571425E-2</v>
      </c>
      <c r="N418">
        <f t="shared" si="54"/>
        <v>9.0909090909090912E-2</v>
      </c>
      <c r="O418">
        <f t="shared" si="55"/>
        <v>0</v>
      </c>
      <c r="P418">
        <f t="shared" si="56"/>
        <v>0.23529411764705882</v>
      </c>
    </row>
    <row r="419" spans="1:16" x14ac:dyDescent="0.4">
      <c r="A419">
        <v>0.16666666666666666</v>
      </c>
      <c r="B419">
        <v>0.16666666666666666</v>
      </c>
      <c r="C419" s="23">
        <v>0.25</v>
      </c>
      <c r="D419">
        <v>0.22222222222222221</v>
      </c>
      <c r="E419">
        <v>4.5454545454545456E-2</v>
      </c>
      <c r="F419">
        <v>0</v>
      </c>
      <c r="G419">
        <v>0</v>
      </c>
      <c r="H419">
        <v>0.2</v>
      </c>
      <c r="I419">
        <f t="shared" si="49"/>
        <v>0.16666666666666666</v>
      </c>
      <c r="J419">
        <f t="shared" si="50"/>
        <v>0.16666666666666666</v>
      </c>
      <c r="K419">
        <f t="shared" si="51"/>
        <v>0.25</v>
      </c>
      <c r="L419">
        <f t="shared" si="52"/>
        <v>0.22222222222222221</v>
      </c>
      <c r="M419">
        <f t="shared" si="53"/>
        <v>4.5454545454545456E-2</v>
      </c>
      <c r="N419">
        <f t="shared" si="54"/>
        <v>0</v>
      </c>
      <c r="O419">
        <f t="shared" si="55"/>
        <v>0</v>
      </c>
      <c r="P419">
        <f t="shared" si="56"/>
        <v>0.2</v>
      </c>
    </row>
    <row r="420" spans="1:16" x14ac:dyDescent="0.4">
      <c r="A420">
        <v>0.13793103448275862</v>
      </c>
      <c r="B420">
        <v>0.5</v>
      </c>
      <c r="C420" s="24">
        <v>5.2631578947368418E-2</v>
      </c>
      <c r="D420">
        <v>5.6603773584905662E-2</v>
      </c>
      <c r="E420">
        <v>0.11538461538461539</v>
      </c>
      <c r="F420">
        <v>0.25</v>
      </c>
      <c r="G420">
        <v>0</v>
      </c>
      <c r="H420">
        <v>0.08</v>
      </c>
      <c r="I420">
        <f t="shared" si="49"/>
        <v>0.13793103448275862</v>
      </c>
      <c r="J420">
        <f t="shared" si="50"/>
        <v>0.5</v>
      </c>
      <c r="K420">
        <f t="shared" si="51"/>
        <v>5.2631578947368418E-2</v>
      </c>
      <c r="L420">
        <f t="shared" si="52"/>
        <v>5.6603773584905662E-2</v>
      </c>
      <c r="M420">
        <f t="shared" si="53"/>
        <v>0.11538461538461539</v>
      </c>
      <c r="N420">
        <f t="shared" si="54"/>
        <v>0.25</v>
      </c>
      <c r="O420">
        <f t="shared" si="55"/>
        <v>0</v>
      </c>
      <c r="P420">
        <f t="shared" si="56"/>
        <v>0.08</v>
      </c>
    </row>
    <row r="421" spans="1:16" x14ac:dyDescent="0.4">
      <c r="A421">
        <v>0.17391304347826086</v>
      </c>
      <c r="B421">
        <v>0.25</v>
      </c>
      <c r="C421" s="23">
        <v>0.26666666666666666</v>
      </c>
      <c r="D421">
        <v>0.26666666666666666</v>
      </c>
      <c r="E421">
        <v>0.1</v>
      </c>
      <c r="F421">
        <v>0</v>
      </c>
      <c r="G421">
        <v>0.1111111111111111</v>
      </c>
      <c r="H421">
        <v>0.125</v>
      </c>
      <c r="I421">
        <f t="shared" si="49"/>
        <v>0.17391304347826086</v>
      </c>
      <c r="J421">
        <f t="shared" si="50"/>
        <v>0.25</v>
      </c>
      <c r="K421">
        <f t="shared" si="51"/>
        <v>0.26666666666666666</v>
      </c>
      <c r="L421">
        <f t="shared" si="52"/>
        <v>0.26666666666666666</v>
      </c>
      <c r="M421">
        <f t="shared" si="53"/>
        <v>0.1</v>
      </c>
      <c r="N421">
        <f t="shared" si="54"/>
        <v>0</v>
      </c>
      <c r="O421">
        <f t="shared" si="55"/>
        <v>0.1111111111111111</v>
      </c>
      <c r="P421">
        <f t="shared" si="56"/>
        <v>0.125</v>
      </c>
    </row>
    <row r="422" spans="1:16" x14ac:dyDescent="0.4">
      <c r="A422">
        <v>0.5714285714285714</v>
      </c>
      <c r="B422">
        <v>0.18181818181818182</v>
      </c>
      <c r="C422" s="24">
        <v>0.26666666666666666</v>
      </c>
      <c r="D422">
        <v>0.22222222222222221</v>
      </c>
      <c r="E422">
        <v>0</v>
      </c>
      <c r="F422">
        <v>0</v>
      </c>
      <c r="G422">
        <v>4.7619047619047616E-2</v>
      </c>
      <c r="H422">
        <v>5.8823529411764705E-2</v>
      </c>
      <c r="I422">
        <f t="shared" si="49"/>
        <v>0.5714285714285714</v>
      </c>
      <c r="J422">
        <f t="shared" si="50"/>
        <v>0.18181818181818182</v>
      </c>
      <c r="K422">
        <f t="shared" si="51"/>
        <v>0.26666666666666666</v>
      </c>
      <c r="L422">
        <f t="shared" si="52"/>
        <v>0.22222222222222221</v>
      </c>
      <c r="M422">
        <f t="shared" si="53"/>
        <v>0</v>
      </c>
      <c r="N422">
        <f t="shared" si="54"/>
        <v>0</v>
      </c>
      <c r="O422">
        <f t="shared" si="55"/>
        <v>4.7619047619047616E-2</v>
      </c>
      <c r="P422">
        <f t="shared" si="56"/>
        <v>5.8823529411764705E-2</v>
      </c>
    </row>
    <row r="423" spans="1:16" x14ac:dyDescent="0.4">
      <c r="A423">
        <v>0.18181818181818182</v>
      </c>
      <c r="B423">
        <v>0.36363636363636365</v>
      </c>
      <c r="C423" s="23">
        <v>0.33333333333333331</v>
      </c>
      <c r="D423">
        <v>9.0909090909090912E-2</v>
      </c>
      <c r="E423">
        <v>4.1666666666666664E-2</v>
      </c>
      <c r="F423">
        <v>0</v>
      </c>
      <c r="G423">
        <v>0</v>
      </c>
      <c r="H423">
        <v>4.7619047619047616E-2</v>
      </c>
      <c r="I423">
        <f t="shared" si="49"/>
        <v>0.18181818181818182</v>
      </c>
      <c r="J423">
        <f t="shared" si="50"/>
        <v>0.36363636363636365</v>
      </c>
      <c r="K423">
        <f t="shared" si="51"/>
        <v>0.33333333333333331</v>
      </c>
      <c r="L423">
        <f t="shared" si="52"/>
        <v>9.0909090909090912E-2</v>
      </c>
      <c r="M423">
        <f t="shared" si="53"/>
        <v>4.1666666666666664E-2</v>
      </c>
      <c r="N423">
        <f t="shared" si="54"/>
        <v>0</v>
      </c>
      <c r="O423">
        <f t="shared" si="55"/>
        <v>0</v>
      </c>
      <c r="P423">
        <f t="shared" si="56"/>
        <v>4.7619047619047616E-2</v>
      </c>
    </row>
    <row r="424" spans="1:16" x14ac:dyDescent="0.4">
      <c r="A424">
        <v>0.5714285714285714</v>
      </c>
      <c r="B424">
        <v>0.4</v>
      </c>
      <c r="C424" s="24">
        <v>0.5</v>
      </c>
      <c r="D424">
        <v>0.16666666666666666</v>
      </c>
      <c r="E424">
        <v>0</v>
      </c>
      <c r="F424">
        <v>0</v>
      </c>
      <c r="G424">
        <v>0</v>
      </c>
      <c r="H424">
        <v>0.44444444444444442</v>
      </c>
      <c r="I424">
        <f t="shared" si="49"/>
        <v>0.5714285714285714</v>
      </c>
      <c r="J424">
        <f t="shared" si="50"/>
        <v>0.4</v>
      </c>
      <c r="K424">
        <f t="shared" si="51"/>
        <v>0.5</v>
      </c>
      <c r="L424">
        <f t="shared" si="52"/>
        <v>0.16666666666666666</v>
      </c>
      <c r="M424">
        <f t="shared" si="53"/>
        <v>0</v>
      </c>
      <c r="N424">
        <f t="shared" si="54"/>
        <v>0</v>
      </c>
      <c r="O424">
        <f t="shared" si="55"/>
        <v>0</v>
      </c>
      <c r="P424">
        <f t="shared" si="56"/>
        <v>0.44444444444444442</v>
      </c>
    </row>
    <row r="425" spans="1:16" x14ac:dyDescent="0.4">
      <c r="A425">
        <v>0.36363636363636365</v>
      </c>
      <c r="B425">
        <v>0.16666666666666666</v>
      </c>
      <c r="C425" s="23">
        <v>0.44444444444444442</v>
      </c>
      <c r="D425">
        <v>6.8965517241379309E-2</v>
      </c>
      <c r="E425">
        <v>0.22222222222222221</v>
      </c>
      <c r="F425">
        <v>0.125</v>
      </c>
      <c r="G425">
        <v>9.5238095238095233E-2</v>
      </c>
      <c r="H425">
        <v>0</v>
      </c>
      <c r="I425">
        <f t="shared" si="49"/>
        <v>0.36363636363636365</v>
      </c>
      <c r="J425">
        <f t="shared" si="50"/>
        <v>0.16666666666666666</v>
      </c>
      <c r="K425">
        <f t="shared" si="51"/>
        <v>0.44444444444444442</v>
      </c>
      <c r="L425">
        <f t="shared" si="52"/>
        <v>6.8965517241379309E-2</v>
      </c>
      <c r="M425">
        <f t="shared" si="53"/>
        <v>0.22222222222222221</v>
      </c>
      <c r="N425">
        <f t="shared" si="54"/>
        <v>0.125</v>
      </c>
      <c r="O425">
        <f t="shared" si="55"/>
        <v>9.5238095238095233E-2</v>
      </c>
      <c r="P425">
        <f t="shared" si="56"/>
        <v>0</v>
      </c>
    </row>
    <row r="426" spans="1:16" x14ac:dyDescent="0.4">
      <c r="A426">
        <v>0.2857142857142857</v>
      </c>
      <c r="B426">
        <v>0.33333333333333331</v>
      </c>
      <c r="C426" s="24">
        <v>0.23529411764705882</v>
      </c>
      <c r="D426">
        <v>0.15384615384615385</v>
      </c>
      <c r="E426">
        <v>0</v>
      </c>
      <c r="F426">
        <v>0</v>
      </c>
      <c r="G426">
        <v>0.33333333333333331</v>
      </c>
      <c r="H426">
        <v>0.08</v>
      </c>
      <c r="I426">
        <f t="shared" si="49"/>
        <v>0.2857142857142857</v>
      </c>
      <c r="J426">
        <f t="shared" si="50"/>
        <v>0.33333333333333331</v>
      </c>
      <c r="K426">
        <f t="shared" si="51"/>
        <v>0.23529411764705882</v>
      </c>
      <c r="L426">
        <f t="shared" si="52"/>
        <v>0.15384615384615385</v>
      </c>
      <c r="M426">
        <f t="shared" si="53"/>
        <v>0</v>
      </c>
      <c r="N426">
        <f t="shared" si="54"/>
        <v>0</v>
      </c>
      <c r="O426">
        <f t="shared" si="55"/>
        <v>0.33333333333333331</v>
      </c>
      <c r="P426">
        <f t="shared" si="56"/>
        <v>0.08</v>
      </c>
    </row>
    <row r="427" spans="1:16" x14ac:dyDescent="0.4">
      <c r="A427">
        <v>0.30769230769230771</v>
      </c>
      <c r="B427">
        <v>0.19047619047619047</v>
      </c>
      <c r="C427" s="23">
        <v>8.3333333333333329E-2</v>
      </c>
      <c r="D427">
        <v>0.11428571428571428</v>
      </c>
      <c r="E427">
        <v>8.3333333333333329E-2</v>
      </c>
      <c r="F427">
        <v>0.4</v>
      </c>
      <c r="G427">
        <v>0.17647058823529413</v>
      </c>
      <c r="H427">
        <v>6.0606060606060608E-2</v>
      </c>
      <c r="I427">
        <f t="shared" si="49"/>
        <v>0.30769230769230771</v>
      </c>
      <c r="J427">
        <f t="shared" si="50"/>
        <v>0.19047619047619047</v>
      </c>
      <c r="K427">
        <f t="shared" si="51"/>
        <v>8.3333333333333329E-2</v>
      </c>
      <c r="L427">
        <f t="shared" si="52"/>
        <v>0.11428571428571428</v>
      </c>
      <c r="M427">
        <f t="shared" si="53"/>
        <v>8.3333333333333329E-2</v>
      </c>
      <c r="N427">
        <f t="shared" si="54"/>
        <v>0.4</v>
      </c>
      <c r="O427">
        <f t="shared" si="55"/>
        <v>0.17647058823529413</v>
      </c>
      <c r="P427">
        <f t="shared" si="56"/>
        <v>6.0606060606060608E-2</v>
      </c>
    </row>
    <row r="428" spans="1:16" x14ac:dyDescent="0.4">
      <c r="A428">
        <v>0.16666666666666666</v>
      </c>
      <c r="B428">
        <v>0.36363636363636365</v>
      </c>
      <c r="C428" s="24">
        <v>0.23076923076923078</v>
      </c>
      <c r="D428">
        <v>0.44444444444444442</v>
      </c>
      <c r="E428">
        <v>4.3478260869565216E-2</v>
      </c>
      <c r="F428">
        <v>0.4</v>
      </c>
      <c r="G428">
        <v>0</v>
      </c>
      <c r="H428">
        <v>0.14285714285714285</v>
      </c>
      <c r="I428">
        <f t="shared" si="49"/>
        <v>0.16666666666666666</v>
      </c>
      <c r="J428">
        <f t="shared" si="50"/>
        <v>0.36363636363636365</v>
      </c>
      <c r="K428">
        <f t="shared" si="51"/>
        <v>0.23076923076923078</v>
      </c>
      <c r="L428">
        <f t="shared" si="52"/>
        <v>0.44444444444444442</v>
      </c>
      <c r="M428">
        <f t="shared" si="53"/>
        <v>4.3478260869565216E-2</v>
      </c>
      <c r="N428">
        <f t="shared" si="54"/>
        <v>0.4</v>
      </c>
      <c r="O428">
        <f t="shared" si="55"/>
        <v>0</v>
      </c>
      <c r="P428">
        <f t="shared" si="56"/>
        <v>0.14285714285714285</v>
      </c>
    </row>
    <row r="429" spans="1:16" x14ac:dyDescent="0.4">
      <c r="A429">
        <v>0.4</v>
      </c>
      <c r="B429">
        <v>0.2857142857142857</v>
      </c>
      <c r="C429" s="23">
        <v>4.3478260869565216E-2</v>
      </c>
      <c r="D429">
        <v>0.44444444444444442</v>
      </c>
      <c r="E429">
        <v>0</v>
      </c>
      <c r="F429">
        <v>9.7560975609756101E-2</v>
      </c>
      <c r="G429">
        <v>0</v>
      </c>
      <c r="H429">
        <v>0</v>
      </c>
      <c r="I429">
        <f t="shared" si="49"/>
        <v>0.4</v>
      </c>
      <c r="J429">
        <f t="shared" si="50"/>
        <v>0.2857142857142857</v>
      </c>
      <c r="K429">
        <f t="shared" si="51"/>
        <v>4.3478260869565216E-2</v>
      </c>
      <c r="L429">
        <f t="shared" si="52"/>
        <v>0.44444444444444442</v>
      </c>
      <c r="M429">
        <f t="shared" si="53"/>
        <v>0</v>
      </c>
      <c r="N429">
        <f t="shared" si="54"/>
        <v>9.7560975609756101E-2</v>
      </c>
      <c r="O429">
        <f t="shared" si="55"/>
        <v>0</v>
      </c>
      <c r="P429">
        <f t="shared" si="56"/>
        <v>0</v>
      </c>
    </row>
    <row r="430" spans="1:16" x14ac:dyDescent="0.4">
      <c r="A430">
        <v>0.22222222222222221</v>
      </c>
      <c r="B430">
        <v>0.26666666666666666</v>
      </c>
      <c r="C430" s="24">
        <v>0.125</v>
      </c>
      <c r="D430">
        <v>0.18181818181818182</v>
      </c>
      <c r="E430">
        <v>0.17647058823529413</v>
      </c>
      <c r="F430">
        <v>0.66666666666666663</v>
      </c>
      <c r="G430">
        <v>0.16666666666666666</v>
      </c>
      <c r="H430">
        <v>0.16666666666666666</v>
      </c>
      <c r="I430">
        <f t="shared" si="49"/>
        <v>0.22222222222222221</v>
      </c>
      <c r="J430">
        <f t="shared" si="50"/>
        <v>0.26666666666666666</v>
      </c>
      <c r="K430">
        <f t="shared" si="51"/>
        <v>0.125</v>
      </c>
      <c r="L430">
        <f t="shared" si="52"/>
        <v>0.18181818181818182</v>
      </c>
      <c r="M430">
        <f t="shared" si="53"/>
        <v>0.17647058823529413</v>
      </c>
      <c r="N430">
        <f t="shared" si="54"/>
        <v>0.66666666666666663</v>
      </c>
      <c r="O430">
        <f t="shared" si="55"/>
        <v>0.16666666666666666</v>
      </c>
      <c r="P430">
        <f t="shared" si="56"/>
        <v>0.16666666666666666</v>
      </c>
    </row>
    <row r="431" spans="1:16" x14ac:dyDescent="0.4">
      <c r="A431">
        <v>0.33333333333333331</v>
      </c>
      <c r="B431">
        <v>0.36363636363636365</v>
      </c>
      <c r="C431" s="23">
        <v>0.11428571428571428</v>
      </c>
      <c r="D431">
        <v>0.4</v>
      </c>
      <c r="E431">
        <v>0</v>
      </c>
      <c r="F431">
        <v>9.6774193548387094E-2</v>
      </c>
      <c r="G431">
        <v>0.1</v>
      </c>
      <c r="H431">
        <v>0.25</v>
      </c>
      <c r="I431">
        <f t="shared" si="49"/>
        <v>0.33333333333333331</v>
      </c>
      <c r="J431">
        <f t="shared" si="50"/>
        <v>0.36363636363636365</v>
      </c>
      <c r="K431">
        <f t="shared" si="51"/>
        <v>0.11428571428571428</v>
      </c>
      <c r="L431">
        <f t="shared" si="52"/>
        <v>0.4</v>
      </c>
      <c r="M431">
        <f t="shared" si="53"/>
        <v>0</v>
      </c>
      <c r="N431">
        <f t="shared" si="54"/>
        <v>9.6774193548387094E-2</v>
      </c>
      <c r="O431">
        <f t="shared" si="55"/>
        <v>0.1</v>
      </c>
      <c r="P431">
        <f t="shared" si="56"/>
        <v>0.25</v>
      </c>
    </row>
    <row r="432" spans="1:16" x14ac:dyDescent="0.4">
      <c r="A432">
        <v>0</v>
      </c>
      <c r="B432">
        <v>0.4</v>
      </c>
      <c r="C432" s="24">
        <v>0.16666666666666666</v>
      </c>
      <c r="D432">
        <v>0.5</v>
      </c>
      <c r="E432">
        <v>0.30769230769230771</v>
      </c>
      <c r="F432">
        <v>1</v>
      </c>
      <c r="G432">
        <v>9.0909090909090912E-2</v>
      </c>
      <c r="H432">
        <v>0.14285714285714285</v>
      </c>
      <c r="I432">
        <f t="shared" si="49"/>
        <v>0</v>
      </c>
      <c r="J432">
        <f t="shared" si="50"/>
        <v>0.4</v>
      </c>
      <c r="K432">
        <f t="shared" si="51"/>
        <v>0.16666666666666666</v>
      </c>
      <c r="L432">
        <f t="shared" si="52"/>
        <v>0.5</v>
      </c>
      <c r="M432">
        <f t="shared" si="53"/>
        <v>0.30769230769230771</v>
      </c>
      <c r="N432">
        <f t="shared" si="54"/>
        <v>1</v>
      </c>
      <c r="O432">
        <f t="shared" si="55"/>
        <v>9.0909090909090912E-2</v>
      </c>
      <c r="P432">
        <f t="shared" si="56"/>
        <v>0.14285714285714285</v>
      </c>
    </row>
    <row r="433" spans="1:16" x14ac:dyDescent="0.4">
      <c r="A433">
        <v>0.26666666666666666</v>
      </c>
      <c r="B433">
        <v>0</v>
      </c>
      <c r="C433" s="23">
        <v>0.16</v>
      </c>
      <c r="D433">
        <v>0.44444444444444442</v>
      </c>
      <c r="E433">
        <v>8.3333333333333329E-2</v>
      </c>
      <c r="F433">
        <v>0.1</v>
      </c>
      <c r="G433">
        <v>0.23529411764705882</v>
      </c>
      <c r="H433">
        <v>0</v>
      </c>
      <c r="I433">
        <f t="shared" si="49"/>
        <v>0.26666666666666666</v>
      </c>
      <c r="J433">
        <f t="shared" si="50"/>
        <v>0</v>
      </c>
      <c r="K433">
        <f t="shared" si="51"/>
        <v>0.16</v>
      </c>
      <c r="L433">
        <f t="shared" si="52"/>
        <v>0.44444444444444442</v>
      </c>
      <c r="M433">
        <f t="shared" si="53"/>
        <v>8.3333333333333329E-2</v>
      </c>
      <c r="N433">
        <f t="shared" si="54"/>
        <v>0.1</v>
      </c>
      <c r="O433">
        <f t="shared" si="55"/>
        <v>0.23529411764705882</v>
      </c>
      <c r="P433">
        <f t="shared" si="56"/>
        <v>0</v>
      </c>
    </row>
    <row r="434" spans="1:16" x14ac:dyDescent="0.4">
      <c r="A434">
        <v>0.33333333333333331</v>
      </c>
      <c r="B434">
        <v>0.44444444444444442</v>
      </c>
      <c r="C434" s="24">
        <v>0.08</v>
      </c>
      <c r="D434">
        <v>0.22222222222222221</v>
      </c>
      <c r="E434">
        <v>0.33333333333333331</v>
      </c>
      <c r="F434">
        <v>0</v>
      </c>
      <c r="G434">
        <v>0.14285714285714285</v>
      </c>
      <c r="H434">
        <v>0.13333333333333333</v>
      </c>
      <c r="I434">
        <f t="shared" si="49"/>
        <v>0.33333333333333331</v>
      </c>
      <c r="J434">
        <f t="shared" si="50"/>
        <v>0.44444444444444442</v>
      </c>
      <c r="K434">
        <f t="shared" si="51"/>
        <v>0.08</v>
      </c>
      <c r="L434">
        <f t="shared" si="52"/>
        <v>0.22222222222222221</v>
      </c>
      <c r="M434">
        <f t="shared" si="53"/>
        <v>0.33333333333333331</v>
      </c>
      <c r="N434">
        <f t="shared" si="54"/>
        <v>0</v>
      </c>
      <c r="O434">
        <f t="shared" si="55"/>
        <v>0.14285714285714285</v>
      </c>
      <c r="P434">
        <f t="shared" si="56"/>
        <v>0.13333333333333333</v>
      </c>
    </row>
    <row r="435" spans="1:16" x14ac:dyDescent="0.4">
      <c r="A435">
        <v>0.4</v>
      </c>
      <c r="B435">
        <v>0.2857142857142857</v>
      </c>
      <c r="C435" s="23">
        <v>0.2</v>
      </c>
      <c r="D435">
        <v>0.1875</v>
      </c>
      <c r="E435">
        <v>0</v>
      </c>
      <c r="F435">
        <v>0</v>
      </c>
      <c r="G435">
        <v>8.3333333333333329E-2</v>
      </c>
      <c r="H435">
        <v>0.30769230769230771</v>
      </c>
      <c r="I435">
        <f t="shared" si="49"/>
        <v>0.4</v>
      </c>
      <c r="J435">
        <f t="shared" si="50"/>
        <v>0.2857142857142857</v>
      </c>
      <c r="K435">
        <f t="shared" si="51"/>
        <v>0.2</v>
      </c>
      <c r="L435">
        <f t="shared" si="52"/>
        <v>0.1875</v>
      </c>
      <c r="M435">
        <f t="shared" si="53"/>
        <v>0</v>
      </c>
      <c r="N435">
        <f t="shared" si="54"/>
        <v>0</v>
      </c>
      <c r="O435">
        <f t="shared" si="55"/>
        <v>8.3333333333333329E-2</v>
      </c>
      <c r="P435">
        <f t="shared" si="56"/>
        <v>0.30769230769230771</v>
      </c>
    </row>
    <row r="436" spans="1:16" x14ac:dyDescent="0.4">
      <c r="A436">
        <v>0.26666666666666666</v>
      </c>
      <c r="B436">
        <v>0.18181818181818182</v>
      </c>
      <c r="C436" s="24">
        <v>0.30769230769230771</v>
      </c>
      <c r="D436">
        <v>0.30769230769230771</v>
      </c>
      <c r="E436">
        <v>0</v>
      </c>
      <c r="F436">
        <v>8.3333333333333329E-2</v>
      </c>
      <c r="G436">
        <v>0.15789473684210525</v>
      </c>
      <c r="H436">
        <v>9.0909090909090912E-2</v>
      </c>
      <c r="I436">
        <f t="shared" si="49"/>
        <v>0.26666666666666666</v>
      </c>
      <c r="J436">
        <f t="shared" si="50"/>
        <v>0.18181818181818182</v>
      </c>
      <c r="K436">
        <f t="shared" si="51"/>
        <v>0.30769230769230771</v>
      </c>
      <c r="L436">
        <f t="shared" si="52"/>
        <v>0.30769230769230771</v>
      </c>
      <c r="M436">
        <f t="shared" si="53"/>
        <v>0</v>
      </c>
      <c r="N436">
        <f t="shared" si="54"/>
        <v>8.3333333333333329E-2</v>
      </c>
      <c r="O436">
        <f t="shared" si="55"/>
        <v>0.15789473684210525</v>
      </c>
      <c r="P436">
        <f t="shared" si="56"/>
        <v>9.0909090909090912E-2</v>
      </c>
    </row>
    <row r="437" spans="1:16" x14ac:dyDescent="0.4">
      <c r="A437">
        <v>0.2</v>
      </c>
      <c r="B437">
        <v>0.16</v>
      </c>
      <c r="C437" s="23">
        <v>0.2857142857142857</v>
      </c>
      <c r="D437">
        <v>0.30769230769230771</v>
      </c>
      <c r="E437">
        <v>0.17647058823529413</v>
      </c>
      <c r="F437">
        <v>7.6923076923076927E-2</v>
      </c>
      <c r="G437">
        <v>0.14285714285714285</v>
      </c>
      <c r="H437">
        <v>0.2</v>
      </c>
      <c r="I437">
        <f t="shared" si="49"/>
        <v>0.2</v>
      </c>
      <c r="J437">
        <f t="shared" si="50"/>
        <v>0.16</v>
      </c>
      <c r="K437">
        <f t="shared" si="51"/>
        <v>0.2857142857142857</v>
      </c>
      <c r="L437">
        <f t="shared" si="52"/>
        <v>0.30769230769230771</v>
      </c>
      <c r="M437">
        <f t="shared" si="53"/>
        <v>0.17647058823529413</v>
      </c>
      <c r="N437">
        <f t="shared" si="54"/>
        <v>7.6923076923076927E-2</v>
      </c>
      <c r="O437">
        <f t="shared" si="55"/>
        <v>0.14285714285714285</v>
      </c>
      <c r="P437">
        <f t="shared" si="56"/>
        <v>0.2</v>
      </c>
    </row>
    <row r="438" spans="1:16" x14ac:dyDescent="0.4">
      <c r="A438">
        <v>0</v>
      </c>
      <c r="B438">
        <v>0.13333333333333333</v>
      </c>
      <c r="C438" s="24">
        <v>0.66666666666666663</v>
      </c>
      <c r="D438">
        <v>0.4</v>
      </c>
      <c r="E438">
        <v>0.22222222222222221</v>
      </c>
      <c r="F438">
        <v>0.2</v>
      </c>
      <c r="G438">
        <v>7.1428571428571425E-2</v>
      </c>
      <c r="H438">
        <v>0.13333333333333333</v>
      </c>
      <c r="I438">
        <f t="shared" si="49"/>
        <v>0</v>
      </c>
      <c r="J438">
        <f t="shared" si="50"/>
        <v>0.13333333333333333</v>
      </c>
      <c r="K438">
        <f t="shared" si="51"/>
        <v>0.66666666666666663</v>
      </c>
      <c r="L438">
        <f t="shared" si="52"/>
        <v>0.4</v>
      </c>
      <c r="M438">
        <f t="shared" si="53"/>
        <v>0.22222222222222221</v>
      </c>
      <c r="N438">
        <f t="shared" si="54"/>
        <v>0.2</v>
      </c>
      <c r="O438">
        <f t="shared" si="55"/>
        <v>7.1428571428571425E-2</v>
      </c>
      <c r="P438">
        <f t="shared" si="56"/>
        <v>0.13333333333333333</v>
      </c>
    </row>
    <row r="439" spans="1:16" x14ac:dyDescent="0.4">
      <c r="A439">
        <v>6.6666666666666666E-2</v>
      </c>
      <c r="B439">
        <v>0.30769230769230771</v>
      </c>
      <c r="C439" s="23">
        <v>0.5</v>
      </c>
      <c r="D439">
        <v>0</v>
      </c>
      <c r="E439">
        <v>0.36363636363636365</v>
      </c>
      <c r="F439">
        <v>0.2857142857142857</v>
      </c>
      <c r="G439">
        <v>0.2</v>
      </c>
      <c r="H439">
        <v>0.4</v>
      </c>
      <c r="I439">
        <f t="shared" si="49"/>
        <v>6.6666666666666666E-2</v>
      </c>
      <c r="J439">
        <f t="shared" si="50"/>
        <v>0.30769230769230771</v>
      </c>
      <c r="K439">
        <f t="shared" si="51"/>
        <v>0.5</v>
      </c>
      <c r="L439">
        <f t="shared" si="52"/>
        <v>0</v>
      </c>
      <c r="M439">
        <f t="shared" si="53"/>
        <v>0.36363636363636365</v>
      </c>
      <c r="N439">
        <f t="shared" si="54"/>
        <v>0.2857142857142857</v>
      </c>
      <c r="O439">
        <f t="shared" si="55"/>
        <v>0.2</v>
      </c>
      <c r="P439">
        <f t="shared" si="56"/>
        <v>0.4</v>
      </c>
    </row>
    <row r="440" spans="1:16" x14ac:dyDescent="0.4">
      <c r="A440">
        <v>0.21052631578947367</v>
      </c>
      <c r="B440">
        <v>0.1111111111111111</v>
      </c>
      <c r="C440" s="24">
        <v>0.08</v>
      </c>
      <c r="D440">
        <v>0.2857142857142857</v>
      </c>
      <c r="E440">
        <v>0.05</v>
      </c>
      <c r="F440">
        <v>0</v>
      </c>
      <c r="G440">
        <v>0.2857142857142857</v>
      </c>
      <c r="H440">
        <v>0</v>
      </c>
      <c r="I440">
        <f t="shared" si="49"/>
        <v>0.21052631578947367</v>
      </c>
      <c r="J440">
        <f t="shared" si="50"/>
        <v>0.1111111111111111</v>
      </c>
      <c r="K440">
        <f t="shared" si="51"/>
        <v>0.08</v>
      </c>
      <c r="L440">
        <f t="shared" si="52"/>
        <v>0.2857142857142857</v>
      </c>
      <c r="M440">
        <f t="shared" si="53"/>
        <v>0.05</v>
      </c>
      <c r="N440">
        <f t="shared" si="54"/>
        <v>0</v>
      </c>
      <c r="O440">
        <f t="shared" si="55"/>
        <v>0.2857142857142857</v>
      </c>
      <c r="P440">
        <f t="shared" si="56"/>
        <v>0</v>
      </c>
    </row>
    <row r="441" spans="1:16" x14ac:dyDescent="0.4">
      <c r="A441">
        <v>0.44444444444444442</v>
      </c>
      <c r="B441">
        <v>0.30769230769230771</v>
      </c>
      <c r="C441" s="23">
        <v>0.26666666666666666</v>
      </c>
      <c r="D441">
        <v>0.23529411764705882</v>
      </c>
      <c r="E441">
        <v>0</v>
      </c>
      <c r="F441">
        <v>0.15384615384615385</v>
      </c>
      <c r="G441">
        <v>9.0909090909090912E-2</v>
      </c>
      <c r="H441">
        <v>0.13333333333333333</v>
      </c>
      <c r="I441">
        <f t="shared" si="49"/>
        <v>0.44444444444444442</v>
      </c>
      <c r="J441">
        <f t="shared" si="50"/>
        <v>0.30769230769230771</v>
      </c>
      <c r="K441">
        <f t="shared" si="51"/>
        <v>0.26666666666666666</v>
      </c>
      <c r="L441">
        <f t="shared" si="52"/>
        <v>0.23529411764705882</v>
      </c>
      <c r="M441">
        <f t="shared" si="53"/>
        <v>0</v>
      </c>
      <c r="N441">
        <f t="shared" si="54"/>
        <v>0.15384615384615385</v>
      </c>
      <c r="O441">
        <f t="shared" si="55"/>
        <v>9.0909090909090912E-2</v>
      </c>
      <c r="P441">
        <f t="shared" si="56"/>
        <v>0.13333333333333333</v>
      </c>
    </row>
    <row r="442" spans="1:16" x14ac:dyDescent="0.4">
      <c r="A442">
        <v>0.33333333333333331</v>
      </c>
      <c r="B442">
        <v>0.36363636363636365</v>
      </c>
      <c r="C442" s="24">
        <v>0.375</v>
      </c>
      <c r="D442">
        <v>0.27272727272727271</v>
      </c>
      <c r="E442">
        <v>9.0909090909090912E-2</v>
      </c>
      <c r="F442">
        <v>0.66666666666666663</v>
      </c>
      <c r="G442">
        <v>0</v>
      </c>
      <c r="H442">
        <v>0.30769230769230771</v>
      </c>
      <c r="I442">
        <f t="shared" si="49"/>
        <v>0.33333333333333331</v>
      </c>
      <c r="J442">
        <f t="shared" si="50"/>
        <v>0.36363636363636365</v>
      </c>
      <c r="K442">
        <f t="shared" si="51"/>
        <v>0.375</v>
      </c>
      <c r="L442">
        <f t="shared" si="52"/>
        <v>0.27272727272727271</v>
      </c>
      <c r="M442">
        <f t="shared" si="53"/>
        <v>9.0909090909090912E-2</v>
      </c>
      <c r="N442">
        <f t="shared" si="54"/>
        <v>0.66666666666666663</v>
      </c>
      <c r="O442">
        <f t="shared" si="55"/>
        <v>0</v>
      </c>
      <c r="P442">
        <f t="shared" si="56"/>
        <v>0.30769230769230771</v>
      </c>
    </row>
    <row r="443" spans="1:16" x14ac:dyDescent="0.4">
      <c r="A443">
        <v>0</v>
      </c>
      <c r="B443">
        <v>0.11428571428571428</v>
      </c>
      <c r="C443" s="23">
        <v>0.4</v>
      </c>
      <c r="D443">
        <v>0.25</v>
      </c>
      <c r="E443">
        <v>0.5714285714285714</v>
      </c>
      <c r="F443">
        <v>0.125</v>
      </c>
      <c r="G443">
        <v>0</v>
      </c>
      <c r="H443">
        <v>0</v>
      </c>
      <c r="I443">
        <f t="shared" si="49"/>
        <v>0</v>
      </c>
      <c r="J443">
        <f t="shared" si="50"/>
        <v>0.11428571428571428</v>
      </c>
      <c r="K443">
        <f t="shared" si="51"/>
        <v>0.4</v>
      </c>
      <c r="L443">
        <f t="shared" si="52"/>
        <v>0.25</v>
      </c>
      <c r="M443">
        <f t="shared" si="53"/>
        <v>0.5714285714285714</v>
      </c>
      <c r="N443">
        <f t="shared" si="54"/>
        <v>0.125</v>
      </c>
      <c r="O443">
        <f t="shared" si="55"/>
        <v>0</v>
      </c>
      <c r="P443">
        <f t="shared" si="56"/>
        <v>0</v>
      </c>
    </row>
    <row r="444" spans="1:16" x14ac:dyDescent="0.4">
      <c r="A444">
        <v>0.18181818181818182</v>
      </c>
      <c r="B444">
        <v>0.21052631578947367</v>
      </c>
      <c r="C444" s="24">
        <v>0.18181818181818182</v>
      </c>
      <c r="D444">
        <v>0.2</v>
      </c>
      <c r="E444">
        <v>0</v>
      </c>
      <c r="F444">
        <v>0.10526315789473684</v>
      </c>
      <c r="G444">
        <v>5.5555555555555552E-2</v>
      </c>
      <c r="H444">
        <v>0.11764705882352941</v>
      </c>
      <c r="I444">
        <f t="shared" si="49"/>
        <v>0.18181818181818182</v>
      </c>
      <c r="J444">
        <f t="shared" si="50"/>
        <v>0.21052631578947367</v>
      </c>
      <c r="K444">
        <f t="shared" si="51"/>
        <v>0.18181818181818182</v>
      </c>
      <c r="L444">
        <f t="shared" si="52"/>
        <v>0.2</v>
      </c>
      <c r="M444">
        <f t="shared" si="53"/>
        <v>0</v>
      </c>
      <c r="N444">
        <f t="shared" si="54"/>
        <v>0.10526315789473684</v>
      </c>
      <c r="O444">
        <f t="shared" si="55"/>
        <v>5.5555555555555552E-2</v>
      </c>
      <c r="P444">
        <f t="shared" si="56"/>
        <v>0.11764705882352941</v>
      </c>
    </row>
    <row r="445" spans="1:16" x14ac:dyDescent="0.4">
      <c r="A445">
        <v>0.2857142857142857</v>
      </c>
      <c r="B445">
        <v>0.4</v>
      </c>
      <c r="C445" s="23">
        <v>0.36363636363636365</v>
      </c>
      <c r="D445">
        <v>0.44444444444444442</v>
      </c>
      <c r="E445">
        <v>0.27272727272727271</v>
      </c>
      <c r="F445">
        <v>0.2</v>
      </c>
      <c r="G445">
        <v>0</v>
      </c>
      <c r="H445">
        <v>0</v>
      </c>
      <c r="I445">
        <f t="shared" si="49"/>
        <v>0.2857142857142857</v>
      </c>
      <c r="J445">
        <f t="shared" si="50"/>
        <v>0.4</v>
      </c>
      <c r="K445">
        <f t="shared" si="51"/>
        <v>0.36363636363636365</v>
      </c>
      <c r="L445">
        <f t="shared" si="52"/>
        <v>0.44444444444444442</v>
      </c>
      <c r="M445">
        <f t="shared" si="53"/>
        <v>0.27272727272727271</v>
      </c>
      <c r="N445">
        <f t="shared" si="54"/>
        <v>0.2</v>
      </c>
      <c r="O445">
        <f t="shared" si="55"/>
        <v>0</v>
      </c>
      <c r="P445">
        <f t="shared" si="56"/>
        <v>0</v>
      </c>
    </row>
    <row r="446" spans="1:16" x14ac:dyDescent="0.4">
      <c r="A446">
        <v>0.44444444444444442</v>
      </c>
      <c r="B446">
        <v>0</v>
      </c>
      <c r="C446" s="24">
        <v>0.21052631578947367</v>
      </c>
      <c r="D446">
        <v>0</v>
      </c>
      <c r="E446">
        <v>0</v>
      </c>
      <c r="F446">
        <v>5.5555555555555552E-2</v>
      </c>
      <c r="G446">
        <v>0.21052631578947367</v>
      </c>
      <c r="H446">
        <v>0.25</v>
      </c>
      <c r="I446">
        <f t="shared" si="49"/>
        <v>0.44444444444444442</v>
      </c>
      <c r="J446">
        <f t="shared" si="50"/>
        <v>0</v>
      </c>
      <c r="K446">
        <f t="shared" si="51"/>
        <v>0.21052631578947367</v>
      </c>
      <c r="L446">
        <f t="shared" si="52"/>
        <v>0</v>
      </c>
      <c r="M446">
        <f t="shared" si="53"/>
        <v>0</v>
      </c>
      <c r="N446">
        <f t="shared" si="54"/>
        <v>5.5555555555555552E-2</v>
      </c>
      <c r="O446">
        <f t="shared" si="55"/>
        <v>0.21052631578947367</v>
      </c>
      <c r="P446">
        <f t="shared" si="56"/>
        <v>0.25</v>
      </c>
    </row>
    <row r="447" spans="1:16" x14ac:dyDescent="0.4">
      <c r="A447">
        <v>0.4</v>
      </c>
      <c r="B447">
        <v>0.19047619047619047</v>
      </c>
      <c r="C447" s="23">
        <v>0.2</v>
      </c>
      <c r="D447">
        <v>0.5</v>
      </c>
      <c r="E447">
        <v>0.25</v>
      </c>
      <c r="F447">
        <v>0.10526315789473684</v>
      </c>
      <c r="G447">
        <v>8.6956521739130432E-2</v>
      </c>
      <c r="H447">
        <v>0.16666666666666666</v>
      </c>
      <c r="I447">
        <f t="shared" si="49"/>
        <v>0.4</v>
      </c>
      <c r="J447">
        <f t="shared" si="50"/>
        <v>0.19047619047619047</v>
      </c>
      <c r="K447">
        <f t="shared" si="51"/>
        <v>0.2</v>
      </c>
      <c r="L447">
        <f t="shared" si="52"/>
        <v>0.5</v>
      </c>
      <c r="M447">
        <f t="shared" si="53"/>
        <v>0.25</v>
      </c>
      <c r="N447">
        <f t="shared" si="54"/>
        <v>0.10526315789473684</v>
      </c>
      <c r="O447">
        <f t="shared" si="55"/>
        <v>8.6956521739130432E-2</v>
      </c>
      <c r="P447">
        <f t="shared" si="56"/>
        <v>0.16666666666666666</v>
      </c>
    </row>
    <row r="448" spans="1:16" x14ac:dyDescent="0.4">
      <c r="A448">
        <v>0.12903225806451613</v>
      </c>
      <c r="B448">
        <v>0.26666666666666666</v>
      </c>
      <c r="C448" s="24">
        <v>7.4999999999999997E-2</v>
      </c>
      <c r="D448">
        <v>6.6666666666666666E-2</v>
      </c>
      <c r="E448">
        <v>0.1111111111111111</v>
      </c>
      <c r="F448">
        <v>0.10810810810810811</v>
      </c>
      <c r="G448">
        <v>0.18181818181818182</v>
      </c>
      <c r="H448">
        <v>8.8888888888888892E-2</v>
      </c>
      <c r="I448">
        <f t="shared" si="49"/>
        <v>0.12903225806451613</v>
      </c>
      <c r="J448">
        <f t="shared" si="50"/>
        <v>0.26666666666666666</v>
      </c>
      <c r="K448">
        <f t="shared" si="51"/>
        <v>7.4999999999999997E-2</v>
      </c>
      <c r="L448">
        <f t="shared" si="52"/>
        <v>6.6666666666666666E-2</v>
      </c>
      <c r="M448">
        <f t="shared" si="53"/>
        <v>0.1111111111111111</v>
      </c>
      <c r="N448">
        <f t="shared" si="54"/>
        <v>0.10810810810810811</v>
      </c>
      <c r="O448">
        <f t="shared" si="55"/>
        <v>0.18181818181818182</v>
      </c>
      <c r="P448">
        <f t="shared" si="56"/>
        <v>8.8888888888888892E-2</v>
      </c>
    </row>
    <row r="449" spans="1:16" x14ac:dyDescent="0.4">
      <c r="A449">
        <v>3.0303030303030304E-2</v>
      </c>
      <c r="B449">
        <v>0.1</v>
      </c>
      <c r="C449" s="23">
        <v>0.25</v>
      </c>
      <c r="D449">
        <v>0.16</v>
      </c>
      <c r="E449">
        <v>0.13793103448275862</v>
      </c>
      <c r="F449">
        <v>0.44444444444444442</v>
      </c>
      <c r="G449">
        <v>5.4054054054054057E-2</v>
      </c>
      <c r="H449">
        <v>9.0909090909090912E-2</v>
      </c>
      <c r="I449">
        <f t="shared" si="49"/>
        <v>3.0303030303030304E-2</v>
      </c>
      <c r="J449">
        <f t="shared" si="50"/>
        <v>0.1</v>
      </c>
      <c r="K449">
        <f t="shared" si="51"/>
        <v>0.25</v>
      </c>
      <c r="L449">
        <f t="shared" si="52"/>
        <v>0.16</v>
      </c>
      <c r="M449">
        <f t="shared" si="53"/>
        <v>0.13793103448275862</v>
      </c>
      <c r="N449">
        <f t="shared" si="54"/>
        <v>0.44444444444444442</v>
      </c>
      <c r="O449">
        <f t="shared" si="55"/>
        <v>5.4054054054054057E-2</v>
      </c>
      <c r="P449">
        <f t="shared" si="56"/>
        <v>9.0909090909090912E-2</v>
      </c>
    </row>
    <row r="450" spans="1:16" x14ac:dyDescent="0.4">
      <c r="A450">
        <v>0.33333333333333331</v>
      </c>
      <c r="B450">
        <v>0.44444444444444442</v>
      </c>
      <c r="C450" s="24">
        <v>0.36363636363636365</v>
      </c>
      <c r="D450">
        <v>0.33333333333333331</v>
      </c>
      <c r="E450">
        <v>0</v>
      </c>
      <c r="F450">
        <v>0</v>
      </c>
      <c r="G450">
        <v>0.14285714285714285</v>
      </c>
      <c r="H450">
        <v>0.66666666666666663</v>
      </c>
      <c r="I450">
        <f t="shared" si="49"/>
        <v>0.33333333333333331</v>
      </c>
      <c r="J450">
        <f t="shared" si="50"/>
        <v>0.44444444444444442</v>
      </c>
      <c r="K450">
        <f t="shared" si="51"/>
        <v>0.36363636363636365</v>
      </c>
      <c r="L450">
        <f t="shared" si="52"/>
        <v>0.33333333333333331</v>
      </c>
      <c r="M450">
        <f t="shared" si="53"/>
        <v>0</v>
      </c>
      <c r="N450">
        <f t="shared" si="54"/>
        <v>0</v>
      </c>
      <c r="O450">
        <f t="shared" si="55"/>
        <v>0.14285714285714285</v>
      </c>
      <c r="P450">
        <f t="shared" si="56"/>
        <v>0.66666666666666663</v>
      </c>
    </row>
    <row r="451" spans="1:16" x14ac:dyDescent="0.4">
      <c r="A451">
        <v>0.26666666666666666</v>
      </c>
      <c r="B451">
        <v>0.36363636363636365</v>
      </c>
      <c r="C451" s="23">
        <v>0.2</v>
      </c>
      <c r="D451">
        <v>8.3333333333333329E-2</v>
      </c>
      <c r="E451">
        <v>0</v>
      </c>
      <c r="F451">
        <v>0.11764705882352941</v>
      </c>
      <c r="G451">
        <v>0</v>
      </c>
      <c r="H451">
        <v>0.5</v>
      </c>
      <c r="I451">
        <f t="shared" si="49"/>
        <v>0.26666666666666666</v>
      </c>
      <c r="J451">
        <f t="shared" si="50"/>
        <v>0.36363636363636365</v>
      </c>
      <c r="K451">
        <f t="shared" si="51"/>
        <v>0.2</v>
      </c>
      <c r="L451">
        <f t="shared" si="52"/>
        <v>8.3333333333333329E-2</v>
      </c>
      <c r="M451">
        <f t="shared" si="53"/>
        <v>0</v>
      </c>
      <c r="N451">
        <f t="shared" si="54"/>
        <v>0.11764705882352941</v>
      </c>
      <c r="O451">
        <f t="shared" si="55"/>
        <v>0</v>
      </c>
      <c r="P451">
        <f t="shared" si="56"/>
        <v>0.5</v>
      </c>
    </row>
    <row r="452" spans="1:16" x14ac:dyDescent="0.4">
      <c r="A452">
        <v>0.26666666666666666</v>
      </c>
      <c r="B452">
        <v>0.33333333333333331</v>
      </c>
      <c r="C452" s="24">
        <v>0.11764705882352941</v>
      </c>
      <c r="D452">
        <v>0.13333333333333333</v>
      </c>
      <c r="E452">
        <v>0</v>
      </c>
      <c r="F452">
        <v>0.26666666666666666</v>
      </c>
      <c r="G452">
        <v>0.33333333333333331</v>
      </c>
      <c r="H452">
        <v>0</v>
      </c>
      <c r="I452">
        <f t="shared" si="49"/>
        <v>0.26666666666666666</v>
      </c>
      <c r="J452">
        <f t="shared" si="50"/>
        <v>0.33333333333333331</v>
      </c>
      <c r="K452">
        <f t="shared" si="51"/>
        <v>0.11764705882352941</v>
      </c>
      <c r="L452">
        <f t="shared" si="52"/>
        <v>0.13333333333333333</v>
      </c>
      <c r="M452">
        <f t="shared" si="53"/>
        <v>0</v>
      </c>
      <c r="N452">
        <f t="shared" si="54"/>
        <v>0.26666666666666666</v>
      </c>
      <c r="O452">
        <f t="shared" si="55"/>
        <v>0.33333333333333331</v>
      </c>
      <c r="P452">
        <f t="shared" si="56"/>
        <v>0</v>
      </c>
    </row>
    <row r="453" spans="1:16" x14ac:dyDescent="0.4">
      <c r="A453">
        <v>0.25</v>
      </c>
      <c r="B453">
        <v>0.2857142857142857</v>
      </c>
      <c r="C453" s="23">
        <v>9.3023255813953487E-2</v>
      </c>
      <c r="D453">
        <v>0.44444444444444442</v>
      </c>
      <c r="E453">
        <v>0</v>
      </c>
      <c r="F453">
        <v>2.4390243902439025E-2</v>
      </c>
      <c r="G453">
        <v>0.16666666666666666</v>
      </c>
      <c r="H453">
        <v>0</v>
      </c>
      <c r="I453">
        <f t="shared" si="49"/>
        <v>0.25</v>
      </c>
      <c r="J453">
        <f t="shared" si="50"/>
        <v>0.2857142857142857</v>
      </c>
      <c r="K453">
        <f t="shared" si="51"/>
        <v>9.3023255813953487E-2</v>
      </c>
      <c r="L453">
        <f t="shared" si="52"/>
        <v>0.44444444444444442</v>
      </c>
      <c r="M453">
        <f t="shared" si="53"/>
        <v>0</v>
      </c>
      <c r="N453">
        <f t="shared" si="54"/>
        <v>2.4390243902439025E-2</v>
      </c>
      <c r="O453">
        <f t="shared" si="55"/>
        <v>0.16666666666666666</v>
      </c>
      <c r="P453">
        <f t="shared" si="56"/>
        <v>0</v>
      </c>
    </row>
    <row r="454" spans="1:16" x14ac:dyDescent="0.4">
      <c r="A454">
        <v>0.13793103448275862</v>
      </c>
      <c r="B454">
        <v>0.21052631578947367</v>
      </c>
      <c r="C454" s="24">
        <v>0.26666666666666666</v>
      </c>
      <c r="D454">
        <v>0.4</v>
      </c>
      <c r="E454">
        <v>0.11538461538461539</v>
      </c>
      <c r="F454">
        <v>6.6666666666666666E-2</v>
      </c>
      <c r="G454">
        <v>0.10526315789473684</v>
      </c>
      <c r="H454">
        <v>0.375</v>
      </c>
      <c r="I454">
        <f t="shared" si="49"/>
        <v>0.13793103448275862</v>
      </c>
      <c r="J454">
        <f t="shared" si="50"/>
        <v>0.21052631578947367</v>
      </c>
      <c r="K454">
        <f t="shared" si="51"/>
        <v>0.26666666666666666</v>
      </c>
      <c r="L454">
        <f t="shared" si="52"/>
        <v>0.4</v>
      </c>
      <c r="M454">
        <f t="shared" si="53"/>
        <v>0.11538461538461539</v>
      </c>
      <c r="N454">
        <f t="shared" si="54"/>
        <v>6.6666666666666666E-2</v>
      </c>
      <c r="O454">
        <f t="shared" si="55"/>
        <v>0.10526315789473684</v>
      </c>
      <c r="P454">
        <f t="shared" si="56"/>
        <v>0.375</v>
      </c>
    </row>
    <row r="455" spans="1:16" x14ac:dyDescent="0.4">
      <c r="A455">
        <v>0.30769230769230771</v>
      </c>
      <c r="B455">
        <v>0.14814814814814814</v>
      </c>
      <c r="C455" s="23">
        <v>0.36363636363636365</v>
      </c>
      <c r="D455">
        <v>0.36363636363636365</v>
      </c>
      <c r="E455">
        <v>0.18181818181818182</v>
      </c>
      <c r="F455">
        <v>0</v>
      </c>
      <c r="G455">
        <v>0.04</v>
      </c>
      <c r="H455">
        <v>0.25</v>
      </c>
      <c r="I455">
        <f t="shared" si="49"/>
        <v>0.30769230769230771</v>
      </c>
      <c r="J455">
        <f t="shared" si="50"/>
        <v>0.14814814814814814</v>
      </c>
      <c r="K455">
        <f t="shared" si="51"/>
        <v>0.36363636363636365</v>
      </c>
      <c r="L455">
        <f t="shared" si="52"/>
        <v>0.36363636363636365</v>
      </c>
      <c r="M455">
        <f t="shared" si="53"/>
        <v>0.18181818181818182</v>
      </c>
      <c r="N455">
        <f t="shared" si="54"/>
        <v>0</v>
      </c>
      <c r="O455">
        <f t="shared" si="55"/>
        <v>0.04</v>
      </c>
      <c r="P455">
        <f t="shared" si="56"/>
        <v>0.25</v>
      </c>
    </row>
    <row r="456" spans="1:16" x14ac:dyDescent="0.4">
      <c r="A456">
        <v>0.4</v>
      </c>
      <c r="B456">
        <v>0.18181818181818182</v>
      </c>
      <c r="C456" s="24">
        <v>0.26666666666666666</v>
      </c>
      <c r="D456">
        <v>2.5000000000000001E-2</v>
      </c>
      <c r="E456">
        <v>0.1111111111111111</v>
      </c>
      <c r="F456">
        <v>0</v>
      </c>
      <c r="G456">
        <v>0.12</v>
      </c>
      <c r="H456">
        <v>4.0404040404040407E-2</v>
      </c>
      <c r="I456">
        <f t="shared" ref="I456:I519" si="57">IF(A456&gt;1, 1, A456)</f>
        <v>0.4</v>
      </c>
      <c r="J456">
        <f t="shared" ref="J456:J519" si="58">IF(B456&gt;1, 1, B456)</f>
        <v>0.18181818181818182</v>
      </c>
      <c r="K456">
        <f t="shared" ref="K456:K519" si="59">IF(C456&gt;1, 1, C456)</f>
        <v>0.26666666666666666</v>
      </c>
      <c r="L456">
        <f t="shared" ref="L456:L519" si="60">IF(D456&gt;1, 1, D456)</f>
        <v>2.5000000000000001E-2</v>
      </c>
      <c r="M456">
        <f t="shared" ref="M456:M519" si="61">IF(E456&gt;1, 1, E456)</f>
        <v>0.1111111111111111</v>
      </c>
      <c r="N456">
        <f t="shared" ref="N456:N519" si="62">IF(F456&gt;1, 1, F456)</f>
        <v>0</v>
      </c>
      <c r="O456">
        <f t="shared" ref="O456:O519" si="63">IF(G456&gt;1, 1, G456)</f>
        <v>0.12</v>
      </c>
      <c r="P456">
        <f t="shared" ref="P456:P519" si="64">IF(H456&gt;1, 1, H456)</f>
        <v>4.0404040404040407E-2</v>
      </c>
    </row>
    <row r="457" spans="1:16" x14ac:dyDescent="0.4">
      <c r="A457">
        <v>4.7619047619047616E-2</v>
      </c>
      <c r="B457">
        <v>0.26666666666666666</v>
      </c>
      <c r="C457" s="23">
        <v>6.6666666666666666E-2</v>
      </c>
      <c r="D457">
        <v>7.5471698113207544E-2</v>
      </c>
      <c r="E457">
        <v>0.23529411764705882</v>
      </c>
      <c r="F457">
        <v>0.30769230769230771</v>
      </c>
      <c r="G457">
        <v>0</v>
      </c>
      <c r="H457">
        <v>0</v>
      </c>
      <c r="I457">
        <f t="shared" si="57"/>
        <v>4.7619047619047616E-2</v>
      </c>
      <c r="J457">
        <f t="shared" si="58"/>
        <v>0.26666666666666666</v>
      </c>
      <c r="K457">
        <f t="shared" si="59"/>
        <v>6.6666666666666666E-2</v>
      </c>
      <c r="L457">
        <f t="shared" si="60"/>
        <v>7.5471698113207544E-2</v>
      </c>
      <c r="M457">
        <f t="shared" si="61"/>
        <v>0.23529411764705882</v>
      </c>
      <c r="N457">
        <f t="shared" si="62"/>
        <v>0.30769230769230771</v>
      </c>
      <c r="O457">
        <f t="shared" si="63"/>
        <v>0</v>
      </c>
      <c r="P457">
        <f t="shared" si="64"/>
        <v>0</v>
      </c>
    </row>
    <row r="458" spans="1:16" x14ac:dyDescent="0.4">
      <c r="A458">
        <v>0.10526315789473684</v>
      </c>
      <c r="B458">
        <v>0.36363636363636365</v>
      </c>
      <c r="C458" s="24">
        <v>0.30769230769230771</v>
      </c>
      <c r="D458">
        <v>0.5</v>
      </c>
      <c r="E458">
        <v>2.3255813953488372E-2</v>
      </c>
      <c r="F458">
        <v>0.3</v>
      </c>
      <c r="G458">
        <v>0.1111111111111111</v>
      </c>
      <c r="H458">
        <v>0.14285714285714285</v>
      </c>
      <c r="I458">
        <f t="shared" si="57"/>
        <v>0.10526315789473684</v>
      </c>
      <c r="J458">
        <f t="shared" si="58"/>
        <v>0.36363636363636365</v>
      </c>
      <c r="K458">
        <f t="shared" si="59"/>
        <v>0.30769230769230771</v>
      </c>
      <c r="L458">
        <f t="shared" si="60"/>
        <v>0.5</v>
      </c>
      <c r="M458">
        <f t="shared" si="61"/>
        <v>2.3255813953488372E-2</v>
      </c>
      <c r="N458">
        <f t="shared" si="62"/>
        <v>0.3</v>
      </c>
      <c r="O458">
        <f t="shared" si="63"/>
        <v>0.1111111111111111</v>
      </c>
      <c r="P458">
        <f t="shared" si="64"/>
        <v>0.14285714285714285</v>
      </c>
    </row>
    <row r="459" spans="1:16" x14ac:dyDescent="0.4">
      <c r="A459">
        <v>0.16</v>
      </c>
      <c r="B459">
        <v>0.44444444444444442</v>
      </c>
      <c r="C459" s="23">
        <v>0.22222222222222221</v>
      </c>
      <c r="D459">
        <v>0.14285714285714285</v>
      </c>
      <c r="E459">
        <v>9.0909090909090912E-2</v>
      </c>
      <c r="F459">
        <v>0.125</v>
      </c>
      <c r="G459">
        <v>0.14285714285714285</v>
      </c>
      <c r="H459">
        <v>0.22222222222222221</v>
      </c>
      <c r="I459">
        <f t="shared" si="57"/>
        <v>0.16</v>
      </c>
      <c r="J459">
        <f t="shared" si="58"/>
        <v>0.44444444444444442</v>
      </c>
      <c r="K459">
        <f t="shared" si="59"/>
        <v>0.22222222222222221</v>
      </c>
      <c r="L459">
        <f t="shared" si="60"/>
        <v>0.14285714285714285</v>
      </c>
      <c r="M459">
        <f t="shared" si="61"/>
        <v>9.0909090909090912E-2</v>
      </c>
      <c r="N459">
        <f t="shared" si="62"/>
        <v>0.125</v>
      </c>
      <c r="O459">
        <f t="shared" si="63"/>
        <v>0.14285714285714285</v>
      </c>
      <c r="P459">
        <f t="shared" si="64"/>
        <v>0.22222222222222221</v>
      </c>
    </row>
    <row r="460" spans="1:16" x14ac:dyDescent="0.4">
      <c r="A460">
        <v>0.30769230769230771</v>
      </c>
      <c r="B460">
        <v>0.16666666666666666</v>
      </c>
      <c r="C460" s="24">
        <v>8.3333333333333329E-2</v>
      </c>
      <c r="D460">
        <v>4.49438202247191E-2</v>
      </c>
      <c r="E460">
        <v>0.18181818181818182</v>
      </c>
      <c r="F460">
        <v>2.1739130434782608E-2</v>
      </c>
      <c r="G460">
        <v>9.5238095238095233E-2</v>
      </c>
      <c r="H460">
        <v>2.1505376344086023E-2</v>
      </c>
      <c r="I460">
        <f t="shared" si="57"/>
        <v>0.30769230769230771</v>
      </c>
      <c r="J460">
        <f t="shared" si="58"/>
        <v>0.16666666666666666</v>
      </c>
      <c r="K460">
        <f t="shared" si="59"/>
        <v>8.3333333333333329E-2</v>
      </c>
      <c r="L460">
        <f t="shared" si="60"/>
        <v>4.49438202247191E-2</v>
      </c>
      <c r="M460">
        <f t="shared" si="61"/>
        <v>0.18181818181818182</v>
      </c>
      <c r="N460">
        <f t="shared" si="62"/>
        <v>2.1739130434782608E-2</v>
      </c>
      <c r="O460">
        <f t="shared" si="63"/>
        <v>9.5238095238095233E-2</v>
      </c>
      <c r="P460">
        <f t="shared" si="64"/>
        <v>2.1505376344086023E-2</v>
      </c>
    </row>
    <row r="461" spans="1:16" x14ac:dyDescent="0.4">
      <c r="A461">
        <v>0.30769230769230771</v>
      </c>
      <c r="B461">
        <v>0.2857142857142857</v>
      </c>
      <c r="C461" s="23">
        <v>0.5</v>
      </c>
      <c r="D461">
        <v>0.33333333333333331</v>
      </c>
      <c r="E461">
        <v>0</v>
      </c>
      <c r="F461">
        <v>0.125</v>
      </c>
      <c r="G461">
        <v>0.16666666666666666</v>
      </c>
      <c r="H461">
        <v>9.0909090909090912E-2</v>
      </c>
      <c r="I461">
        <f t="shared" si="57"/>
        <v>0.30769230769230771</v>
      </c>
      <c r="J461">
        <f t="shared" si="58"/>
        <v>0.2857142857142857</v>
      </c>
      <c r="K461">
        <f t="shared" si="59"/>
        <v>0.5</v>
      </c>
      <c r="L461">
        <f t="shared" si="60"/>
        <v>0.33333333333333331</v>
      </c>
      <c r="M461">
        <f t="shared" si="61"/>
        <v>0</v>
      </c>
      <c r="N461">
        <f t="shared" si="62"/>
        <v>0.125</v>
      </c>
      <c r="O461">
        <f t="shared" si="63"/>
        <v>0.16666666666666666</v>
      </c>
      <c r="P461">
        <f t="shared" si="64"/>
        <v>9.0909090909090912E-2</v>
      </c>
    </row>
    <row r="462" spans="1:16" x14ac:dyDescent="0.4">
      <c r="A462">
        <v>0.4</v>
      </c>
      <c r="B462">
        <v>0.4</v>
      </c>
      <c r="C462" s="24">
        <v>0.44444444444444442</v>
      </c>
      <c r="D462">
        <v>0.22222222222222221</v>
      </c>
      <c r="E462">
        <v>0.125</v>
      </c>
      <c r="F462">
        <v>0.125</v>
      </c>
      <c r="G462">
        <v>0</v>
      </c>
      <c r="H462">
        <v>0.125</v>
      </c>
      <c r="I462">
        <f t="shared" si="57"/>
        <v>0.4</v>
      </c>
      <c r="J462">
        <f t="shared" si="58"/>
        <v>0.4</v>
      </c>
      <c r="K462">
        <f t="shared" si="59"/>
        <v>0.44444444444444442</v>
      </c>
      <c r="L462">
        <f t="shared" si="60"/>
        <v>0.22222222222222221</v>
      </c>
      <c r="M462">
        <f t="shared" si="61"/>
        <v>0.125</v>
      </c>
      <c r="N462">
        <f t="shared" si="62"/>
        <v>0.125</v>
      </c>
      <c r="O462">
        <f t="shared" si="63"/>
        <v>0</v>
      </c>
      <c r="P462">
        <f t="shared" si="64"/>
        <v>0.125</v>
      </c>
    </row>
    <row r="463" spans="1:16" x14ac:dyDescent="0.4">
      <c r="A463">
        <v>0.26666666666666666</v>
      </c>
      <c r="B463">
        <v>0.2</v>
      </c>
      <c r="C463" s="23">
        <v>0.19047619047619047</v>
      </c>
      <c r="D463">
        <v>0.4</v>
      </c>
      <c r="E463">
        <v>0</v>
      </c>
      <c r="F463">
        <v>0.1875</v>
      </c>
      <c r="G463">
        <v>0</v>
      </c>
      <c r="H463">
        <v>0.1111111111111111</v>
      </c>
      <c r="I463">
        <f t="shared" si="57"/>
        <v>0.26666666666666666</v>
      </c>
      <c r="J463">
        <f t="shared" si="58"/>
        <v>0.2</v>
      </c>
      <c r="K463">
        <f t="shared" si="59"/>
        <v>0.19047619047619047</v>
      </c>
      <c r="L463">
        <f t="shared" si="60"/>
        <v>0.4</v>
      </c>
      <c r="M463">
        <f t="shared" si="61"/>
        <v>0</v>
      </c>
      <c r="N463">
        <f t="shared" si="62"/>
        <v>0.1875</v>
      </c>
      <c r="O463">
        <f t="shared" si="63"/>
        <v>0</v>
      </c>
      <c r="P463">
        <f t="shared" si="64"/>
        <v>0.1111111111111111</v>
      </c>
    </row>
    <row r="464" spans="1:16" x14ac:dyDescent="0.4">
      <c r="A464">
        <v>0.15384615384615385</v>
      </c>
      <c r="B464">
        <v>0.15384615384615385</v>
      </c>
      <c r="C464" s="24">
        <v>0</v>
      </c>
      <c r="D464">
        <v>3.6363636363636362E-2</v>
      </c>
      <c r="E464">
        <v>8.3333333333333329E-2</v>
      </c>
      <c r="F464">
        <v>0.66666666666666663</v>
      </c>
      <c r="G464">
        <v>0.13636363636363635</v>
      </c>
      <c r="H464">
        <v>7.407407407407407E-2</v>
      </c>
      <c r="I464">
        <f t="shared" si="57"/>
        <v>0.15384615384615385</v>
      </c>
      <c r="J464">
        <f t="shared" si="58"/>
        <v>0.15384615384615385</v>
      </c>
      <c r="K464">
        <f t="shared" si="59"/>
        <v>0</v>
      </c>
      <c r="L464">
        <f t="shared" si="60"/>
        <v>3.6363636363636362E-2</v>
      </c>
      <c r="M464">
        <f t="shared" si="61"/>
        <v>8.3333333333333329E-2</v>
      </c>
      <c r="N464">
        <f t="shared" si="62"/>
        <v>0.66666666666666663</v>
      </c>
      <c r="O464">
        <f t="shared" si="63"/>
        <v>0.13636363636363635</v>
      </c>
      <c r="P464">
        <f t="shared" si="64"/>
        <v>7.407407407407407E-2</v>
      </c>
    </row>
    <row r="465" spans="1:16" x14ac:dyDescent="0.4">
      <c r="A465">
        <v>0.13333333333333333</v>
      </c>
      <c r="B465">
        <v>0.23529411764705882</v>
      </c>
      <c r="C465" s="23">
        <v>8.3333333333333329E-2</v>
      </c>
      <c r="D465">
        <v>0.4</v>
      </c>
      <c r="E465">
        <v>7.407407407407407E-2</v>
      </c>
      <c r="F465">
        <v>0.5</v>
      </c>
      <c r="G465">
        <v>0.14285714285714285</v>
      </c>
      <c r="H465">
        <v>0.125</v>
      </c>
      <c r="I465">
        <f t="shared" si="57"/>
        <v>0.13333333333333333</v>
      </c>
      <c r="J465">
        <f t="shared" si="58"/>
        <v>0.23529411764705882</v>
      </c>
      <c r="K465">
        <f t="shared" si="59"/>
        <v>8.3333333333333329E-2</v>
      </c>
      <c r="L465">
        <f t="shared" si="60"/>
        <v>0.4</v>
      </c>
      <c r="M465">
        <f t="shared" si="61"/>
        <v>7.407407407407407E-2</v>
      </c>
      <c r="N465">
        <f t="shared" si="62"/>
        <v>0.5</v>
      </c>
      <c r="O465">
        <f t="shared" si="63"/>
        <v>0.14285714285714285</v>
      </c>
      <c r="P465">
        <f t="shared" si="64"/>
        <v>0.125</v>
      </c>
    </row>
    <row r="466" spans="1:16" x14ac:dyDescent="0.4">
      <c r="A466">
        <v>0.2857142857142857</v>
      </c>
      <c r="B466">
        <v>0.14814814814814814</v>
      </c>
      <c r="C466" s="24">
        <v>0.23529411764705882</v>
      </c>
      <c r="D466">
        <v>0.44444444444444442</v>
      </c>
      <c r="E466">
        <v>0</v>
      </c>
      <c r="F466">
        <v>0.17647058823529413</v>
      </c>
      <c r="G466">
        <v>0.04</v>
      </c>
      <c r="H466">
        <v>0</v>
      </c>
      <c r="I466">
        <f t="shared" si="57"/>
        <v>0.2857142857142857</v>
      </c>
      <c r="J466">
        <f t="shared" si="58"/>
        <v>0.14814814814814814</v>
      </c>
      <c r="K466">
        <f t="shared" si="59"/>
        <v>0.23529411764705882</v>
      </c>
      <c r="L466">
        <f t="shared" si="60"/>
        <v>0.44444444444444442</v>
      </c>
      <c r="M466">
        <f t="shared" si="61"/>
        <v>0</v>
      </c>
      <c r="N466">
        <f t="shared" si="62"/>
        <v>0.17647058823529413</v>
      </c>
      <c r="O466">
        <f t="shared" si="63"/>
        <v>0.04</v>
      </c>
      <c r="P466">
        <f t="shared" si="64"/>
        <v>0</v>
      </c>
    </row>
    <row r="467" spans="1:16" x14ac:dyDescent="0.4">
      <c r="A467">
        <v>0</v>
      </c>
      <c r="B467">
        <v>3.0303030303030304E-2</v>
      </c>
      <c r="C467" s="23">
        <v>0.22222222222222221</v>
      </c>
      <c r="D467">
        <v>0.25</v>
      </c>
      <c r="E467">
        <v>0.36363636363636365</v>
      </c>
      <c r="F467">
        <v>5.8823529411764705E-2</v>
      </c>
      <c r="G467">
        <v>0.12903225806451613</v>
      </c>
      <c r="H467">
        <v>0.15789473684210525</v>
      </c>
      <c r="I467">
        <f t="shared" si="57"/>
        <v>0</v>
      </c>
      <c r="J467">
        <f t="shared" si="58"/>
        <v>3.0303030303030304E-2</v>
      </c>
      <c r="K467">
        <f t="shared" si="59"/>
        <v>0.22222222222222221</v>
      </c>
      <c r="L467">
        <f t="shared" si="60"/>
        <v>0.25</v>
      </c>
      <c r="M467">
        <f t="shared" si="61"/>
        <v>0.36363636363636365</v>
      </c>
      <c r="N467">
        <f t="shared" si="62"/>
        <v>5.8823529411764705E-2</v>
      </c>
      <c r="O467">
        <f t="shared" si="63"/>
        <v>0.12903225806451613</v>
      </c>
      <c r="P467">
        <f t="shared" si="64"/>
        <v>0.15789473684210525</v>
      </c>
    </row>
    <row r="468" spans="1:16" x14ac:dyDescent="0.4">
      <c r="A468">
        <v>0.36363636363636365</v>
      </c>
      <c r="B468">
        <v>0.26666666666666666</v>
      </c>
      <c r="C468" s="24">
        <v>0.36363636363636365</v>
      </c>
      <c r="D468">
        <v>0.5</v>
      </c>
      <c r="E468">
        <v>0</v>
      </c>
      <c r="F468">
        <v>0.22222222222222221</v>
      </c>
      <c r="G468">
        <v>0</v>
      </c>
      <c r="H468">
        <v>0.25</v>
      </c>
      <c r="I468">
        <f t="shared" si="57"/>
        <v>0.36363636363636365</v>
      </c>
      <c r="J468">
        <f t="shared" si="58"/>
        <v>0.26666666666666666</v>
      </c>
      <c r="K468">
        <f t="shared" si="59"/>
        <v>0.36363636363636365</v>
      </c>
      <c r="L468">
        <f t="shared" si="60"/>
        <v>0.5</v>
      </c>
      <c r="M468">
        <f t="shared" si="61"/>
        <v>0</v>
      </c>
      <c r="N468">
        <f t="shared" si="62"/>
        <v>0.22222222222222221</v>
      </c>
      <c r="O468">
        <f t="shared" si="63"/>
        <v>0</v>
      </c>
      <c r="P468">
        <f t="shared" si="64"/>
        <v>0.25</v>
      </c>
    </row>
    <row r="469" spans="1:16" x14ac:dyDescent="0.4">
      <c r="A469">
        <v>0.30769230769230771</v>
      </c>
      <c r="B469">
        <v>0.44444444444444442</v>
      </c>
      <c r="C469" s="23">
        <v>0.27272727272727271</v>
      </c>
      <c r="D469">
        <v>2.7027027027027029E-2</v>
      </c>
      <c r="E469">
        <v>0.18181818181818182</v>
      </c>
      <c r="F469">
        <v>0.5</v>
      </c>
      <c r="G469">
        <v>0.33333333333333331</v>
      </c>
      <c r="H469">
        <v>1.7699115044247787E-2</v>
      </c>
      <c r="I469">
        <f t="shared" si="57"/>
        <v>0.30769230769230771</v>
      </c>
      <c r="J469">
        <f t="shared" si="58"/>
        <v>0.44444444444444442</v>
      </c>
      <c r="K469">
        <f t="shared" si="59"/>
        <v>0.27272727272727271</v>
      </c>
      <c r="L469">
        <f t="shared" si="60"/>
        <v>2.7027027027027029E-2</v>
      </c>
      <c r="M469">
        <f t="shared" si="61"/>
        <v>0.18181818181818182</v>
      </c>
      <c r="N469">
        <f t="shared" si="62"/>
        <v>0.5</v>
      </c>
      <c r="O469">
        <f t="shared" si="63"/>
        <v>0.33333333333333331</v>
      </c>
      <c r="P469">
        <f t="shared" si="64"/>
        <v>1.7699115044247787E-2</v>
      </c>
    </row>
    <row r="470" spans="1:16" x14ac:dyDescent="0.4">
      <c r="A470">
        <v>0.16666666666666666</v>
      </c>
      <c r="B470">
        <v>0.12903225806451613</v>
      </c>
      <c r="C470" s="24">
        <v>0.27272727272727271</v>
      </c>
      <c r="D470">
        <v>0.08</v>
      </c>
      <c r="E470">
        <v>4.3478260869565216E-2</v>
      </c>
      <c r="F470">
        <v>0.5</v>
      </c>
      <c r="G470">
        <v>6.8965517241379309E-2</v>
      </c>
      <c r="H470">
        <v>2.0408163265306121E-2</v>
      </c>
      <c r="I470">
        <f t="shared" si="57"/>
        <v>0.16666666666666666</v>
      </c>
      <c r="J470">
        <f t="shared" si="58"/>
        <v>0.12903225806451613</v>
      </c>
      <c r="K470">
        <f t="shared" si="59"/>
        <v>0.27272727272727271</v>
      </c>
      <c r="L470">
        <f t="shared" si="60"/>
        <v>0.08</v>
      </c>
      <c r="M470">
        <f t="shared" si="61"/>
        <v>4.3478260869565216E-2</v>
      </c>
      <c r="N470">
        <f t="shared" si="62"/>
        <v>0.5</v>
      </c>
      <c r="O470">
        <f t="shared" si="63"/>
        <v>6.8965517241379309E-2</v>
      </c>
      <c r="P470">
        <f t="shared" si="64"/>
        <v>2.0408163265306121E-2</v>
      </c>
    </row>
    <row r="471" spans="1:16" x14ac:dyDescent="0.4">
      <c r="A471">
        <v>0.30769230769230771</v>
      </c>
      <c r="B471">
        <v>0.25</v>
      </c>
      <c r="C471" s="23">
        <v>0.16666666666666666</v>
      </c>
      <c r="D471">
        <v>0.25</v>
      </c>
      <c r="E471">
        <v>9.0909090909090912E-2</v>
      </c>
      <c r="F471">
        <v>4.1666666666666664E-2</v>
      </c>
      <c r="G471">
        <v>0.15384615384615385</v>
      </c>
      <c r="H471">
        <v>0.14285714285714285</v>
      </c>
      <c r="I471">
        <f t="shared" si="57"/>
        <v>0.30769230769230771</v>
      </c>
      <c r="J471">
        <f t="shared" si="58"/>
        <v>0.25</v>
      </c>
      <c r="K471">
        <f t="shared" si="59"/>
        <v>0.16666666666666666</v>
      </c>
      <c r="L471">
        <f t="shared" si="60"/>
        <v>0.25</v>
      </c>
      <c r="M471">
        <f t="shared" si="61"/>
        <v>9.0909090909090912E-2</v>
      </c>
      <c r="N471">
        <f t="shared" si="62"/>
        <v>4.1666666666666664E-2</v>
      </c>
      <c r="O471">
        <f t="shared" si="63"/>
        <v>0.15384615384615385</v>
      </c>
      <c r="P471">
        <f t="shared" si="64"/>
        <v>0.14285714285714285</v>
      </c>
    </row>
    <row r="472" spans="1:16" x14ac:dyDescent="0.4">
      <c r="A472">
        <v>0.19047619047619047</v>
      </c>
      <c r="B472">
        <v>0.4</v>
      </c>
      <c r="C472" s="24">
        <v>0.22222222222222221</v>
      </c>
      <c r="D472">
        <v>0.22222222222222221</v>
      </c>
      <c r="E472">
        <v>0.05</v>
      </c>
      <c r="F472">
        <v>0.2</v>
      </c>
      <c r="G472">
        <v>0</v>
      </c>
      <c r="H472">
        <v>3.4482758620689655E-2</v>
      </c>
      <c r="I472">
        <f t="shared" si="57"/>
        <v>0.19047619047619047</v>
      </c>
      <c r="J472">
        <f t="shared" si="58"/>
        <v>0.4</v>
      </c>
      <c r="K472">
        <f t="shared" si="59"/>
        <v>0.22222222222222221</v>
      </c>
      <c r="L472">
        <f t="shared" si="60"/>
        <v>0.22222222222222221</v>
      </c>
      <c r="M472">
        <f t="shared" si="61"/>
        <v>0.05</v>
      </c>
      <c r="N472">
        <f t="shared" si="62"/>
        <v>0.2</v>
      </c>
      <c r="O472">
        <f t="shared" si="63"/>
        <v>0</v>
      </c>
      <c r="P472">
        <f t="shared" si="64"/>
        <v>3.4482758620689655E-2</v>
      </c>
    </row>
    <row r="473" spans="1:16" x14ac:dyDescent="0.4">
      <c r="A473">
        <v>0.12121212121212122</v>
      </c>
      <c r="B473">
        <v>0.4</v>
      </c>
      <c r="C473" s="23">
        <v>0.66666666666666663</v>
      </c>
      <c r="D473">
        <v>0.66666666666666663</v>
      </c>
      <c r="E473">
        <v>0.1</v>
      </c>
      <c r="F473">
        <v>0.2</v>
      </c>
      <c r="G473">
        <v>0.125</v>
      </c>
      <c r="H473">
        <v>0.5</v>
      </c>
      <c r="I473">
        <f t="shared" si="57"/>
        <v>0.12121212121212122</v>
      </c>
      <c r="J473">
        <f t="shared" si="58"/>
        <v>0.4</v>
      </c>
      <c r="K473">
        <f t="shared" si="59"/>
        <v>0.66666666666666663</v>
      </c>
      <c r="L473">
        <f t="shared" si="60"/>
        <v>0.66666666666666663</v>
      </c>
      <c r="M473">
        <f t="shared" si="61"/>
        <v>0.1</v>
      </c>
      <c r="N473">
        <f t="shared" si="62"/>
        <v>0.2</v>
      </c>
      <c r="O473">
        <f t="shared" si="63"/>
        <v>0.125</v>
      </c>
      <c r="P473">
        <f t="shared" si="64"/>
        <v>0.5</v>
      </c>
    </row>
    <row r="474" spans="1:16" x14ac:dyDescent="0.4">
      <c r="A474">
        <v>9.7560975609756101E-2</v>
      </c>
      <c r="B474">
        <v>0</v>
      </c>
      <c r="C474" s="24">
        <v>0.44444444444444442</v>
      </c>
      <c r="D474">
        <v>0.21052631578947367</v>
      </c>
      <c r="E474">
        <v>8.3333333333333329E-2</v>
      </c>
      <c r="F474">
        <v>0.25</v>
      </c>
      <c r="G474">
        <v>0.17391304347826086</v>
      </c>
      <c r="H474">
        <v>5.8823529411764705E-2</v>
      </c>
      <c r="I474">
        <f t="shared" si="57"/>
        <v>9.7560975609756101E-2</v>
      </c>
      <c r="J474">
        <f t="shared" si="58"/>
        <v>0</v>
      </c>
      <c r="K474">
        <f t="shared" si="59"/>
        <v>0.44444444444444442</v>
      </c>
      <c r="L474">
        <f t="shared" si="60"/>
        <v>0.21052631578947367</v>
      </c>
      <c r="M474">
        <f t="shared" si="61"/>
        <v>8.3333333333333329E-2</v>
      </c>
      <c r="N474">
        <f t="shared" si="62"/>
        <v>0.25</v>
      </c>
      <c r="O474">
        <f t="shared" si="63"/>
        <v>0.17391304347826086</v>
      </c>
      <c r="P474">
        <f t="shared" si="64"/>
        <v>5.8823529411764705E-2</v>
      </c>
    </row>
    <row r="475" spans="1:16" x14ac:dyDescent="0.4">
      <c r="A475">
        <v>0.22222222222222221</v>
      </c>
      <c r="B475">
        <v>0</v>
      </c>
      <c r="C475" s="23">
        <v>0.125</v>
      </c>
      <c r="D475">
        <v>0.33333333333333331</v>
      </c>
      <c r="E475">
        <v>0</v>
      </c>
      <c r="F475">
        <v>0.10714285714285714</v>
      </c>
      <c r="G475">
        <v>0.12121212121212122</v>
      </c>
      <c r="H475">
        <v>0.2</v>
      </c>
      <c r="I475">
        <f t="shared" si="57"/>
        <v>0.22222222222222221</v>
      </c>
      <c r="J475">
        <f t="shared" si="58"/>
        <v>0</v>
      </c>
      <c r="K475">
        <f t="shared" si="59"/>
        <v>0.125</v>
      </c>
      <c r="L475">
        <f t="shared" si="60"/>
        <v>0.33333333333333331</v>
      </c>
      <c r="M475">
        <f t="shared" si="61"/>
        <v>0</v>
      </c>
      <c r="N475">
        <f t="shared" si="62"/>
        <v>0.10714285714285714</v>
      </c>
      <c r="O475">
        <f t="shared" si="63"/>
        <v>0.12121212121212122</v>
      </c>
      <c r="P475">
        <f t="shared" si="64"/>
        <v>0.2</v>
      </c>
    </row>
    <row r="476" spans="1:16" x14ac:dyDescent="0.4">
      <c r="A476">
        <v>0</v>
      </c>
      <c r="B476">
        <v>0.25</v>
      </c>
      <c r="C476" s="24">
        <v>1.2048192771084338E-2</v>
      </c>
      <c r="D476">
        <v>0.44444444444444442</v>
      </c>
      <c r="E476">
        <v>0.33333333333333331</v>
      </c>
      <c r="F476">
        <v>5.128205128205128E-2</v>
      </c>
      <c r="G476">
        <v>0</v>
      </c>
      <c r="H476">
        <v>0</v>
      </c>
      <c r="I476">
        <f t="shared" si="57"/>
        <v>0</v>
      </c>
      <c r="J476">
        <f t="shared" si="58"/>
        <v>0.25</v>
      </c>
      <c r="K476">
        <f t="shared" si="59"/>
        <v>1.2048192771084338E-2</v>
      </c>
      <c r="L476">
        <f t="shared" si="60"/>
        <v>0.44444444444444442</v>
      </c>
      <c r="M476">
        <f t="shared" si="61"/>
        <v>0.33333333333333331</v>
      </c>
      <c r="N476">
        <f t="shared" si="62"/>
        <v>5.128205128205128E-2</v>
      </c>
      <c r="O476">
        <f t="shared" si="63"/>
        <v>0</v>
      </c>
      <c r="P476">
        <f t="shared" si="64"/>
        <v>0</v>
      </c>
    </row>
    <row r="477" spans="1:16" x14ac:dyDescent="0.4">
      <c r="A477">
        <v>0.33333333333333331</v>
      </c>
      <c r="B477">
        <v>0.30769230769230771</v>
      </c>
      <c r="C477" s="23">
        <v>0.2</v>
      </c>
      <c r="D477">
        <v>0</v>
      </c>
      <c r="E477">
        <v>0</v>
      </c>
      <c r="F477">
        <v>0.11764705882352941</v>
      </c>
      <c r="G477">
        <v>0</v>
      </c>
      <c r="H477">
        <v>0.5714285714285714</v>
      </c>
      <c r="I477">
        <f t="shared" si="57"/>
        <v>0.33333333333333331</v>
      </c>
      <c r="J477">
        <f t="shared" si="58"/>
        <v>0.30769230769230771</v>
      </c>
      <c r="K477">
        <f t="shared" si="59"/>
        <v>0.2</v>
      </c>
      <c r="L477">
        <f t="shared" si="60"/>
        <v>0</v>
      </c>
      <c r="M477">
        <f t="shared" si="61"/>
        <v>0</v>
      </c>
      <c r="N477">
        <f t="shared" si="62"/>
        <v>0.11764705882352941</v>
      </c>
      <c r="O477">
        <f t="shared" si="63"/>
        <v>0</v>
      </c>
      <c r="P477">
        <f t="shared" si="64"/>
        <v>0.5714285714285714</v>
      </c>
    </row>
    <row r="478" spans="1:16" x14ac:dyDescent="0.4">
      <c r="A478">
        <v>0.30769230769230771</v>
      </c>
      <c r="B478">
        <v>0.36363636363636365</v>
      </c>
      <c r="C478" s="24">
        <v>0.2</v>
      </c>
      <c r="D478">
        <v>0.25</v>
      </c>
      <c r="E478">
        <v>9.0909090909090912E-2</v>
      </c>
      <c r="F478">
        <v>0.17647058823529413</v>
      </c>
      <c r="G478">
        <v>0.1</v>
      </c>
      <c r="H478">
        <v>0.27272727272727271</v>
      </c>
      <c r="I478">
        <f t="shared" si="57"/>
        <v>0.30769230769230771</v>
      </c>
      <c r="J478">
        <f t="shared" si="58"/>
        <v>0.36363636363636365</v>
      </c>
      <c r="K478">
        <f t="shared" si="59"/>
        <v>0.2</v>
      </c>
      <c r="L478">
        <f t="shared" si="60"/>
        <v>0.25</v>
      </c>
      <c r="M478">
        <f t="shared" si="61"/>
        <v>9.0909090909090912E-2</v>
      </c>
      <c r="N478">
        <f t="shared" si="62"/>
        <v>0.17647058823529413</v>
      </c>
      <c r="O478">
        <f t="shared" si="63"/>
        <v>0.1</v>
      </c>
      <c r="P478">
        <f t="shared" si="64"/>
        <v>0.27272727272727271</v>
      </c>
    </row>
    <row r="479" spans="1:16" x14ac:dyDescent="0.4">
      <c r="A479">
        <v>0.1111111111111111</v>
      </c>
      <c r="B479">
        <v>0.2857142857142857</v>
      </c>
      <c r="C479" s="23">
        <v>0.21052631578947367</v>
      </c>
      <c r="D479">
        <v>0.2857142857142857</v>
      </c>
      <c r="E479">
        <v>9.0909090909090912E-2</v>
      </c>
      <c r="F479">
        <v>0.1111111111111111</v>
      </c>
      <c r="G479">
        <v>0</v>
      </c>
      <c r="H479">
        <v>7.6923076923076927E-2</v>
      </c>
      <c r="I479">
        <f t="shared" si="57"/>
        <v>0.1111111111111111</v>
      </c>
      <c r="J479">
        <f t="shared" si="58"/>
        <v>0.2857142857142857</v>
      </c>
      <c r="K479">
        <f t="shared" si="59"/>
        <v>0.21052631578947367</v>
      </c>
      <c r="L479">
        <f t="shared" si="60"/>
        <v>0.2857142857142857</v>
      </c>
      <c r="M479">
        <f t="shared" si="61"/>
        <v>9.0909090909090912E-2</v>
      </c>
      <c r="N479">
        <f t="shared" si="62"/>
        <v>0.1111111111111111</v>
      </c>
      <c r="O479">
        <f t="shared" si="63"/>
        <v>0</v>
      </c>
      <c r="P479">
        <f t="shared" si="64"/>
        <v>7.6923076923076927E-2</v>
      </c>
    </row>
    <row r="480" spans="1:16" x14ac:dyDescent="0.4">
      <c r="A480">
        <v>0.25</v>
      </c>
      <c r="B480">
        <v>0.36363636363636365</v>
      </c>
      <c r="C480" s="24">
        <v>0.33333333333333331</v>
      </c>
      <c r="D480">
        <v>0.36363636363636365</v>
      </c>
      <c r="E480">
        <v>0</v>
      </c>
      <c r="F480">
        <v>0.22222222222222221</v>
      </c>
      <c r="G480">
        <v>0.22222222222222221</v>
      </c>
      <c r="H480">
        <v>0.1</v>
      </c>
      <c r="I480">
        <f t="shared" si="57"/>
        <v>0.25</v>
      </c>
      <c r="J480">
        <f t="shared" si="58"/>
        <v>0.36363636363636365</v>
      </c>
      <c r="K480">
        <f t="shared" si="59"/>
        <v>0.33333333333333331</v>
      </c>
      <c r="L480">
        <f t="shared" si="60"/>
        <v>0.36363636363636365</v>
      </c>
      <c r="M480">
        <f t="shared" si="61"/>
        <v>0</v>
      </c>
      <c r="N480">
        <f t="shared" si="62"/>
        <v>0.22222222222222221</v>
      </c>
      <c r="O480">
        <f t="shared" si="63"/>
        <v>0.22222222222222221</v>
      </c>
      <c r="P480">
        <f t="shared" si="64"/>
        <v>0.1</v>
      </c>
    </row>
    <row r="481" spans="1:16" x14ac:dyDescent="0.4">
      <c r="A481">
        <v>0.26666666666666666</v>
      </c>
      <c r="B481">
        <v>0.17391304347826086</v>
      </c>
      <c r="C481" s="23">
        <v>0.16666666666666666</v>
      </c>
      <c r="D481">
        <v>0.30769230769230771</v>
      </c>
      <c r="E481">
        <v>5.2631578947368418E-2</v>
      </c>
      <c r="F481">
        <v>1</v>
      </c>
      <c r="G481">
        <v>4.7619047619047616E-2</v>
      </c>
      <c r="H481">
        <v>0</v>
      </c>
      <c r="I481">
        <f t="shared" si="57"/>
        <v>0.26666666666666666</v>
      </c>
      <c r="J481">
        <f t="shared" si="58"/>
        <v>0.17391304347826086</v>
      </c>
      <c r="K481">
        <f t="shared" si="59"/>
        <v>0.16666666666666666</v>
      </c>
      <c r="L481">
        <f t="shared" si="60"/>
        <v>0.30769230769230771</v>
      </c>
      <c r="M481">
        <f t="shared" si="61"/>
        <v>5.2631578947368418E-2</v>
      </c>
      <c r="N481">
        <f t="shared" si="62"/>
        <v>1</v>
      </c>
      <c r="O481">
        <f t="shared" si="63"/>
        <v>4.7619047619047616E-2</v>
      </c>
      <c r="P481">
        <f t="shared" si="64"/>
        <v>0</v>
      </c>
    </row>
    <row r="482" spans="1:16" x14ac:dyDescent="0.4">
      <c r="A482">
        <v>0.26666666666666666</v>
      </c>
      <c r="B482">
        <v>0.15384615384615385</v>
      </c>
      <c r="C482" s="24">
        <v>0.14285714285714285</v>
      </c>
      <c r="D482">
        <v>0.66666666666666663</v>
      </c>
      <c r="E482">
        <v>0.16666666666666666</v>
      </c>
      <c r="F482">
        <v>0.13043478260869565</v>
      </c>
      <c r="G482">
        <v>0.13636363636363635</v>
      </c>
      <c r="H482">
        <v>0</v>
      </c>
      <c r="I482">
        <f t="shared" si="57"/>
        <v>0.26666666666666666</v>
      </c>
      <c r="J482">
        <f t="shared" si="58"/>
        <v>0.15384615384615385</v>
      </c>
      <c r="K482">
        <f t="shared" si="59"/>
        <v>0.14285714285714285</v>
      </c>
      <c r="L482">
        <f t="shared" si="60"/>
        <v>0.66666666666666663</v>
      </c>
      <c r="M482">
        <f t="shared" si="61"/>
        <v>0.16666666666666666</v>
      </c>
      <c r="N482">
        <f t="shared" si="62"/>
        <v>0.13043478260869565</v>
      </c>
      <c r="O482">
        <f t="shared" si="63"/>
        <v>0.13636363636363635</v>
      </c>
      <c r="P482">
        <f t="shared" si="64"/>
        <v>0</v>
      </c>
    </row>
    <row r="483" spans="1:16" x14ac:dyDescent="0.4">
      <c r="A483">
        <v>0.2857142857142857</v>
      </c>
      <c r="B483">
        <v>0.26666666666666666</v>
      </c>
      <c r="C483" s="23">
        <v>0.36363636363636365</v>
      </c>
      <c r="D483">
        <v>0.17391304347826086</v>
      </c>
      <c r="E483">
        <v>0</v>
      </c>
      <c r="F483">
        <v>0</v>
      </c>
      <c r="G483">
        <v>0.15384615384615385</v>
      </c>
      <c r="H483">
        <v>9.5238095238095233E-2</v>
      </c>
      <c r="I483">
        <f t="shared" si="57"/>
        <v>0.2857142857142857</v>
      </c>
      <c r="J483">
        <f t="shared" si="58"/>
        <v>0.26666666666666666</v>
      </c>
      <c r="K483">
        <f t="shared" si="59"/>
        <v>0.36363636363636365</v>
      </c>
      <c r="L483">
        <f t="shared" si="60"/>
        <v>0.17391304347826086</v>
      </c>
      <c r="M483">
        <f t="shared" si="61"/>
        <v>0</v>
      </c>
      <c r="N483">
        <f t="shared" si="62"/>
        <v>0</v>
      </c>
      <c r="O483">
        <f t="shared" si="63"/>
        <v>0.15384615384615385</v>
      </c>
      <c r="P483">
        <f t="shared" si="64"/>
        <v>9.5238095238095233E-2</v>
      </c>
    </row>
    <row r="484" spans="1:16" x14ac:dyDescent="0.4">
      <c r="A484">
        <v>0</v>
      </c>
      <c r="B484">
        <v>0.2</v>
      </c>
      <c r="C484" s="24">
        <v>0.4</v>
      </c>
      <c r="D484">
        <v>0.4</v>
      </c>
      <c r="E484">
        <v>0.23529411764705882</v>
      </c>
      <c r="F484">
        <v>0.22222222222222221</v>
      </c>
      <c r="G484">
        <v>0</v>
      </c>
      <c r="H484">
        <v>0.42857142857142855</v>
      </c>
      <c r="I484">
        <f t="shared" si="57"/>
        <v>0</v>
      </c>
      <c r="J484">
        <f t="shared" si="58"/>
        <v>0.2</v>
      </c>
      <c r="K484">
        <f t="shared" si="59"/>
        <v>0.4</v>
      </c>
      <c r="L484">
        <f t="shared" si="60"/>
        <v>0.4</v>
      </c>
      <c r="M484">
        <f t="shared" si="61"/>
        <v>0.23529411764705882</v>
      </c>
      <c r="N484">
        <f t="shared" si="62"/>
        <v>0.22222222222222221</v>
      </c>
      <c r="O484">
        <f t="shared" si="63"/>
        <v>0</v>
      </c>
      <c r="P484">
        <f t="shared" si="64"/>
        <v>0.42857142857142855</v>
      </c>
    </row>
    <row r="485" spans="1:16" x14ac:dyDescent="0.4">
      <c r="A485">
        <v>0.30769230769230771</v>
      </c>
      <c r="B485">
        <v>0.26666666666666666</v>
      </c>
      <c r="C485" s="23">
        <v>0.44444444444444442</v>
      </c>
      <c r="D485">
        <v>0</v>
      </c>
      <c r="E485">
        <v>0</v>
      </c>
      <c r="F485">
        <v>0.1111111111111111</v>
      </c>
      <c r="G485">
        <v>0.15384615384615385</v>
      </c>
      <c r="H485">
        <v>0.44444444444444442</v>
      </c>
      <c r="I485">
        <f t="shared" si="57"/>
        <v>0.30769230769230771</v>
      </c>
      <c r="J485">
        <f t="shared" si="58"/>
        <v>0.26666666666666666</v>
      </c>
      <c r="K485">
        <f t="shared" si="59"/>
        <v>0.44444444444444442</v>
      </c>
      <c r="L485">
        <f t="shared" si="60"/>
        <v>0</v>
      </c>
      <c r="M485">
        <f t="shared" si="61"/>
        <v>0</v>
      </c>
      <c r="N485">
        <f t="shared" si="62"/>
        <v>0.1111111111111111</v>
      </c>
      <c r="O485">
        <f t="shared" si="63"/>
        <v>0.15384615384615385</v>
      </c>
      <c r="P485">
        <f t="shared" si="64"/>
        <v>0.44444444444444442</v>
      </c>
    </row>
    <row r="486" spans="1:16" x14ac:dyDescent="0.4">
      <c r="A486">
        <v>0.15384615384615385</v>
      </c>
      <c r="B486">
        <v>0.25</v>
      </c>
      <c r="C486" s="24">
        <v>0.30769230769230771</v>
      </c>
      <c r="D486">
        <v>0.12121212121212122</v>
      </c>
      <c r="E486">
        <v>8.3333333333333329E-2</v>
      </c>
      <c r="F486">
        <v>0.3</v>
      </c>
      <c r="G486">
        <v>7.1428571428571425E-2</v>
      </c>
      <c r="H486">
        <v>6.6666666666666666E-2</v>
      </c>
      <c r="I486">
        <f t="shared" si="57"/>
        <v>0.15384615384615385</v>
      </c>
      <c r="J486">
        <f t="shared" si="58"/>
        <v>0.25</v>
      </c>
      <c r="K486">
        <f t="shared" si="59"/>
        <v>0.30769230769230771</v>
      </c>
      <c r="L486">
        <f t="shared" si="60"/>
        <v>0.12121212121212122</v>
      </c>
      <c r="M486">
        <f t="shared" si="61"/>
        <v>8.3333333333333329E-2</v>
      </c>
      <c r="N486">
        <f t="shared" si="62"/>
        <v>0.3</v>
      </c>
      <c r="O486">
        <f t="shared" si="63"/>
        <v>7.1428571428571425E-2</v>
      </c>
      <c r="P486">
        <f t="shared" si="64"/>
        <v>6.6666666666666666E-2</v>
      </c>
    </row>
    <row r="487" spans="1:16" x14ac:dyDescent="0.4">
      <c r="A487">
        <v>0</v>
      </c>
      <c r="B487">
        <v>0.2</v>
      </c>
      <c r="C487" s="23">
        <v>0.2</v>
      </c>
      <c r="D487">
        <v>3.0303030303030304E-2</v>
      </c>
      <c r="E487">
        <v>0.5</v>
      </c>
      <c r="F487">
        <v>0.5714285714285714</v>
      </c>
      <c r="G487">
        <v>0.1875</v>
      </c>
      <c r="H487">
        <v>2.6785714285714284E-2</v>
      </c>
      <c r="I487">
        <f t="shared" si="57"/>
        <v>0</v>
      </c>
      <c r="J487">
        <f t="shared" si="58"/>
        <v>0.2</v>
      </c>
      <c r="K487">
        <f t="shared" si="59"/>
        <v>0.2</v>
      </c>
      <c r="L487">
        <f t="shared" si="60"/>
        <v>3.0303030303030304E-2</v>
      </c>
      <c r="M487">
        <f t="shared" si="61"/>
        <v>0.5</v>
      </c>
      <c r="N487">
        <f t="shared" si="62"/>
        <v>0.5714285714285714</v>
      </c>
      <c r="O487">
        <f t="shared" si="63"/>
        <v>0.1875</v>
      </c>
      <c r="P487">
        <f t="shared" si="64"/>
        <v>2.6785714285714284E-2</v>
      </c>
    </row>
    <row r="488" spans="1:16" x14ac:dyDescent="0.4">
      <c r="A488">
        <v>0.44444444444444442</v>
      </c>
      <c r="B488">
        <v>0.26666666666666666</v>
      </c>
      <c r="C488" s="24">
        <v>0.44444444444444442</v>
      </c>
      <c r="D488">
        <v>0.36363636363636365</v>
      </c>
      <c r="E488">
        <v>0</v>
      </c>
      <c r="F488">
        <v>0.5</v>
      </c>
      <c r="G488">
        <v>7.6923076923076927E-2</v>
      </c>
      <c r="H488">
        <v>0.5</v>
      </c>
      <c r="I488">
        <f t="shared" si="57"/>
        <v>0.44444444444444442</v>
      </c>
      <c r="J488">
        <f t="shared" si="58"/>
        <v>0.26666666666666666</v>
      </c>
      <c r="K488">
        <f t="shared" si="59"/>
        <v>0.44444444444444442</v>
      </c>
      <c r="L488">
        <f t="shared" si="60"/>
        <v>0.36363636363636365</v>
      </c>
      <c r="M488">
        <f t="shared" si="61"/>
        <v>0</v>
      </c>
      <c r="N488">
        <f t="shared" si="62"/>
        <v>0.5</v>
      </c>
      <c r="O488">
        <f t="shared" si="63"/>
        <v>7.6923076923076927E-2</v>
      </c>
      <c r="P488">
        <f t="shared" si="64"/>
        <v>0.5</v>
      </c>
    </row>
    <row r="489" spans="1:16" x14ac:dyDescent="0.4">
      <c r="A489">
        <v>0.36363636363636365</v>
      </c>
      <c r="B489">
        <v>0.22222222222222221</v>
      </c>
      <c r="C489" s="23">
        <v>0.1111111111111111</v>
      </c>
      <c r="D489">
        <v>0.15384615384615385</v>
      </c>
      <c r="E489">
        <v>0</v>
      </c>
      <c r="F489">
        <v>0.25</v>
      </c>
      <c r="G489">
        <v>0.2</v>
      </c>
      <c r="H489">
        <v>0</v>
      </c>
      <c r="I489">
        <f t="shared" si="57"/>
        <v>0.36363636363636365</v>
      </c>
      <c r="J489">
        <f t="shared" si="58"/>
        <v>0.22222222222222221</v>
      </c>
      <c r="K489">
        <f t="shared" si="59"/>
        <v>0.1111111111111111</v>
      </c>
      <c r="L489">
        <f t="shared" si="60"/>
        <v>0.15384615384615385</v>
      </c>
      <c r="M489">
        <f t="shared" si="61"/>
        <v>0</v>
      </c>
      <c r="N489">
        <f t="shared" si="62"/>
        <v>0.25</v>
      </c>
      <c r="O489">
        <f t="shared" si="63"/>
        <v>0.2</v>
      </c>
      <c r="P489">
        <f t="shared" si="64"/>
        <v>0</v>
      </c>
    </row>
    <row r="490" spans="1:16" x14ac:dyDescent="0.4">
      <c r="A490">
        <v>0.36363636363636365</v>
      </c>
      <c r="B490">
        <v>0.44444444444444442</v>
      </c>
      <c r="C490" s="24">
        <v>0.30769230769230771</v>
      </c>
      <c r="D490">
        <v>0.25</v>
      </c>
      <c r="E490">
        <v>0</v>
      </c>
      <c r="F490">
        <v>0.33333333333333331</v>
      </c>
      <c r="G490">
        <v>0.14285714285714285</v>
      </c>
      <c r="H490">
        <v>0</v>
      </c>
      <c r="I490">
        <f t="shared" si="57"/>
        <v>0.36363636363636365</v>
      </c>
      <c r="J490">
        <f t="shared" si="58"/>
        <v>0.44444444444444442</v>
      </c>
      <c r="K490">
        <f t="shared" si="59"/>
        <v>0.30769230769230771</v>
      </c>
      <c r="L490">
        <f t="shared" si="60"/>
        <v>0.25</v>
      </c>
      <c r="M490">
        <f t="shared" si="61"/>
        <v>0</v>
      </c>
      <c r="N490">
        <f t="shared" si="62"/>
        <v>0.33333333333333331</v>
      </c>
      <c r="O490">
        <f t="shared" si="63"/>
        <v>0.14285714285714285</v>
      </c>
      <c r="P490">
        <f t="shared" si="64"/>
        <v>0</v>
      </c>
    </row>
    <row r="491" spans="1:16" x14ac:dyDescent="0.4">
      <c r="A491">
        <v>0.23529411764705882</v>
      </c>
      <c r="B491">
        <v>6.6666666666666666E-2</v>
      </c>
      <c r="C491" s="23">
        <v>0.44444444444444442</v>
      </c>
      <c r="D491">
        <v>0.1</v>
      </c>
      <c r="E491">
        <v>0</v>
      </c>
      <c r="F491">
        <v>0.2857142857142857</v>
      </c>
      <c r="G491">
        <v>0.36363636363636365</v>
      </c>
      <c r="H491">
        <v>0.19047619047619047</v>
      </c>
      <c r="I491">
        <f t="shared" si="57"/>
        <v>0.23529411764705882</v>
      </c>
      <c r="J491">
        <f t="shared" si="58"/>
        <v>6.6666666666666666E-2</v>
      </c>
      <c r="K491">
        <f t="shared" si="59"/>
        <v>0.44444444444444442</v>
      </c>
      <c r="L491">
        <f t="shared" si="60"/>
        <v>0.1</v>
      </c>
      <c r="M491">
        <f t="shared" si="61"/>
        <v>0</v>
      </c>
      <c r="N491">
        <f t="shared" si="62"/>
        <v>0.2857142857142857</v>
      </c>
      <c r="O491">
        <f t="shared" si="63"/>
        <v>0.36363636363636365</v>
      </c>
      <c r="P491">
        <f t="shared" si="64"/>
        <v>0.19047619047619047</v>
      </c>
    </row>
    <row r="492" spans="1:16" x14ac:dyDescent="0.4">
      <c r="A492">
        <v>0.26666666666666666</v>
      </c>
      <c r="B492">
        <v>0.33333333333333331</v>
      </c>
      <c r="C492" s="24">
        <v>0.33333333333333331</v>
      </c>
      <c r="D492">
        <v>0.23529411764705882</v>
      </c>
      <c r="E492">
        <v>0.27272727272727271</v>
      </c>
      <c r="F492">
        <v>0</v>
      </c>
      <c r="G492">
        <v>0.1</v>
      </c>
      <c r="H492">
        <v>0.25</v>
      </c>
      <c r="I492">
        <f t="shared" si="57"/>
        <v>0.26666666666666666</v>
      </c>
      <c r="J492">
        <f t="shared" si="58"/>
        <v>0.33333333333333331</v>
      </c>
      <c r="K492">
        <f t="shared" si="59"/>
        <v>0.33333333333333331</v>
      </c>
      <c r="L492">
        <f t="shared" si="60"/>
        <v>0.23529411764705882</v>
      </c>
      <c r="M492">
        <f t="shared" si="61"/>
        <v>0.27272727272727271</v>
      </c>
      <c r="N492">
        <f t="shared" si="62"/>
        <v>0</v>
      </c>
      <c r="O492">
        <f t="shared" si="63"/>
        <v>0.1</v>
      </c>
      <c r="P492">
        <f t="shared" si="64"/>
        <v>0.25</v>
      </c>
    </row>
    <row r="493" spans="1:16" x14ac:dyDescent="0.4">
      <c r="A493">
        <v>0.36363636363636365</v>
      </c>
      <c r="B493">
        <v>0.4</v>
      </c>
      <c r="C493" s="23">
        <v>0.11764705882352941</v>
      </c>
      <c r="D493">
        <v>0.5</v>
      </c>
      <c r="E493">
        <v>0</v>
      </c>
      <c r="F493">
        <v>3.0303030303030304E-2</v>
      </c>
      <c r="G493">
        <v>0.125</v>
      </c>
      <c r="H493">
        <v>0.6</v>
      </c>
      <c r="I493">
        <f t="shared" si="57"/>
        <v>0.36363636363636365</v>
      </c>
      <c r="J493">
        <f t="shared" si="58"/>
        <v>0.4</v>
      </c>
      <c r="K493">
        <f t="shared" si="59"/>
        <v>0.11764705882352941</v>
      </c>
      <c r="L493">
        <f t="shared" si="60"/>
        <v>0.5</v>
      </c>
      <c r="M493">
        <f t="shared" si="61"/>
        <v>0</v>
      </c>
      <c r="N493">
        <f t="shared" si="62"/>
        <v>3.0303030303030304E-2</v>
      </c>
      <c r="O493">
        <f t="shared" si="63"/>
        <v>0.125</v>
      </c>
      <c r="P493">
        <f t="shared" si="64"/>
        <v>0.6</v>
      </c>
    </row>
    <row r="494" spans="1:16" x14ac:dyDescent="0.4">
      <c r="A494">
        <v>0.23529411764705882</v>
      </c>
      <c r="B494">
        <v>0.44444444444444442</v>
      </c>
      <c r="C494" s="24">
        <v>0.1111111111111111</v>
      </c>
      <c r="D494">
        <v>0.4</v>
      </c>
      <c r="E494">
        <v>6.6666666666666666E-2</v>
      </c>
      <c r="F494">
        <v>0.66666666666666663</v>
      </c>
      <c r="G494">
        <v>0</v>
      </c>
      <c r="H494">
        <v>0.2857142857142857</v>
      </c>
      <c r="I494">
        <f t="shared" si="57"/>
        <v>0.23529411764705882</v>
      </c>
      <c r="J494">
        <f t="shared" si="58"/>
        <v>0.44444444444444442</v>
      </c>
      <c r="K494">
        <f t="shared" si="59"/>
        <v>0.1111111111111111</v>
      </c>
      <c r="L494">
        <f t="shared" si="60"/>
        <v>0.4</v>
      </c>
      <c r="M494">
        <f t="shared" si="61"/>
        <v>6.6666666666666666E-2</v>
      </c>
      <c r="N494">
        <f t="shared" si="62"/>
        <v>0.66666666666666663</v>
      </c>
      <c r="O494">
        <f t="shared" si="63"/>
        <v>0</v>
      </c>
      <c r="P494">
        <f t="shared" si="64"/>
        <v>0.2857142857142857</v>
      </c>
    </row>
    <row r="495" spans="1:16" x14ac:dyDescent="0.4">
      <c r="A495">
        <v>0.30769230769230771</v>
      </c>
      <c r="B495">
        <v>0.30769230769230771</v>
      </c>
      <c r="C495" s="23">
        <v>0</v>
      </c>
      <c r="D495">
        <v>0.44444444444444442</v>
      </c>
      <c r="E495">
        <v>0</v>
      </c>
      <c r="F495">
        <v>0.66666666666666663</v>
      </c>
      <c r="G495">
        <v>0.125</v>
      </c>
      <c r="H495">
        <v>0.125</v>
      </c>
      <c r="I495">
        <f t="shared" si="57"/>
        <v>0.30769230769230771</v>
      </c>
      <c r="J495">
        <f t="shared" si="58"/>
        <v>0.30769230769230771</v>
      </c>
      <c r="K495">
        <f t="shared" si="59"/>
        <v>0</v>
      </c>
      <c r="L495">
        <f t="shared" si="60"/>
        <v>0.44444444444444442</v>
      </c>
      <c r="M495">
        <f t="shared" si="61"/>
        <v>0</v>
      </c>
      <c r="N495">
        <f t="shared" si="62"/>
        <v>0.66666666666666663</v>
      </c>
      <c r="O495">
        <f t="shared" si="63"/>
        <v>0.125</v>
      </c>
      <c r="P495">
        <f t="shared" si="64"/>
        <v>0.125</v>
      </c>
    </row>
    <row r="496" spans="1:16" x14ac:dyDescent="0.4">
      <c r="A496">
        <v>0.4</v>
      </c>
      <c r="B496">
        <v>0.44444444444444442</v>
      </c>
      <c r="C496" s="24">
        <v>0.10526315789473684</v>
      </c>
      <c r="D496">
        <v>0.2</v>
      </c>
      <c r="E496">
        <v>0.1111111111111111</v>
      </c>
      <c r="F496">
        <v>2.6315789473684209E-2</v>
      </c>
      <c r="G496">
        <v>0.2857142857142857</v>
      </c>
      <c r="H496">
        <v>0.2</v>
      </c>
      <c r="I496">
        <f t="shared" si="57"/>
        <v>0.4</v>
      </c>
      <c r="J496">
        <f t="shared" si="58"/>
        <v>0.44444444444444442</v>
      </c>
      <c r="K496">
        <f t="shared" si="59"/>
        <v>0.10526315789473684</v>
      </c>
      <c r="L496">
        <f t="shared" si="60"/>
        <v>0.2</v>
      </c>
      <c r="M496">
        <f t="shared" si="61"/>
        <v>0.1111111111111111</v>
      </c>
      <c r="N496">
        <f t="shared" si="62"/>
        <v>2.6315789473684209E-2</v>
      </c>
      <c r="O496">
        <f t="shared" si="63"/>
        <v>0.2857142857142857</v>
      </c>
      <c r="P496">
        <f t="shared" si="64"/>
        <v>0.2</v>
      </c>
    </row>
    <row r="497" spans="1:16" x14ac:dyDescent="0.4">
      <c r="A497">
        <v>0.30769230769230771</v>
      </c>
      <c r="B497">
        <v>0.2</v>
      </c>
      <c r="C497" s="23">
        <v>0.8</v>
      </c>
      <c r="D497">
        <v>0.23529411764705882</v>
      </c>
      <c r="E497">
        <v>0</v>
      </c>
      <c r="F497">
        <v>0</v>
      </c>
      <c r="G497">
        <v>5.5555555555555552E-2</v>
      </c>
      <c r="H497">
        <v>0.14285714285714285</v>
      </c>
      <c r="I497">
        <f t="shared" si="57"/>
        <v>0.30769230769230771</v>
      </c>
      <c r="J497">
        <f t="shared" si="58"/>
        <v>0.2</v>
      </c>
      <c r="K497">
        <f t="shared" si="59"/>
        <v>0.8</v>
      </c>
      <c r="L497">
        <f t="shared" si="60"/>
        <v>0.23529411764705882</v>
      </c>
      <c r="M497">
        <f t="shared" si="61"/>
        <v>0</v>
      </c>
      <c r="N497">
        <f t="shared" si="62"/>
        <v>0</v>
      </c>
      <c r="O497">
        <f t="shared" si="63"/>
        <v>5.5555555555555552E-2</v>
      </c>
      <c r="P497">
        <f t="shared" si="64"/>
        <v>0.14285714285714285</v>
      </c>
    </row>
    <row r="498" spans="1:16" x14ac:dyDescent="0.4">
      <c r="A498">
        <v>0.1</v>
      </c>
      <c r="B498">
        <v>0</v>
      </c>
      <c r="C498" s="24">
        <v>0</v>
      </c>
      <c r="D498">
        <v>5.3571428571428568E-2</v>
      </c>
      <c r="E498">
        <v>8.1081081081081086E-2</v>
      </c>
      <c r="F498">
        <v>0.4</v>
      </c>
      <c r="G498">
        <v>0.25</v>
      </c>
      <c r="H498">
        <v>6.8965517241379309E-2</v>
      </c>
      <c r="I498">
        <f t="shared" si="57"/>
        <v>0.1</v>
      </c>
      <c r="J498">
        <f t="shared" si="58"/>
        <v>0</v>
      </c>
      <c r="K498">
        <f t="shared" si="59"/>
        <v>0</v>
      </c>
      <c r="L498">
        <f t="shared" si="60"/>
        <v>5.3571428571428568E-2</v>
      </c>
      <c r="M498">
        <f t="shared" si="61"/>
        <v>8.1081081081081086E-2</v>
      </c>
      <c r="N498">
        <f t="shared" si="62"/>
        <v>0.4</v>
      </c>
      <c r="O498">
        <f t="shared" si="63"/>
        <v>0.25</v>
      </c>
      <c r="P498">
        <f t="shared" si="64"/>
        <v>6.8965517241379309E-2</v>
      </c>
    </row>
    <row r="499" spans="1:16" x14ac:dyDescent="0.4">
      <c r="A499">
        <v>0.2857142857142857</v>
      </c>
      <c r="B499">
        <v>0.4</v>
      </c>
      <c r="C499" s="23">
        <v>0.36363636363636365</v>
      </c>
      <c r="D499">
        <v>0.66666666666666663</v>
      </c>
      <c r="E499">
        <v>0</v>
      </c>
      <c r="F499">
        <v>0.25</v>
      </c>
      <c r="G499">
        <v>0</v>
      </c>
      <c r="H499">
        <v>0</v>
      </c>
      <c r="I499">
        <f t="shared" si="57"/>
        <v>0.2857142857142857</v>
      </c>
      <c r="J499">
        <f t="shared" si="58"/>
        <v>0.4</v>
      </c>
      <c r="K499">
        <f t="shared" si="59"/>
        <v>0.36363636363636365</v>
      </c>
      <c r="L499">
        <f t="shared" si="60"/>
        <v>0.66666666666666663</v>
      </c>
      <c r="M499">
        <f t="shared" si="61"/>
        <v>0</v>
      </c>
      <c r="N499">
        <f t="shared" si="62"/>
        <v>0.25</v>
      </c>
      <c r="O499">
        <f t="shared" si="63"/>
        <v>0</v>
      </c>
      <c r="P499">
        <f t="shared" si="64"/>
        <v>0</v>
      </c>
    </row>
    <row r="500" spans="1:16" x14ac:dyDescent="0.4">
      <c r="A500">
        <v>0.36363636363636365</v>
      </c>
      <c r="B500">
        <v>5.5555555555555552E-2</v>
      </c>
      <c r="C500" s="24">
        <v>0.30769230769230771</v>
      </c>
      <c r="D500">
        <v>0.44444444444444442</v>
      </c>
      <c r="E500">
        <v>0.1</v>
      </c>
      <c r="F500">
        <v>0.375</v>
      </c>
      <c r="G500">
        <v>0.22222222222222221</v>
      </c>
      <c r="H500">
        <v>0.2857142857142857</v>
      </c>
      <c r="I500">
        <f t="shared" si="57"/>
        <v>0.36363636363636365</v>
      </c>
      <c r="J500">
        <f t="shared" si="58"/>
        <v>5.5555555555555552E-2</v>
      </c>
      <c r="K500">
        <f t="shared" si="59"/>
        <v>0.30769230769230771</v>
      </c>
      <c r="L500">
        <f t="shared" si="60"/>
        <v>0.44444444444444442</v>
      </c>
      <c r="M500">
        <f t="shared" si="61"/>
        <v>0.1</v>
      </c>
      <c r="N500">
        <f t="shared" si="62"/>
        <v>0.375</v>
      </c>
      <c r="O500">
        <f t="shared" si="63"/>
        <v>0.22222222222222221</v>
      </c>
      <c r="P500">
        <f t="shared" si="64"/>
        <v>0.2857142857142857</v>
      </c>
    </row>
    <row r="501" spans="1:16" x14ac:dyDescent="0.4">
      <c r="A501">
        <v>0.30769230769230771</v>
      </c>
      <c r="B501">
        <v>0</v>
      </c>
      <c r="C501" s="23">
        <v>0.33333333333333331</v>
      </c>
      <c r="D501">
        <v>7.407407407407407E-2</v>
      </c>
      <c r="E501">
        <v>0</v>
      </c>
      <c r="F501">
        <v>0</v>
      </c>
      <c r="G501">
        <v>0.4</v>
      </c>
      <c r="H501">
        <v>3.8461538461538464E-2</v>
      </c>
      <c r="I501">
        <f t="shared" si="57"/>
        <v>0.30769230769230771</v>
      </c>
      <c r="J501">
        <f t="shared" si="58"/>
        <v>0</v>
      </c>
      <c r="K501">
        <f t="shared" si="59"/>
        <v>0.33333333333333331</v>
      </c>
      <c r="L501">
        <f t="shared" si="60"/>
        <v>7.407407407407407E-2</v>
      </c>
      <c r="M501">
        <f t="shared" si="61"/>
        <v>0</v>
      </c>
      <c r="N501">
        <f t="shared" si="62"/>
        <v>0</v>
      </c>
      <c r="O501">
        <f t="shared" si="63"/>
        <v>0.4</v>
      </c>
      <c r="P501">
        <f t="shared" si="64"/>
        <v>3.8461538461538464E-2</v>
      </c>
    </row>
    <row r="502" spans="1:16" x14ac:dyDescent="0.4">
      <c r="A502">
        <v>7.1428571428571425E-2</v>
      </c>
      <c r="B502">
        <v>0.30769230769230771</v>
      </c>
      <c r="C502" s="24">
        <v>0.1111111111111111</v>
      </c>
      <c r="D502">
        <v>0.14285714285714285</v>
      </c>
      <c r="E502">
        <v>0.4</v>
      </c>
      <c r="F502">
        <v>0</v>
      </c>
      <c r="G502">
        <v>9.0909090909090912E-2</v>
      </c>
      <c r="H502">
        <v>0.4</v>
      </c>
      <c r="I502">
        <f t="shared" si="57"/>
        <v>7.1428571428571425E-2</v>
      </c>
      <c r="J502">
        <f t="shared" si="58"/>
        <v>0.30769230769230771</v>
      </c>
      <c r="K502">
        <f t="shared" si="59"/>
        <v>0.1111111111111111</v>
      </c>
      <c r="L502">
        <f t="shared" si="60"/>
        <v>0.14285714285714285</v>
      </c>
      <c r="M502">
        <f t="shared" si="61"/>
        <v>0.4</v>
      </c>
      <c r="N502">
        <f t="shared" si="62"/>
        <v>0</v>
      </c>
      <c r="O502">
        <f t="shared" si="63"/>
        <v>9.0909090909090912E-2</v>
      </c>
      <c r="P502">
        <f t="shared" si="64"/>
        <v>0.4</v>
      </c>
    </row>
    <row r="503" spans="1:16" x14ac:dyDescent="0.4">
      <c r="A503">
        <v>0.1111111111111111</v>
      </c>
      <c r="B503">
        <v>0.25</v>
      </c>
      <c r="C503" s="23">
        <v>0.2857142857142857</v>
      </c>
      <c r="D503">
        <v>8.3333333333333329E-2</v>
      </c>
      <c r="E503">
        <v>0</v>
      </c>
      <c r="F503">
        <v>0</v>
      </c>
      <c r="G503">
        <v>0</v>
      </c>
      <c r="H503">
        <v>0.12121212121212122</v>
      </c>
      <c r="I503">
        <f t="shared" si="57"/>
        <v>0.1111111111111111</v>
      </c>
      <c r="J503">
        <f t="shared" si="58"/>
        <v>0.25</v>
      </c>
      <c r="K503">
        <f t="shared" si="59"/>
        <v>0.2857142857142857</v>
      </c>
      <c r="L503">
        <f t="shared" si="60"/>
        <v>8.3333333333333329E-2</v>
      </c>
      <c r="M503">
        <f t="shared" si="61"/>
        <v>0</v>
      </c>
      <c r="N503">
        <f t="shared" si="62"/>
        <v>0</v>
      </c>
      <c r="O503">
        <f t="shared" si="63"/>
        <v>0</v>
      </c>
      <c r="P503">
        <f t="shared" si="64"/>
        <v>0.12121212121212122</v>
      </c>
    </row>
    <row r="504" spans="1:16" x14ac:dyDescent="0.4">
      <c r="A504">
        <v>7.1428571428571425E-2</v>
      </c>
      <c r="B504">
        <v>0.05</v>
      </c>
      <c r="C504" s="24">
        <v>0.66666666666666663</v>
      </c>
      <c r="D504">
        <v>0</v>
      </c>
      <c r="E504">
        <v>0.4</v>
      </c>
      <c r="F504">
        <v>0.5</v>
      </c>
      <c r="G504">
        <v>0.25</v>
      </c>
      <c r="H504">
        <v>0.5714285714285714</v>
      </c>
      <c r="I504">
        <f t="shared" si="57"/>
        <v>7.1428571428571425E-2</v>
      </c>
      <c r="J504">
        <f t="shared" si="58"/>
        <v>0.05</v>
      </c>
      <c r="K504">
        <f t="shared" si="59"/>
        <v>0.66666666666666663</v>
      </c>
      <c r="L504">
        <f t="shared" si="60"/>
        <v>0</v>
      </c>
      <c r="M504">
        <f t="shared" si="61"/>
        <v>0.4</v>
      </c>
      <c r="N504">
        <f t="shared" si="62"/>
        <v>0.5</v>
      </c>
      <c r="O504">
        <f t="shared" si="63"/>
        <v>0.25</v>
      </c>
      <c r="P504">
        <f t="shared" si="64"/>
        <v>0.5714285714285714</v>
      </c>
    </row>
    <row r="505" spans="1:16" x14ac:dyDescent="0.4">
      <c r="A505">
        <v>0.23529411764705882</v>
      </c>
      <c r="B505">
        <v>0</v>
      </c>
      <c r="C505" s="23">
        <v>0.1111111111111111</v>
      </c>
      <c r="D505">
        <v>0.2857142857142857</v>
      </c>
      <c r="E505">
        <v>0.23076923076923078</v>
      </c>
      <c r="F505">
        <v>0.25</v>
      </c>
      <c r="G505">
        <v>0.36363636363636365</v>
      </c>
      <c r="H505">
        <v>0</v>
      </c>
      <c r="I505">
        <f t="shared" si="57"/>
        <v>0.23529411764705882</v>
      </c>
      <c r="J505">
        <f t="shared" si="58"/>
        <v>0</v>
      </c>
      <c r="K505">
        <f t="shared" si="59"/>
        <v>0.1111111111111111</v>
      </c>
      <c r="L505">
        <f t="shared" si="60"/>
        <v>0.2857142857142857</v>
      </c>
      <c r="M505">
        <f t="shared" si="61"/>
        <v>0.23076923076923078</v>
      </c>
      <c r="N505">
        <f t="shared" si="62"/>
        <v>0.25</v>
      </c>
      <c r="O505">
        <f t="shared" si="63"/>
        <v>0.36363636363636365</v>
      </c>
      <c r="P505">
        <f t="shared" si="64"/>
        <v>0</v>
      </c>
    </row>
    <row r="506" spans="1:16" x14ac:dyDescent="0.4">
      <c r="A506">
        <v>8.8888888888888892E-2</v>
      </c>
      <c r="B506">
        <v>0.33333333333333331</v>
      </c>
      <c r="C506" s="24">
        <v>0.18181818181818182</v>
      </c>
      <c r="D506">
        <v>4.7619047619047616E-2</v>
      </c>
      <c r="E506">
        <v>4.7619047619047616E-2</v>
      </c>
      <c r="F506">
        <v>4.7619047619047616E-2</v>
      </c>
      <c r="G506">
        <v>0.1111111111111111</v>
      </c>
      <c r="H506">
        <v>0.23529411764705882</v>
      </c>
      <c r="I506">
        <f t="shared" si="57"/>
        <v>8.8888888888888892E-2</v>
      </c>
      <c r="J506">
        <f t="shared" si="58"/>
        <v>0.33333333333333331</v>
      </c>
      <c r="K506">
        <f t="shared" si="59"/>
        <v>0.18181818181818182</v>
      </c>
      <c r="L506">
        <f t="shared" si="60"/>
        <v>4.7619047619047616E-2</v>
      </c>
      <c r="M506">
        <f t="shared" si="61"/>
        <v>4.7619047619047616E-2</v>
      </c>
      <c r="N506">
        <f t="shared" si="62"/>
        <v>4.7619047619047616E-2</v>
      </c>
      <c r="O506">
        <f t="shared" si="63"/>
        <v>0.1111111111111111</v>
      </c>
      <c r="P506">
        <f t="shared" si="64"/>
        <v>0.23529411764705882</v>
      </c>
    </row>
    <row r="507" spans="1:16" x14ac:dyDescent="0.4">
      <c r="A507">
        <v>3.125E-2</v>
      </c>
      <c r="B507">
        <v>0.33333333333333331</v>
      </c>
      <c r="C507" s="23">
        <v>0.15384615384615385</v>
      </c>
      <c r="D507">
        <v>0.21052631578947367</v>
      </c>
      <c r="E507">
        <v>0.14285714285714285</v>
      </c>
      <c r="F507">
        <v>0.13043478260869565</v>
      </c>
      <c r="G507">
        <v>9.0909090909090912E-2</v>
      </c>
      <c r="H507">
        <v>6.25E-2</v>
      </c>
      <c r="I507">
        <f t="shared" si="57"/>
        <v>3.125E-2</v>
      </c>
      <c r="J507">
        <f t="shared" si="58"/>
        <v>0.33333333333333331</v>
      </c>
      <c r="K507">
        <f t="shared" si="59"/>
        <v>0.15384615384615385</v>
      </c>
      <c r="L507">
        <f t="shared" si="60"/>
        <v>0.21052631578947367</v>
      </c>
      <c r="M507">
        <f t="shared" si="61"/>
        <v>0.14285714285714285</v>
      </c>
      <c r="N507">
        <f t="shared" si="62"/>
        <v>0.13043478260869565</v>
      </c>
      <c r="O507">
        <f t="shared" si="63"/>
        <v>9.0909090909090912E-2</v>
      </c>
      <c r="P507">
        <f t="shared" si="64"/>
        <v>6.25E-2</v>
      </c>
    </row>
    <row r="508" spans="1:16" x14ac:dyDescent="0.4">
      <c r="A508">
        <v>3.0303030303030304E-2</v>
      </c>
      <c r="B508">
        <v>0.25</v>
      </c>
      <c r="C508" s="24">
        <v>0.5714285714285714</v>
      </c>
      <c r="D508">
        <v>0</v>
      </c>
      <c r="E508">
        <v>0.14285714285714285</v>
      </c>
      <c r="F508">
        <v>0.75</v>
      </c>
      <c r="G508">
        <v>7.1428571428571425E-2</v>
      </c>
      <c r="H508">
        <v>0.1111111111111111</v>
      </c>
      <c r="I508">
        <f t="shared" si="57"/>
        <v>3.0303030303030304E-2</v>
      </c>
      <c r="J508">
        <f t="shared" si="58"/>
        <v>0.25</v>
      </c>
      <c r="K508">
        <f t="shared" si="59"/>
        <v>0.5714285714285714</v>
      </c>
      <c r="L508">
        <f t="shared" si="60"/>
        <v>0</v>
      </c>
      <c r="M508">
        <f t="shared" si="61"/>
        <v>0.14285714285714285</v>
      </c>
      <c r="N508">
        <f t="shared" si="62"/>
        <v>0.75</v>
      </c>
      <c r="O508">
        <f t="shared" si="63"/>
        <v>7.1428571428571425E-2</v>
      </c>
      <c r="P508">
        <f t="shared" si="64"/>
        <v>0.1111111111111111</v>
      </c>
    </row>
    <row r="509" spans="1:16" x14ac:dyDescent="0.4">
      <c r="A509">
        <v>0.33333333333333331</v>
      </c>
      <c r="B509">
        <v>0.44444444444444442</v>
      </c>
      <c r="C509" s="23">
        <v>6.3492063492063489E-2</v>
      </c>
      <c r="D509">
        <v>0.16666666666666666</v>
      </c>
      <c r="E509">
        <v>0.1</v>
      </c>
      <c r="F509">
        <v>5.0847457627118647E-2</v>
      </c>
      <c r="G509">
        <v>0.125</v>
      </c>
      <c r="H509">
        <v>4.3478260869565216E-2</v>
      </c>
      <c r="I509">
        <f t="shared" si="57"/>
        <v>0.33333333333333331</v>
      </c>
      <c r="J509">
        <f t="shared" si="58"/>
        <v>0.44444444444444442</v>
      </c>
      <c r="K509">
        <f t="shared" si="59"/>
        <v>6.3492063492063489E-2</v>
      </c>
      <c r="L509">
        <f t="shared" si="60"/>
        <v>0.16666666666666666</v>
      </c>
      <c r="M509">
        <f t="shared" si="61"/>
        <v>0.1</v>
      </c>
      <c r="N509">
        <f t="shared" si="62"/>
        <v>5.0847457627118647E-2</v>
      </c>
      <c r="O509">
        <f t="shared" si="63"/>
        <v>0.125</v>
      </c>
      <c r="P509">
        <f t="shared" si="64"/>
        <v>4.3478260869565216E-2</v>
      </c>
    </row>
    <row r="510" spans="1:16" x14ac:dyDescent="0.4">
      <c r="A510">
        <v>0.14814814814814814</v>
      </c>
      <c r="B510">
        <v>0.2857142857142857</v>
      </c>
      <c r="C510" s="24">
        <v>0.10526315789473684</v>
      </c>
      <c r="D510">
        <v>0.14285714285714285</v>
      </c>
      <c r="E510">
        <v>8.3333333333333329E-2</v>
      </c>
      <c r="F510">
        <v>0</v>
      </c>
      <c r="G510">
        <v>7.6923076923076927E-2</v>
      </c>
      <c r="H510">
        <v>0.2857142857142857</v>
      </c>
      <c r="I510">
        <f t="shared" si="57"/>
        <v>0.14814814814814814</v>
      </c>
      <c r="J510">
        <f t="shared" si="58"/>
        <v>0.2857142857142857</v>
      </c>
      <c r="K510">
        <f t="shared" si="59"/>
        <v>0.10526315789473684</v>
      </c>
      <c r="L510">
        <f t="shared" si="60"/>
        <v>0.14285714285714285</v>
      </c>
      <c r="M510">
        <f t="shared" si="61"/>
        <v>8.3333333333333329E-2</v>
      </c>
      <c r="N510">
        <f t="shared" si="62"/>
        <v>0</v>
      </c>
      <c r="O510">
        <f t="shared" si="63"/>
        <v>7.6923076923076927E-2</v>
      </c>
      <c r="P510">
        <f t="shared" si="64"/>
        <v>0.2857142857142857</v>
      </c>
    </row>
    <row r="511" spans="1:16" x14ac:dyDescent="0.4">
      <c r="A511">
        <v>0</v>
      </c>
      <c r="B511">
        <v>0</v>
      </c>
      <c r="C511" s="23">
        <v>0.2857142857142857</v>
      </c>
      <c r="D511">
        <v>0.66666666666666663</v>
      </c>
      <c r="E511">
        <v>0.22222222222222221</v>
      </c>
      <c r="F511">
        <v>0.16666666666666666</v>
      </c>
      <c r="G511">
        <v>0.33333333333333331</v>
      </c>
      <c r="H511">
        <v>0</v>
      </c>
      <c r="I511">
        <f t="shared" si="57"/>
        <v>0</v>
      </c>
      <c r="J511">
        <f t="shared" si="58"/>
        <v>0</v>
      </c>
      <c r="K511">
        <f t="shared" si="59"/>
        <v>0.2857142857142857</v>
      </c>
      <c r="L511">
        <f t="shared" si="60"/>
        <v>0.66666666666666663</v>
      </c>
      <c r="M511">
        <f t="shared" si="61"/>
        <v>0.22222222222222221</v>
      </c>
      <c r="N511">
        <f t="shared" si="62"/>
        <v>0.16666666666666666</v>
      </c>
      <c r="O511">
        <f t="shared" si="63"/>
        <v>0.33333333333333331</v>
      </c>
      <c r="P511">
        <f t="shared" si="64"/>
        <v>0</v>
      </c>
    </row>
    <row r="512" spans="1:16" x14ac:dyDescent="0.4">
      <c r="A512">
        <v>0.13636363636363635</v>
      </c>
      <c r="B512">
        <v>0.4</v>
      </c>
      <c r="C512" s="24">
        <v>6.8965517241379309E-2</v>
      </c>
      <c r="D512">
        <v>0</v>
      </c>
      <c r="E512">
        <v>0.22222222222222221</v>
      </c>
      <c r="F512">
        <v>5.4545454545454543E-2</v>
      </c>
      <c r="G512">
        <v>0.33333333333333331</v>
      </c>
      <c r="H512">
        <v>1</v>
      </c>
      <c r="I512">
        <f t="shared" si="57"/>
        <v>0.13636363636363635</v>
      </c>
      <c r="J512">
        <f t="shared" si="58"/>
        <v>0.4</v>
      </c>
      <c r="K512">
        <f t="shared" si="59"/>
        <v>6.8965517241379309E-2</v>
      </c>
      <c r="L512">
        <f t="shared" si="60"/>
        <v>0</v>
      </c>
      <c r="M512">
        <f t="shared" si="61"/>
        <v>0.22222222222222221</v>
      </c>
      <c r="N512">
        <f t="shared" si="62"/>
        <v>5.4545454545454543E-2</v>
      </c>
      <c r="O512">
        <f t="shared" si="63"/>
        <v>0.33333333333333331</v>
      </c>
      <c r="P512">
        <f t="shared" si="64"/>
        <v>1</v>
      </c>
    </row>
    <row r="513" spans="1:16" x14ac:dyDescent="0.4">
      <c r="A513">
        <v>0.2857142857142857</v>
      </c>
      <c r="B513">
        <v>0.36363636363636365</v>
      </c>
      <c r="C513" s="23">
        <v>1.6393442622950821E-2</v>
      </c>
      <c r="D513">
        <v>0.26666666666666666</v>
      </c>
      <c r="E513">
        <v>0.16666666666666666</v>
      </c>
      <c r="F513">
        <v>7.0175438596491224E-2</v>
      </c>
      <c r="G513">
        <v>0</v>
      </c>
      <c r="H513">
        <v>7.6923076923076927E-2</v>
      </c>
      <c r="I513">
        <f t="shared" si="57"/>
        <v>0.2857142857142857</v>
      </c>
      <c r="J513">
        <f t="shared" si="58"/>
        <v>0.36363636363636365</v>
      </c>
      <c r="K513">
        <f t="shared" si="59"/>
        <v>1.6393442622950821E-2</v>
      </c>
      <c r="L513">
        <f t="shared" si="60"/>
        <v>0.26666666666666666</v>
      </c>
      <c r="M513">
        <f t="shared" si="61"/>
        <v>0.16666666666666666</v>
      </c>
      <c r="N513">
        <f t="shared" si="62"/>
        <v>7.0175438596491224E-2</v>
      </c>
      <c r="O513">
        <f t="shared" si="63"/>
        <v>0</v>
      </c>
      <c r="P513">
        <f t="shared" si="64"/>
        <v>7.6923076923076927E-2</v>
      </c>
    </row>
    <row r="514" spans="1:16" x14ac:dyDescent="0.4">
      <c r="A514">
        <v>0.26666666666666666</v>
      </c>
      <c r="B514">
        <v>0</v>
      </c>
      <c r="C514" s="24">
        <v>0.23529411764705882</v>
      </c>
      <c r="D514">
        <v>0.2</v>
      </c>
      <c r="E514">
        <v>0.15384615384615385</v>
      </c>
      <c r="F514">
        <v>0.13333333333333333</v>
      </c>
      <c r="G514">
        <v>0.44444444444444442</v>
      </c>
      <c r="H514">
        <v>0.36363636363636365</v>
      </c>
      <c r="I514">
        <f t="shared" si="57"/>
        <v>0.26666666666666666</v>
      </c>
      <c r="J514">
        <f t="shared" si="58"/>
        <v>0</v>
      </c>
      <c r="K514">
        <f t="shared" si="59"/>
        <v>0.23529411764705882</v>
      </c>
      <c r="L514">
        <f t="shared" si="60"/>
        <v>0.2</v>
      </c>
      <c r="M514">
        <f t="shared" si="61"/>
        <v>0.15384615384615385</v>
      </c>
      <c r="N514">
        <f t="shared" si="62"/>
        <v>0.13333333333333333</v>
      </c>
      <c r="O514">
        <f t="shared" si="63"/>
        <v>0.44444444444444442</v>
      </c>
      <c r="P514">
        <f t="shared" si="64"/>
        <v>0.36363636363636365</v>
      </c>
    </row>
    <row r="515" spans="1:16" x14ac:dyDescent="0.4">
      <c r="A515">
        <v>0.26666666666666666</v>
      </c>
      <c r="B515">
        <v>0.33333333333333331</v>
      </c>
      <c r="C515" s="23">
        <v>0.33333333333333331</v>
      </c>
      <c r="D515">
        <v>0.5</v>
      </c>
      <c r="E515">
        <v>0</v>
      </c>
      <c r="F515">
        <v>0.33333333333333331</v>
      </c>
      <c r="G515">
        <v>0.375</v>
      </c>
      <c r="H515">
        <v>0.16666666666666666</v>
      </c>
      <c r="I515">
        <f t="shared" si="57"/>
        <v>0.26666666666666666</v>
      </c>
      <c r="J515">
        <f t="shared" si="58"/>
        <v>0.33333333333333331</v>
      </c>
      <c r="K515">
        <f t="shared" si="59"/>
        <v>0.33333333333333331</v>
      </c>
      <c r="L515">
        <f t="shared" si="60"/>
        <v>0.5</v>
      </c>
      <c r="M515">
        <f t="shared" si="61"/>
        <v>0</v>
      </c>
      <c r="N515">
        <f t="shared" si="62"/>
        <v>0.33333333333333331</v>
      </c>
      <c r="O515">
        <f t="shared" si="63"/>
        <v>0.375</v>
      </c>
      <c r="P515">
        <f t="shared" si="64"/>
        <v>0.16666666666666666</v>
      </c>
    </row>
    <row r="516" spans="1:16" x14ac:dyDescent="0.4">
      <c r="A516">
        <v>0.19047619047619047</v>
      </c>
      <c r="B516">
        <v>9.375E-2</v>
      </c>
      <c r="C516" s="24">
        <v>6.8965517241379309E-2</v>
      </c>
      <c r="D516">
        <v>0.66666666666666663</v>
      </c>
      <c r="E516">
        <v>5.2631578947368418E-2</v>
      </c>
      <c r="F516">
        <v>5.4545454545454543E-2</v>
      </c>
      <c r="G516">
        <v>0.11428571428571428</v>
      </c>
      <c r="H516">
        <v>1</v>
      </c>
      <c r="I516">
        <f t="shared" si="57"/>
        <v>0.19047619047619047</v>
      </c>
      <c r="J516">
        <f t="shared" si="58"/>
        <v>9.375E-2</v>
      </c>
      <c r="K516">
        <f t="shared" si="59"/>
        <v>6.8965517241379309E-2</v>
      </c>
      <c r="L516">
        <f t="shared" si="60"/>
        <v>0.66666666666666663</v>
      </c>
      <c r="M516">
        <f t="shared" si="61"/>
        <v>5.2631578947368418E-2</v>
      </c>
      <c r="N516">
        <f t="shared" si="62"/>
        <v>5.4545454545454543E-2</v>
      </c>
      <c r="O516">
        <f t="shared" si="63"/>
        <v>0.11428571428571428</v>
      </c>
      <c r="P516">
        <f t="shared" si="64"/>
        <v>1</v>
      </c>
    </row>
    <row r="517" spans="1:16" x14ac:dyDescent="0.4">
      <c r="A517">
        <v>0.4</v>
      </c>
      <c r="B517">
        <v>0.2</v>
      </c>
      <c r="C517" s="23">
        <v>0.5</v>
      </c>
      <c r="D517">
        <v>0.22222222222222221</v>
      </c>
      <c r="E517">
        <v>0.1111111111111111</v>
      </c>
      <c r="F517">
        <v>1</v>
      </c>
      <c r="G517">
        <v>5.8823529411764705E-2</v>
      </c>
      <c r="H517">
        <v>6.25E-2</v>
      </c>
      <c r="I517">
        <f t="shared" si="57"/>
        <v>0.4</v>
      </c>
      <c r="J517">
        <f t="shared" si="58"/>
        <v>0.2</v>
      </c>
      <c r="K517">
        <f t="shared" si="59"/>
        <v>0.5</v>
      </c>
      <c r="L517">
        <f t="shared" si="60"/>
        <v>0.22222222222222221</v>
      </c>
      <c r="M517">
        <f t="shared" si="61"/>
        <v>0.1111111111111111</v>
      </c>
      <c r="N517">
        <f t="shared" si="62"/>
        <v>1</v>
      </c>
      <c r="O517">
        <f t="shared" si="63"/>
        <v>5.8823529411764705E-2</v>
      </c>
      <c r="P517">
        <f t="shared" si="64"/>
        <v>6.25E-2</v>
      </c>
    </row>
    <row r="518" spans="1:16" x14ac:dyDescent="0.4">
      <c r="A518">
        <v>0.11764705882352941</v>
      </c>
      <c r="B518">
        <v>0.10526315789473684</v>
      </c>
      <c r="C518" s="24">
        <v>9.0909090909090912E-2</v>
      </c>
      <c r="D518">
        <v>0.5714285714285714</v>
      </c>
      <c r="E518">
        <v>0.1</v>
      </c>
      <c r="F518">
        <v>0</v>
      </c>
      <c r="G518">
        <v>0.25</v>
      </c>
      <c r="H518">
        <v>0</v>
      </c>
      <c r="I518">
        <f t="shared" si="57"/>
        <v>0.11764705882352941</v>
      </c>
      <c r="J518">
        <f t="shared" si="58"/>
        <v>0.10526315789473684</v>
      </c>
      <c r="K518">
        <f t="shared" si="59"/>
        <v>9.0909090909090912E-2</v>
      </c>
      <c r="L518">
        <f t="shared" si="60"/>
        <v>0.5714285714285714</v>
      </c>
      <c r="M518">
        <f t="shared" si="61"/>
        <v>0.1</v>
      </c>
      <c r="N518">
        <f t="shared" si="62"/>
        <v>0</v>
      </c>
      <c r="O518">
        <f t="shared" si="63"/>
        <v>0.25</v>
      </c>
      <c r="P518">
        <f t="shared" si="64"/>
        <v>0</v>
      </c>
    </row>
    <row r="519" spans="1:16" x14ac:dyDescent="0.4">
      <c r="A519">
        <v>0.2857142857142857</v>
      </c>
      <c r="B519">
        <v>0.2</v>
      </c>
      <c r="C519" s="23">
        <v>0.36363636363636365</v>
      </c>
      <c r="D519">
        <v>1.4084507042253521E-2</v>
      </c>
      <c r="E519">
        <v>0.16666666666666666</v>
      </c>
      <c r="F519">
        <v>0</v>
      </c>
      <c r="G519">
        <v>0</v>
      </c>
      <c r="H519">
        <v>4.3478260869565216E-2</v>
      </c>
      <c r="I519">
        <f t="shared" si="57"/>
        <v>0.2857142857142857</v>
      </c>
      <c r="J519">
        <f t="shared" si="58"/>
        <v>0.2</v>
      </c>
      <c r="K519">
        <f t="shared" si="59"/>
        <v>0.36363636363636365</v>
      </c>
      <c r="L519">
        <f t="shared" si="60"/>
        <v>1.4084507042253521E-2</v>
      </c>
      <c r="M519">
        <f t="shared" si="61"/>
        <v>0.16666666666666666</v>
      </c>
      <c r="N519">
        <f t="shared" si="62"/>
        <v>0</v>
      </c>
      <c r="O519">
        <f t="shared" si="63"/>
        <v>0</v>
      </c>
      <c r="P519">
        <f t="shared" si="64"/>
        <v>4.3478260869565216E-2</v>
      </c>
    </row>
    <row r="520" spans="1:16" x14ac:dyDescent="0.4">
      <c r="A520">
        <v>0.4</v>
      </c>
      <c r="B520">
        <v>0.25</v>
      </c>
      <c r="C520" s="24">
        <v>0.33333333333333331</v>
      </c>
      <c r="D520">
        <v>0.23529411764705882</v>
      </c>
      <c r="E520">
        <v>0</v>
      </c>
      <c r="F520">
        <v>9.0909090909090912E-2</v>
      </c>
      <c r="G520">
        <v>0</v>
      </c>
      <c r="H520">
        <v>0.14285714285714285</v>
      </c>
      <c r="I520">
        <f t="shared" ref="I520:I583" si="65">IF(A520&gt;1, 1, A520)</f>
        <v>0.4</v>
      </c>
      <c r="J520">
        <f t="shared" ref="J520:J583" si="66">IF(B520&gt;1, 1, B520)</f>
        <v>0.25</v>
      </c>
      <c r="K520">
        <f t="shared" ref="K520:K583" si="67">IF(C520&gt;1, 1, C520)</f>
        <v>0.33333333333333331</v>
      </c>
      <c r="L520">
        <f t="shared" ref="L520:L583" si="68">IF(D520&gt;1, 1, D520)</f>
        <v>0.23529411764705882</v>
      </c>
      <c r="M520">
        <f t="shared" ref="M520:M583" si="69">IF(E520&gt;1, 1, E520)</f>
        <v>0</v>
      </c>
      <c r="N520">
        <f t="shared" ref="N520:N583" si="70">IF(F520&gt;1, 1, F520)</f>
        <v>9.0909090909090912E-2</v>
      </c>
      <c r="O520">
        <f t="shared" ref="O520:O583" si="71">IF(G520&gt;1, 1, G520)</f>
        <v>0</v>
      </c>
      <c r="P520">
        <f t="shared" ref="P520:P583" si="72">IF(H520&gt;1, 1, H520)</f>
        <v>0.14285714285714285</v>
      </c>
    </row>
    <row r="521" spans="1:16" x14ac:dyDescent="0.4">
      <c r="A521">
        <v>0</v>
      </c>
      <c r="B521">
        <v>0</v>
      </c>
      <c r="C521" s="23">
        <v>0.21052631578947367</v>
      </c>
      <c r="D521">
        <v>0.25</v>
      </c>
      <c r="E521">
        <v>0.44444444444444442</v>
      </c>
      <c r="F521">
        <v>0</v>
      </c>
      <c r="G521">
        <v>0.17391304347826086</v>
      </c>
      <c r="H521">
        <v>0</v>
      </c>
      <c r="I521">
        <f t="shared" si="65"/>
        <v>0</v>
      </c>
      <c r="J521">
        <f t="shared" si="66"/>
        <v>0</v>
      </c>
      <c r="K521">
        <f t="shared" si="67"/>
        <v>0.21052631578947367</v>
      </c>
      <c r="L521">
        <f t="shared" si="68"/>
        <v>0.25</v>
      </c>
      <c r="M521">
        <f t="shared" si="69"/>
        <v>0.44444444444444442</v>
      </c>
      <c r="N521">
        <f t="shared" si="70"/>
        <v>0</v>
      </c>
      <c r="O521">
        <f t="shared" si="71"/>
        <v>0.17391304347826086</v>
      </c>
      <c r="P521">
        <f t="shared" si="72"/>
        <v>0</v>
      </c>
    </row>
    <row r="522" spans="1:16" x14ac:dyDescent="0.4">
      <c r="A522">
        <v>0.12903225806451613</v>
      </c>
      <c r="B522">
        <v>0.33333333333333331</v>
      </c>
      <c r="C522" s="24">
        <v>0.36363636363636365</v>
      </c>
      <c r="D522">
        <v>0.125</v>
      </c>
      <c r="E522">
        <v>7.407407407407407E-2</v>
      </c>
      <c r="F522">
        <v>0.375</v>
      </c>
      <c r="G522">
        <v>0.25</v>
      </c>
      <c r="H522">
        <v>0.10810810810810811</v>
      </c>
      <c r="I522">
        <f t="shared" si="65"/>
        <v>0.12903225806451613</v>
      </c>
      <c r="J522">
        <f t="shared" si="66"/>
        <v>0.33333333333333331</v>
      </c>
      <c r="K522">
        <f t="shared" si="67"/>
        <v>0.36363636363636365</v>
      </c>
      <c r="L522">
        <f t="shared" si="68"/>
        <v>0.125</v>
      </c>
      <c r="M522">
        <f t="shared" si="69"/>
        <v>7.407407407407407E-2</v>
      </c>
      <c r="N522">
        <f t="shared" si="70"/>
        <v>0.375</v>
      </c>
      <c r="O522">
        <f t="shared" si="71"/>
        <v>0.25</v>
      </c>
      <c r="P522">
        <f t="shared" si="72"/>
        <v>0.10810810810810811</v>
      </c>
    </row>
    <row r="523" spans="1:16" x14ac:dyDescent="0.4">
      <c r="A523">
        <v>0</v>
      </c>
      <c r="B523">
        <v>5.8823529411764705E-2</v>
      </c>
      <c r="C523" s="23">
        <v>0.25</v>
      </c>
      <c r="D523">
        <v>0.5714285714285714</v>
      </c>
      <c r="E523">
        <v>0.13793103448275862</v>
      </c>
      <c r="F523">
        <v>6.6666666666666666E-2</v>
      </c>
      <c r="G523">
        <v>0.2857142857142857</v>
      </c>
      <c r="H523">
        <v>0.16666666666666666</v>
      </c>
      <c r="I523">
        <f t="shared" si="65"/>
        <v>0</v>
      </c>
      <c r="J523">
        <f t="shared" si="66"/>
        <v>5.8823529411764705E-2</v>
      </c>
      <c r="K523">
        <f t="shared" si="67"/>
        <v>0.25</v>
      </c>
      <c r="L523">
        <f t="shared" si="68"/>
        <v>0.5714285714285714</v>
      </c>
      <c r="M523">
        <f t="shared" si="69"/>
        <v>0.13793103448275862</v>
      </c>
      <c r="N523">
        <f t="shared" si="70"/>
        <v>6.6666666666666666E-2</v>
      </c>
      <c r="O523">
        <f t="shared" si="71"/>
        <v>0.2857142857142857</v>
      </c>
      <c r="P523">
        <f t="shared" si="72"/>
        <v>0.16666666666666666</v>
      </c>
    </row>
    <row r="524" spans="1:16" x14ac:dyDescent="0.4">
      <c r="A524">
        <v>0.4</v>
      </c>
      <c r="B524">
        <v>0.16</v>
      </c>
      <c r="C524" s="24">
        <v>0.14814814814814814</v>
      </c>
      <c r="D524">
        <v>0.23529411764705882</v>
      </c>
      <c r="E524">
        <v>0</v>
      </c>
      <c r="F524">
        <v>8.3333333333333329E-2</v>
      </c>
      <c r="G524">
        <v>0.14285714285714285</v>
      </c>
      <c r="H524">
        <v>6.25E-2</v>
      </c>
      <c r="I524">
        <f t="shared" si="65"/>
        <v>0.4</v>
      </c>
      <c r="J524">
        <f t="shared" si="66"/>
        <v>0.16</v>
      </c>
      <c r="K524">
        <f t="shared" si="67"/>
        <v>0.14814814814814814</v>
      </c>
      <c r="L524">
        <f t="shared" si="68"/>
        <v>0.23529411764705882</v>
      </c>
      <c r="M524">
        <f t="shared" si="69"/>
        <v>0</v>
      </c>
      <c r="N524">
        <f t="shared" si="70"/>
        <v>8.3333333333333329E-2</v>
      </c>
      <c r="O524">
        <f t="shared" si="71"/>
        <v>0.14285714285714285</v>
      </c>
      <c r="P524">
        <f t="shared" si="72"/>
        <v>6.25E-2</v>
      </c>
    </row>
    <row r="525" spans="1:16" x14ac:dyDescent="0.4">
      <c r="A525">
        <v>0.36363636363636365</v>
      </c>
      <c r="B525">
        <v>0.36363636363636365</v>
      </c>
      <c r="C525" s="23">
        <v>0.18181818181818182</v>
      </c>
      <c r="D525">
        <v>0.30769230769230771</v>
      </c>
      <c r="E525">
        <v>0</v>
      </c>
      <c r="F525">
        <v>0</v>
      </c>
      <c r="G525">
        <v>0</v>
      </c>
      <c r="H525">
        <v>0.2</v>
      </c>
      <c r="I525">
        <f t="shared" si="65"/>
        <v>0.36363636363636365</v>
      </c>
      <c r="J525">
        <f t="shared" si="66"/>
        <v>0.36363636363636365</v>
      </c>
      <c r="K525">
        <f t="shared" si="67"/>
        <v>0.18181818181818182</v>
      </c>
      <c r="L525">
        <f t="shared" si="68"/>
        <v>0.30769230769230771</v>
      </c>
      <c r="M525">
        <f t="shared" si="69"/>
        <v>0</v>
      </c>
      <c r="N525">
        <f t="shared" si="70"/>
        <v>0</v>
      </c>
      <c r="O525">
        <f t="shared" si="71"/>
        <v>0</v>
      </c>
      <c r="P525">
        <f t="shared" si="72"/>
        <v>0.2</v>
      </c>
    </row>
    <row r="526" spans="1:16" x14ac:dyDescent="0.4">
      <c r="A526">
        <v>0.33333333333333331</v>
      </c>
      <c r="B526">
        <v>0.44444444444444442</v>
      </c>
      <c r="C526" s="24">
        <v>0.25</v>
      </c>
      <c r="D526">
        <v>0.33333333333333331</v>
      </c>
      <c r="E526">
        <v>0</v>
      </c>
      <c r="F526">
        <v>0</v>
      </c>
      <c r="G526">
        <v>0.125</v>
      </c>
      <c r="H526">
        <v>0.18181818181818182</v>
      </c>
      <c r="I526">
        <f t="shared" si="65"/>
        <v>0.33333333333333331</v>
      </c>
      <c r="J526">
        <f t="shared" si="66"/>
        <v>0.44444444444444442</v>
      </c>
      <c r="K526">
        <f t="shared" si="67"/>
        <v>0.25</v>
      </c>
      <c r="L526">
        <f t="shared" si="68"/>
        <v>0.33333333333333331</v>
      </c>
      <c r="M526">
        <f t="shared" si="69"/>
        <v>0</v>
      </c>
      <c r="N526">
        <f t="shared" si="70"/>
        <v>0</v>
      </c>
      <c r="O526">
        <f t="shared" si="71"/>
        <v>0.125</v>
      </c>
      <c r="P526">
        <f t="shared" si="72"/>
        <v>0.18181818181818182</v>
      </c>
    </row>
    <row r="527" spans="1:16" x14ac:dyDescent="0.4">
      <c r="A527">
        <v>0.2857142857142857</v>
      </c>
      <c r="B527">
        <v>0.21052631578947367</v>
      </c>
      <c r="C527" s="23">
        <v>0.10714285714285714</v>
      </c>
      <c r="D527">
        <v>0</v>
      </c>
      <c r="E527">
        <v>7.6923076923076927E-2</v>
      </c>
      <c r="F527">
        <v>0.16</v>
      </c>
      <c r="G527">
        <v>0.15</v>
      </c>
      <c r="H527">
        <v>1</v>
      </c>
      <c r="I527">
        <f t="shared" si="65"/>
        <v>0.2857142857142857</v>
      </c>
      <c r="J527">
        <f t="shared" si="66"/>
        <v>0.21052631578947367</v>
      </c>
      <c r="K527">
        <f t="shared" si="67"/>
        <v>0.10714285714285714</v>
      </c>
      <c r="L527">
        <f t="shared" si="68"/>
        <v>0</v>
      </c>
      <c r="M527">
        <f t="shared" si="69"/>
        <v>7.6923076923076927E-2</v>
      </c>
      <c r="N527">
        <f t="shared" si="70"/>
        <v>0.16</v>
      </c>
      <c r="O527">
        <f t="shared" si="71"/>
        <v>0.15</v>
      </c>
      <c r="P527">
        <f t="shared" si="72"/>
        <v>1</v>
      </c>
    </row>
    <row r="528" spans="1:16" x14ac:dyDescent="0.4">
      <c r="A528">
        <v>0.33333333333333331</v>
      </c>
      <c r="B528">
        <v>0.5714285714285714</v>
      </c>
      <c r="C528" s="24">
        <v>0.21052631578947367</v>
      </c>
      <c r="D528">
        <v>0.44444444444444442</v>
      </c>
      <c r="E528">
        <v>0.1</v>
      </c>
      <c r="F528">
        <v>0.11764705882352941</v>
      </c>
      <c r="G528">
        <v>0</v>
      </c>
      <c r="H528">
        <v>0.6</v>
      </c>
      <c r="I528">
        <f t="shared" si="65"/>
        <v>0.33333333333333331</v>
      </c>
      <c r="J528">
        <f t="shared" si="66"/>
        <v>0.5714285714285714</v>
      </c>
      <c r="K528">
        <f t="shared" si="67"/>
        <v>0.21052631578947367</v>
      </c>
      <c r="L528">
        <f t="shared" si="68"/>
        <v>0.44444444444444442</v>
      </c>
      <c r="M528">
        <f t="shared" si="69"/>
        <v>0.1</v>
      </c>
      <c r="N528">
        <f t="shared" si="70"/>
        <v>0.11764705882352941</v>
      </c>
      <c r="O528">
        <f t="shared" si="71"/>
        <v>0</v>
      </c>
      <c r="P528">
        <f t="shared" si="72"/>
        <v>0.6</v>
      </c>
    </row>
    <row r="529" spans="1:16" x14ac:dyDescent="0.4">
      <c r="A529">
        <v>0</v>
      </c>
      <c r="B529">
        <v>0.4</v>
      </c>
      <c r="C529" s="23">
        <v>0.23076923076923078</v>
      </c>
      <c r="D529">
        <v>6.1224489795918366E-2</v>
      </c>
      <c r="E529">
        <v>0.16666666666666666</v>
      </c>
      <c r="F529">
        <v>0.36363636363636365</v>
      </c>
      <c r="G529">
        <v>0.1111111111111111</v>
      </c>
      <c r="H529">
        <v>8.6956521739130432E-2</v>
      </c>
      <c r="I529">
        <f t="shared" si="65"/>
        <v>0</v>
      </c>
      <c r="J529">
        <f t="shared" si="66"/>
        <v>0.4</v>
      </c>
      <c r="K529">
        <f t="shared" si="67"/>
        <v>0.23076923076923078</v>
      </c>
      <c r="L529">
        <f t="shared" si="68"/>
        <v>6.1224489795918366E-2</v>
      </c>
      <c r="M529">
        <f t="shared" si="69"/>
        <v>0.16666666666666666</v>
      </c>
      <c r="N529">
        <f t="shared" si="70"/>
        <v>0.36363636363636365</v>
      </c>
      <c r="O529">
        <f t="shared" si="71"/>
        <v>0.1111111111111111</v>
      </c>
      <c r="P529">
        <f t="shared" si="72"/>
        <v>8.6956521739130432E-2</v>
      </c>
    </row>
    <row r="530" spans="1:16" x14ac:dyDescent="0.4">
      <c r="A530">
        <v>0.2857142857142857</v>
      </c>
      <c r="B530">
        <v>0.22222222222222221</v>
      </c>
      <c r="C530" s="24">
        <v>0.25</v>
      </c>
      <c r="D530">
        <v>8.3333333333333329E-2</v>
      </c>
      <c r="E530">
        <v>8.3333333333333329E-2</v>
      </c>
      <c r="F530">
        <v>1</v>
      </c>
      <c r="G530">
        <v>6.25E-2</v>
      </c>
      <c r="H530">
        <v>0.21052631578947367</v>
      </c>
      <c r="I530">
        <f t="shared" si="65"/>
        <v>0.2857142857142857</v>
      </c>
      <c r="J530">
        <f t="shared" si="66"/>
        <v>0.22222222222222221</v>
      </c>
      <c r="K530">
        <f t="shared" si="67"/>
        <v>0.25</v>
      </c>
      <c r="L530">
        <f t="shared" si="68"/>
        <v>8.3333333333333329E-2</v>
      </c>
      <c r="M530">
        <f t="shared" si="69"/>
        <v>8.3333333333333329E-2</v>
      </c>
      <c r="N530">
        <f t="shared" si="70"/>
        <v>1</v>
      </c>
      <c r="O530">
        <f t="shared" si="71"/>
        <v>6.25E-2</v>
      </c>
      <c r="P530">
        <f t="shared" si="72"/>
        <v>0.21052631578947367</v>
      </c>
    </row>
    <row r="531" spans="1:16" x14ac:dyDescent="0.4">
      <c r="A531">
        <v>0.4</v>
      </c>
      <c r="B531">
        <v>0.17391304347826086</v>
      </c>
      <c r="C531" s="23">
        <v>0.23529411764705882</v>
      </c>
      <c r="D531">
        <v>0.2</v>
      </c>
      <c r="E531">
        <v>0.125</v>
      </c>
      <c r="F531">
        <v>0.23076923076923078</v>
      </c>
      <c r="G531">
        <v>4.3478260869565216E-2</v>
      </c>
      <c r="H531">
        <v>5.8823529411764705E-2</v>
      </c>
      <c r="I531">
        <f t="shared" si="65"/>
        <v>0.4</v>
      </c>
      <c r="J531">
        <f t="shared" si="66"/>
        <v>0.17391304347826086</v>
      </c>
      <c r="K531">
        <f t="shared" si="67"/>
        <v>0.23529411764705882</v>
      </c>
      <c r="L531">
        <f t="shared" si="68"/>
        <v>0.2</v>
      </c>
      <c r="M531">
        <f t="shared" si="69"/>
        <v>0.125</v>
      </c>
      <c r="N531">
        <f t="shared" si="70"/>
        <v>0.23076923076923078</v>
      </c>
      <c r="O531">
        <f t="shared" si="71"/>
        <v>4.3478260869565216E-2</v>
      </c>
      <c r="P531">
        <f t="shared" si="72"/>
        <v>5.8823529411764705E-2</v>
      </c>
    </row>
    <row r="532" spans="1:16" x14ac:dyDescent="0.4">
      <c r="A532">
        <v>0.22222222222222221</v>
      </c>
      <c r="B532">
        <v>0.33333333333333331</v>
      </c>
      <c r="C532" s="24">
        <v>4.5454545454545456E-2</v>
      </c>
      <c r="D532">
        <v>0.23529411764705882</v>
      </c>
      <c r="E532">
        <v>0.2</v>
      </c>
      <c r="F532">
        <v>3.614457831325301E-2</v>
      </c>
      <c r="G532">
        <v>9.0909090909090912E-2</v>
      </c>
      <c r="H532">
        <v>6.25E-2</v>
      </c>
      <c r="I532">
        <f t="shared" si="65"/>
        <v>0.22222222222222221</v>
      </c>
      <c r="J532">
        <f t="shared" si="66"/>
        <v>0.33333333333333331</v>
      </c>
      <c r="K532">
        <f t="shared" si="67"/>
        <v>4.5454545454545456E-2</v>
      </c>
      <c r="L532">
        <f t="shared" si="68"/>
        <v>0.23529411764705882</v>
      </c>
      <c r="M532">
        <f t="shared" si="69"/>
        <v>0.2</v>
      </c>
      <c r="N532">
        <f t="shared" si="70"/>
        <v>3.614457831325301E-2</v>
      </c>
      <c r="O532">
        <f t="shared" si="71"/>
        <v>9.0909090909090912E-2</v>
      </c>
      <c r="P532">
        <f t="shared" si="72"/>
        <v>6.25E-2</v>
      </c>
    </row>
    <row r="533" spans="1:16" x14ac:dyDescent="0.4">
      <c r="A533">
        <v>0.4</v>
      </c>
      <c r="B533">
        <v>0.4</v>
      </c>
      <c r="C533" s="23">
        <v>0.5714285714285714</v>
      </c>
      <c r="D533">
        <v>2.247191011235955E-2</v>
      </c>
      <c r="E533">
        <v>0.125</v>
      </c>
      <c r="F533">
        <v>0.16666666666666666</v>
      </c>
      <c r="G533">
        <v>0</v>
      </c>
      <c r="H533">
        <v>2.6785714285714284E-2</v>
      </c>
      <c r="I533">
        <f t="shared" si="65"/>
        <v>0.4</v>
      </c>
      <c r="J533">
        <f t="shared" si="66"/>
        <v>0.4</v>
      </c>
      <c r="K533">
        <f t="shared" si="67"/>
        <v>0.5714285714285714</v>
      </c>
      <c r="L533">
        <f t="shared" si="68"/>
        <v>2.247191011235955E-2</v>
      </c>
      <c r="M533">
        <f t="shared" si="69"/>
        <v>0.125</v>
      </c>
      <c r="N533">
        <f t="shared" si="70"/>
        <v>0.16666666666666666</v>
      </c>
      <c r="O533">
        <f t="shared" si="71"/>
        <v>0</v>
      </c>
      <c r="P533">
        <f t="shared" si="72"/>
        <v>2.6785714285714284E-2</v>
      </c>
    </row>
    <row r="534" spans="1:16" x14ac:dyDescent="0.4">
      <c r="A534">
        <v>3.7037037037037035E-2</v>
      </c>
      <c r="B534">
        <v>0.14285714285714285</v>
      </c>
      <c r="C534" s="24">
        <v>0.5</v>
      </c>
      <c r="D534">
        <v>0.16666666666666666</v>
      </c>
      <c r="E534">
        <v>0.16666666666666666</v>
      </c>
      <c r="F534">
        <v>0.2857142857142857</v>
      </c>
      <c r="G534">
        <v>0</v>
      </c>
      <c r="H534">
        <v>0.30769230769230771</v>
      </c>
      <c r="I534">
        <f t="shared" si="65"/>
        <v>3.7037037037037035E-2</v>
      </c>
      <c r="J534">
        <f t="shared" si="66"/>
        <v>0.14285714285714285</v>
      </c>
      <c r="K534">
        <f t="shared" si="67"/>
        <v>0.5</v>
      </c>
      <c r="L534">
        <f t="shared" si="68"/>
        <v>0.16666666666666666</v>
      </c>
      <c r="M534">
        <f t="shared" si="69"/>
        <v>0.16666666666666666</v>
      </c>
      <c r="N534">
        <f t="shared" si="70"/>
        <v>0.2857142857142857</v>
      </c>
      <c r="O534">
        <f t="shared" si="71"/>
        <v>0</v>
      </c>
      <c r="P534">
        <f t="shared" si="72"/>
        <v>0.30769230769230771</v>
      </c>
    </row>
    <row r="535" spans="1:16" x14ac:dyDescent="0.4">
      <c r="A535">
        <v>0.30769230769230771</v>
      </c>
      <c r="B535">
        <v>0.13333333333333333</v>
      </c>
      <c r="C535" s="23">
        <v>0.4</v>
      </c>
      <c r="D535">
        <v>1.4084507042253521E-2</v>
      </c>
      <c r="E535">
        <v>9.0909090909090912E-2</v>
      </c>
      <c r="F535">
        <v>0.1111111111111111</v>
      </c>
      <c r="G535">
        <v>0.11538461538461539</v>
      </c>
      <c r="H535">
        <v>6.0606060606060608E-2</v>
      </c>
      <c r="I535">
        <f t="shared" si="65"/>
        <v>0.30769230769230771</v>
      </c>
      <c r="J535">
        <f t="shared" si="66"/>
        <v>0.13333333333333333</v>
      </c>
      <c r="K535">
        <f t="shared" si="67"/>
        <v>0.4</v>
      </c>
      <c r="L535">
        <f t="shared" si="68"/>
        <v>1.4084507042253521E-2</v>
      </c>
      <c r="M535">
        <f t="shared" si="69"/>
        <v>9.0909090909090912E-2</v>
      </c>
      <c r="N535">
        <f t="shared" si="70"/>
        <v>0.1111111111111111</v>
      </c>
      <c r="O535">
        <f t="shared" si="71"/>
        <v>0.11538461538461539</v>
      </c>
      <c r="P535">
        <f t="shared" si="72"/>
        <v>6.0606060606060608E-2</v>
      </c>
    </row>
    <row r="536" spans="1:16" x14ac:dyDescent="0.4">
      <c r="A536">
        <v>0.23529411764705882</v>
      </c>
      <c r="B536">
        <v>6.6666666666666666E-2</v>
      </c>
      <c r="C536" s="24">
        <v>0.44444444444444442</v>
      </c>
      <c r="D536">
        <v>0.12903225806451613</v>
      </c>
      <c r="E536">
        <v>0</v>
      </c>
      <c r="F536">
        <v>0.375</v>
      </c>
      <c r="G536">
        <v>0.2857142857142857</v>
      </c>
      <c r="H536">
        <v>2.3809523809523808E-2</v>
      </c>
      <c r="I536">
        <f t="shared" si="65"/>
        <v>0.23529411764705882</v>
      </c>
      <c r="J536">
        <f t="shared" si="66"/>
        <v>6.6666666666666666E-2</v>
      </c>
      <c r="K536">
        <f t="shared" si="67"/>
        <v>0.44444444444444442</v>
      </c>
      <c r="L536">
        <f t="shared" si="68"/>
        <v>0.12903225806451613</v>
      </c>
      <c r="M536">
        <f t="shared" si="69"/>
        <v>0</v>
      </c>
      <c r="N536">
        <f t="shared" si="70"/>
        <v>0.375</v>
      </c>
      <c r="O536">
        <f t="shared" si="71"/>
        <v>0.2857142857142857</v>
      </c>
      <c r="P536">
        <f t="shared" si="72"/>
        <v>2.3809523809523808E-2</v>
      </c>
    </row>
    <row r="537" spans="1:16" x14ac:dyDescent="0.4">
      <c r="A537">
        <v>0.2857142857142857</v>
      </c>
      <c r="B537">
        <v>0.16</v>
      </c>
      <c r="C537" s="23">
        <v>0.21052631578947367</v>
      </c>
      <c r="D537">
        <v>0.19047619047619047</v>
      </c>
      <c r="E537">
        <v>0</v>
      </c>
      <c r="F537">
        <v>0.05</v>
      </c>
      <c r="G537">
        <v>9.0909090909090912E-2</v>
      </c>
      <c r="H537">
        <v>5.2631578947368418E-2</v>
      </c>
      <c r="I537">
        <f t="shared" si="65"/>
        <v>0.2857142857142857</v>
      </c>
      <c r="J537">
        <f t="shared" si="66"/>
        <v>0.16</v>
      </c>
      <c r="K537">
        <f t="shared" si="67"/>
        <v>0.21052631578947367</v>
      </c>
      <c r="L537">
        <f t="shared" si="68"/>
        <v>0.19047619047619047</v>
      </c>
      <c r="M537">
        <f t="shared" si="69"/>
        <v>0</v>
      </c>
      <c r="N537">
        <f t="shared" si="70"/>
        <v>0.05</v>
      </c>
      <c r="O537">
        <f t="shared" si="71"/>
        <v>9.0909090909090912E-2</v>
      </c>
      <c r="P537">
        <f t="shared" si="72"/>
        <v>5.2631578947368418E-2</v>
      </c>
    </row>
    <row r="538" spans="1:16" x14ac:dyDescent="0.4">
      <c r="A538">
        <v>0.2</v>
      </c>
      <c r="B538">
        <v>0.36363636363636365</v>
      </c>
      <c r="C538" s="24">
        <v>0.21052631578947367</v>
      </c>
      <c r="D538">
        <v>0.27272727272727271</v>
      </c>
      <c r="E538">
        <v>5.5555555555555552E-2</v>
      </c>
      <c r="F538">
        <v>0</v>
      </c>
      <c r="G538">
        <v>0</v>
      </c>
      <c r="H538">
        <v>0.33333333333333331</v>
      </c>
      <c r="I538">
        <f t="shared" si="65"/>
        <v>0.2</v>
      </c>
      <c r="J538">
        <f t="shared" si="66"/>
        <v>0.36363636363636365</v>
      </c>
      <c r="K538">
        <f t="shared" si="67"/>
        <v>0.21052631578947367</v>
      </c>
      <c r="L538">
        <f t="shared" si="68"/>
        <v>0.27272727272727271</v>
      </c>
      <c r="M538">
        <f t="shared" si="69"/>
        <v>5.5555555555555552E-2</v>
      </c>
      <c r="N538">
        <f t="shared" si="70"/>
        <v>0</v>
      </c>
      <c r="O538">
        <f t="shared" si="71"/>
        <v>0</v>
      </c>
      <c r="P538">
        <f t="shared" si="72"/>
        <v>0.33333333333333331</v>
      </c>
    </row>
    <row r="539" spans="1:16" x14ac:dyDescent="0.4">
      <c r="A539">
        <v>0.2</v>
      </c>
      <c r="B539">
        <v>0</v>
      </c>
      <c r="C539" s="23">
        <v>0.13793103448275862</v>
      </c>
      <c r="D539">
        <v>0.16666666666666666</v>
      </c>
      <c r="E539">
        <v>0.36363636363636365</v>
      </c>
      <c r="F539">
        <v>0</v>
      </c>
      <c r="G539">
        <v>0.36363636363636365</v>
      </c>
      <c r="H539">
        <v>0.15</v>
      </c>
      <c r="I539">
        <f t="shared" si="65"/>
        <v>0.2</v>
      </c>
      <c r="J539">
        <f t="shared" si="66"/>
        <v>0</v>
      </c>
      <c r="K539">
        <f t="shared" si="67"/>
        <v>0.13793103448275862</v>
      </c>
      <c r="L539">
        <f t="shared" si="68"/>
        <v>0.16666666666666666</v>
      </c>
      <c r="M539">
        <f t="shared" si="69"/>
        <v>0.36363636363636365</v>
      </c>
      <c r="N539">
        <f t="shared" si="70"/>
        <v>0</v>
      </c>
      <c r="O539">
        <f t="shared" si="71"/>
        <v>0.36363636363636365</v>
      </c>
      <c r="P539">
        <f t="shared" si="72"/>
        <v>0.15</v>
      </c>
    </row>
    <row r="540" spans="1:16" x14ac:dyDescent="0.4">
      <c r="A540">
        <v>0.23529411764705882</v>
      </c>
      <c r="B540">
        <v>0.30769230769230771</v>
      </c>
      <c r="C540" s="24">
        <v>4.1666666666666664E-2</v>
      </c>
      <c r="D540">
        <v>0.5714285714285714</v>
      </c>
      <c r="E540">
        <v>6.6666666666666666E-2</v>
      </c>
      <c r="F540">
        <v>1.0638297872340425E-2</v>
      </c>
      <c r="G540">
        <v>0.1</v>
      </c>
      <c r="H540">
        <v>0.75</v>
      </c>
      <c r="I540">
        <f t="shared" si="65"/>
        <v>0.23529411764705882</v>
      </c>
      <c r="J540">
        <f t="shared" si="66"/>
        <v>0.30769230769230771</v>
      </c>
      <c r="K540">
        <f t="shared" si="67"/>
        <v>4.1666666666666664E-2</v>
      </c>
      <c r="L540">
        <f t="shared" si="68"/>
        <v>0.5714285714285714</v>
      </c>
      <c r="M540">
        <f t="shared" si="69"/>
        <v>6.6666666666666666E-2</v>
      </c>
      <c r="N540">
        <f t="shared" si="70"/>
        <v>1.0638297872340425E-2</v>
      </c>
      <c r="O540">
        <f t="shared" si="71"/>
        <v>0.1</v>
      </c>
      <c r="P540">
        <f t="shared" si="72"/>
        <v>0.75</v>
      </c>
    </row>
    <row r="541" spans="1:16" x14ac:dyDescent="0.4">
      <c r="A541">
        <v>0</v>
      </c>
      <c r="B541">
        <v>0.18181818181818182</v>
      </c>
      <c r="C541" s="23">
        <v>0.17391304347826086</v>
      </c>
      <c r="D541">
        <v>7.1428571428571425E-2</v>
      </c>
      <c r="E541">
        <v>0.4</v>
      </c>
      <c r="F541">
        <v>0.15</v>
      </c>
      <c r="G541">
        <v>0</v>
      </c>
      <c r="H541">
        <v>0.36363636363636365</v>
      </c>
      <c r="I541">
        <f t="shared" si="65"/>
        <v>0</v>
      </c>
      <c r="J541">
        <f t="shared" si="66"/>
        <v>0.18181818181818182</v>
      </c>
      <c r="K541">
        <f t="shared" si="67"/>
        <v>0.17391304347826086</v>
      </c>
      <c r="L541">
        <f t="shared" si="68"/>
        <v>7.1428571428571425E-2</v>
      </c>
      <c r="M541">
        <f t="shared" si="69"/>
        <v>0.4</v>
      </c>
      <c r="N541">
        <f t="shared" si="70"/>
        <v>0.15</v>
      </c>
      <c r="O541">
        <f t="shared" si="71"/>
        <v>0</v>
      </c>
      <c r="P541">
        <f t="shared" si="72"/>
        <v>0.36363636363636365</v>
      </c>
    </row>
    <row r="542" spans="1:16" x14ac:dyDescent="0.4">
      <c r="A542">
        <v>0.14285714285714285</v>
      </c>
      <c r="B542">
        <v>0</v>
      </c>
      <c r="C542" s="24">
        <v>0.8</v>
      </c>
      <c r="D542">
        <v>0.30769230769230771</v>
      </c>
      <c r="E542">
        <v>0.13043478260869565</v>
      </c>
      <c r="F542">
        <v>0.25</v>
      </c>
      <c r="G542">
        <v>0.26666666666666666</v>
      </c>
      <c r="H542">
        <v>0.04</v>
      </c>
      <c r="I542">
        <f t="shared" si="65"/>
        <v>0.14285714285714285</v>
      </c>
      <c r="J542">
        <f t="shared" si="66"/>
        <v>0</v>
      </c>
      <c r="K542">
        <f t="shared" si="67"/>
        <v>0.8</v>
      </c>
      <c r="L542">
        <f t="shared" si="68"/>
        <v>0.30769230769230771</v>
      </c>
      <c r="M542">
        <f t="shared" si="69"/>
        <v>0.13043478260869565</v>
      </c>
      <c r="N542">
        <f t="shared" si="70"/>
        <v>0.25</v>
      </c>
      <c r="O542">
        <f t="shared" si="71"/>
        <v>0.26666666666666666</v>
      </c>
      <c r="P542">
        <f t="shared" si="72"/>
        <v>0.04</v>
      </c>
    </row>
    <row r="543" spans="1:16" x14ac:dyDescent="0.4">
      <c r="A543">
        <v>0.16</v>
      </c>
      <c r="B543">
        <v>0.11764705882352941</v>
      </c>
      <c r="C543" s="23">
        <v>0.44444444444444442</v>
      </c>
      <c r="D543">
        <v>0.30769230769230771</v>
      </c>
      <c r="E543">
        <v>0</v>
      </c>
      <c r="F543">
        <v>0.42857142857142855</v>
      </c>
      <c r="G543">
        <v>3.3333333333333333E-2</v>
      </c>
      <c r="H543">
        <v>7.6923076923076927E-2</v>
      </c>
      <c r="I543">
        <f t="shared" si="65"/>
        <v>0.16</v>
      </c>
      <c r="J543">
        <f t="shared" si="66"/>
        <v>0.11764705882352941</v>
      </c>
      <c r="K543">
        <f t="shared" si="67"/>
        <v>0.44444444444444442</v>
      </c>
      <c r="L543">
        <f t="shared" si="68"/>
        <v>0.30769230769230771</v>
      </c>
      <c r="M543">
        <f t="shared" si="69"/>
        <v>0</v>
      </c>
      <c r="N543">
        <f t="shared" si="70"/>
        <v>0.42857142857142855</v>
      </c>
      <c r="O543">
        <f t="shared" si="71"/>
        <v>3.3333333333333333E-2</v>
      </c>
      <c r="P543">
        <f t="shared" si="72"/>
        <v>7.6923076923076927E-2</v>
      </c>
    </row>
    <row r="544" spans="1:16" x14ac:dyDescent="0.4">
      <c r="A544">
        <v>0</v>
      </c>
      <c r="B544">
        <v>0.25</v>
      </c>
      <c r="C544" s="24">
        <v>5.7971014492753624E-2</v>
      </c>
      <c r="D544">
        <v>0.36363636363636365</v>
      </c>
      <c r="E544">
        <v>0.2857142857142857</v>
      </c>
      <c r="F544">
        <v>2.9411764705882353E-2</v>
      </c>
      <c r="G544">
        <v>0.23076923076923078</v>
      </c>
      <c r="H544">
        <v>0.1</v>
      </c>
      <c r="I544">
        <f t="shared" si="65"/>
        <v>0</v>
      </c>
      <c r="J544">
        <f t="shared" si="66"/>
        <v>0.25</v>
      </c>
      <c r="K544">
        <f t="shared" si="67"/>
        <v>5.7971014492753624E-2</v>
      </c>
      <c r="L544">
        <f t="shared" si="68"/>
        <v>0.36363636363636365</v>
      </c>
      <c r="M544">
        <f t="shared" si="69"/>
        <v>0.2857142857142857</v>
      </c>
      <c r="N544">
        <f t="shared" si="70"/>
        <v>2.9411764705882353E-2</v>
      </c>
      <c r="O544">
        <f t="shared" si="71"/>
        <v>0.23076923076923078</v>
      </c>
      <c r="P544">
        <f t="shared" si="72"/>
        <v>0.1</v>
      </c>
    </row>
    <row r="545" spans="1:16" x14ac:dyDescent="0.4">
      <c r="A545">
        <v>0</v>
      </c>
      <c r="B545">
        <v>0.4</v>
      </c>
      <c r="C545" s="23">
        <v>0.30769230769230771</v>
      </c>
      <c r="D545">
        <v>0.44444444444444442</v>
      </c>
      <c r="E545">
        <v>0.5714285714285714</v>
      </c>
      <c r="F545">
        <v>0</v>
      </c>
      <c r="G545">
        <v>0.125</v>
      </c>
      <c r="H545">
        <v>0</v>
      </c>
      <c r="I545">
        <f t="shared" si="65"/>
        <v>0</v>
      </c>
      <c r="J545">
        <f t="shared" si="66"/>
        <v>0.4</v>
      </c>
      <c r="K545">
        <f t="shared" si="67"/>
        <v>0.30769230769230771</v>
      </c>
      <c r="L545">
        <f t="shared" si="68"/>
        <v>0.44444444444444442</v>
      </c>
      <c r="M545">
        <f t="shared" si="69"/>
        <v>0.5714285714285714</v>
      </c>
      <c r="N545">
        <f t="shared" si="70"/>
        <v>0</v>
      </c>
      <c r="O545">
        <f t="shared" si="71"/>
        <v>0.125</v>
      </c>
      <c r="P545">
        <f t="shared" si="72"/>
        <v>0</v>
      </c>
    </row>
    <row r="546" spans="1:16" x14ac:dyDescent="0.4">
      <c r="A546">
        <v>0</v>
      </c>
      <c r="B546">
        <v>0.33333333333333331</v>
      </c>
      <c r="C546" s="24">
        <v>0.4</v>
      </c>
      <c r="D546">
        <v>0.2857142857142857</v>
      </c>
      <c r="E546">
        <v>0.4</v>
      </c>
      <c r="F546">
        <v>0.375</v>
      </c>
      <c r="G546">
        <v>0.33333333333333331</v>
      </c>
      <c r="H546">
        <v>1</v>
      </c>
      <c r="I546">
        <f t="shared" si="65"/>
        <v>0</v>
      </c>
      <c r="J546">
        <f t="shared" si="66"/>
        <v>0.33333333333333331</v>
      </c>
      <c r="K546">
        <f t="shared" si="67"/>
        <v>0.4</v>
      </c>
      <c r="L546">
        <f t="shared" si="68"/>
        <v>0.2857142857142857</v>
      </c>
      <c r="M546">
        <f t="shared" si="69"/>
        <v>0.4</v>
      </c>
      <c r="N546">
        <f t="shared" si="70"/>
        <v>0.375</v>
      </c>
      <c r="O546">
        <f t="shared" si="71"/>
        <v>0.33333333333333331</v>
      </c>
      <c r="P546">
        <f t="shared" si="72"/>
        <v>1</v>
      </c>
    </row>
    <row r="547" spans="1:16" x14ac:dyDescent="0.4">
      <c r="A547">
        <v>0.23529411764705882</v>
      </c>
      <c r="B547">
        <v>0.36363636363636365</v>
      </c>
      <c r="C547" s="23">
        <v>0.30769230769230771</v>
      </c>
      <c r="D547">
        <v>0.5</v>
      </c>
      <c r="E547">
        <v>0</v>
      </c>
      <c r="F547">
        <v>8.3333333333333329E-2</v>
      </c>
      <c r="G547">
        <v>0</v>
      </c>
      <c r="H547">
        <v>0</v>
      </c>
      <c r="I547">
        <f t="shared" si="65"/>
        <v>0.23529411764705882</v>
      </c>
      <c r="J547">
        <f t="shared" si="66"/>
        <v>0.36363636363636365</v>
      </c>
      <c r="K547">
        <f t="shared" si="67"/>
        <v>0.30769230769230771</v>
      </c>
      <c r="L547">
        <f t="shared" si="68"/>
        <v>0.5</v>
      </c>
      <c r="M547">
        <f t="shared" si="69"/>
        <v>0</v>
      </c>
      <c r="N547">
        <f t="shared" si="70"/>
        <v>8.3333333333333329E-2</v>
      </c>
      <c r="O547">
        <f t="shared" si="71"/>
        <v>0</v>
      </c>
      <c r="P547">
        <f t="shared" si="72"/>
        <v>0</v>
      </c>
    </row>
    <row r="548" spans="1:16" x14ac:dyDescent="0.4">
      <c r="A548">
        <v>0.2857142857142857</v>
      </c>
      <c r="B548">
        <v>0.23529411764705882</v>
      </c>
      <c r="C548" s="24">
        <v>0.125</v>
      </c>
      <c r="D548">
        <v>0.33333333333333331</v>
      </c>
      <c r="E548">
        <v>0</v>
      </c>
      <c r="F548">
        <v>6.6666666666666666E-2</v>
      </c>
      <c r="G548">
        <v>0.1111111111111111</v>
      </c>
      <c r="H548">
        <v>0.36363636363636365</v>
      </c>
      <c r="I548">
        <f t="shared" si="65"/>
        <v>0.2857142857142857</v>
      </c>
      <c r="J548">
        <f t="shared" si="66"/>
        <v>0.23529411764705882</v>
      </c>
      <c r="K548">
        <f t="shared" si="67"/>
        <v>0.125</v>
      </c>
      <c r="L548">
        <f t="shared" si="68"/>
        <v>0.33333333333333331</v>
      </c>
      <c r="M548">
        <f t="shared" si="69"/>
        <v>0</v>
      </c>
      <c r="N548">
        <f t="shared" si="70"/>
        <v>6.6666666666666666E-2</v>
      </c>
      <c r="O548">
        <f t="shared" si="71"/>
        <v>0.1111111111111111</v>
      </c>
      <c r="P548">
        <f t="shared" si="72"/>
        <v>0.36363636363636365</v>
      </c>
    </row>
    <row r="549" spans="1:16" x14ac:dyDescent="0.4">
      <c r="A549">
        <v>0.4</v>
      </c>
      <c r="B549">
        <v>0.30769230769230771</v>
      </c>
      <c r="C549" s="23">
        <v>0.25</v>
      </c>
      <c r="D549">
        <v>0.18181818181818182</v>
      </c>
      <c r="E549">
        <v>0.125</v>
      </c>
      <c r="F549">
        <v>6.25E-2</v>
      </c>
      <c r="G549">
        <v>0</v>
      </c>
      <c r="H549">
        <v>0.1111111111111111</v>
      </c>
      <c r="I549">
        <f t="shared" si="65"/>
        <v>0.4</v>
      </c>
      <c r="J549">
        <f t="shared" si="66"/>
        <v>0.30769230769230771</v>
      </c>
      <c r="K549">
        <f t="shared" si="67"/>
        <v>0.25</v>
      </c>
      <c r="L549">
        <f t="shared" si="68"/>
        <v>0.18181818181818182</v>
      </c>
      <c r="M549">
        <f t="shared" si="69"/>
        <v>0.125</v>
      </c>
      <c r="N549">
        <f t="shared" si="70"/>
        <v>6.25E-2</v>
      </c>
      <c r="O549">
        <f t="shared" si="71"/>
        <v>0</v>
      </c>
      <c r="P549">
        <f t="shared" si="72"/>
        <v>0.1111111111111111</v>
      </c>
    </row>
    <row r="550" spans="1:16" x14ac:dyDescent="0.4">
      <c r="A550">
        <v>0.4</v>
      </c>
      <c r="B550">
        <v>0.17391304347826086</v>
      </c>
      <c r="C550" s="24">
        <v>0.21052631578947367</v>
      </c>
      <c r="D550">
        <v>0.3</v>
      </c>
      <c r="E550">
        <v>0.25</v>
      </c>
      <c r="F550">
        <v>0</v>
      </c>
      <c r="G550">
        <v>4.7619047619047616E-2</v>
      </c>
      <c r="H550">
        <v>0.13793103448275862</v>
      </c>
      <c r="I550">
        <f t="shared" si="65"/>
        <v>0.4</v>
      </c>
      <c r="J550">
        <f t="shared" si="66"/>
        <v>0.17391304347826086</v>
      </c>
      <c r="K550">
        <f t="shared" si="67"/>
        <v>0.21052631578947367</v>
      </c>
      <c r="L550">
        <f t="shared" si="68"/>
        <v>0.3</v>
      </c>
      <c r="M550">
        <f t="shared" si="69"/>
        <v>0.25</v>
      </c>
      <c r="N550">
        <f t="shared" si="70"/>
        <v>0</v>
      </c>
      <c r="O550">
        <f t="shared" si="71"/>
        <v>4.7619047619047616E-2</v>
      </c>
      <c r="P550">
        <f t="shared" si="72"/>
        <v>0.13793103448275862</v>
      </c>
    </row>
    <row r="551" spans="1:16" x14ac:dyDescent="0.4">
      <c r="A551">
        <v>0.33333333333333331</v>
      </c>
      <c r="B551">
        <v>0.10810810810810811</v>
      </c>
      <c r="C551" s="23">
        <v>0.33333333333333331</v>
      </c>
      <c r="D551">
        <v>0.25</v>
      </c>
      <c r="E551">
        <v>8.3333333333333329E-2</v>
      </c>
      <c r="F551">
        <v>9.0909090909090912E-2</v>
      </c>
      <c r="G551">
        <v>0</v>
      </c>
      <c r="H551">
        <v>0.25</v>
      </c>
      <c r="I551">
        <f t="shared" si="65"/>
        <v>0.33333333333333331</v>
      </c>
      <c r="J551">
        <f t="shared" si="66"/>
        <v>0.10810810810810811</v>
      </c>
      <c r="K551">
        <f t="shared" si="67"/>
        <v>0.33333333333333331</v>
      </c>
      <c r="L551">
        <f t="shared" si="68"/>
        <v>0.25</v>
      </c>
      <c r="M551">
        <f t="shared" si="69"/>
        <v>8.3333333333333329E-2</v>
      </c>
      <c r="N551">
        <f t="shared" si="70"/>
        <v>9.0909090909090912E-2</v>
      </c>
      <c r="O551">
        <f t="shared" si="71"/>
        <v>0</v>
      </c>
      <c r="P551">
        <f t="shared" si="72"/>
        <v>0.25</v>
      </c>
    </row>
    <row r="552" spans="1:16" x14ac:dyDescent="0.4">
      <c r="A552">
        <v>0.36363636363636365</v>
      </c>
      <c r="B552">
        <v>0.21052631578947367</v>
      </c>
      <c r="C552" s="24">
        <v>0.1111111111111111</v>
      </c>
      <c r="D552">
        <v>0.25</v>
      </c>
      <c r="E552">
        <v>0.1111111111111111</v>
      </c>
      <c r="F552">
        <v>0</v>
      </c>
      <c r="G552">
        <v>6.25E-2</v>
      </c>
      <c r="H552">
        <v>4.878048780487805E-2</v>
      </c>
      <c r="I552">
        <f t="shared" si="65"/>
        <v>0.36363636363636365</v>
      </c>
      <c r="J552">
        <f t="shared" si="66"/>
        <v>0.21052631578947367</v>
      </c>
      <c r="K552">
        <f t="shared" si="67"/>
        <v>0.1111111111111111</v>
      </c>
      <c r="L552">
        <f t="shared" si="68"/>
        <v>0.25</v>
      </c>
      <c r="M552">
        <f t="shared" si="69"/>
        <v>0.1111111111111111</v>
      </c>
      <c r="N552">
        <f t="shared" si="70"/>
        <v>0</v>
      </c>
      <c r="O552">
        <f t="shared" si="71"/>
        <v>6.25E-2</v>
      </c>
      <c r="P552">
        <f t="shared" si="72"/>
        <v>4.878048780487805E-2</v>
      </c>
    </row>
    <row r="553" spans="1:16" x14ac:dyDescent="0.4">
      <c r="A553">
        <v>0</v>
      </c>
      <c r="B553">
        <v>0.33333333333333331</v>
      </c>
      <c r="C553" s="23">
        <v>0</v>
      </c>
      <c r="D553">
        <v>0.25</v>
      </c>
      <c r="E553">
        <v>0.19047619047619047</v>
      </c>
      <c r="F553">
        <v>0.5</v>
      </c>
      <c r="G553">
        <v>9.0909090909090912E-2</v>
      </c>
      <c r="H553">
        <v>0</v>
      </c>
      <c r="I553">
        <f t="shared" si="65"/>
        <v>0</v>
      </c>
      <c r="J553">
        <f t="shared" si="66"/>
        <v>0.33333333333333331</v>
      </c>
      <c r="K553">
        <f t="shared" si="67"/>
        <v>0</v>
      </c>
      <c r="L553">
        <f t="shared" si="68"/>
        <v>0.25</v>
      </c>
      <c r="M553">
        <f t="shared" si="69"/>
        <v>0.19047619047619047</v>
      </c>
      <c r="N553">
        <f t="shared" si="70"/>
        <v>0.5</v>
      </c>
      <c r="O553">
        <f t="shared" si="71"/>
        <v>9.0909090909090912E-2</v>
      </c>
      <c r="P553">
        <f t="shared" si="72"/>
        <v>0</v>
      </c>
    </row>
    <row r="554" spans="1:16" x14ac:dyDescent="0.4">
      <c r="A554">
        <v>0.30769230769230771</v>
      </c>
      <c r="B554">
        <v>0.10810810810810811</v>
      </c>
      <c r="C554" s="24">
        <v>0.15384615384615385</v>
      </c>
      <c r="D554">
        <v>8.8888888888888892E-2</v>
      </c>
      <c r="E554">
        <v>0</v>
      </c>
      <c r="F554">
        <v>0</v>
      </c>
      <c r="G554">
        <v>5.7142857142857141E-2</v>
      </c>
      <c r="H554">
        <v>1.9607843137254902E-2</v>
      </c>
      <c r="I554">
        <f t="shared" si="65"/>
        <v>0.30769230769230771</v>
      </c>
      <c r="J554">
        <f t="shared" si="66"/>
        <v>0.10810810810810811</v>
      </c>
      <c r="K554">
        <f t="shared" si="67"/>
        <v>0.15384615384615385</v>
      </c>
      <c r="L554">
        <f t="shared" si="68"/>
        <v>8.8888888888888892E-2</v>
      </c>
      <c r="M554">
        <f t="shared" si="69"/>
        <v>0</v>
      </c>
      <c r="N554">
        <f t="shared" si="70"/>
        <v>0</v>
      </c>
      <c r="O554">
        <f t="shared" si="71"/>
        <v>5.7142857142857141E-2</v>
      </c>
      <c r="P554">
        <f t="shared" si="72"/>
        <v>1.9607843137254902E-2</v>
      </c>
    </row>
    <row r="555" spans="1:16" x14ac:dyDescent="0.4">
      <c r="A555">
        <v>0.23529411764705882</v>
      </c>
      <c r="B555">
        <v>0.23529411764705882</v>
      </c>
      <c r="C555" s="23">
        <v>0.13793103448275862</v>
      </c>
      <c r="D555">
        <v>0.44444444444444442</v>
      </c>
      <c r="E555">
        <v>0.13333333333333333</v>
      </c>
      <c r="F555">
        <v>3.8461538461538464E-2</v>
      </c>
      <c r="G555">
        <v>8.3333333333333329E-2</v>
      </c>
      <c r="H555">
        <v>0.22222222222222221</v>
      </c>
      <c r="I555">
        <f t="shared" si="65"/>
        <v>0.23529411764705882</v>
      </c>
      <c r="J555">
        <f t="shared" si="66"/>
        <v>0.23529411764705882</v>
      </c>
      <c r="K555">
        <f t="shared" si="67"/>
        <v>0.13793103448275862</v>
      </c>
      <c r="L555">
        <f t="shared" si="68"/>
        <v>0.44444444444444442</v>
      </c>
      <c r="M555">
        <f t="shared" si="69"/>
        <v>0.13333333333333333</v>
      </c>
      <c r="N555">
        <f t="shared" si="70"/>
        <v>3.8461538461538464E-2</v>
      </c>
      <c r="O555">
        <f t="shared" si="71"/>
        <v>8.3333333333333329E-2</v>
      </c>
      <c r="P555">
        <f t="shared" si="72"/>
        <v>0.22222222222222221</v>
      </c>
    </row>
    <row r="556" spans="1:16" x14ac:dyDescent="0.4">
      <c r="A556">
        <v>0.5714285714285714</v>
      </c>
      <c r="B556">
        <v>0.21052631578947367</v>
      </c>
      <c r="C556" s="24">
        <v>4.1095890410958902E-2</v>
      </c>
      <c r="D556">
        <v>0</v>
      </c>
      <c r="E556">
        <v>0</v>
      </c>
      <c r="F556">
        <v>5.7971014492753624E-2</v>
      </c>
      <c r="G556">
        <v>0.11764705882352941</v>
      </c>
      <c r="H556">
        <v>0.2</v>
      </c>
      <c r="I556">
        <f t="shared" si="65"/>
        <v>0.5714285714285714</v>
      </c>
      <c r="J556">
        <f t="shared" si="66"/>
        <v>0.21052631578947367</v>
      </c>
      <c r="K556">
        <f t="shared" si="67"/>
        <v>4.1095890410958902E-2</v>
      </c>
      <c r="L556">
        <f t="shared" si="68"/>
        <v>0</v>
      </c>
      <c r="M556">
        <f t="shared" si="69"/>
        <v>0</v>
      </c>
      <c r="N556">
        <f t="shared" si="70"/>
        <v>5.7971014492753624E-2</v>
      </c>
      <c r="O556">
        <f t="shared" si="71"/>
        <v>0.11764705882352941</v>
      </c>
      <c r="P556">
        <f t="shared" si="72"/>
        <v>0.2</v>
      </c>
    </row>
    <row r="557" spans="1:16" x14ac:dyDescent="0.4">
      <c r="A557">
        <v>0.11428571428571428</v>
      </c>
      <c r="B557">
        <v>0</v>
      </c>
      <c r="C557" s="23">
        <v>0.13636363636363635</v>
      </c>
      <c r="D557">
        <v>0.25</v>
      </c>
      <c r="E557">
        <v>0</v>
      </c>
      <c r="F557">
        <v>0.21052631578947367</v>
      </c>
      <c r="G557">
        <v>0.2857142857142857</v>
      </c>
      <c r="H557">
        <v>0</v>
      </c>
      <c r="I557">
        <f t="shared" si="65"/>
        <v>0.11428571428571428</v>
      </c>
      <c r="J557">
        <f t="shared" si="66"/>
        <v>0</v>
      </c>
      <c r="K557">
        <f t="shared" si="67"/>
        <v>0.13636363636363635</v>
      </c>
      <c r="L557">
        <f t="shared" si="68"/>
        <v>0.25</v>
      </c>
      <c r="M557">
        <f t="shared" si="69"/>
        <v>0</v>
      </c>
      <c r="N557">
        <f t="shared" si="70"/>
        <v>0.21052631578947367</v>
      </c>
      <c r="O557">
        <f t="shared" si="71"/>
        <v>0.2857142857142857</v>
      </c>
      <c r="P557">
        <f t="shared" si="72"/>
        <v>0</v>
      </c>
    </row>
    <row r="558" spans="1:16" x14ac:dyDescent="0.4">
      <c r="A558">
        <v>0.5714285714285714</v>
      </c>
      <c r="B558">
        <v>0.19047619047619047</v>
      </c>
      <c r="C558" s="24">
        <v>0.44444444444444442</v>
      </c>
      <c r="D558">
        <v>0.5714285714285714</v>
      </c>
      <c r="E558">
        <v>0</v>
      </c>
      <c r="F558">
        <v>0.14285714285714285</v>
      </c>
      <c r="G558">
        <v>0</v>
      </c>
      <c r="H558">
        <v>0</v>
      </c>
      <c r="I558">
        <f t="shared" si="65"/>
        <v>0.5714285714285714</v>
      </c>
      <c r="J558">
        <f t="shared" si="66"/>
        <v>0.19047619047619047</v>
      </c>
      <c r="K558">
        <f t="shared" si="67"/>
        <v>0.44444444444444442</v>
      </c>
      <c r="L558">
        <f t="shared" si="68"/>
        <v>0.5714285714285714</v>
      </c>
      <c r="M558">
        <f t="shared" si="69"/>
        <v>0</v>
      </c>
      <c r="N558">
        <f t="shared" si="70"/>
        <v>0.14285714285714285</v>
      </c>
      <c r="O558">
        <f t="shared" si="71"/>
        <v>0</v>
      </c>
      <c r="P558">
        <f t="shared" si="72"/>
        <v>0</v>
      </c>
    </row>
    <row r="559" spans="1:16" x14ac:dyDescent="0.4">
      <c r="A559">
        <v>0.36363636363636365</v>
      </c>
      <c r="B559">
        <v>0.4</v>
      </c>
      <c r="C559" s="23">
        <v>1.7241379310344827E-2</v>
      </c>
      <c r="D559">
        <v>1.0638297872340425E-2</v>
      </c>
      <c r="E559">
        <v>0.22222222222222221</v>
      </c>
      <c r="F559">
        <v>1.7391304347826087E-2</v>
      </c>
      <c r="G559">
        <v>0.1111111111111111</v>
      </c>
      <c r="H559">
        <v>8.771929824561403E-3</v>
      </c>
      <c r="I559">
        <f t="shared" si="65"/>
        <v>0.36363636363636365</v>
      </c>
      <c r="J559">
        <f t="shared" si="66"/>
        <v>0.4</v>
      </c>
      <c r="K559">
        <f t="shared" si="67"/>
        <v>1.7241379310344827E-2</v>
      </c>
      <c r="L559">
        <f t="shared" si="68"/>
        <v>1.0638297872340425E-2</v>
      </c>
      <c r="M559">
        <f t="shared" si="69"/>
        <v>0.22222222222222221</v>
      </c>
      <c r="N559">
        <f t="shared" si="70"/>
        <v>1.7391304347826087E-2</v>
      </c>
      <c r="O559">
        <f t="shared" si="71"/>
        <v>0.1111111111111111</v>
      </c>
      <c r="P559">
        <f t="shared" si="72"/>
        <v>8.771929824561403E-3</v>
      </c>
    </row>
    <row r="560" spans="1:16" x14ac:dyDescent="0.4">
      <c r="A560">
        <v>0.27272727272727271</v>
      </c>
      <c r="B560">
        <v>0.26666666666666666</v>
      </c>
      <c r="C560" s="24">
        <v>0.23076923076923078</v>
      </c>
      <c r="D560">
        <v>0.5</v>
      </c>
      <c r="E560">
        <v>0.5</v>
      </c>
      <c r="F560">
        <v>0.4</v>
      </c>
      <c r="G560">
        <v>0</v>
      </c>
      <c r="H560">
        <v>0.16666666666666666</v>
      </c>
      <c r="I560">
        <f t="shared" si="65"/>
        <v>0.27272727272727271</v>
      </c>
      <c r="J560">
        <f t="shared" si="66"/>
        <v>0.26666666666666666</v>
      </c>
      <c r="K560">
        <f t="shared" si="67"/>
        <v>0.23076923076923078</v>
      </c>
      <c r="L560">
        <f t="shared" si="68"/>
        <v>0.5</v>
      </c>
      <c r="M560">
        <f t="shared" si="69"/>
        <v>0.5</v>
      </c>
      <c r="N560">
        <f t="shared" si="70"/>
        <v>0.4</v>
      </c>
      <c r="O560">
        <f t="shared" si="71"/>
        <v>0</v>
      </c>
      <c r="P560">
        <f t="shared" si="72"/>
        <v>0.16666666666666666</v>
      </c>
    </row>
    <row r="561" spans="1:16" x14ac:dyDescent="0.4">
      <c r="A561">
        <v>0</v>
      </c>
      <c r="B561">
        <v>0.15384615384615385</v>
      </c>
      <c r="C561" s="23">
        <v>0.8</v>
      </c>
      <c r="D561">
        <v>3.8461538461538464E-2</v>
      </c>
      <c r="E561">
        <v>0.16666666666666666</v>
      </c>
      <c r="F561">
        <v>0</v>
      </c>
      <c r="G561">
        <v>0.13636363636363635</v>
      </c>
      <c r="H561">
        <v>4.49438202247191E-2</v>
      </c>
      <c r="I561">
        <f t="shared" si="65"/>
        <v>0</v>
      </c>
      <c r="J561">
        <f t="shared" si="66"/>
        <v>0.15384615384615385</v>
      </c>
      <c r="K561">
        <f t="shared" si="67"/>
        <v>0.8</v>
      </c>
      <c r="L561">
        <f t="shared" si="68"/>
        <v>3.8461538461538464E-2</v>
      </c>
      <c r="M561">
        <f t="shared" si="69"/>
        <v>0.16666666666666666</v>
      </c>
      <c r="N561">
        <f t="shared" si="70"/>
        <v>0</v>
      </c>
      <c r="O561">
        <f t="shared" si="71"/>
        <v>0.13636363636363635</v>
      </c>
      <c r="P561">
        <f t="shared" si="72"/>
        <v>4.49438202247191E-2</v>
      </c>
    </row>
    <row r="562" spans="1:16" x14ac:dyDescent="0.4">
      <c r="A562">
        <v>0.26666666666666666</v>
      </c>
      <c r="B562">
        <v>0.26666666666666666</v>
      </c>
      <c r="C562" s="24">
        <v>8.8235294117647065E-2</v>
      </c>
      <c r="D562">
        <v>0.66666666666666663</v>
      </c>
      <c r="E562">
        <v>0</v>
      </c>
      <c r="F562">
        <v>0.12121212121212122</v>
      </c>
      <c r="G562">
        <v>7.6923076923076927E-2</v>
      </c>
      <c r="H562">
        <v>0.2857142857142857</v>
      </c>
      <c r="I562">
        <f t="shared" si="65"/>
        <v>0.26666666666666666</v>
      </c>
      <c r="J562">
        <f t="shared" si="66"/>
        <v>0.26666666666666666</v>
      </c>
      <c r="K562">
        <f t="shared" si="67"/>
        <v>8.8235294117647065E-2</v>
      </c>
      <c r="L562">
        <f t="shared" si="68"/>
        <v>0.66666666666666663</v>
      </c>
      <c r="M562">
        <f t="shared" si="69"/>
        <v>0</v>
      </c>
      <c r="N562">
        <f t="shared" si="70"/>
        <v>0.12121212121212122</v>
      </c>
      <c r="O562">
        <f t="shared" si="71"/>
        <v>7.6923076923076927E-2</v>
      </c>
      <c r="P562">
        <f t="shared" si="72"/>
        <v>0.2857142857142857</v>
      </c>
    </row>
    <row r="563" spans="1:16" x14ac:dyDescent="0.4">
      <c r="A563">
        <v>0.36363636363636365</v>
      </c>
      <c r="B563">
        <v>0.33333333333333331</v>
      </c>
      <c r="C563" s="23">
        <v>0.42857142857142855</v>
      </c>
      <c r="D563">
        <v>0.30769230769230771</v>
      </c>
      <c r="E563">
        <v>0</v>
      </c>
      <c r="F563">
        <v>1</v>
      </c>
      <c r="G563">
        <v>0</v>
      </c>
      <c r="H563">
        <v>8.3333333333333329E-2</v>
      </c>
      <c r="I563">
        <f t="shared" si="65"/>
        <v>0.36363636363636365</v>
      </c>
      <c r="J563">
        <f t="shared" si="66"/>
        <v>0.33333333333333331</v>
      </c>
      <c r="K563">
        <f t="shared" si="67"/>
        <v>0.42857142857142855</v>
      </c>
      <c r="L563">
        <f t="shared" si="68"/>
        <v>0.30769230769230771</v>
      </c>
      <c r="M563">
        <f t="shared" si="69"/>
        <v>0</v>
      </c>
      <c r="N563">
        <f t="shared" si="70"/>
        <v>1</v>
      </c>
      <c r="O563">
        <f t="shared" si="71"/>
        <v>0</v>
      </c>
      <c r="P563">
        <f t="shared" si="72"/>
        <v>8.3333333333333329E-2</v>
      </c>
    </row>
    <row r="564" spans="1:16" x14ac:dyDescent="0.4">
      <c r="A564">
        <v>0.18181818181818182</v>
      </c>
      <c r="B564">
        <v>0.4</v>
      </c>
      <c r="C564" s="24">
        <v>4.9382716049382713E-2</v>
      </c>
      <c r="D564">
        <v>0.5</v>
      </c>
      <c r="E564">
        <v>0.10526315789473684</v>
      </c>
      <c r="F564">
        <v>2.564102564102564E-2</v>
      </c>
      <c r="G564">
        <v>0</v>
      </c>
      <c r="H564">
        <v>1</v>
      </c>
      <c r="I564">
        <f t="shared" si="65"/>
        <v>0.18181818181818182</v>
      </c>
      <c r="J564">
        <f t="shared" si="66"/>
        <v>0.4</v>
      </c>
      <c r="K564">
        <f t="shared" si="67"/>
        <v>4.9382716049382713E-2</v>
      </c>
      <c r="L564">
        <f t="shared" si="68"/>
        <v>0.5</v>
      </c>
      <c r="M564">
        <f t="shared" si="69"/>
        <v>0.10526315789473684</v>
      </c>
      <c r="N564">
        <f t="shared" si="70"/>
        <v>2.564102564102564E-2</v>
      </c>
      <c r="O564">
        <f t="shared" si="71"/>
        <v>0</v>
      </c>
      <c r="P564">
        <f t="shared" si="72"/>
        <v>1</v>
      </c>
    </row>
    <row r="565" spans="1:16" x14ac:dyDescent="0.4">
      <c r="A565">
        <v>0.13793103448275862</v>
      </c>
      <c r="B565">
        <v>0.1111111111111111</v>
      </c>
      <c r="C565" s="23">
        <v>5.7971014492753624E-2</v>
      </c>
      <c r="D565">
        <v>0.26666666666666666</v>
      </c>
      <c r="E565">
        <v>7.6923076923076927E-2</v>
      </c>
      <c r="F565">
        <v>0</v>
      </c>
      <c r="G565">
        <v>0</v>
      </c>
      <c r="H565">
        <v>0.18181818181818182</v>
      </c>
      <c r="I565">
        <f t="shared" si="65"/>
        <v>0.13793103448275862</v>
      </c>
      <c r="J565">
        <f t="shared" si="66"/>
        <v>0.1111111111111111</v>
      </c>
      <c r="K565">
        <f t="shared" si="67"/>
        <v>5.7971014492753624E-2</v>
      </c>
      <c r="L565">
        <f t="shared" si="68"/>
        <v>0.26666666666666666</v>
      </c>
      <c r="M565">
        <f t="shared" si="69"/>
        <v>7.6923076923076927E-2</v>
      </c>
      <c r="N565">
        <f t="shared" si="70"/>
        <v>0</v>
      </c>
      <c r="O565">
        <f t="shared" si="71"/>
        <v>0</v>
      </c>
      <c r="P565">
        <f t="shared" si="72"/>
        <v>0.18181818181818182</v>
      </c>
    </row>
    <row r="566" spans="1:16" x14ac:dyDescent="0.4">
      <c r="A566">
        <v>0.5</v>
      </c>
      <c r="B566">
        <v>5.2631578947368418E-2</v>
      </c>
      <c r="C566" s="24">
        <v>8.5106382978723402E-2</v>
      </c>
      <c r="D566">
        <v>0.13793103448275862</v>
      </c>
      <c r="E566">
        <v>0</v>
      </c>
      <c r="F566">
        <v>4.4444444444444446E-2</v>
      </c>
      <c r="G566">
        <v>0.16666666666666666</v>
      </c>
      <c r="H566">
        <v>0</v>
      </c>
      <c r="I566">
        <f t="shared" si="65"/>
        <v>0.5</v>
      </c>
      <c r="J566">
        <f t="shared" si="66"/>
        <v>5.2631578947368418E-2</v>
      </c>
      <c r="K566">
        <f t="shared" si="67"/>
        <v>8.5106382978723402E-2</v>
      </c>
      <c r="L566">
        <f t="shared" si="68"/>
        <v>0.13793103448275862</v>
      </c>
      <c r="M566">
        <f t="shared" si="69"/>
        <v>0</v>
      </c>
      <c r="N566">
        <f t="shared" si="70"/>
        <v>4.4444444444444446E-2</v>
      </c>
      <c r="O566">
        <f t="shared" si="71"/>
        <v>0.16666666666666666</v>
      </c>
      <c r="P566">
        <f t="shared" si="72"/>
        <v>0</v>
      </c>
    </row>
    <row r="567" spans="1:16" x14ac:dyDescent="0.4">
      <c r="A567">
        <v>0.16</v>
      </c>
      <c r="B567">
        <v>0</v>
      </c>
      <c r="C567" s="23">
        <v>0</v>
      </c>
      <c r="D567">
        <v>0</v>
      </c>
      <c r="E567">
        <v>8.6956521739130432E-2</v>
      </c>
      <c r="F567">
        <v>0.66666666666666663</v>
      </c>
      <c r="G567">
        <v>0.33333333333333331</v>
      </c>
      <c r="H567">
        <v>0.23529411764705882</v>
      </c>
      <c r="I567">
        <f t="shared" si="65"/>
        <v>0.16</v>
      </c>
      <c r="J567">
        <f t="shared" si="66"/>
        <v>0</v>
      </c>
      <c r="K567">
        <f t="shared" si="67"/>
        <v>0</v>
      </c>
      <c r="L567">
        <f t="shared" si="68"/>
        <v>0</v>
      </c>
      <c r="M567">
        <f t="shared" si="69"/>
        <v>8.6956521739130432E-2</v>
      </c>
      <c r="N567">
        <f t="shared" si="70"/>
        <v>0.66666666666666663</v>
      </c>
      <c r="O567">
        <f t="shared" si="71"/>
        <v>0.33333333333333331</v>
      </c>
      <c r="P567">
        <f t="shared" si="72"/>
        <v>0.23529411764705882</v>
      </c>
    </row>
    <row r="568" spans="1:16" x14ac:dyDescent="0.4">
      <c r="A568">
        <v>0.30769230769230771</v>
      </c>
      <c r="B568">
        <v>0.2857142857142857</v>
      </c>
      <c r="C568" s="24">
        <v>0.10256410256410256</v>
      </c>
      <c r="D568">
        <v>0.33333333333333331</v>
      </c>
      <c r="E568">
        <v>8.3333333333333329E-2</v>
      </c>
      <c r="F568">
        <v>0</v>
      </c>
      <c r="G568">
        <v>8.3333333333333329E-2</v>
      </c>
      <c r="H568">
        <v>0.1111111111111111</v>
      </c>
      <c r="I568">
        <f t="shared" si="65"/>
        <v>0.30769230769230771</v>
      </c>
      <c r="J568">
        <f t="shared" si="66"/>
        <v>0.2857142857142857</v>
      </c>
      <c r="K568">
        <f t="shared" si="67"/>
        <v>0.10256410256410256</v>
      </c>
      <c r="L568">
        <f t="shared" si="68"/>
        <v>0.33333333333333331</v>
      </c>
      <c r="M568">
        <f t="shared" si="69"/>
        <v>8.3333333333333329E-2</v>
      </c>
      <c r="N568">
        <f t="shared" si="70"/>
        <v>0</v>
      </c>
      <c r="O568">
        <f t="shared" si="71"/>
        <v>8.3333333333333329E-2</v>
      </c>
      <c r="P568">
        <f t="shared" si="72"/>
        <v>0.1111111111111111</v>
      </c>
    </row>
    <row r="569" spans="1:16" x14ac:dyDescent="0.4">
      <c r="A569">
        <v>0</v>
      </c>
      <c r="B569">
        <v>0.44444444444444442</v>
      </c>
      <c r="C569" s="23">
        <v>0.21052631578947367</v>
      </c>
      <c r="D569">
        <v>0.25</v>
      </c>
      <c r="E569">
        <v>0.4</v>
      </c>
      <c r="F569">
        <v>0.1875</v>
      </c>
      <c r="G569">
        <v>0.14285714285714285</v>
      </c>
      <c r="H569">
        <v>0</v>
      </c>
      <c r="I569">
        <f t="shared" si="65"/>
        <v>0</v>
      </c>
      <c r="J569">
        <f t="shared" si="66"/>
        <v>0.44444444444444442</v>
      </c>
      <c r="K569">
        <f t="shared" si="67"/>
        <v>0.21052631578947367</v>
      </c>
      <c r="L569">
        <f t="shared" si="68"/>
        <v>0.25</v>
      </c>
      <c r="M569">
        <f t="shared" si="69"/>
        <v>0.4</v>
      </c>
      <c r="N569">
        <f t="shared" si="70"/>
        <v>0.1875</v>
      </c>
      <c r="O569">
        <f t="shared" si="71"/>
        <v>0.14285714285714285</v>
      </c>
      <c r="P569">
        <f t="shared" si="72"/>
        <v>0</v>
      </c>
    </row>
    <row r="570" spans="1:16" x14ac:dyDescent="0.4">
      <c r="A570">
        <v>0.11428571428571428</v>
      </c>
      <c r="B570">
        <v>0.11764705882352941</v>
      </c>
      <c r="C570" s="24">
        <v>0.44444444444444442</v>
      </c>
      <c r="D570">
        <v>0.14814814814814814</v>
      </c>
      <c r="E570">
        <v>3.125E-2</v>
      </c>
      <c r="F570">
        <v>0.1111111111111111</v>
      </c>
      <c r="G570">
        <v>0</v>
      </c>
      <c r="H570">
        <v>8.3333333333333329E-2</v>
      </c>
      <c r="I570">
        <f t="shared" si="65"/>
        <v>0.11428571428571428</v>
      </c>
      <c r="J570">
        <f t="shared" si="66"/>
        <v>0.11764705882352941</v>
      </c>
      <c r="K570">
        <f t="shared" si="67"/>
        <v>0.44444444444444442</v>
      </c>
      <c r="L570">
        <f t="shared" si="68"/>
        <v>0.14814814814814814</v>
      </c>
      <c r="M570">
        <f t="shared" si="69"/>
        <v>3.125E-2</v>
      </c>
      <c r="N570">
        <f t="shared" si="70"/>
        <v>0.1111111111111111</v>
      </c>
      <c r="O570">
        <f t="shared" si="71"/>
        <v>0</v>
      </c>
      <c r="P570">
        <f t="shared" si="72"/>
        <v>8.3333333333333329E-2</v>
      </c>
    </row>
    <row r="571" spans="1:16" x14ac:dyDescent="0.4">
      <c r="A571">
        <v>0.26666666666666666</v>
      </c>
      <c r="B571">
        <v>0.16666666666666666</v>
      </c>
      <c r="C571" s="23">
        <v>7.2727272727272724E-2</v>
      </c>
      <c r="D571">
        <v>0</v>
      </c>
      <c r="E571">
        <v>0</v>
      </c>
      <c r="F571">
        <v>5.8823529411764705E-2</v>
      </c>
      <c r="G571">
        <v>0.21052631578947367</v>
      </c>
      <c r="H571">
        <v>0.22222222222222221</v>
      </c>
      <c r="I571">
        <f t="shared" si="65"/>
        <v>0.26666666666666666</v>
      </c>
      <c r="J571">
        <f t="shared" si="66"/>
        <v>0.16666666666666666</v>
      </c>
      <c r="K571">
        <f t="shared" si="67"/>
        <v>7.2727272727272724E-2</v>
      </c>
      <c r="L571">
        <f t="shared" si="68"/>
        <v>0</v>
      </c>
      <c r="M571">
        <f t="shared" si="69"/>
        <v>0</v>
      </c>
      <c r="N571">
        <f t="shared" si="70"/>
        <v>5.8823529411764705E-2</v>
      </c>
      <c r="O571">
        <f t="shared" si="71"/>
        <v>0.21052631578947367</v>
      </c>
      <c r="P571">
        <f t="shared" si="72"/>
        <v>0.22222222222222221</v>
      </c>
    </row>
    <row r="572" spans="1:16" x14ac:dyDescent="0.4">
      <c r="A572">
        <v>0.1111111111111111</v>
      </c>
      <c r="B572">
        <v>0.17391304347826086</v>
      </c>
      <c r="C572" s="24">
        <v>0.66666666666666663</v>
      </c>
      <c r="D572">
        <v>0.33333333333333331</v>
      </c>
      <c r="E572">
        <v>0</v>
      </c>
      <c r="F572">
        <v>1</v>
      </c>
      <c r="G572">
        <v>0</v>
      </c>
      <c r="H572">
        <v>0</v>
      </c>
      <c r="I572">
        <f t="shared" si="65"/>
        <v>0.1111111111111111</v>
      </c>
      <c r="J572">
        <f t="shared" si="66"/>
        <v>0.17391304347826086</v>
      </c>
      <c r="K572">
        <f t="shared" si="67"/>
        <v>0.66666666666666663</v>
      </c>
      <c r="L572">
        <f t="shared" si="68"/>
        <v>0.33333333333333331</v>
      </c>
      <c r="M572">
        <f t="shared" si="69"/>
        <v>0</v>
      </c>
      <c r="N572">
        <f t="shared" si="70"/>
        <v>1</v>
      </c>
      <c r="O572">
        <f t="shared" si="71"/>
        <v>0</v>
      </c>
      <c r="P572">
        <f t="shared" si="72"/>
        <v>0</v>
      </c>
    </row>
    <row r="573" spans="1:16" x14ac:dyDescent="0.4">
      <c r="A573">
        <v>0.36363636363636365</v>
      </c>
      <c r="B573">
        <v>0.36363636363636365</v>
      </c>
      <c r="C573" s="23">
        <v>0.44444444444444442</v>
      </c>
      <c r="D573">
        <v>0.26666666666666666</v>
      </c>
      <c r="E573">
        <v>0.1</v>
      </c>
      <c r="F573">
        <v>0.1111111111111111</v>
      </c>
      <c r="G573">
        <v>0</v>
      </c>
      <c r="H573">
        <v>0</v>
      </c>
      <c r="I573">
        <f t="shared" si="65"/>
        <v>0.36363636363636365</v>
      </c>
      <c r="J573">
        <f t="shared" si="66"/>
        <v>0.36363636363636365</v>
      </c>
      <c r="K573">
        <f t="shared" si="67"/>
        <v>0.44444444444444442</v>
      </c>
      <c r="L573">
        <f t="shared" si="68"/>
        <v>0.26666666666666666</v>
      </c>
      <c r="M573">
        <f t="shared" si="69"/>
        <v>0.1</v>
      </c>
      <c r="N573">
        <f t="shared" si="70"/>
        <v>0.1111111111111111</v>
      </c>
      <c r="O573">
        <f t="shared" si="71"/>
        <v>0</v>
      </c>
      <c r="P573">
        <f t="shared" si="72"/>
        <v>0</v>
      </c>
    </row>
    <row r="574" spans="1:16" x14ac:dyDescent="0.4">
      <c r="A574">
        <v>0.30769230769230771</v>
      </c>
      <c r="B574">
        <v>0.16666666666666666</v>
      </c>
      <c r="C574" s="24">
        <v>6.6666666666666666E-2</v>
      </c>
      <c r="D574">
        <v>0.5714285714285714</v>
      </c>
      <c r="E574">
        <v>8.3333333333333329E-2</v>
      </c>
      <c r="F574">
        <v>1.7543859649122806E-2</v>
      </c>
      <c r="G574">
        <v>0</v>
      </c>
      <c r="H574">
        <v>0.16666666666666666</v>
      </c>
      <c r="I574">
        <f t="shared" si="65"/>
        <v>0.30769230769230771</v>
      </c>
      <c r="J574">
        <f t="shared" si="66"/>
        <v>0.16666666666666666</v>
      </c>
      <c r="K574">
        <f t="shared" si="67"/>
        <v>6.6666666666666666E-2</v>
      </c>
      <c r="L574">
        <f t="shared" si="68"/>
        <v>0.5714285714285714</v>
      </c>
      <c r="M574">
        <f t="shared" si="69"/>
        <v>8.3333333333333329E-2</v>
      </c>
      <c r="N574">
        <f t="shared" si="70"/>
        <v>1.7543859649122806E-2</v>
      </c>
      <c r="O574">
        <f t="shared" si="71"/>
        <v>0</v>
      </c>
      <c r="P574">
        <f t="shared" si="72"/>
        <v>0.16666666666666666</v>
      </c>
    </row>
    <row r="575" spans="1:16" x14ac:dyDescent="0.4">
      <c r="A575">
        <v>0.22222222222222221</v>
      </c>
      <c r="B575">
        <v>0.33333333333333331</v>
      </c>
      <c r="C575" s="23">
        <v>0.16666666666666666</v>
      </c>
      <c r="D575">
        <v>0.4</v>
      </c>
      <c r="E575">
        <v>0.21428571428571427</v>
      </c>
      <c r="F575">
        <v>1</v>
      </c>
      <c r="G575">
        <v>9.0909090909090912E-2</v>
      </c>
      <c r="H575">
        <v>0</v>
      </c>
      <c r="I575">
        <f t="shared" si="65"/>
        <v>0.22222222222222221</v>
      </c>
      <c r="J575">
        <f t="shared" si="66"/>
        <v>0.33333333333333331</v>
      </c>
      <c r="K575">
        <f t="shared" si="67"/>
        <v>0.16666666666666666</v>
      </c>
      <c r="L575">
        <f t="shared" si="68"/>
        <v>0.4</v>
      </c>
      <c r="M575">
        <f t="shared" si="69"/>
        <v>0.21428571428571427</v>
      </c>
      <c r="N575">
        <f t="shared" si="70"/>
        <v>1</v>
      </c>
      <c r="O575">
        <f t="shared" si="71"/>
        <v>9.0909090909090912E-2</v>
      </c>
      <c r="P575">
        <f t="shared" si="72"/>
        <v>0</v>
      </c>
    </row>
    <row r="576" spans="1:16" x14ac:dyDescent="0.4">
      <c r="A576">
        <v>6.0606060606060608E-2</v>
      </c>
      <c r="B576">
        <v>0.15384615384615385</v>
      </c>
      <c r="C576" s="24">
        <v>4.7619047619047616E-2</v>
      </c>
      <c r="D576">
        <v>8.3333333333333329E-2</v>
      </c>
      <c r="E576">
        <v>0.13333333333333333</v>
      </c>
      <c r="F576">
        <v>1.2500000000000001E-2</v>
      </c>
      <c r="G576">
        <v>0.44444444444444442</v>
      </c>
      <c r="H576">
        <v>0</v>
      </c>
      <c r="I576">
        <f t="shared" si="65"/>
        <v>6.0606060606060608E-2</v>
      </c>
      <c r="J576">
        <f t="shared" si="66"/>
        <v>0.15384615384615385</v>
      </c>
      <c r="K576">
        <f t="shared" si="67"/>
        <v>4.7619047619047616E-2</v>
      </c>
      <c r="L576">
        <f t="shared" si="68"/>
        <v>8.3333333333333329E-2</v>
      </c>
      <c r="M576">
        <f t="shared" si="69"/>
        <v>0.13333333333333333</v>
      </c>
      <c r="N576">
        <f t="shared" si="70"/>
        <v>1.2500000000000001E-2</v>
      </c>
      <c r="O576">
        <f t="shared" si="71"/>
        <v>0.44444444444444442</v>
      </c>
      <c r="P576">
        <f t="shared" si="72"/>
        <v>0</v>
      </c>
    </row>
    <row r="577" spans="1:16" x14ac:dyDescent="0.4">
      <c r="A577">
        <v>0.16666666666666666</v>
      </c>
      <c r="B577">
        <v>0.17391304347826086</v>
      </c>
      <c r="C577" s="23">
        <v>0.16666666666666666</v>
      </c>
      <c r="D577">
        <v>0.2</v>
      </c>
      <c r="E577">
        <v>0.2857142857142857</v>
      </c>
      <c r="F577">
        <v>0.4</v>
      </c>
      <c r="G577">
        <v>0.05</v>
      </c>
      <c r="H577">
        <v>5.5555555555555552E-2</v>
      </c>
      <c r="I577">
        <f t="shared" si="65"/>
        <v>0.16666666666666666</v>
      </c>
      <c r="J577">
        <f t="shared" si="66"/>
        <v>0.17391304347826086</v>
      </c>
      <c r="K577">
        <f t="shared" si="67"/>
        <v>0.16666666666666666</v>
      </c>
      <c r="L577">
        <f t="shared" si="68"/>
        <v>0.2</v>
      </c>
      <c r="M577">
        <f t="shared" si="69"/>
        <v>0.2857142857142857</v>
      </c>
      <c r="N577">
        <f t="shared" si="70"/>
        <v>0.4</v>
      </c>
      <c r="O577">
        <f t="shared" si="71"/>
        <v>0.05</v>
      </c>
      <c r="P577">
        <f t="shared" si="72"/>
        <v>5.5555555555555552E-2</v>
      </c>
    </row>
    <row r="578" spans="1:16" x14ac:dyDescent="0.4">
      <c r="A578">
        <v>5.2631578947368418E-2</v>
      </c>
      <c r="B578">
        <v>0.1</v>
      </c>
      <c r="C578" s="24">
        <v>0.10526315789473684</v>
      </c>
      <c r="D578">
        <v>0.44444444444444442</v>
      </c>
      <c r="E578">
        <v>0.2857142857142857</v>
      </c>
      <c r="F578">
        <v>0.26666666666666666</v>
      </c>
      <c r="G578">
        <v>0.5714285714285714</v>
      </c>
      <c r="H578">
        <v>0</v>
      </c>
      <c r="I578">
        <f t="shared" si="65"/>
        <v>5.2631578947368418E-2</v>
      </c>
      <c r="J578">
        <f t="shared" si="66"/>
        <v>0.1</v>
      </c>
      <c r="K578">
        <f t="shared" si="67"/>
        <v>0.10526315789473684</v>
      </c>
      <c r="L578">
        <f t="shared" si="68"/>
        <v>0.44444444444444442</v>
      </c>
      <c r="M578">
        <f t="shared" si="69"/>
        <v>0.2857142857142857</v>
      </c>
      <c r="N578">
        <f t="shared" si="70"/>
        <v>0.26666666666666666</v>
      </c>
      <c r="O578">
        <f t="shared" si="71"/>
        <v>0.5714285714285714</v>
      </c>
      <c r="P578">
        <f t="shared" si="72"/>
        <v>0</v>
      </c>
    </row>
    <row r="579" spans="1:16" x14ac:dyDescent="0.4">
      <c r="A579">
        <v>0.44444444444444442</v>
      </c>
      <c r="B579">
        <v>0</v>
      </c>
      <c r="C579" s="23">
        <v>0.16666666666666666</v>
      </c>
      <c r="D579">
        <v>0.36363636363636365</v>
      </c>
      <c r="E579">
        <v>0.14285714285714285</v>
      </c>
      <c r="F579">
        <v>0.5</v>
      </c>
      <c r="G579">
        <v>0.5</v>
      </c>
      <c r="H579">
        <v>0.23076923076923078</v>
      </c>
      <c r="I579">
        <f t="shared" si="65"/>
        <v>0.44444444444444442</v>
      </c>
      <c r="J579">
        <f t="shared" si="66"/>
        <v>0</v>
      </c>
      <c r="K579">
        <f t="shared" si="67"/>
        <v>0.16666666666666666</v>
      </c>
      <c r="L579">
        <f t="shared" si="68"/>
        <v>0.36363636363636365</v>
      </c>
      <c r="M579">
        <f t="shared" si="69"/>
        <v>0.14285714285714285</v>
      </c>
      <c r="N579">
        <f t="shared" si="70"/>
        <v>0.5</v>
      </c>
      <c r="O579">
        <f t="shared" si="71"/>
        <v>0.5</v>
      </c>
      <c r="P579">
        <f t="shared" si="72"/>
        <v>0.23076923076923078</v>
      </c>
    </row>
    <row r="580" spans="1:16" x14ac:dyDescent="0.4">
      <c r="A580">
        <v>0.15384615384615385</v>
      </c>
      <c r="B580">
        <v>0.44444444444444442</v>
      </c>
      <c r="C580" s="24">
        <v>0.36363636363636365</v>
      </c>
      <c r="D580">
        <v>7.6923076923076927E-2</v>
      </c>
      <c r="E580">
        <v>0.04</v>
      </c>
      <c r="F580">
        <v>0.1111111111111111</v>
      </c>
      <c r="G580">
        <v>0</v>
      </c>
      <c r="H580">
        <v>0.36363636363636365</v>
      </c>
      <c r="I580">
        <f t="shared" si="65"/>
        <v>0.15384615384615385</v>
      </c>
      <c r="J580">
        <f t="shared" si="66"/>
        <v>0.44444444444444442</v>
      </c>
      <c r="K580">
        <f t="shared" si="67"/>
        <v>0.36363636363636365</v>
      </c>
      <c r="L580">
        <f t="shared" si="68"/>
        <v>7.6923076923076927E-2</v>
      </c>
      <c r="M580">
        <f t="shared" si="69"/>
        <v>0.04</v>
      </c>
      <c r="N580">
        <f t="shared" si="70"/>
        <v>0.1111111111111111</v>
      </c>
      <c r="O580">
        <f t="shared" si="71"/>
        <v>0</v>
      </c>
      <c r="P580">
        <f t="shared" si="72"/>
        <v>0.36363636363636365</v>
      </c>
    </row>
    <row r="581" spans="1:16" x14ac:dyDescent="0.4">
      <c r="A581">
        <v>0.33333333333333331</v>
      </c>
      <c r="B581">
        <v>0.4</v>
      </c>
      <c r="C581" s="23">
        <v>8.3333333333333329E-2</v>
      </c>
      <c r="D581">
        <v>0.36363636363636365</v>
      </c>
      <c r="E581">
        <v>0</v>
      </c>
      <c r="F581">
        <v>0.19047619047619047</v>
      </c>
      <c r="G581">
        <v>0</v>
      </c>
      <c r="H581">
        <v>0.1111111111111111</v>
      </c>
      <c r="I581">
        <f t="shared" si="65"/>
        <v>0.33333333333333331</v>
      </c>
      <c r="J581">
        <f t="shared" si="66"/>
        <v>0.4</v>
      </c>
      <c r="K581">
        <f t="shared" si="67"/>
        <v>8.3333333333333329E-2</v>
      </c>
      <c r="L581">
        <f t="shared" si="68"/>
        <v>0.36363636363636365</v>
      </c>
      <c r="M581">
        <f t="shared" si="69"/>
        <v>0</v>
      </c>
      <c r="N581">
        <f t="shared" si="70"/>
        <v>0.19047619047619047</v>
      </c>
      <c r="O581">
        <f t="shared" si="71"/>
        <v>0</v>
      </c>
      <c r="P581">
        <f t="shared" si="72"/>
        <v>0.1111111111111111</v>
      </c>
    </row>
    <row r="582" spans="1:16" x14ac:dyDescent="0.4">
      <c r="A582">
        <v>0.23529411764705882</v>
      </c>
      <c r="B582">
        <v>0.2857142857142857</v>
      </c>
      <c r="C582" s="24">
        <v>0.30769230769230771</v>
      </c>
      <c r="D582">
        <v>0.2</v>
      </c>
      <c r="E582">
        <v>6.25E-2</v>
      </c>
      <c r="F582">
        <v>0</v>
      </c>
      <c r="G582">
        <v>0</v>
      </c>
      <c r="H582">
        <v>0.22222222222222221</v>
      </c>
      <c r="I582">
        <f t="shared" si="65"/>
        <v>0.23529411764705882</v>
      </c>
      <c r="J582">
        <f t="shared" si="66"/>
        <v>0.2857142857142857</v>
      </c>
      <c r="K582">
        <f t="shared" si="67"/>
        <v>0.30769230769230771</v>
      </c>
      <c r="L582">
        <f t="shared" si="68"/>
        <v>0.2</v>
      </c>
      <c r="M582">
        <f t="shared" si="69"/>
        <v>6.25E-2</v>
      </c>
      <c r="N582">
        <f t="shared" si="70"/>
        <v>0</v>
      </c>
      <c r="O582">
        <f t="shared" si="71"/>
        <v>0</v>
      </c>
      <c r="P582">
        <f t="shared" si="72"/>
        <v>0.22222222222222221</v>
      </c>
    </row>
    <row r="583" spans="1:16" x14ac:dyDescent="0.4">
      <c r="A583">
        <v>0.1</v>
      </c>
      <c r="B583">
        <v>0</v>
      </c>
      <c r="C583" s="23">
        <v>0.36363636363636365</v>
      </c>
      <c r="D583">
        <v>0.23529411764705882</v>
      </c>
      <c r="E583">
        <v>5.2631578947368418E-2</v>
      </c>
      <c r="F583">
        <v>0.33333333333333331</v>
      </c>
      <c r="G583">
        <v>0.44444444444444442</v>
      </c>
      <c r="H583">
        <v>0</v>
      </c>
      <c r="I583">
        <f t="shared" si="65"/>
        <v>0.1</v>
      </c>
      <c r="J583">
        <f t="shared" si="66"/>
        <v>0</v>
      </c>
      <c r="K583">
        <f t="shared" si="67"/>
        <v>0.36363636363636365</v>
      </c>
      <c r="L583">
        <f t="shared" si="68"/>
        <v>0.23529411764705882</v>
      </c>
      <c r="M583">
        <f t="shared" si="69"/>
        <v>5.2631578947368418E-2</v>
      </c>
      <c r="N583">
        <f t="shared" si="70"/>
        <v>0.33333333333333331</v>
      </c>
      <c r="O583">
        <f t="shared" si="71"/>
        <v>0.44444444444444442</v>
      </c>
      <c r="P583">
        <f t="shared" si="72"/>
        <v>0</v>
      </c>
    </row>
    <row r="584" spans="1:16" x14ac:dyDescent="0.4">
      <c r="A584">
        <v>0.17391304347826086</v>
      </c>
      <c r="B584">
        <v>0.15384615384615385</v>
      </c>
      <c r="C584" s="24">
        <v>0.26666666666666666</v>
      </c>
      <c r="D584">
        <v>0.21052631578947367</v>
      </c>
      <c r="E584">
        <v>4.7619047619047616E-2</v>
      </c>
      <c r="F584">
        <v>0.15384615384615385</v>
      </c>
      <c r="G584">
        <v>0</v>
      </c>
      <c r="H584">
        <v>9.5238095238095233E-2</v>
      </c>
      <c r="I584">
        <f t="shared" ref="I584:I647" si="73">IF(A584&gt;1, 1, A584)</f>
        <v>0.17391304347826086</v>
      </c>
      <c r="J584">
        <f t="shared" ref="J584:J647" si="74">IF(B584&gt;1, 1, B584)</f>
        <v>0.15384615384615385</v>
      </c>
      <c r="K584">
        <f t="shared" ref="K584:K647" si="75">IF(C584&gt;1, 1, C584)</f>
        <v>0.26666666666666666</v>
      </c>
      <c r="L584">
        <f t="shared" ref="L584:L647" si="76">IF(D584&gt;1, 1, D584)</f>
        <v>0.21052631578947367</v>
      </c>
      <c r="M584">
        <f t="shared" ref="M584:M647" si="77">IF(E584&gt;1, 1, E584)</f>
        <v>4.7619047619047616E-2</v>
      </c>
      <c r="N584">
        <f t="shared" ref="N584:N647" si="78">IF(F584&gt;1, 1, F584)</f>
        <v>0.15384615384615385</v>
      </c>
      <c r="O584">
        <f t="shared" ref="O584:O647" si="79">IF(G584&gt;1, 1, G584)</f>
        <v>0</v>
      </c>
      <c r="P584">
        <f t="shared" ref="P584:P647" si="80">IF(H584&gt;1, 1, H584)</f>
        <v>9.5238095238095233E-2</v>
      </c>
    </row>
    <row r="585" spans="1:16" x14ac:dyDescent="0.4">
      <c r="A585">
        <v>0.44444444444444442</v>
      </c>
      <c r="B585">
        <v>0.19047619047619047</v>
      </c>
      <c r="C585" s="23">
        <v>0.44444444444444442</v>
      </c>
      <c r="D585">
        <v>0.2</v>
      </c>
      <c r="E585">
        <v>0</v>
      </c>
      <c r="F585">
        <v>0</v>
      </c>
      <c r="G585">
        <v>0</v>
      </c>
      <c r="H585">
        <v>0</v>
      </c>
      <c r="I585">
        <f t="shared" si="73"/>
        <v>0.44444444444444442</v>
      </c>
      <c r="J585">
        <f t="shared" si="74"/>
        <v>0.19047619047619047</v>
      </c>
      <c r="K585">
        <f t="shared" si="75"/>
        <v>0.44444444444444442</v>
      </c>
      <c r="L585">
        <f t="shared" si="76"/>
        <v>0.2</v>
      </c>
      <c r="M585">
        <f t="shared" si="77"/>
        <v>0</v>
      </c>
      <c r="N585">
        <f t="shared" si="78"/>
        <v>0</v>
      </c>
      <c r="O585">
        <f t="shared" si="79"/>
        <v>0</v>
      </c>
      <c r="P585">
        <f t="shared" si="80"/>
        <v>0</v>
      </c>
    </row>
    <row r="586" spans="1:16" x14ac:dyDescent="0.4">
      <c r="A586">
        <v>6.6666666666666666E-2</v>
      </c>
      <c r="B586">
        <v>0.30769230769230771</v>
      </c>
      <c r="C586" s="24">
        <v>0.18181818181818182</v>
      </c>
      <c r="D586">
        <v>0.4</v>
      </c>
      <c r="E586">
        <v>0.36363636363636365</v>
      </c>
      <c r="F586">
        <v>0.15</v>
      </c>
      <c r="G586">
        <v>0</v>
      </c>
      <c r="H586">
        <v>0.1111111111111111</v>
      </c>
      <c r="I586">
        <f t="shared" si="73"/>
        <v>6.6666666666666666E-2</v>
      </c>
      <c r="J586">
        <f t="shared" si="74"/>
        <v>0.30769230769230771</v>
      </c>
      <c r="K586">
        <f t="shared" si="75"/>
        <v>0.18181818181818182</v>
      </c>
      <c r="L586">
        <f t="shared" si="76"/>
        <v>0.4</v>
      </c>
      <c r="M586">
        <f t="shared" si="77"/>
        <v>0.36363636363636365</v>
      </c>
      <c r="N586">
        <f t="shared" si="78"/>
        <v>0.15</v>
      </c>
      <c r="O586">
        <f t="shared" si="79"/>
        <v>0</v>
      </c>
      <c r="P586">
        <f t="shared" si="80"/>
        <v>0.1111111111111111</v>
      </c>
    </row>
    <row r="587" spans="1:16" x14ac:dyDescent="0.4">
      <c r="A587">
        <v>0.13333333333333333</v>
      </c>
      <c r="B587">
        <v>0.44444444444444442</v>
      </c>
      <c r="C587" s="23">
        <v>5.8823529411764705E-2</v>
      </c>
      <c r="D587">
        <v>0.5714285714285714</v>
      </c>
      <c r="E587">
        <v>0.11538461538461539</v>
      </c>
      <c r="F587">
        <v>0</v>
      </c>
      <c r="G587">
        <v>0</v>
      </c>
      <c r="H587">
        <v>0.2</v>
      </c>
      <c r="I587">
        <f t="shared" si="73"/>
        <v>0.13333333333333333</v>
      </c>
      <c r="J587">
        <f t="shared" si="74"/>
        <v>0.44444444444444442</v>
      </c>
      <c r="K587">
        <f t="shared" si="75"/>
        <v>5.8823529411764705E-2</v>
      </c>
      <c r="L587">
        <f t="shared" si="76"/>
        <v>0.5714285714285714</v>
      </c>
      <c r="M587">
        <f t="shared" si="77"/>
        <v>0.11538461538461539</v>
      </c>
      <c r="N587">
        <f t="shared" si="78"/>
        <v>0</v>
      </c>
      <c r="O587">
        <f t="shared" si="79"/>
        <v>0</v>
      </c>
      <c r="P587">
        <f t="shared" si="80"/>
        <v>0.2</v>
      </c>
    </row>
    <row r="588" spans="1:16" x14ac:dyDescent="0.4">
      <c r="A588">
        <v>0.36363636363636365</v>
      </c>
      <c r="B588">
        <v>0.36363636363636365</v>
      </c>
      <c r="C588" s="24">
        <v>0.18181818181818182</v>
      </c>
      <c r="D588">
        <v>0.22222222222222221</v>
      </c>
      <c r="E588">
        <v>0.375</v>
      </c>
      <c r="F588">
        <v>9.5238095238095233E-2</v>
      </c>
      <c r="G588">
        <v>0</v>
      </c>
      <c r="H588">
        <v>0.66666666666666663</v>
      </c>
      <c r="I588">
        <f t="shared" si="73"/>
        <v>0.36363636363636365</v>
      </c>
      <c r="J588">
        <f t="shared" si="74"/>
        <v>0.36363636363636365</v>
      </c>
      <c r="K588">
        <f t="shared" si="75"/>
        <v>0.18181818181818182</v>
      </c>
      <c r="L588">
        <f t="shared" si="76"/>
        <v>0.22222222222222221</v>
      </c>
      <c r="M588">
        <f t="shared" si="77"/>
        <v>0.375</v>
      </c>
      <c r="N588">
        <f t="shared" si="78"/>
        <v>9.5238095238095233E-2</v>
      </c>
      <c r="O588">
        <f t="shared" si="79"/>
        <v>0</v>
      </c>
      <c r="P588">
        <f t="shared" si="80"/>
        <v>0.66666666666666663</v>
      </c>
    </row>
    <row r="589" spans="1:16" x14ac:dyDescent="0.4">
      <c r="A589">
        <v>0.25</v>
      </c>
      <c r="B589">
        <v>0.4</v>
      </c>
      <c r="C589" s="23">
        <v>9.3023255813953487E-2</v>
      </c>
      <c r="D589">
        <v>0.30769230769230771</v>
      </c>
      <c r="E589">
        <v>0</v>
      </c>
      <c r="F589">
        <v>2.3255813953488372E-2</v>
      </c>
      <c r="G589">
        <v>0.125</v>
      </c>
      <c r="H589">
        <v>0.2</v>
      </c>
      <c r="I589">
        <f t="shared" si="73"/>
        <v>0.25</v>
      </c>
      <c r="J589">
        <f t="shared" si="74"/>
        <v>0.4</v>
      </c>
      <c r="K589">
        <f t="shared" si="75"/>
        <v>9.3023255813953487E-2</v>
      </c>
      <c r="L589">
        <f t="shared" si="76"/>
        <v>0.30769230769230771</v>
      </c>
      <c r="M589">
        <f t="shared" si="77"/>
        <v>0</v>
      </c>
      <c r="N589">
        <f t="shared" si="78"/>
        <v>2.3255813953488372E-2</v>
      </c>
      <c r="O589">
        <f t="shared" si="79"/>
        <v>0.125</v>
      </c>
      <c r="P589">
        <f t="shared" si="80"/>
        <v>0.2</v>
      </c>
    </row>
    <row r="590" spans="1:16" x14ac:dyDescent="0.4">
      <c r="A590">
        <v>0.36363636363636365</v>
      </c>
      <c r="B590">
        <v>0.23529411764705882</v>
      </c>
      <c r="C590" s="24">
        <v>0.66666666666666663</v>
      </c>
      <c r="D590">
        <v>5.7142857142857141E-2</v>
      </c>
      <c r="E590">
        <v>0</v>
      </c>
      <c r="F590">
        <v>0</v>
      </c>
      <c r="G590">
        <v>0</v>
      </c>
      <c r="H590">
        <v>0.1111111111111111</v>
      </c>
      <c r="I590">
        <f t="shared" si="73"/>
        <v>0.36363636363636365</v>
      </c>
      <c r="J590">
        <f t="shared" si="74"/>
        <v>0.23529411764705882</v>
      </c>
      <c r="K590">
        <f t="shared" si="75"/>
        <v>0.66666666666666663</v>
      </c>
      <c r="L590">
        <f t="shared" si="76"/>
        <v>5.7142857142857141E-2</v>
      </c>
      <c r="M590">
        <f t="shared" si="77"/>
        <v>0</v>
      </c>
      <c r="N590">
        <f t="shared" si="78"/>
        <v>0</v>
      </c>
      <c r="O590">
        <f t="shared" si="79"/>
        <v>0</v>
      </c>
      <c r="P590">
        <f t="shared" si="80"/>
        <v>0.1111111111111111</v>
      </c>
    </row>
    <row r="591" spans="1:16" x14ac:dyDescent="0.4">
      <c r="A591">
        <v>0.30769230769230771</v>
      </c>
      <c r="B591">
        <v>0.30769230769230771</v>
      </c>
      <c r="C591" s="23">
        <v>0.17391304347826086</v>
      </c>
      <c r="D591">
        <v>0.5714285714285714</v>
      </c>
      <c r="E591">
        <v>8.3333333333333329E-2</v>
      </c>
      <c r="F591">
        <v>9.0909090909090912E-2</v>
      </c>
      <c r="G591">
        <v>0</v>
      </c>
      <c r="H591">
        <v>0</v>
      </c>
      <c r="I591">
        <f t="shared" si="73"/>
        <v>0.30769230769230771</v>
      </c>
      <c r="J591">
        <f t="shared" si="74"/>
        <v>0.30769230769230771</v>
      </c>
      <c r="K591">
        <f t="shared" si="75"/>
        <v>0.17391304347826086</v>
      </c>
      <c r="L591">
        <f t="shared" si="76"/>
        <v>0.5714285714285714</v>
      </c>
      <c r="M591">
        <f t="shared" si="77"/>
        <v>8.3333333333333329E-2</v>
      </c>
      <c r="N591">
        <f t="shared" si="78"/>
        <v>9.0909090909090912E-2</v>
      </c>
      <c r="O591">
        <f t="shared" si="79"/>
        <v>0</v>
      </c>
      <c r="P591">
        <f t="shared" si="80"/>
        <v>0</v>
      </c>
    </row>
    <row r="592" spans="1:16" x14ac:dyDescent="0.4">
      <c r="A592">
        <v>0.21052631578947367</v>
      </c>
      <c r="B592">
        <v>0.5</v>
      </c>
      <c r="C592" s="24">
        <v>0.21052631578947367</v>
      </c>
      <c r="D592">
        <v>0.66666666666666663</v>
      </c>
      <c r="E592">
        <v>5.8823529411764705E-2</v>
      </c>
      <c r="F592">
        <v>5.5555555555555552E-2</v>
      </c>
      <c r="G592">
        <v>0</v>
      </c>
      <c r="H592">
        <v>0.66666666666666663</v>
      </c>
      <c r="I592">
        <f t="shared" si="73"/>
        <v>0.21052631578947367</v>
      </c>
      <c r="J592">
        <f t="shared" si="74"/>
        <v>0.5</v>
      </c>
      <c r="K592">
        <f t="shared" si="75"/>
        <v>0.21052631578947367</v>
      </c>
      <c r="L592">
        <f t="shared" si="76"/>
        <v>0.66666666666666663</v>
      </c>
      <c r="M592">
        <f t="shared" si="77"/>
        <v>5.8823529411764705E-2</v>
      </c>
      <c r="N592">
        <f t="shared" si="78"/>
        <v>5.5555555555555552E-2</v>
      </c>
      <c r="O592">
        <f t="shared" si="79"/>
        <v>0</v>
      </c>
      <c r="P592">
        <f t="shared" si="80"/>
        <v>0.66666666666666663</v>
      </c>
    </row>
    <row r="593" spans="1:16" x14ac:dyDescent="0.4">
      <c r="A593">
        <v>0.30769230769230771</v>
      </c>
      <c r="B593">
        <v>0.23529411764705882</v>
      </c>
      <c r="C593" s="23">
        <v>0.26666666666666666</v>
      </c>
      <c r="D593">
        <v>0.36363636363636365</v>
      </c>
      <c r="E593">
        <v>0</v>
      </c>
      <c r="F593">
        <v>7.1428571428571425E-2</v>
      </c>
      <c r="G593">
        <v>0</v>
      </c>
      <c r="H593">
        <v>0.22222222222222221</v>
      </c>
      <c r="I593">
        <f t="shared" si="73"/>
        <v>0.30769230769230771</v>
      </c>
      <c r="J593">
        <f t="shared" si="74"/>
        <v>0.23529411764705882</v>
      </c>
      <c r="K593">
        <f t="shared" si="75"/>
        <v>0.26666666666666666</v>
      </c>
      <c r="L593">
        <f t="shared" si="76"/>
        <v>0.36363636363636365</v>
      </c>
      <c r="M593">
        <f t="shared" si="77"/>
        <v>0</v>
      </c>
      <c r="N593">
        <f t="shared" si="78"/>
        <v>7.1428571428571425E-2</v>
      </c>
      <c r="O593">
        <f t="shared" si="79"/>
        <v>0</v>
      </c>
      <c r="P593">
        <f t="shared" si="80"/>
        <v>0.22222222222222221</v>
      </c>
    </row>
    <row r="594" spans="1:16" x14ac:dyDescent="0.4">
      <c r="A594">
        <v>0</v>
      </c>
      <c r="B594">
        <v>0.30769230769230771</v>
      </c>
      <c r="C594" s="24">
        <v>0.22222222222222221</v>
      </c>
      <c r="D594">
        <v>0.11428571428571428</v>
      </c>
      <c r="E594">
        <v>0.2</v>
      </c>
      <c r="F594">
        <v>0.66666666666666663</v>
      </c>
      <c r="G594">
        <v>0</v>
      </c>
      <c r="H594">
        <v>6.8181818181818177E-2</v>
      </c>
      <c r="I594">
        <f t="shared" si="73"/>
        <v>0</v>
      </c>
      <c r="J594">
        <f t="shared" si="74"/>
        <v>0.30769230769230771</v>
      </c>
      <c r="K594">
        <f t="shared" si="75"/>
        <v>0.22222222222222221</v>
      </c>
      <c r="L594">
        <f t="shared" si="76"/>
        <v>0.11428571428571428</v>
      </c>
      <c r="M594">
        <f t="shared" si="77"/>
        <v>0.2</v>
      </c>
      <c r="N594">
        <f t="shared" si="78"/>
        <v>0.66666666666666663</v>
      </c>
      <c r="O594">
        <f t="shared" si="79"/>
        <v>0</v>
      </c>
      <c r="P594">
        <f t="shared" si="80"/>
        <v>6.8181818181818177E-2</v>
      </c>
    </row>
    <row r="595" spans="1:16" x14ac:dyDescent="0.4">
      <c r="A595">
        <v>0.11428571428571428</v>
      </c>
      <c r="B595">
        <v>0.44444444444444442</v>
      </c>
      <c r="C595" s="23">
        <v>0.22222222222222221</v>
      </c>
      <c r="D595">
        <v>0.36363636363636365</v>
      </c>
      <c r="E595">
        <v>3.125E-2</v>
      </c>
      <c r="F595">
        <v>0.66666666666666663</v>
      </c>
      <c r="G595">
        <v>0</v>
      </c>
      <c r="H595">
        <v>0.1111111111111111</v>
      </c>
      <c r="I595">
        <f t="shared" si="73"/>
        <v>0.11428571428571428</v>
      </c>
      <c r="J595">
        <f t="shared" si="74"/>
        <v>0.44444444444444442</v>
      </c>
      <c r="K595">
        <f t="shared" si="75"/>
        <v>0.22222222222222221</v>
      </c>
      <c r="L595">
        <f t="shared" si="76"/>
        <v>0.36363636363636365</v>
      </c>
      <c r="M595">
        <f t="shared" si="77"/>
        <v>3.125E-2</v>
      </c>
      <c r="N595">
        <f t="shared" si="78"/>
        <v>0.66666666666666663</v>
      </c>
      <c r="O595">
        <f t="shared" si="79"/>
        <v>0</v>
      </c>
      <c r="P595">
        <f t="shared" si="80"/>
        <v>0.1111111111111111</v>
      </c>
    </row>
    <row r="596" spans="1:16" x14ac:dyDescent="0.4">
      <c r="A596">
        <v>0.14285714285714285</v>
      </c>
      <c r="B596">
        <v>0.36363636363636365</v>
      </c>
      <c r="C596" s="24">
        <v>8.3333333333333329E-2</v>
      </c>
      <c r="D596">
        <v>0.33333333333333331</v>
      </c>
      <c r="E596">
        <v>0.125</v>
      </c>
      <c r="F596">
        <v>0.44444444444444442</v>
      </c>
      <c r="G596">
        <v>0</v>
      </c>
      <c r="H596">
        <v>0.2</v>
      </c>
      <c r="I596">
        <f t="shared" si="73"/>
        <v>0.14285714285714285</v>
      </c>
      <c r="J596">
        <f t="shared" si="74"/>
        <v>0.36363636363636365</v>
      </c>
      <c r="K596">
        <f t="shared" si="75"/>
        <v>8.3333333333333329E-2</v>
      </c>
      <c r="L596">
        <f t="shared" si="76"/>
        <v>0.33333333333333331</v>
      </c>
      <c r="M596">
        <f t="shared" si="77"/>
        <v>0.125</v>
      </c>
      <c r="N596">
        <f t="shared" si="78"/>
        <v>0.44444444444444442</v>
      </c>
      <c r="O596">
        <f t="shared" si="79"/>
        <v>0</v>
      </c>
      <c r="P596">
        <f t="shared" si="80"/>
        <v>0.2</v>
      </c>
    </row>
    <row r="597" spans="1:16" x14ac:dyDescent="0.4">
      <c r="A597">
        <v>8.3333333333333329E-2</v>
      </c>
      <c r="B597">
        <v>0.21052631578947367</v>
      </c>
      <c r="C597" s="23">
        <v>0.33333333333333331</v>
      </c>
      <c r="D597">
        <v>2.9126213592233011E-2</v>
      </c>
      <c r="E597">
        <v>0.19047619047619047</v>
      </c>
      <c r="F597">
        <v>0.1</v>
      </c>
      <c r="G597">
        <v>0</v>
      </c>
      <c r="H597">
        <v>8.771929824561403E-3</v>
      </c>
      <c r="I597">
        <f t="shared" si="73"/>
        <v>8.3333333333333329E-2</v>
      </c>
      <c r="J597">
        <f t="shared" si="74"/>
        <v>0.21052631578947367</v>
      </c>
      <c r="K597">
        <f t="shared" si="75"/>
        <v>0.33333333333333331</v>
      </c>
      <c r="L597">
        <f t="shared" si="76"/>
        <v>2.9126213592233011E-2</v>
      </c>
      <c r="M597">
        <f t="shared" si="77"/>
        <v>0.19047619047619047</v>
      </c>
      <c r="N597">
        <f t="shared" si="78"/>
        <v>0.1</v>
      </c>
      <c r="O597">
        <f t="shared" si="79"/>
        <v>0</v>
      </c>
      <c r="P597">
        <f t="shared" si="80"/>
        <v>8.771929824561403E-3</v>
      </c>
    </row>
    <row r="598" spans="1:16" x14ac:dyDescent="0.4">
      <c r="A598">
        <v>0.2857142857142857</v>
      </c>
      <c r="B598">
        <v>0.33333333333333331</v>
      </c>
      <c r="C598" s="24">
        <v>0.30769230769230771</v>
      </c>
      <c r="D598">
        <v>0.33333333333333331</v>
      </c>
      <c r="E598">
        <v>0</v>
      </c>
      <c r="F598">
        <v>8.3333333333333329E-2</v>
      </c>
      <c r="G598">
        <v>0</v>
      </c>
      <c r="H598">
        <v>0.18181818181818182</v>
      </c>
      <c r="I598">
        <f t="shared" si="73"/>
        <v>0.2857142857142857</v>
      </c>
      <c r="J598">
        <f t="shared" si="74"/>
        <v>0.33333333333333331</v>
      </c>
      <c r="K598">
        <f t="shared" si="75"/>
        <v>0.30769230769230771</v>
      </c>
      <c r="L598">
        <f t="shared" si="76"/>
        <v>0.33333333333333331</v>
      </c>
      <c r="M598">
        <f t="shared" si="77"/>
        <v>0</v>
      </c>
      <c r="N598">
        <f t="shared" si="78"/>
        <v>8.3333333333333329E-2</v>
      </c>
      <c r="O598">
        <f t="shared" si="79"/>
        <v>0</v>
      </c>
      <c r="P598">
        <f t="shared" si="80"/>
        <v>0.18181818181818182</v>
      </c>
    </row>
    <row r="599" spans="1:16" x14ac:dyDescent="0.4">
      <c r="A599">
        <v>0.2</v>
      </c>
      <c r="B599">
        <v>0.44444444444444442</v>
      </c>
      <c r="C599" s="23">
        <v>0.2857142857142857</v>
      </c>
      <c r="D599">
        <v>4.5454545454545456E-2</v>
      </c>
      <c r="E599">
        <v>5.2631578947368418E-2</v>
      </c>
      <c r="F599">
        <v>0.27272727272727271</v>
      </c>
      <c r="G599">
        <v>0.14285714285714285</v>
      </c>
      <c r="H599">
        <v>1.8518518518518517E-2</v>
      </c>
      <c r="I599">
        <f t="shared" si="73"/>
        <v>0.2</v>
      </c>
      <c r="J599">
        <f t="shared" si="74"/>
        <v>0.44444444444444442</v>
      </c>
      <c r="K599">
        <f t="shared" si="75"/>
        <v>0.2857142857142857</v>
      </c>
      <c r="L599">
        <f t="shared" si="76"/>
        <v>4.5454545454545456E-2</v>
      </c>
      <c r="M599">
        <f t="shared" si="77"/>
        <v>5.2631578947368418E-2</v>
      </c>
      <c r="N599">
        <f t="shared" si="78"/>
        <v>0.27272727272727271</v>
      </c>
      <c r="O599">
        <f t="shared" si="79"/>
        <v>0.14285714285714285</v>
      </c>
      <c r="P599">
        <f t="shared" si="80"/>
        <v>1.8518518518518517E-2</v>
      </c>
    </row>
    <row r="600" spans="1:16" x14ac:dyDescent="0.4">
      <c r="A600">
        <v>0.5</v>
      </c>
      <c r="B600">
        <v>0.30769230769230771</v>
      </c>
      <c r="C600" s="24">
        <v>5.5555555555555552E-2</v>
      </c>
      <c r="D600">
        <v>0.66666666666666663</v>
      </c>
      <c r="E600">
        <v>0</v>
      </c>
      <c r="F600">
        <v>0.2857142857142857</v>
      </c>
      <c r="G600">
        <v>8.3333333333333329E-2</v>
      </c>
      <c r="H600">
        <v>0</v>
      </c>
      <c r="I600">
        <f t="shared" si="73"/>
        <v>0.5</v>
      </c>
      <c r="J600">
        <f t="shared" si="74"/>
        <v>0.30769230769230771</v>
      </c>
      <c r="K600">
        <f t="shared" si="75"/>
        <v>5.5555555555555552E-2</v>
      </c>
      <c r="L600">
        <f t="shared" si="76"/>
        <v>0.66666666666666663</v>
      </c>
      <c r="M600">
        <f t="shared" si="77"/>
        <v>0</v>
      </c>
      <c r="N600">
        <f t="shared" si="78"/>
        <v>0.2857142857142857</v>
      </c>
      <c r="O600">
        <f t="shared" si="79"/>
        <v>8.3333333333333329E-2</v>
      </c>
      <c r="P600">
        <f t="shared" si="80"/>
        <v>0</v>
      </c>
    </row>
    <row r="601" spans="1:16" x14ac:dyDescent="0.4">
      <c r="A601">
        <v>0.66666666666666663</v>
      </c>
      <c r="B601">
        <v>0.125</v>
      </c>
      <c r="C601" s="23">
        <v>0.2</v>
      </c>
      <c r="D601">
        <v>0.14285714285714285</v>
      </c>
      <c r="E601">
        <v>0.2</v>
      </c>
      <c r="F601">
        <v>0.17647058823529413</v>
      </c>
      <c r="G601">
        <v>0</v>
      </c>
      <c r="H601">
        <v>3.7037037037037035E-2</v>
      </c>
      <c r="I601">
        <f t="shared" si="73"/>
        <v>0.66666666666666663</v>
      </c>
      <c r="J601">
        <f t="shared" si="74"/>
        <v>0.125</v>
      </c>
      <c r="K601">
        <f t="shared" si="75"/>
        <v>0.2</v>
      </c>
      <c r="L601">
        <f t="shared" si="76"/>
        <v>0.14285714285714285</v>
      </c>
      <c r="M601">
        <f t="shared" si="77"/>
        <v>0.2</v>
      </c>
      <c r="N601">
        <f t="shared" si="78"/>
        <v>0.17647058823529413</v>
      </c>
      <c r="O601">
        <f t="shared" si="79"/>
        <v>0</v>
      </c>
      <c r="P601">
        <f t="shared" si="80"/>
        <v>3.7037037037037035E-2</v>
      </c>
    </row>
    <row r="602" spans="1:16" x14ac:dyDescent="0.4">
      <c r="A602">
        <v>0.36363636363636365</v>
      </c>
      <c r="B602">
        <v>9.7560975609756101E-2</v>
      </c>
      <c r="C602" s="24">
        <v>0.2857142857142857</v>
      </c>
      <c r="D602">
        <v>5.4054054054054057E-2</v>
      </c>
      <c r="E602">
        <v>9.0909090909090912E-2</v>
      </c>
      <c r="F602">
        <v>0.27272727272727271</v>
      </c>
      <c r="G602">
        <v>2.6315789473684209E-2</v>
      </c>
      <c r="H602">
        <v>2.7397260273972601E-2</v>
      </c>
      <c r="I602">
        <f t="shared" si="73"/>
        <v>0.36363636363636365</v>
      </c>
      <c r="J602">
        <f t="shared" si="74"/>
        <v>9.7560975609756101E-2</v>
      </c>
      <c r="K602">
        <f t="shared" si="75"/>
        <v>0.2857142857142857</v>
      </c>
      <c r="L602">
        <f t="shared" si="76"/>
        <v>5.4054054054054057E-2</v>
      </c>
      <c r="M602">
        <f t="shared" si="77"/>
        <v>9.0909090909090912E-2</v>
      </c>
      <c r="N602">
        <f t="shared" si="78"/>
        <v>0.27272727272727271</v>
      </c>
      <c r="O602">
        <f t="shared" si="79"/>
        <v>2.6315789473684209E-2</v>
      </c>
      <c r="P602">
        <f t="shared" si="80"/>
        <v>2.7397260273972601E-2</v>
      </c>
    </row>
    <row r="603" spans="1:16" x14ac:dyDescent="0.4">
      <c r="A603">
        <v>0.4</v>
      </c>
      <c r="B603">
        <v>0.26666666666666666</v>
      </c>
      <c r="C603" s="23">
        <v>0.17391304347826086</v>
      </c>
      <c r="D603">
        <v>0.2</v>
      </c>
      <c r="E603">
        <v>0</v>
      </c>
      <c r="F603">
        <v>9.5238095238095233E-2</v>
      </c>
      <c r="G603">
        <v>7.1428571428571425E-2</v>
      </c>
      <c r="H603">
        <v>0.5714285714285714</v>
      </c>
      <c r="I603">
        <f t="shared" si="73"/>
        <v>0.4</v>
      </c>
      <c r="J603">
        <f t="shared" si="74"/>
        <v>0.26666666666666666</v>
      </c>
      <c r="K603">
        <f t="shared" si="75"/>
        <v>0.17391304347826086</v>
      </c>
      <c r="L603">
        <f t="shared" si="76"/>
        <v>0.2</v>
      </c>
      <c r="M603">
        <f t="shared" si="77"/>
        <v>0</v>
      </c>
      <c r="N603">
        <f t="shared" si="78"/>
        <v>9.5238095238095233E-2</v>
      </c>
      <c r="O603">
        <f t="shared" si="79"/>
        <v>7.1428571428571425E-2</v>
      </c>
      <c r="P603">
        <f t="shared" si="80"/>
        <v>0.5714285714285714</v>
      </c>
    </row>
    <row r="604" spans="1:16" x14ac:dyDescent="0.4">
      <c r="A604">
        <v>0.33333333333333331</v>
      </c>
      <c r="B604">
        <v>0.30769230769230771</v>
      </c>
      <c r="C604" s="24">
        <v>0.5</v>
      </c>
      <c r="D604">
        <v>0.21052631578947367</v>
      </c>
      <c r="E604">
        <v>0</v>
      </c>
      <c r="F604">
        <v>0.14285714285714285</v>
      </c>
      <c r="G604">
        <v>0</v>
      </c>
      <c r="H604">
        <v>0</v>
      </c>
      <c r="I604">
        <f t="shared" si="73"/>
        <v>0.33333333333333331</v>
      </c>
      <c r="J604">
        <f t="shared" si="74"/>
        <v>0.30769230769230771</v>
      </c>
      <c r="K604">
        <f t="shared" si="75"/>
        <v>0.5</v>
      </c>
      <c r="L604">
        <f t="shared" si="76"/>
        <v>0.21052631578947367</v>
      </c>
      <c r="M604">
        <f t="shared" si="77"/>
        <v>0</v>
      </c>
      <c r="N604">
        <f t="shared" si="78"/>
        <v>0.14285714285714285</v>
      </c>
      <c r="O604">
        <f t="shared" si="79"/>
        <v>0</v>
      </c>
      <c r="P604">
        <f t="shared" si="80"/>
        <v>0</v>
      </c>
    </row>
    <row r="605" spans="1:16" x14ac:dyDescent="0.4">
      <c r="A605">
        <v>0.21052631578947367</v>
      </c>
      <c r="B605">
        <v>3.8461538461538464E-2</v>
      </c>
      <c r="C605" s="23">
        <v>0</v>
      </c>
      <c r="D605">
        <v>0.2857142857142857</v>
      </c>
      <c r="E605">
        <v>5.8823529411764705E-2</v>
      </c>
      <c r="F605">
        <v>0.4</v>
      </c>
      <c r="G605">
        <v>0.18181818181818182</v>
      </c>
      <c r="H605">
        <v>0</v>
      </c>
      <c r="I605">
        <f t="shared" si="73"/>
        <v>0.21052631578947367</v>
      </c>
      <c r="J605">
        <f t="shared" si="74"/>
        <v>3.8461538461538464E-2</v>
      </c>
      <c r="K605">
        <f t="shared" si="75"/>
        <v>0</v>
      </c>
      <c r="L605">
        <f t="shared" si="76"/>
        <v>0.2857142857142857</v>
      </c>
      <c r="M605">
        <f t="shared" si="77"/>
        <v>5.8823529411764705E-2</v>
      </c>
      <c r="N605">
        <f t="shared" si="78"/>
        <v>0.4</v>
      </c>
      <c r="O605">
        <f t="shared" si="79"/>
        <v>0.18181818181818182</v>
      </c>
      <c r="P605">
        <f t="shared" si="80"/>
        <v>0</v>
      </c>
    </row>
    <row r="606" spans="1:16" x14ac:dyDescent="0.4">
      <c r="A606">
        <v>0.4</v>
      </c>
      <c r="B606">
        <v>0.19047619047619047</v>
      </c>
      <c r="C606" s="24">
        <v>8.6956521739130432E-2</v>
      </c>
      <c r="D606">
        <v>0.2857142857142857</v>
      </c>
      <c r="E606">
        <v>0</v>
      </c>
      <c r="F606">
        <v>0.21052631578947367</v>
      </c>
      <c r="G606">
        <v>0</v>
      </c>
      <c r="H606">
        <v>7.6923076923076927E-2</v>
      </c>
      <c r="I606">
        <f t="shared" si="73"/>
        <v>0.4</v>
      </c>
      <c r="J606">
        <f t="shared" si="74"/>
        <v>0.19047619047619047</v>
      </c>
      <c r="K606">
        <f t="shared" si="75"/>
        <v>8.6956521739130432E-2</v>
      </c>
      <c r="L606">
        <f t="shared" si="76"/>
        <v>0.2857142857142857</v>
      </c>
      <c r="M606">
        <f t="shared" si="77"/>
        <v>0</v>
      </c>
      <c r="N606">
        <f t="shared" si="78"/>
        <v>0.21052631578947367</v>
      </c>
      <c r="O606">
        <f t="shared" si="79"/>
        <v>0</v>
      </c>
      <c r="P606">
        <f t="shared" si="80"/>
        <v>7.6923076923076927E-2</v>
      </c>
    </row>
    <row r="607" spans="1:16" x14ac:dyDescent="0.4">
      <c r="A607">
        <v>0.2</v>
      </c>
      <c r="B607">
        <v>0.17391304347826086</v>
      </c>
      <c r="C607" s="23">
        <v>0</v>
      </c>
      <c r="D607">
        <v>0.23529411764705882</v>
      </c>
      <c r="E607">
        <v>0.16666666666666666</v>
      </c>
      <c r="F607">
        <v>0.15384615384615385</v>
      </c>
      <c r="G607">
        <v>0.1</v>
      </c>
      <c r="H607">
        <v>0.125</v>
      </c>
      <c r="I607">
        <f t="shared" si="73"/>
        <v>0.2</v>
      </c>
      <c r="J607">
        <f t="shared" si="74"/>
        <v>0.17391304347826086</v>
      </c>
      <c r="K607">
        <f t="shared" si="75"/>
        <v>0</v>
      </c>
      <c r="L607">
        <f t="shared" si="76"/>
        <v>0.23529411764705882</v>
      </c>
      <c r="M607">
        <f t="shared" si="77"/>
        <v>0.16666666666666666</v>
      </c>
      <c r="N607">
        <f t="shared" si="78"/>
        <v>0.15384615384615385</v>
      </c>
      <c r="O607">
        <f t="shared" si="79"/>
        <v>0.1</v>
      </c>
      <c r="P607">
        <f t="shared" si="80"/>
        <v>0.125</v>
      </c>
    </row>
    <row r="608" spans="1:16" x14ac:dyDescent="0.4">
      <c r="A608">
        <v>0.14814814814814814</v>
      </c>
      <c r="B608">
        <v>0.125</v>
      </c>
      <c r="C608" s="24">
        <v>0.33333333333333331</v>
      </c>
      <c r="D608">
        <v>7.2727272727272724E-2</v>
      </c>
      <c r="E608">
        <v>0</v>
      </c>
      <c r="F608">
        <v>0</v>
      </c>
      <c r="G608">
        <v>6.8965517241379309E-2</v>
      </c>
      <c r="H608">
        <v>4.6153846153846156E-2</v>
      </c>
      <c r="I608">
        <f t="shared" si="73"/>
        <v>0.14814814814814814</v>
      </c>
      <c r="J608">
        <f t="shared" si="74"/>
        <v>0.125</v>
      </c>
      <c r="K608">
        <f t="shared" si="75"/>
        <v>0.33333333333333331</v>
      </c>
      <c r="L608">
        <f t="shared" si="76"/>
        <v>7.2727272727272724E-2</v>
      </c>
      <c r="M608">
        <f t="shared" si="77"/>
        <v>0</v>
      </c>
      <c r="N608">
        <f t="shared" si="78"/>
        <v>0</v>
      </c>
      <c r="O608">
        <f t="shared" si="79"/>
        <v>6.8965517241379309E-2</v>
      </c>
      <c r="P608">
        <f t="shared" si="80"/>
        <v>4.6153846153846156E-2</v>
      </c>
    </row>
    <row r="609" spans="1:16" x14ac:dyDescent="0.4">
      <c r="A609">
        <v>0.36363636363636365</v>
      </c>
      <c r="B609">
        <v>0.22222222222222221</v>
      </c>
      <c r="C609" s="23">
        <v>0.15384615384615385</v>
      </c>
      <c r="D609">
        <v>0.33333333333333331</v>
      </c>
      <c r="E609">
        <v>0</v>
      </c>
      <c r="F609">
        <v>0.36363636363636365</v>
      </c>
      <c r="G609">
        <v>0</v>
      </c>
      <c r="H609">
        <v>0.1</v>
      </c>
      <c r="I609">
        <f t="shared" si="73"/>
        <v>0.36363636363636365</v>
      </c>
      <c r="J609">
        <f t="shared" si="74"/>
        <v>0.22222222222222221</v>
      </c>
      <c r="K609">
        <f t="shared" si="75"/>
        <v>0.15384615384615385</v>
      </c>
      <c r="L609">
        <f t="shared" si="76"/>
        <v>0.33333333333333331</v>
      </c>
      <c r="M609">
        <f t="shared" si="77"/>
        <v>0</v>
      </c>
      <c r="N609">
        <f t="shared" si="78"/>
        <v>0.36363636363636365</v>
      </c>
      <c r="O609">
        <f t="shared" si="79"/>
        <v>0</v>
      </c>
      <c r="P609">
        <f t="shared" si="80"/>
        <v>0.1</v>
      </c>
    </row>
    <row r="610" spans="1:16" x14ac:dyDescent="0.4">
      <c r="A610">
        <v>0.12903225806451613</v>
      </c>
      <c r="B610">
        <v>0.26666666666666666</v>
      </c>
      <c r="C610" s="24">
        <v>0.16666666666666666</v>
      </c>
      <c r="D610">
        <v>0.66666666666666663</v>
      </c>
      <c r="E610">
        <v>7.407407407407407E-2</v>
      </c>
      <c r="F610">
        <v>0.26666666666666666</v>
      </c>
      <c r="G610">
        <v>0.15384615384615385</v>
      </c>
      <c r="H610">
        <v>0.2</v>
      </c>
      <c r="I610">
        <f t="shared" si="73"/>
        <v>0.12903225806451613</v>
      </c>
      <c r="J610">
        <f t="shared" si="74"/>
        <v>0.26666666666666666</v>
      </c>
      <c r="K610">
        <f t="shared" si="75"/>
        <v>0.16666666666666666</v>
      </c>
      <c r="L610">
        <f t="shared" si="76"/>
        <v>0.66666666666666663</v>
      </c>
      <c r="M610">
        <f t="shared" si="77"/>
        <v>7.407407407407407E-2</v>
      </c>
      <c r="N610">
        <f t="shared" si="78"/>
        <v>0.26666666666666666</v>
      </c>
      <c r="O610">
        <f t="shared" si="79"/>
        <v>0.15384615384615385</v>
      </c>
      <c r="P610">
        <f t="shared" si="80"/>
        <v>0.2</v>
      </c>
    </row>
    <row r="611" spans="1:16" x14ac:dyDescent="0.4">
      <c r="A611">
        <v>0.13793103448275862</v>
      </c>
      <c r="B611">
        <v>0.30769230769230771</v>
      </c>
      <c r="C611" s="23">
        <v>0.125</v>
      </c>
      <c r="D611">
        <v>0.30769230769230771</v>
      </c>
      <c r="E611">
        <v>0.11538461538461539</v>
      </c>
      <c r="F611">
        <v>0.125</v>
      </c>
      <c r="G611">
        <v>0</v>
      </c>
      <c r="H611">
        <v>0</v>
      </c>
      <c r="I611">
        <f t="shared" si="73"/>
        <v>0.13793103448275862</v>
      </c>
      <c r="J611">
        <f t="shared" si="74"/>
        <v>0.30769230769230771</v>
      </c>
      <c r="K611">
        <f t="shared" si="75"/>
        <v>0.125</v>
      </c>
      <c r="L611">
        <f t="shared" si="76"/>
        <v>0.30769230769230771</v>
      </c>
      <c r="M611">
        <f t="shared" si="77"/>
        <v>0.11538461538461539</v>
      </c>
      <c r="N611">
        <f t="shared" si="78"/>
        <v>0.125</v>
      </c>
      <c r="O611">
        <f t="shared" si="79"/>
        <v>0</v>
      </c>
      <c r="P611">
        <f t="shared" si="80"/>
        <v>0</v>
      </c>
    </row>
    <row r="612" spans="1:16" x14ac:dyDescent="0.4">
      <c r="A612">
        <v>0.44444444444444442</v>
      </c>
      <c r="B612">
        <v>0.18181818181818182</v>
      </c>
      <c r="C612" s="24">
        <v>0.66666666666666663</v>
      </c>
      <c r="D612">
        <v>0.33333333333333331</v>
      </c>
      <c r="E612">
        <v>0.2857142857142857</v>
      </c>
      <c r="F612">
        <v>0.2</v>
      </c>
      <c r="G612">
        <v>0</v>
      </c>
      <c r="H612">
        <v>0</v>
      </c>
      <c r="I612">
        <f t="shared" si="73"/>
        <v>0.44444444444444442</v>
      </c>
      <c r="J612">
        <f t="shared" si="74"/>
        <v>0.18181818181818182</v>
      </c>
      <c r="K612">
        <f t="shared" si="75"/>
        <v>0.66666666666666663</v>
      </c>
      <c r="L612">
        <f t="shared" si="76"/>
        <v>0.33333333333333331</v>
      </c>
      <c r="M612">
        <f t="shared" si="77"/>
        <v>0.2857142857142857</v>
      </c>
      <c r="N612">
        <f t="shared" si="78"/>
        <v>0.2</v>
      </c>
      <c r="O612">
        <f t="shared" si="79"/>
        <v>0</v>
      </c>
      <c r="P612">
        <f t="shared" si="80"/>
        <v>0</v>
      </c>
    </row>
    <row r="613" spans="1:16" x14ac:dyDescent="0.4">
      <c r="A613">
        <v>0.5</v>
      </c>
      <c r="B613">
        <v>0.14814814814814814</v>
      </c>
      <c r="C613" s="23">
        <v>8.5714285714285715E-2</v>
      </c>
      <c r="D613">
        <v>0.15384615384615385</v>
      </c>
      <c r="E613">
        <v>0.1111111111111111</v>
      </c>
      <c r="F613">
        <v>0.125</v>
      </c>
      <c r="G613">
        <v>2.7777777777777776E-2</v>
      </c>
      <c r="H613">
        <v>0.26666666666666666</v>
      </c>
      <c r="I613">
        <f t="shared" si="73"/>
        <v>0.5</v>
      </c>
      <c r="J613">
        <f t="shared" si="74"/>
        <v>0.14814814814814814</v>
      </c>
      <c r="K613">
        <f t="shared" si="75"/>
        <v>8.5714285714285715E-2</v>
      </c>
      <c r="L613">
        <f t="shared" si="76"/>
        <v>0.15384615384615385</v>
      </c>
      <c r="M613">
        <f t="shared" si="77"/>
        <v>0.1111111111111111</v>
      </c>
      <c r="N613">
        <f t="shared" si="78"/>
        <v>0.125</v>
      </c>
      <c r="O613">
        <f t="shared" si="79"/>
        <v>2.7777777777777776E-2</v>
      </c>
      <c r="P613">
        <f t="shared" si="80"/>
        <v>0.26666666666666666</v>
      </c>
    </row>
    <row r="614" spans="1:16" x14ac:dyDescent="0.4">
      <c r="A614">
        <v>0.23529411764705882</v>
      </c>
      <c r="B614">
        <v>0.22222222222222221</v>
      </c>
      <c r="C614" s="24">
        <v>0.3</v>
      </c>
      <c r="D614">
        <v>0.125</v>
      </c>
      <c r="E614">
        <v>6.6666666666666666E-2</v>
      </c>
      <c r="F614">
        <v>0.5714285714285714</v>
      </c>
      <c r="G614">
        <v>0.13333333333333333</v>
      </c>
      <c r="H614">
        <v>0.13793103448275862</v>
      </c>
      <c r="I614">
        <f t="shared" si="73"/>
        <v>0.23529411764705882</v>
      </c>
      <c r="J614">
        <f t="shared" si="74"/>
        <v>0.22222222222222221</v>
      </c>
      <c r="K614">
        <f t="shared" si="75"/>
        <v>0.3</v>
      </c>
      <c r="L614">
        <f t="shared" si="76"/>
        <v>0.125</v>
      </c>
      <c r="M614">
        <f t="shared" si="77"/>
        <v>6.6666666666666666E-2</v>
      </c>
      <c r="N614">
        <f t="shared" si="78"/>
        <v>0.5714285714285714</v>
      </c>
      <c r="O614">
        <f t="shared" si="79"/>
        <v>0.13333333333333333</v>
      </c>
      <c r="P614">
        <f t="shared" si="80"/>
        <v>0.13793103448275862</v>
      </c>
    </row>
    <row r="615" spans="1:16" x14ac:dyDescent="0.4">
      <c r="A615">
        <v>0.16</v>
      </c>
      <c r="B615">
        <v>0.2</v>
      </c>
      <c r="C615" s="23">
        <v>0.44444444444444442</v>
      </c>
      <c r="D615">
        <v>9.7560975609756101E-2</v>
      </c>
      <c r="E615">
        <v>0</v>
      </c>
      <c r="F615">
        <v>0.14285714285714285</v>
      </c>
      <c r="G615">
        <v>5.5555555555555552E-2</v>
      </c>
      <c r="H615">
        <v>2.4390243902439025E-2</v>
      </c>
      <c r="I615">
        <f t="shared" si="73"/>
        <v>0.16</v>
      </c>
      <c r="J615">
        <f t="shared" si="74"/>
        <v>0.2</v>
      </c>
      <c r="K615">
        <f t="shared" si="75"/>
        <v>0.44444444444444442</v>
      </c>
      <c r="L615">
        <f t="shared" si="76"/>
        <v>9.7560975609756101E-2</v>
      </c>
      <c r="M615">
        <f t="shared" si="77"/>
        <v>0</v>
      </c>
      <c r="N615">
        <f t="shared" si="78"/>
        <v>0.14285714285714285</v>
      </c>
      <c r="O615">
        <f t="shared" si="79"/>
        <v>5.5555555555555552E-2</v>
      </c>
      <c r="P615">
        <f t="shared" si="80"/>
        <v>2.4390243902439025E-2</v>
      </c>
    </row>
    <row r="616" spans="1:16" x14ac:dyDescent="0.4">
      <c r="A616">
        <v>0.44444444444444442</v>
      </c>
      <c r="B616">
        <v>0.14285714285714285</v>
      </c>
      <c r="C616" s="24">
        <v>0.4</v>
      </c>
      <c r="D616">
        <v>0.11538461538461539</v>
      </c>
      <c r="E616">
        <v>0</v>
      </c>
      <c r="F616">
        <v>1</v>
      </c>
      <c r="G616">
        <v>3.5714285714285712E-2</v>
      </c>
      <c r="H616">
        <v>0.18181818181818182</v>
      </c>
      <c r="I616">
        <f t="shared" si="73"/>
        <v>0.44444444444444442</v>
      </c>
      <c r="J616">
        <f t="shared" si="74"/>
        <v>0.14285714285714285</v>
      </c>
      <c r="K616">
        <f t="shared" si="75"/>
        <v>0.4</v>
      </c>
      <c r="L616">
        <f t="shared" si="76"/>
        <v>0.11538461538461539</v>
      </c>
      <c r="M616">
        <f t="shared" si="77"/>
        <v>0</v>
      </c>
      <c r="N616">
        <f t="shared" si="78"/>
        <v>1</v>
      </c>
      <c r="O616">
        <f t="shared" si="79"/>
        <v>3.5714285714285712E-2</v>
      </c>
      <c r="P616">
        <f t="shared" si="80"/>
        <v>0.18181818181818182</v>
      </c>
    </row>
    <row r="617" spans="1:16" x14ac:dyDescent="0.4">
      <c r="A617">
        <v>0</v>
      </c>
      <c r="B617">
        <v>8.8888888888888892E-2</v>
      </c>
      <c r="C617" s="23">
        <v>6.8965517241379309E-2</v>
      </c>
      <c r="D617">
        <v>0.66666666666666663</v>
      </c>
      <c r="E617">
        <v>0.30769230769230771</v>
      </c>
      <c r="F617">
        <v>0.16</v>
      </c>
      <c r="G617">
        <v>6.25E-2</v>
      </c>
      <c r="H617">
        <v>0.66666666666666663</v>
      </c>
      <c r="I617">
        <f t="shared" si="73"/>
        <v>0</v>
      </c>
      <c r="J617">
        <f t="shared" si="74"/>
        <v>8.8888888888888892E-2</v>
      </c>
      <c r="K617">
        <f t="shared" si="75"/>
        <v>6.8965517241379309E-2</v>
      </c>
      <c r="L617">
        <f t="shared" si="76"/>
        <v>0.66666666666666663</v>
      </c>
      <c r="M617">
        <f t="shared" si="77"/>
        <v>0.30769230769230771</v>
      </c>
      <c r="N617">
        <f t="shared" si="78"/>
        <v>0.16</v>
      </c>
      <c r="O617">
        <f t="shared" si="79"/>
        <v>6.25E-2</v>
      </c>
      <c r="P617">
        <f t="shared" si="80"/>
        <v>0.66666666666666663</v>
      </c>
    </row>
    <row r="618" spans="1:16" x14ac:dyDescent="0.4">
      <c r="A618">
        <v>0</v>
      </c>
      <c r="B618">
        <v>0.44444444444444442</v>
      </c>
      <c r="C618" s="24">
        <v>9.7560975609756101E-2</v>
      </c>
      <c r="D618">
        <v>0</v>
      </c>
      <c r="E618">
        <v>0.66666666666666663</v>
      </c>
      <c r="F618">
        <v>5.2631578947368418E-2</v>
      </c>
      <c r="G618">
        <v>0.2857142857142857</v>
      </c>
      <c r="H618">
        <v>0.4</v>
      </c>
      <c r="I618">
        <f t="shared" si="73"/>
        <v>0</v>
      </c>
      <c r="J618">
        <f t="shared" si="74"/>
        <v>0.44444444444444442</v>
      </c>
      <c r="K618">
        <f t="shared" si="75"/>
        <v>9.7560975609756101E-2</v>
      </c>
      <c r="L618">
        <f t="shared" si="76"/>
        <v>0</v>
      </c>
      <c r="M618">
        <f t="shared" si="77"/>
        <v>0.66666666666666663</v>
      </c>
      <c r="N618">
        <f t="shared" si="78"/>
        <v>5.2631578947368418E-2</v>
      </c>
      <c r="O618">
        <f t="shared" si="79"/>
        <v>0.2857142857142857</v>
      </c>
      <c r="P618">
        <f t="shared" si="80"/>
        <v>0.4</v>
      </c>
    </row>
    <row r="619" spans="1:16" x14ac:dyDescent="0.4">
      <c r="A619">
        <v>0</v>
      </c>
      <c r="B619">
        <v>0.16666666666666666</v>
      </c>
      <c r="C619" s="23">
        <v>0.23529411764705882</v>
      </c>
      <c r="D619">
        <v>0.5</v>
      </c>
      <c r="E619">
        <v>0.19047619047619047</v>
      </c>
      <c r="F619">
        <v>0</v>
      </c>
      <c r="G619">
        <v>9.5238095238095233E-2</v>
      </c>
      <c r="H619">
        <v>0</v>
      </c>
      <c r="I619">
        <f t="shared" si="73"/>
        <v>0</v>
      </c>
      <c r="J619">
        <f t="shared" si="74"/>
        <v>0.16666666666666666</v>
      </c>
      <c r="K619">
        <f t="shared" si="75"/>
        <v>0.23529411764705882</v>
      </c>
      <c r="L619">
        <f t="shared" si="76"/>
        <v>0.5</v>
      </c>
      <c r="M619">
        <f t="shared" si="77"/>
        <v>0.19047619047619047</v>
      </c>
      <c r="N619">
        <f t="shared" si="78"/>
        <v>0</v>
      </c>
      <c r="O619">
        <f t="shared" si="79"/>
        <v>9.5238095238095233E-2</v>
      </c>
      <c r="P619">
        <f t="shared" si="80"/>
        <v>0</v>
      </c>
    </row>
    <row r="620" spans="1:16" x14ac:dyDescent="0.4">
      <c r="A620">
        <v>0</v>
      </c>
      <c r="B620">
        <v>0.21052631578947367</v>
      </c>
      <c r="C620" s="24">
        <v>0.25</v>
      </c>
      <c r="D620">
        <v>0.30769230769230771</v>
      </c>
      <c r="E620">
        <v>0.21052631578947367</v>
      </c>
      <c r="F620">
        <v>0</v>
      </c>
      <c r="G620">
        <v>0.11764705882352941</v>
      </c>
      <c r="H620">
        <v>0.33333333333333331</v>
      </c>
      <c r="I620">
        <f t="shared" si="73"/>
        <v>0</v>
      </c>
      <c r="J620">
        <f t="shared" si="74"/>
        <v>0.21052631578947367</v>
      </c>
      <c r="K620">
        <f t="shared" si="75"/>
        <v>0.25</v>
      </c>
      <c r="L620">
        <f t="shared" si="76"/>
        <v>0.30769230769230771</v>
      </c>
      <c r="M620">
        <f t="shared" si="77"/>
        <v>0.21052631578947367</v>
      </c>
      <c r="N620">
        <f t="shared" si="78"/>
        <v>0</v>
      </c>
      <c r="O620">
        <f t="shared" si="79"/>
        <v>0.11764705882352941</v>
      </c>
      <c r="P620">
        <f t="shared" si="80"/>
        <v>0.33333333333333331</v>
      </c>
    </row>
    <row r="621" spans="1:16" x14ac:dyDescent="0.4">
      <c r="A621">
        <v>0.26666666666666666</v>
      </c>
      <c r="B621">
        <v>0.26666666666666666</v>
      </c>
      <c r="C621" s="23">
        <v>0.2857142857142857</v>
      </c>
      <c r="D621">
        <v>0.33333333333333331</v>
      </c>
      <c r="E621">
        <v>0</v>
      </c>
      <c r="F621">
        <v>0.14285714285714285</v>
      </c>
      <c r="G621">
        <v>7.6923076923076927E-2</v>
      </c>
      <c r="H621">
        <v>0.19047619047619047</v>
      </c>
      <c r="I621">
        <f t="shared" si="73"/>
        <v>0.26666666666666666</v>
      </c>
      <c r="J621">
        <f t="shared" si="74"/>
        <v>0.26666666666666666</v>
      </c>
      <c r="K621">
        <f t="shared" si="75"/>
        <v>0.2857142857142857</v>
      </c>
      <c r="L621">
        <f t="shared" si="76"/>
        <v>0.33333333333333331</v>
      </c>
      <c r="M621">
        <f t="shared" si="77"/>
        <v>0</v>
      </c>
      <c r="N621">
        <f t="shared" si="78"/>
        <v>0.14285714285714285</v>
      </c>
      <c r="O621">
        <f t="shared" si="79"/>
        <v>7.6923076923076927E-2</v>
      </c>
      <c r="P621">
        <f t="shared" si="80"/>
        <v>0.19047619047619047</v>
      </c>
    </row>
    <row r="622" spans="1:16" x14ac:dyDescent="0.4">
      <c r="A622">
        <v>0.36363636363636365</v>
      </c>
      <c r="B622">
        <v>0.26666666666666666</v>
      </c>
      <c r="C622" s="24">
        <v>0.21052631578947367</v>
      </c>
      <c r="D622">
        <v>0.21052631578947367</v>
      </c>
      <c r="E622">
        <v>0.2</v>
      </c>
      <c r="F622">
        <v>0</v>
      </c>
      <c r="G622">
        <v>0.25</v>
      </c>
      <c r="H622">
        <v>5.8823529411764705E-2</v>
      </c>
      <c r="I622">
        <f t="shared" si="73"/>
        <v>0.36363636363636365</v>
      </c>
      <c r="J622">
        <f t="shared" si="74"/>
        <v>0.26666666666666666</v>
      </c>
      <c r="K622">
        <f t="shared" si="75"/>
        <v>0.21052631578947367</v>
      </c>
      <c r="L622">
        <f t="shared" si="76"/>
        <v>0.21052631578947367</v>
      </c>
      <c r="M622">
        <f t="shared" si="77"/>
        <v>0.2</v>
      </c>
      <c r="N622">
        <f t="shared" si="78"/>
        <v>0</v>
      </c>
      <c r="O622">
        <f t="shared" si="79"/>
        <v>0.25</v>
      </c>
      <c r="P622">
        <f t="shared" si="80"/>
        <v>5.8823529411764705E-2</v>
      </c>
    </row>
    <row r="623" spans="1:16" x14ac:dyDescent="0.4">
      <c r="A623">
        <v>0.125</v>
      </c>
      <c r="B623">
        <v>0.25</v>
      </c>
      <c r="C623" s="23">
        <v>0.12903225806451613</v>
      </c>
      <c r="D623">
        <v>3.614457831325301E-2</v>
      </c>
      <c r="E623">
        <v>6.6666666666666666E-2</v>
      </c>
      <c r="F623">
        <v>3.3333333333333333E-2</v>
      </c>
      <c r="G623">
        <v>0</v>
      </c>
      <c r="H623">
        <v>0</v>
      </c>
      <c r="I623">
        <f t="shared" si="73"/>
        <v>0.125</v>
      </c>
      <c r="J623">
        <f t="shared" si="74"/>
        <v>0.25</v>
      </c>
      <c r="K623">
        <f t="shared" si="75"/>
        <v>0.12903225806451613</v>
      </c>
      <c r="L623">
        <f t="shared" si="76"/>
        <v>3.614457831325301E-2</v>
      </c>
      <c r="M623">
        <f t="shared" si="77"/>
        <v>6.6666666666666666E-2</v>
      </c>
      <c r="N623">
        <f t="shared" si="78"/>
        <v>3.3333333333333333E-2</v>
      </c>
      <c r="O623">
        <f t="shared" si="79"/>
        <v>0</v>
      </c>
      <c r="P623">
        <f t="shared" si="80"/>
        <v>0</v>
      </c>
    </row>
    <row r="624" spans="1:16" x14ac:dyDescent="0.4">
      <c r="A624">
        <v>0.17391304347826086</v>
      </c>
      <c r="B624">
        <v>0.2857142857142857</v>
      </c>
      <c r="C624" s="24">
        <v>0.4</v>
      </c>
      <c r="D624">
        <v>0.14285714285714285</v>
      </c>
      <c r="E624">
        <v>0.08</v>
      </c>
      <c r="F624">
        <v>0.1111111111111111</v>
      </c>
      <c r="G624">
        <v>8.3333333333333329E-2</v>
      </c>
      <c r="H624">
        <v>0.15384615384615385</v>
      </c>
      <c r="I624">
        <f t="shared" si="73"/>
        <v>0.17391304347826086</v>
      </c>
      <c r="J624">
        <f t="shared" si="74"/>
        <v>0.2857142857142857</v>
      </c>
      <c r="K624">
        <f t="shared" si="75"/>
        <v>0.4</v>
      </c>
      <c r="L624">
        <f t="shared" si="76"/>
        <v>0.14285714285714285</v>
      </c>
      <c r="M624">
        <f t="shared" si="77"/>
        <v>0.08</v>
      </c>
      <c r="N624">
        <f t="shared" si="78"/>
        <v>0.1111111111111111</v>
      </c>
      <c r="O624">
        <f t="shared" si="79"/>
        <v>8.3333333333333329E-2</v>
      </c>
      <c r="P624">
        <f t="shared" si="80"/>
        <v>0.15384615384615385</v>
      </c>
    </row>
    <row r="625" spans="1:16" x14ac:dyDescent="0.4">
      <c r="A625">
        <v>0</v>
      </c>
      <c r="B625">
        <v>0.30769230769230771</v>
      </c>
      <c r="C625" s="23">
        <v>0.25</v>
      </c>
      <c r="D625">
        <v>5.4794520547945202E-2</v>
      </c>
      <c r="E625">
        <v>0.14814814814814814</v>
      </c>
      <c r="F625">
        <v>0.13333333333333333</v>
      </c>
      <c r="G625">
        <v>7.1428571428571425E-2</v>
      </c>
      <c r="H625">
        <v>2.1505376344086023E-2</v>
      </c>
      <c r="I625">
        <f t="shared" si="73"/>
        <v>0</v>
      </c>
      <c r="J625">
        <f t="shared" si="74"/>
        <v>0.30769230769230771</v>
      </c>
      <c r="K625">
        <f t="shared" si="75"/>
        <v>0.25</v>
      </c>
      <c r="L625">
        <f t="shared" si="76"/>
        <v>5.4794520547945202E-2</v>
      </c>
      <c r="M625">
        <f t="shared" si="77"/>
        <v>0.14814814814814814</v>
      </c>
      <c r="N625">
        <f t="shared" si="78"/>
        <v>0.13333333333333333</v>
      </c>
      <c r="O625">
        <f t="shared" si="79"/>
        <v>7.1428571428571425E-2</v>
      </c>
      <c r="P625">
        <f t="shared" si="80"/>
        <v>2.1505376344086023E-2</v>
      </c>
    </row>
    <row r="626" spans="1:16" x14ac:dyDescent="0.4">
      <c r="A626">
        <v>0.12121212121212122</v>
      </c>
      <c r="B626">
        <v>0.10526315789473684</v>
      </c>
      <c r="C626" s="24">
        <v>0.10526315789473684</v>
      </c>
      <c r="D626">
        <v>0.21052631578947367</v>
      </c>
      <c r="E626">
        <v>0.10344827586206896</v>
      </c>
      <c r="F626">
        <v>8.5714285714285715E-2</v>
      </c>
      <c r="G626">
        <v>0.26666666666666666</v>
      </c>
      <c r="H626">
        <v>0.16666666666666666</v>
      </c>
      <c r="I626">
        <f t="shared" si="73"/>
        <v>0.12121212121212122</v>
      </c>
      <c r="J626">
        <f t="shared" si="74"/>
        <v>0.10526315789473684</v>
      </c>
      <c r="K626">
        <f t="shared" si="75"/>
        <v>0.10526315789473684</v>
      </c>
      <c r="L626">
        <f t="shared" si="76"/>
        <v>0.21052631578947367</v>
      </c>
      <c r="M626">
        <f t="shared" si="77"/>
        <v>0.10344827586206896</v>
      </c>
      <c r="N626">
        <f t="shared" si="78"/>
        <v>8.5714285714285715E-2</v>
      </c>
      <c r="O626">
        <f t="shared" si="79"/>
        <v>0.26666666666666666</v>
      </c>
      <c r="P626">
        <f t="shared" si="80"/>
        <v>0.16666666666666666</v>
      </c>
    </row>
    <row r="627" spans="1:16" x14ac:dyDescent="0.4">
      <c r="A627">
        <v>0.4</v>
      </c>
      <c r="B627">
        <v>0.26666666666666666</v>
      </c>
      <c r="C627" s="23">
        <v>0.23529411764705882</v>
      </c>
      <c r="D627">
        <v>0.25</v>
      </c>
      <c r="E627">
        <v>0</v>
      </c>
      <c r="F627">
        <v>0.21428571428571427</v>
      </c>
      <c r="G627">
        <v>7.6923076923076927E-2</v>
      </c>
      <c r="H627">
        <v>0.14285714285714285</v>
      </c>
      <c r="I627">
        <f t="shared" si="73"/>
        <v>0.4</v>
      </c>
      <c r="J627">
        <f t="shared" si="74"/>
        <v>0.26666666666666666</v>
      </c>
      <c r="K627">
        <f t="shared" si="75"/>
        <v>0.23529411764705882</v>
      </c>
      <c r="L627">
        <f t="shared" si="76"/>
        <v>0.25</v>
      </c>
      <c r="M627">
        <f t="shared" si="77"/>
        <v>0</v>
      </c>
      <c r="N627">
        <f t="shared" si="78"/>
        <v>0.21428571428571427</v>
      </c>
      <c r="O627">
        <f t="shared" si="79"/>
        <v>7.6923076923076927E-2</v>
      </c>
      <c r="P627">
        <f t="shared" si="80"/>
        <v>0.14285714285714285</v>
      </c>
    </row>
    <row r="628" spans="1:16" x14ac:dyDescent="0.4">
      <c r="A628">
        <v>0.4</v>
      </c>
      <c r="B628">
        <v>0.4</v>
      </c>
      <c r="C628" s="24">
        <v>0.33333333333333331</v>
      </c>
      <c r="D628">
        <v>0.5</v>
      </c>
      <c r="E628">
        <v>0</v>
      </c>
      <c r="F628">
        <v>0</v>
      </c>
      <c r="G628">
        <v>0</v>
      </c>
      <c r="H628">
        <v>0.16666666666666666</v>
      </c>
      <c r="I628">
        <f t="shared" si="73"/>
        <v>0.4</v>
      </c>
      <c r="J628">
        <f t="shared" si="74"/>
        <v>0.4</v>
      </c>
      <c r="K628">
        <f t="shared" si="75"/>
        <v>0.33333333333333331</v>
      </c>
      <c r="L628">
        <f t="shared" si="76"/>
        <v>0.5</v>
      </c>
      <c r="M628">
        <f t="shared" si="77"/>
        <v>0</v>
      </c>
      <c r="N628">
        <f t="shared" si="78"/>
        <v>0</v>
      </c>
      <c r="O628">
        <f t="shared" si="79"/>
        <v>0</v>
      </c>
      <c r="P628">
        <f t="shared" si="80"/>
        <v>0.16666666666666666</v>
      </c>
    </row>
    <row r="629" spans="1:16" x14ac:dyDescent="0.4">
      <c r="A629">
        <v>0.2</v>
      </c>
      <c r="B629">
        <v>0.26666666666666666</v>
      </c>
      <c r="C629" s="23">
        <v>0.44444444444444442</v>
      </c>
      <c r="D629">
        <v>0.66666666666666663</v>
      </c>
      <c r="E629">
        <v>0.1111111111111111</v>
      </c>
      <c r="F629">
        <v>0.1111111111111111</v>
      </c>
      <c r="G629">
        <v>0.25</v>
      </c>
      <c r="H629">
        <v>0</v>
      </c>
      <c r="I629">
        <f t="shared" si="73"/>
        <v>0.2</v>
      </c>
      <c r="J629">
        <f t="shared" si="74"/>
        <v>0.26666666666666666</v>
      </c>
      <c r="K629">
        <f t="shared" si="75"/>
        <v>0.44444444444444442</v>
      </c>
      <c r="L629">
        <f t="shared" si="76"/>
        <v>0.66666666666666663</v>
      </c>
      <c r="M629">
        <f t="shared" si="77"/>
        <v>0.1111111111111111</v>
      </c>
      <c r="N629">
        <f t="shared" si="78"/>
        <v>0.1111111111111111</v>
      </c>
      <c r="O629">
        <f t="shared" si="79"/>
        <v>0.25</v>
      </c>
      <c r="P629">
        <f t="shared" si="80"/>
        <v>0</v>
      </c>
    </row>
    <row r="630" spans="1:16" x14ac:dyDescent="0.4">
      <c r="A630">
        <v>0.15384615384615385</v>
      </c>
      <c r="B630">
        <v>0.4</v>
      </c>
      <c r="C630" s="24">
        <v>0.125</v>
      </c>
      <c r="D630">
        <v>0.21052631578947367</v>
      </c>
      <c r="E630">
        <v>0.13636363636363635</v>
      </c>
      <c r="F630">
        <v>0.10344827586206896</v>
      </c>
      <c r="G630">
        <v>0.1111111111111111</v>
      </c>
      <c r="H630">
        <v>8.3333333333333329E-2</v>
      </c>
      <c r="I630">
        <f t="shared" si="73"/>
        <v>0.15384615384615385</v>
      </c>
      <c r="J630">
        <f t="shared" si="74"/>
        <v>0.4</v>
      </c>
      <c r="K630">
        <f t="shared" si="75"/>
        <v>0.125</v>
      </c>
      <c r="L630">
        <f t="shared" si="76"/>
        <v>0.21052631578947367</v>
      </c>
      <c r="M630">
        <f t="shared" si="77"/>
        <v>0.13636363636363635</v>
      </c>
      <c r="N630">
        <f t="shared" si="78"/>
        <v>0.10344827586206896</v>
      </c>
      <c r="O630">
        <f t="shared" si="79"/>
        <v>0.1111111111111111</v>
      </c>
      <c r="P630">
        <f t="shared" si="80"/>
        <v>8.3333333333333329E-2</v>
      </c>
    </row>
    <row r="631" spans="1:16" x14ac:dyDescent="0.4">
      <c r="A631">
        <v>0.33333333333333331</v>
      </c>
      <c r="B631">
        <v>0.30769230769230771</v>
      </c>
      <c r="C631" s="23">
        <v>0.44444444444444442</v>
      </c>
      <c r="D631">
        <v>0</v>
      </c>
      <c r="E631">
        <v>0</v>
      </c>
      <c r="F631">
        <v>0</v>
      </c>
      <c r="G631">
        <v>0</v>
      </c>
      <c r="H631">
        <v>0.22222222222222221</v>
      </c>
      <c r="I631">
        <f t="shared" si="73"/>
        <v>0.33333333333333331</v>
      </c>
      <c r="J631">
        <f t="shared" si="74"/>
        <v>0.30769230769230771</v>
      </c>
      <c r="K631">
        <f t="shared" si="75"/>
        <v>0.44444444444444442</v>
      </c>
      <c r="L631">
        <f t="shared" si="76"/>
        <v>0</v>
      </c>
      <c r="M631">
        <f t="shared" si="77"/>
        <v>0</v>
      </c>
      <c r="N631">
        <f t="shared" si="78"/>
        <v>0</v>
      </c>
      <c r="O631">
        <f t="shared" si="79"/>
        <v>0</v>
      </c>
      <c r="P631">
        <f t="shared" si="80"/>
        <v>0.22222222222222221</v>
      </c>
    </row>
    <row r="632" spans="1:16" x14ac:dyDescent="0.4">
      <c r="A632">
        <v>0.4</v>
      </c>
      <c r="B632">
        <v>0.44444444444444442</v>
      </c>
      <c r="C632" s="24">
        <v>4.7058823529411764E-2</v>
      </c>
      <c r="D632">
        <v>0.3</v>
      </c>
      <c r="E632">
        <v>0.1111111111111111</v>
      </c>
      <c r="F632">
        <v>2.4691358024691357E-2</v>
      </c>
      <c r="G632">
        <v>0.2857142857142857</v>
      </c>
      <c r="H632">
        <v>0.18181818181818182</v>
      </c>
      <c r="I632">
        <f t="shared" si="73"/>
        <v>0.4</v>
      </c>
      <c r="J632">
        <f t="shared" si="74"/>
        <v>0.44444444444444442</v>
      </c>
      <c r="K632">
        <f t="shared" si="75"/>
        <v>4.7058823529411764E-2</v>
      </c>
      <c r="L632">
        <f t="shared" si="76"/>
        <v>0.3</v>
      </c>
      <c r="M632">
        <f t="shared" si="77"/>
        <v>0.1111111111111111</v>
      </c>
      <c r="N632">
        <f t="shared" si="78"/>
        <v>2.4691358024691357E-2</v>
      </c>
      <c r="O632">
        <f t="shared" si="79"/>
        <v>0.2857142857142857</v>
      </c>
      <c r="P632">
        <f t="shared" si="80"/>
        <v>0.18181818181818182</v>
      </c>
    </row>
    <row r="633" spans="1:16" x14ac:dyDescent="0.4">
      <c r="A633">
        <v>0.30769230769230771</v>
      </c>
      <c r="B633">
        <v>0.21052631578947367</v>
      </c>
      <c r="C633" s="23">
        <v>0.22222222222222221</v>
      </c>
      <c r="D633">
        <v>0.4</v>
      </c>
      <c r="E633">
        <v>8.3333333333333329E-2</v>
      </c>
      <c r="F633">
        <v>5.8823529411764705E-2</v>
      </c>
      <c r="G633">
        <v>0</v>
      </c>
      <c r="H633">
        <v>0</v>
      </c>
      <c r="I633">
        <f t="shared" si="73"/>
        <v>0.30769230769230771</v>
      </c>
      <c r="J633">
        <f t="shared" si="74"/>
        <v>0.21052631578947367</v>
      </c>
      <c r="K633">
        <f t="shared" si="75"/>
        <v>0.22222222222222221</v>
      </c>
      <c r="L633">
        <f t="shared" si="76"/>
        <v>0.4</v>
      </c>
      <c r="M633">
        <f t="shared" si="77"/>
        <v>8.3333333333333329E-2</v>
      </c>
      <c r="N633">
        <f t="shared" si="78"/>
        <v>5.8823529411764705E-2</v>
      </c>
      <c r="O633">
        <f t="shared" si="79"/>
        <v>0</v>
      </c>
      <c r="P633">
        <f t="shared" si="80"/>
        <v>0</v>
      </c>
    </row>
    <row r="634" spans="1:16" x14ac:dyDescent="0.4">
      <c r="A634">
        <v>0.33333333333333331</v>
      </c>
      <c r="B634">
        <v>0.22222222222222221</v>
      </c>
      <c r="C634" s="24">
        <v>0.13333333333333333</v>
      </c>
      <c r="D634">
        <v>0.2</v>
      </c>
      <c r="E634">
        <v>0</v>
      </c>
      <c r="F634">
        <v>0.33333333333333331</v>
      </c>
      <c r="G634">
        <v>0.21428571428571427</v>
      </c>
      <c r="H634">
        <v>0.1875</v>
      </c>
      <c r="I634">
        <f t="shared" si="73"/>
        <v>0.33333333333333331</v>
      </c>
      <c r="J634">
        <f t="shared" si="74"/>
        <v>0.22222222222222221</v>
      </c>
      <c r="K634">
        <f t="shared" si="75"/>
        <v>0.13333333333333333</v>
      </c>
      <c r="L634">
        <f t="shared" si="76"/>
        <v>0.2</v>
      </c>
      <c r="M634">
        <f t="shared" si="77"/>
        <v>0</v>
      </c>
      <c r="N634">
        <f t="shared" si="78"/>
        <v>0.33333333333333331</v>
      </c>
      <c r="O634">
        <f t="shared" si="79"/>
        <v>0.21428571428571427</v>
      </c>
      <c r="P634">
        <f t="shared" si="80"/>
        <v>0.1875</v>
      </c>
    </row>
    <row r="635" spans="1:16" x14ac:dyDescent="0.4">
      <c r="A635">
        <v>0.36363636363636365</v>
      </c>
      <c r="B635">
        <v>0.2857142857142857</v>
      </c>
      <c r="C635" s="23">
        <v>0.36363636363636365</v>
      </c>
      <c r="D635">
        <v>0.3</v>
      </c>
      <c r="E635">
        <v>0.1</v>
      </c>
      <c r="F635">
        <v>0.1111111111111111</v>
      </c>
      <c r="G635">
        <v>8.3333333333333329E-2</v>
      </c>
      <c r="H635">
        <v>0.16666666666666666</v>
      </c>
      <c r="I635">
        <f t="shared" si="73"/>
        <v>0.36363636363636365</v>
      </c>
      <c r="J635">
        <f t="shared" si="74"/>
        <v>0.2857142857142857</v>
      </c>
      <c r="K635">
        <f t="shared" si="75"/>
        <v>0.36363636363636365</v>
      </c>
      <c r="L635">
        <f t="shared" si="76"/>
        <v>0.3</v>
      </c>
      <c r="M635">
        <f t="shared" si="77"/>
        <v>0.1</v>
      </c>
      <c r="N635">
        <f t="shared" si="78"/>
        <v>0.1111111111111111</v>
      </c>
      <c r="O635">
        <f t="shared" si="79"/>
        <v>8.3333333333333329E-2</v>
      </c>
      <c r="P635">
        <f t="shared" si="80"/>
        <v>0.16666666666666666</v>
      </c>
    </row>
    <row r="636" spans="1:16" x14ac:dyDescent="0.4">
      <c r="A636">
        <v>0.4</v>
      </c>
      <c r="B636">
        <v>0.2</v>
      </c>
      <c r="C636" s="24">
        <v>0.30769230769230771</v>
      </c>
      <c r="D636">
        <v>0.2</v>
      </c>
      <c r="E636">
        <v>0</v>
      </c>
      <c r="F636">
        <v>0.33333333333333331</v>
      </c>
      <c r="G636">
        <v>0.1111111111111111</v>
      </c>
      <c r="H636">
        <v>0.66666666666666663</v>
      </c>
      <c r="I636">
        <f t="shared" si="73"/>
        <v>0.4</v>
      </c>
      <c r="J636">
        <f t="shared" si="74"/>
        <v>0.2</v>
      </c>
      <c r="K636">
        <f t="shared" si="75"/>
        <v>0.30769230769230771</v>
      </c>
      <c r="L636">
        <f t="shared" si="76"/>
        <v>0.2</v>
      </c>
      <c r="M636">
        <f t="shared" si="77"/>
        <v>0</v>
      </c>
      <c r="N636">
        <f t="shared" si="78"/>
        <v>0.33333333333333331</v>
      </c>
      <c r="O636">
        <f t="shared" si="79"/>
        <v>0.1111111111111111</v>
      </c>
      <c r="P636">
        <f t="shared" si="80"/>
        <v>0.66666666666666663</v>
      </c>
    </row>
    <row r="637" spans="1:16" x14ac:dyDescent="0.4">
      <c r="A637">
        <v>0.2857142857142857</v>
      </c>
      <c r="B637">
        <v>0.30769230769230771</v>
      </c>
      <c r="C637" s="23">
        <v>0.5</v>
      </c>
      <c r="D637">
        <v>0.23529411764705882</v>
      </c>
      <c r="E637">
        <v>0.16666666666666666</v>
      </c>
      <c r="F637">
        <v>0.5</v>
      </c>
      <c r="G637">
        <v>9.0909090909090912E-2</v>
      </c>
      <c r="H637">
        <v>0.15384615384615385</v>
      </c>
      <c r="I637">
        <f t="shared" si="73"/>
        <v>0.2857142857142857</v>
      </c>
      <c r="J637">
        <f t="shared" si="74"/>
        <v>0.30769230769230771</v>
      </c>
      <c r="K637">
        <f t="shared" si="75"/>
        <v>0.5</v>
      </c>
      <c r="L637">
        <f t="shared" si="76"/>
        <v>0.23529411764705882</v>
      </c>
      <c r="M637">
        <f t="shared" si="77"/>
        <v>0.16666666666666666</v>
      </c>
      <c r="N637">
        <f t="shared" si="78"/>
        <v>0.5</v>
      </c>
      <c r="O637">
        <f t="shared" si="79"/>
        <v>9.0909090909090912E-2</v>
      </c>
      <c r="P637">
        <f t="shared" si="80"/>
        <v>0.15384615384615385</v>
      </c>
    </row>
    <row r="638" spans="1:16" x14ac:dyDescent="0.4">
      <c r="A638">
        <v>0.5</v>
      </c>
      <c r="B638">
        <v>0.22222222222222221</v>
      </c>
      <c r="C638" s="24">
        <v>0.66666666666666663</v>
      </c>
      <c r="D638">
        <v>0.25</v>
      </c>
      <c r="E638">
        <v>0.33333333333333331</v>
      </c>
      <c r="F638">
        <v>0.2</v>
      </c>
      <c r="G638">
        <v>0.125</v>
      </c>
      <c r="H638">
        <v>6.25E-2</v>
      </c>
      <c r="I638">
        <f t="shared" si="73"/>
        <v>0.5</v>
      </c>
      <c r="J638">
        <f t="shared" si="74"/>
        <v>0.22222222222222221</v>
      </c>
      <c r="K638">
        <f t="shared" si="75"/>
        <v>0.66666666666666663</v>
      </c>
      <c r="L638">
        <f t="shared" si="76"/>
        <v>0.25</v>
      </c>
      <c r="M638">
        <f t="shared" si="77"/>
        <v>0.33333333333333331</v>
      </c>
      <c r="N638">
        <f t="shared" si="78"/>
        <v>0.2</v>
      </c>
      <c r="O638">
        <f t="shared" si="79"/>
        <v>0.125</v>
      </c>
      <c r="P638">
        <f t="shared" si="80"/>
        <v>6.25E-2</v>
      </c>
    </row>
    <row r="639" spans="1:16" x14ac:dyDescent="0.4">
      <c r="A639">
        <v>0.30769230769230771</v>
      </c>
      <c r="B639">
        <v>0.11764705882352941</v>
      </c>
      <c r="C639" s="23">
        <v>0.36363636363636365</v>
      </c>
      <c r="D639">
        <v>9.0909090909090912E-2</v>
      </c>
      <c r="E639">
        <v>0</v>
      </c>
      <c r="F639">
        <v>0.1111111111111111</v>
      </c>
      <c r="G639">
        <v>6.4516129032258063E-2</v>
      </c>
      <c r="H639">
        <v>0.5</v>
      </c>
      <c r="I639">
        <f t="shared" si="73"/>
        <v>0.30769230769230771</v>
      </c>
      <c r="J639">
        <f t="shared" si="74"/>
        <v>0.11764705882352941</v>
      </c>
      <c r="K639">
        <f t="shared" si="75"/>
        <v>0.36363636363636365</v>
      </c>
      <c r="L639">
        <f t="shared" si="76"/>
        <v>9.0909090909090912E-2</v>
      </c>
      <c r="M639">
        <f t="shared" si="77"/>
        <v>0</v>
      </c>
      <c r="N639">
        <f t="shared" si="78"/>
        <v>0.1111111111111111</v>
      </c>
      <c r="O639">
        <f t="shared" si="79"/>
        <v>6.4516129032258063E-2</v>
      </c>
      <c r="P639">
        <f t="shared" si="80"/>
        <v>0.5</v>
      </c>
    </row>
    <row r="640" spans="1:16" x14ac:dyDescent="0.4">
      <c r="A640">
        <v>0.4</v>
      </c>
      <c r="B640">
        <v>0</v>
      </c>
      <c r="C640" s="24">
        <v>0.125</v>
      </c>
      <c r="D640">
        <v>5.8823529411764705E-2</v>
      </c>
      <c r="E640">
        <v>0</v>
      </c>
      <c r="F640">
        <v>6.25E-2</v>
      </c>
      <c r="G640">
        <v>0.30769230769230771</v>
      </c>
      <c r="H640">
        <v>0.33333333333333331</v>
      </c>
      <c r="I640">
        <f t="shared" si="73"/>
        <v>0.4</v>
      </c>
      <c r="J640">
        <f t="shared" si="74"/>
        <v>0</v>
      </c>
      <c r="K640">
        <f t="shared" si="75"/>
        <v>0.125</v>
      </c>
      <c r="L640">
        <f t="shared" si="76"/>
        <v>5.8823529411764705E-2</v>
      </c>
      <c r="M640">
        <f t="shared" si="77"/>
        <v>0</v>
      </c>
      <c r="N640">
        <f t="shared" si="78"/>
        <v>6.25E-2</v>
      </c>
      <c r="O640">
        <f t="shared" si="79"/>
        <v>0.30769230769230771</v>
      </c>
      <c r="P640">
        <f t="shared" si="80"/>
        <v>0.33333333333333331</v>
      </c>
    </row>
    <row r="641" spans="1:16" x14ac:dyDescent="0.4">
      <c r="A641">
        <v>0.44444444444444442</v>
      </c>
      <c r="B641">
        <v>0.2857142857142857</v>
      </c>
      <c r="C641" s="23">
        <v>0.21052631578947367</v>
      </c>
      <c r="D641">
        <v>0.33333333333333331</v>
      </c>
      <c r="E641">
        <v>0.2857142857142857</v>
      </c>
      <c r="F641">
        <v>0.11764705882352941</v>
      </c>
      <c r="G641">
        <v>0</v>
      </c>
      <c r="H641">
        <v>0.8</v>
      </c>
      <c r="I641">
        <f t="shared" si="73"/>
        <v>0.44444444444444442</v>
      </c>
      <c r="J641">
        <f t="shared" si="74"/>
        <v>0.2857142857142857</v>
      </c>
      <c r="K641">
        <f t="shared" si="75"/>
        <v>0.21052631578947367</v>
      </c>
      <c r="L641">
        <f t="shared" si="76"/>
        <v>0.33333333333333331</v>
      </c>
      <c r="M641">
        <f t="shared" si="77"/>
        <v>0.2857142857142857</v>
      </c>
      <c r="N641">
        <f t="shared" si="78"/>
        <v>0.11764705882352941</v>
      </c>
      <c r="O641">
        <f t="shared" si="79"/>
        <v>0</v>
      </c>
      <c r="P641">
        <f t="shared" si="80"/>
        <v>0.8</v>
      </c>
    </row>
    <row r="642" spans="1:16" x14ac:dyDescent="0.4">
      <c r="A642">
        <v>0.2857142857142857</v>
      </c>
      <c r="B642">
        <v>0.4</v>
      </c>
      <c r="C642" s="24">
        <v>5.1724137931034482E-2</v>
      </c>
      <c r="D642">
        <v>0.44444444444444442</v>
      </c>
      <c r="E642">
        <v>7.6923076923076927E-2</v>
      </c>
      <c r="F642">
        <v>7.2727272727272724E-2</v>
      </c>
      <c r="G642">
        <v>0</v>
      </c>
      <c r="H642">
        <v>0.6</v>
      </c>
      <c r="I642">
        <f t="shared" si="73"/>
        <v>0.2857142857142857</v>
      </c>
      <c r="J642">
        <f t="shared" si="74"/>
        <v>0.4</v>
      </c>
      <c r="K642">
        <f t="shared" si="75"/>
        <v>5.1724137931034482E-2</v>
      </c>
      <c r="L642">
        <f t="shared" si="76"/>
        <v>0.44444444444444442</v>
      </c>
      <c r="M642">
        <f t="shared" si="77"/>
        <v>7.6923076923076927E-2</v>
      </c>
      <c r="N642">
        <f t="shared" si="78"/>
        <v>7.2727272727272724E-2</v>
      </c>
      <c r="O642">
        <f t="shared" si="79"/>
        <v>0</v>
      </c>
      <c r="P642">
        <f t="shared" si="80"/>
        <v>0.6</v>
      </c>
    </row>
    <row r="643" spans="1:16" x14ac:dyDescent="0.4">
      <c r="A643">
        <v>0.16666666666666666</v>
      </c>
      <c r="B643">
        <v>0.14285714285714285</v>
      </c>
      <c r="C643" s="23">
        <v>0.4</v>
      </c>
      <c r="D643">
        <v>0.2857142857142857</v>
      </c>
      <c r="E643">
        <v>0.26666666666666666</v>
      </c>
      <c r="F643">
        <v>0.125</v>
      </c>
      <c r="G643">
        <v>7.407407407407407E-2</v>
      </c>
      <c r="H643">
        <v>0.16666666666666666</v>
      </c>
      <c r="I643">
        <f t="shared" si="73"/>
        <v>0.16666666666666666</v>
      </c>
      <c r="J643">
        <f t="shared" si="74"/>
        <v>0.14285714285714285</v>
      </c>
      <c r="K643">
        <f t="shared" si="75"/>
        <v>0.4</v>
      </c>
      <c r="L643">
        <f t="shared" si="76"/>
        <v>0.2857142857142857</v>
      </c>
      <c r="M643">
        <f t="shared" si="77"/>
        <v>0.26666666666666666</v>
      </c>
      <c r="N643">
        <f t="shared" si="78"/>
        <v>0.125</v>
      </c>
      <c r="O643">
        <f t="shared" si="79"/>
        <v>7.407407407407407E-2</v>
      </c>
      <c r="P643">
        <f t="shared" si="80"/>
        <v>0.16666666666666666</v>
      </c>
    </row>
    <row r="644" spans="1:16" x14ac:dyDescent="0.4">
      <c r="A644">
        <v>0.16</v>
      </c>
      <c r="B644">
        <v>7.1428571428571425E-2</v>
      </c>
      <c r="C644" s="24">
        <v>9.7560975609756101E-2</v>
      </c>
      <c r="D644">
        <v>0.5</v>
      </c>
      <c r="E644">
        <v>4.5454545454545456E-2</v>
      </c>
      <c r="F644">
        <v>0</v>
      </c>
      <c r="G644">
        <v>0.23529411764705882</v>
      </c>
      <c r="H644">
        <v>0</v>
      </c>
      <c r="I644">
        <f t="shared" si="73"/>
        <v>0.16</v>
      </c>
      <c r="J644">
        <f t="shared" si="74"/>
        <v>7.1428571428571425E-2</v>
      </c>
      <c r="K644">
        <f t="shared" si="75"/>
        <v>9.7560975609756101E-2</v>
      </c>
      <c r="L644">
        <f t="shared" si="76"/>
        <v>0.5</v>
      </c>
      <c r="M644">
        <f t="shared" si="77"/>
        <v>4.5454545454545456E-2</v>
      </c>
      <c r="N644">
        <f t="shared" si="78"/>
        <v>0</v>
      </c>
      <c r="O644">
        <f t="shared" si="79"/>
        <v>0.23529411764705882</v>
      </c>
      <c r="P644">
        <f t="shared" si="80"/>
        <v>0</v>
      </c>
    </row>
    <row r="645" spans="1:16" x14ac:dyDescent="0.4">
      <c r="A645">
        <v>0.4</v>
      </c>
      <c r="B645">
        <v>0.30769230769230771</v>
      </c>
      <c r="C645" s="23">
        <v>0.19047619047619047</v>
      </c>
      <c r="D645">
        <v>0.14285714285714285</v>
      </c>
      <c r="E645">
        <v>0.125</v>
      </c>
      <c r="F645">
        <v>5.2631578947368418E-2</v>
      </c>
      <c r="G645">
        <v>0</v>
      </c>
      <c r="H645">
        <v>1</v>
      </c>
      <c r="I645">
        <f t="shared" si="73"/>
        <v>0.4</v>
      </c>
      <c r="J645">
        <f t="shared" si="74"/>
        <v>0.30769230769230771</v>
      </c>
      <c r="K645">
        <f t="shared" si="75"/>
        <v>0.19047619047619047</v>
      </c>
      <c r="L645">
        <f t="shared" si="76"/>
        <v>0.14285714285714285</v>
      </c>
      <c r="M645">
        <f t="shared" si="77"/>
        <v>0.125</v>
      </c>
      <c r="N645">
        <f t="shared" si="78"/>
        <v>5.2631578947368418E-2</v>
      </c>
      <c r="O645">
        <f t="shared" si="79"/>
        <v>0</v>
      </c>
      <c r="P645">
        <f t="shared" si="80"/>
        <v>1</v>
      </c>
    </row>
    <row r="646" spans="1:16" x14ac:dyDescent="0.4">
      <c r="A646">
        <v>0.15384615384615385</v>
      </c>
      <c r="B646">
        <v>0.26666666666666666</v>
      </c>
      <c r="C646" s="24">
        <v>0.2857142857142857</v>
      </c>
      <c r="D646">
        <v>0.33333333333333331</v>
      </c>
      <c r="E646">
        <v>0.04</v>
      </c>
      <c r="F646">
        <v>0.15384615384615385</v>
      </c>
      <c r="G646">
        <v>0.15384615384615385</v>
      </c>
      <c r="H646">
        <v>0.1</v>
      </c>
      <c r="I646">
        <f t="shared" si="73"/>
        <v>0.15384615384615385</v>
      </c>
      <c r="J646">
        <f t="shared" si="74"/>
        <v>0.26666666666666666</v>
      </c>
      <c r="K646">
        <f t="shared" si="75"/>
        <v>0.2857142857142857</v>
      </c>
      <c r="L646">
        <f t="shared" si="76"/>
        <v>0.33333333333333331</v>
      </c>
      <c r="M646">
        <f t="shared" si="77"/>
        <v>0.04</v>
      </c>
      <c r="N646">
        <f t="shared" si="78"/>
        <v>0.15384615384615385</v>
      </c>
      <c r="O646">
        <f t="shared" si="79"/>
        <v>0.15384615384615385</v>
      </c>
      <c r="P646">
        <f t="shared" si="80"/>
        <v>0.1</v>
      </c>
    </row>
    <row r="647" spans="1:16" x14ac:dyDescent="0.4">
      <c r="A647">
        <v>0.36363636363636365</v>
      </c>
      <c r="B647">
        <v>0</v>
      </c>
      <c r="C647" s="23">
        <v>2.5862068965517241E-2</v>
      </c>
      <c r="D647">
        <v>0.8</v>
      </c>
      <c r="E647">
        <v>0.22222222222222221</v>
      </c>
      <c r="F647">
        <v>1.7543859649122806E-2</v>
      </c>
      <c r="G647">
        <v>0.19047619047619047</v>
      </c>
      <c r="H647">
        <v>0.66666666666666663</v>
      </c>
      <c r="I647">
        <f t="shared" si="73"/>
        <v>0.36363636363636365</v>
      </c>
      <c r="J647">
        <f t="shared" si="74"/>
        <v>0</v>
      </c>
      <c r="K647">
        <f t="shared" si="75"/>
        <v>2.5862068965517241E-2</v>
      </c>
      <c r="L647">
        <f t="shared" si="76"/>
        <v>0.8</v>
      </c>
      <c r="M647">
        <f t="shared" si="77"/>
        <v>0.22222222222222221</v>
      </c>
      <c r="N647">
        <f t="shared" si="78"/>
        <v>1.7543859649122806E-2</v>
      </c>
      <c r="O647">
        <f t="shared" si="79"/>
        <v>0.19047619047619047</v>
      </c>
      <c r="P647">
        <f t="shared" si="80"/>
        <v>0.66666666666666663</v>
      </c>
    </row>
    <row r="648" spans="1:16" x14ac:dyDescent="0.4">
      <c r="A648">
        <v>0.33333333333333331</v>
      </c>
      <c r="B648">
        <v>0.26666666666666666</v>
      </c>
      <c r="C648" s="24">
        <v>0.22222222222222221</v>
      </c>
      <c r="D648">
        <v>1.1235955056179775E-2</v>
      </c>
      <c r="E648">
        <v>0.1</v>
      </c>
      <c r="F648">
        <v>0.66666666666666663</v>
      </c>
      <c r="G648">
        <v>0</v>
      </c>
      <c r="H648">
        <v>8.771929824561403E-3</v>
      </c>
      <c r="I648">
        <f t="shared" ref="I648:I711" si="81">IF(A648&gt;1, 1, A648)</f>
        <v>0.33333333333333331</v>
      </c>
      <c r="J648">
        <f t="shared" ref="J648:J711" si="82">IF(B648&gt;1, 1, B648)</f>
        <v>0.26666666666666666</v>
      </c>
      <c r="K648">
        <f t="shared" ref="K648:K711" si="83">IF(C648&gt;1, 1, C648)</f>
        <v>0.22222222222222221</v>
      </c>
      <c r="L648">
        <f t="shared" ref="L648:L711" si="84">IF(D648&gt;1, 1, D648)</f>
        <v>1.1235955056179775E-2</v>
      </c>
      <c r="M648">
        <f t="shared" ref="M648:M711" si="85">IF(E648&gt;1, 1, E648)</f>
        <v>0.1</v>
      </c>
      <c r="N648">
        <f t="shared" ref="N648:N711" si="86">IF(F648&gt;1, 1, F648)</f>
        <v>0.66666666666666663</v>
      </c>
      <c r="O648">
        <f t="shared" ref="O648:O711" si="87">IF(G648&gt;1, 1, G648)</f>
        <v>0</v>
      </c>
      <c r="P648">
        <f t="shared" ref="P648:P711" si="88">IF(H648&gt;1, 1, H648)</f>
        <v>8.771929824561403E-3</v>
      </c>
    </row>
    <row r="649" spans="1:16" x14ac:dyDescent="0.4">
      <c r="A649">
        <v>0.33333333333333331</v>
      </c>
      <c r="B649">
        <v>0.26666666666666666</v>
      </c>
      <c r="C649" s="23">
        <v>5.7142857142857141E-2</v>
      </c>
      <c r="D649">
        <v>0.66666666666666663</v>
      </c>
      <c r="E649">
        <v>0.18181818181818182</v>
      </c>
      <c r="F649">
        <v>1.4492753623188406E-2</v>
      </c>
      <c r="G649">
        <v>7.6923076923076927E-2</v>
      </c>
      <c r="H649">
        <v>0.125</v>
      </c>
      <c r="I649">
        <f t="shared" si="81"/>
        <v>0.33333333333333331</v>
      </c>
      <c r="J649">
        <f t="shared" si="82"/>
        <v>0.26666666666666666</v>
      </c>
      <c r="K649">
        <f t="shared" si="83"/>
        <v>5.7142857142857141E-2</v>
      </c>
      <c r="L649">
        <f t="shared" si="84"/>
        <v>0.66666666666666663</v>
      </c>
      <c r="M649">
        <f t="shared" si="85"/>
        <v>0.18181818181818182</v>
      </c>
      <c r="N649">
        <f t="shared" si="86"/>
        <v>1.4492753623188406E-2</v>
      </c>
      <c r="O649">
        <f t="shared" si="87"/>
        <v>7.6923076923076927E-2</v>
      </c>
      <c r="P649">
        <f t="shared" si="88"/>
        <v>0.125</v>
      </c>
    </row>
    <row r="650" spans="1:16" x14ac:dyDescent="0.4">
      <c r="A650">
        <v>0.26666666666666666</v>
      </c>
      <c r="B650">
        <v>0.30769230769230771</v>
      </c>
      <c r="C650" s="24">
        <v>0.22222222222222221</v>
      </c>
      <c r="D650">
        <v>0.25</v>
      </c>
      <c r="E650">
        <v>0</v>
      </c>
      <c r="F650">
        <v>5.8823529411764705E-2</v>
      </c>
      <c r="G650">
        <v>0</v>
      </c>
      <c r="H650">
        <v>0.5</v>
      </c>
      <c r="I650">
        <f t="shared" si="81"/>
        <v>0.26666666666666666</v>
      </c>
      <c r="J650">
        <f t="shared" si="82"/>
        <v>0.30769230769230771</v>
      </c>
      <c r="K650">
        <f t="shared" si="83"/>
        <v>0.22222222222222221</v>
      </c>
      <c r="L650">
        <f t="shared" si="84"/>
        <v>0.25</v>
      </c>
      <c r="M650">
        <f t="shared" si="85"/>
        <v>0</v>
      </c>
      <c r="N650">
        <f t="shared" si="86"/>
        <v>5.8823529411764705E-2</v>
      </c>
      <c r="O650">
        <f t="shared" si="87"/>
        <v>0</v>
      </c>
      <c r="P650">
        <f t="shared" si="88"/>
        <v>0.5</v>
      </c>
    </row>
    <row r="651" spans="1:16" x14ac:dyDescent="0.4">
      <c r="A651">
        <v>0.30769230769230771</v>
      </c>
      <c r="B651">
        <v>0.4</v>
      </c>
      <c r="C651" s="23">
        <v>0.1</v>
      </c>
      <c r="D651">
        <v>6.3492063492063489E-2</v>
      </c>
      <c r="E651">
        <v>0.33333333333333331</v>
      </c>
      <c r="F651">
        <v>0.5714285714285714</v>
      </c>
      <c r="G651">
        <v>0.1111111111111111</v>
      </c>
      <c r="H651">
        <v>2.9411764705882353E-2</v>
      </c>
      <c r="I651">
        <f t="shared" si="81"/>
        <v>0.30769230769230771</v>
      </c>
      <c r="J651">
        <f t="shared" si="82"/>
        <v>0.4</v>
      </c>
      <c r="K651">
        <f t="shared" si="83"/>
        <v>0.1</v>
      </c>
      <c r="L651">
        <f t="shared" si="84"/>
        <v>6.3492063492063489E-2</v>
      </c>
      <c r="M651">
        <f t="shared" si="85"/>
        <v>0.33333333333333331</v>
      </c>
      <c r="N651">
        <f t="shared" si="86"/>
        <v>0.5714285714285714</v>
      </c>
      <c r="O651">
        <f t="shared" si="87"/>
        <v>0.1111111111111111</v>
      </c>
      <c r="P651">
        <f t="shared" si="88"/>
        <v>2.9411764705882353E-2</v>
      </c>
    </row>
    <row r="652" spans="1:16" x14ac:dyDescent="0.4">
      <c r="A652">
        <v>0.33333333333333331</v>
      </c>
      <c r="B652">
        <v>8.3333333333333329E-2</v>
      </c>
      <c r="C652" s="24">
        <v>7.6923076923076927E-2</v>
      </c>
      <c r="D652">
        <v>0.36363636363636365</v>
      </c>
      <c r="E652">
        <v>0.2</v>
      </c>
      <c r="F652">
        <v>4.0816326530612242E-2</v>
      </c>
      <c r="G652">
        <v>0.14285714285714285</v>
      </c>
      <c r="H652">
        <v>0</v>
      </c>
      <c r="I652">
        <f t="shared" si="81"/>
        <v>0.33333333333333331</v>
      </c>
      <c r="J652">
        <f t="shared" si="82"/>
        <v>8.3333333333333329E-2</v>
      </c>
      <c r="K652">
        <f t="shared" si="83"/>
        <v>7.6923076923076927E-2</v>
      </c>
      <c r="L652">
        <f t="shared" si="84"/>
        <v>0.36363636363636365</v>
      </c>
      <c r="M652">
        <f t="shared" si="85"/>
        <v>0.2</v>
      </c>
      <c r="N652">
        <f t="shared" si="86"/>
        <v>4.0816326530612242E-2</v>
      </c>
      <c r="O652">
        <f t="shared" si="87"/>
        <v>0.14285714285714285</v>
      </c>
      <c r="P652">
        <f t="shared" si="88"/>
        <v>0</v>
      </c>
    </row>
    <row r="653" spans="1:16" x14ac:dyDescent="0.4">
      <c r="A653">
        <v>0.5</v>
      </c>
      <c r="B653">
        <v>0.44444444444444442</v>
      </c>
      <c r="C653" s="23">
        <v>0.14285714285714285</v>
      </c>
      <c r="D653">
        <v>0.25</v>
      </c>
      <c r="E653">
        <v>0.33333333333333331</v>
      </c>
      <c r="F653">
        <v>0</v>
      </c>
      <c r="G653">
        <v>0.33333333333333331</v>
      </c>
      <c r="H653">
        <v>6.6666666666666666E-2</v>
      </c>
      <c r="I653">
        <f t="shared" si="81"/>
        <v>0.5</v>
      </c>
      <c r="J653">
        <f t="shared" si="82"/>
        <v>0.44444444444444442</v>
      </c>
      <c r="K653">
        <f t="shared" si="83"/>
        <v>0.14285714285714285</v>
      </c>
      <c r="L653">
        <f t="shared" si="84"/>
        <v>0.25</v>
      </c>
      <c r="M653">
        <f t="shared" si="85"/>
        <v>0.33333333333333331</v>
      </c>
      <c r="N653">
        <f t="shared" si="86"/>
        <v>0</v>
      </c>
      <c r="O653">
        <f t="shared" si="87"/>
        <v>0.33333333333333331</v>
      </c>
      <c r="P653">
        <f t="shared" si="88"/>
        <v>6.6666666666666666E-2</v>
      </c>
    </row>
    <row r="654" spans="1:16" x14ac:dyDescent="0.4">
      <c r="A654">
        <v>0.44444444444444442</v>
      </c>
      <c r="B654">
        <v>0.16666666666666666</v>
      </c>
      <c r="C654" s="24">
        <v>0.2857142857142857</v>
      </c>
      <c r="D654">
        <v>0.26666666666666666</v>
      </c>
      <c r="E654">
        <v>0</v>
      </c>
      <c r="F654">
        <v>0</v>
      </c>
      <c r="G654">
        <v>4.5454545454545456E-2</v>
      </c>
      <c r="H654">
        <v>7.1428571428571425E-2</v>
      </c>
      <c r="I654">
        <f t="shared" si="81"/>
        <v>0.44444444444444442</v>
      </c>
      <c r="J654">
        <f t="shared" si="82"/>
        <v>0.16666666666666666</v>
      </c>
      <c r="K654">
        <f t="shared" si="83"/>
        <v>0.2857142857142857</v>
      </c>
      <c r="L654">
        <f t="shared" si="84"/>
        <v>0.26666666666666666</v>
      </c>
      <c r="M654">
        <f t="shared" si="85"/>
        <v>0</v>
      </c>
      <c r="N654">
        <f t="shared" si="86"/>
        <v>0</v>
      </c>
      <c r="O654">
        <f t="shared" si="87"/>
        <v>4.5454545454545456E-2</v>
      </c>
      <c r="P654">
        <f t="shared" si="88"/>
        <v>7.1428571428571425E-2</v>
      </c>
    </row>
    <row r="655" spans="1:16" x14ac:dyDescent="0.4">
      <c r="A655">
        <v>0.44444444444444442</v>
      </c>
      <c r="B655">
        <v>0.2</v>
      </c>
      <c r="C655" s="23">
        <v>0.14285714285714285</v>
      </c>
      <c r="D655">
        <v>0.25</v>
      </c>
      <c r="E655">
        <v>0</v>
      </c>
      <c r="F655">
        <v>7.1428571428571425E-2</v>
      </c>
      <c r="G655">
        <v>0</v>
      </c>
      <c r="H655">
        <v>0</v>
      </c>
      <c r="I655">
        <f t="shared" si="81"/>
        <v>0.44444444444444442</v>
      </c>
      <c r="J655">
        <f t="shared" si="82"/>
        <v>0.2</v>
      </c>
      <c r="K655">
        <f t="shared" si="83"/>
        <v>0.14285714285714285</v>
      </c>
      <c r="L655">
        <f t="shared" si="84"/>
        <v>0.25</v>
      </c>
      <c r="M655">
        <f t="shared" si="85"/>
        <v>0</v>
      </c>
      <c r="N655">
        <f t="shared" si="86"/>
        <v>7.1428571428571425E-2</v>
      </c>
      <c r="O655">
        <f t="shared" si="87"/>
        <v>0</v>
      </c>
      <c r="P655">
        <f t="shared" si="88"/>
        <v>0</v>
      </c>
    </row>
    <row r="656" spans="1:16" x14ac:dyDescent="0.4">
      <c r="A656">
        <v>0.22222222222222221</v>
      </c>
      <c r="B656">
        <v>0.14285714285714285</v>
      </c>
      <c r="C656" s="24">
        <v>0.5714285714285714</v>
      </c>
      <c r="D656">
        <v>0</v>
      </c>
      <c r="E656">
        <v>6.25E-2</v>
      </c>
      <c r="F656">
        <v>0.16666666666666666</v>
      </c>
      <c r="G656">
        <v>6.25E-2</v>
      </c>
      <c r="H656">
        <v>0.33333333333333331</v>
      </c>
      <c r="I656">
        <f t="shared" si="81"/>
        <v>0.22222222222222221</v>
      </c>
      <c r="J656">
        <f t="shared" si="82"/>
        <v>0.14285714285714285</v>
      </c>
      <c r="K656">
        <f t="shared" si="83"/>
        <v>0.5714285714285714</v>
      </c>
      <c r="L656">
        <f t="shared" si="84"/>
        <v>0</v>
      </c>
      <c r="M656">
        <f t="shared" si="85"/>
        <v>6.25E-2</v>
      </c>
      <c r="N656">
        <f t="shared" si="86"/>
        <v>0.16666666666666666</v>
      </c>
      <c r="O656">
        <f t="shared" si="87"/>
        <v>6.25E-2</v>
      </c>
      <c r="P656">
        <f t="shared" si="88"/>
        <v>0.33333333333333331</v>
      </c>
    </row>
    <row r="657" spans="1:16" x14ac:dyDescent="0.4">
      <c r="A657">
        <v>0.10526315789473684</v>
      </c>
      <c r="B657">
        <v>0.33333333333333331</v>
      </c>
      <c r="C657" s="23">
        <v>0.18181818181818182</v>
      </c>
      <c r="D657">
        <v>0</v>
      </c>
      <c r="E657">
        <v>8.8235294117647065E-2</v>
      </c>
      <c r="F657">
        <v>0.15789473684210525</v>
      </c>
      <c r="G657">
        <v>9.0909090909090912E-2</v>
      </c>
      <c r="H657">
        <v>0.4</v>
      </c>
      <c r="I657">
        <f t="shared" si="81"/>
        <v>0.10526315789473684</v>
      </c>
      <c r="J657">
        <f t="shared" si="82"/>
        <v>0.33333333333333331</v>
      </c>
      <c r="K657">
        <f t="shared" si="83"/>
        <v>0.18181818181818182</v>
      </c>
      <c r="L657">
        <f t="shared" si="84"/>
        <v>0</v>
      </c>
      <c r="M657">
        <f t="shared" si="85"/>
        <v>8.8235294117647065E-2</v>
      </c>
      <c r="N657">
        <f t="shared" si="86"/>
        <v>0.15789473684210525</v>
      </c>
      <c r="O657">
        <f t="shared" si="87"/>
        <v>9.0909090909090912E-2</v>
      </c>
      <c r="P657">
        <f t="shared" si="88"/>
        <v>0.4</v>
      </c>
    </row>
    <row r="658" spans="1:16" x14ac:dyDescent="0.4">
      <c r="A658">
        <v>0.36363636363636365</v>
      </c>
      <c r="B658">
        <v>0.2857142857142857</v>
      </c>
      <c r="C658" s="24">
        <v>8.6956521739130432E-2</v>
      </c>
      <c r="D658">
        <v>0.36363636363636365</v>
      </c>
      <c r="E658">
        <v>0.1</v>
      </c>
      <c r="F658">
        <v>0.21052631578947367</v>
      </c>
      <c r="G658">
        <v>0</v>
      </c>
      <c r="H658">
        <v>0.1111111111111111</v>
      </c>
      <c r="I658">
        <f t="shared" si="81"/>
        <v>0.36363636363636365</v>
      </c>
      <c r="J658">
        <f t="shared" si="82"/>
        <v>0.2857142857142857</v>
      </c>
      <c r="K658">
        <f t="shared" si="83"/>
        <v>8.6956521739130432E-2</v>
      </c>
      <c r="L658">
        <f t="shared" si="84"/>
        <v>0.36363636363636365</v>
      </c>
      <c r="M658">
        <f t="shared" si="85"/>
        <v>0.1</v>
      </c>
      <c r="N658">
        <f t="shared" si="86"/>
        <v>0.21052631578947367</v>
      </c>
      <c r="O658">
        <f t="shared" si="87"/>
        <v>0</v>
      </c>
      <c r="P658">
        <f t="shared" si="88"/>
        <v>0.1111111111111111</v>
      </c>
    </row>
    <row r="659" spans="1:16" x14ac:dyDescent="0.4">
      <c r="A659">
        <v>0</v>
      </c>
      <c r="B659">
        <v>0.12903225806451613</v>
      </c>
      <c r="C659" s="23">
        <v>9.5238095238095233E-2</v>
      </c>
      <c r="D659">
        <v>0</v>
      </c>
      <c r="E659">
        <v>1</v>
      </c>
      <c r="F659">
        <v>0.25</v>
      </c>
      <c r="G659">
        <v>7.1428571428571425E-2</v>
      </c>
      <c r="H659">
        <v>0.26666666666666666</v>
      </c>
      <c r="I659">
        <f t="shared" si="81"/>
        <v>0</v>
      </c>
      <c r="J659">
        <f t="shared" si="82"/>
        <v>0.12903225806451613</v>
      </c>
      <c r="K659">
        <f t="shared" si="83"/>
        <v>9.5238095238095233E-2</v>
      </c>
      <c r="L659">
        <f t="shared" si="84"/>
        <v>0</v>
      </c>
      <c r="M659">
        <f t="shared" si="85"/>
        <v>1</v>
      </c>
      <c r="N659">
        <f t="shared" si="86"/>
        <v>0.25</v>
      </c>
      <c r="O659">
        <f t="shared" si="87"/>
        <v>7.1428571428571425E-2</v>
      </c>
      <c r="P659">
        <f t="shared" si="88"/>
        <v>0.26666666666666666</v>
      </c>
    </row>
    <row r="660" spans="1:16" x14ac:dyDescent="0.4">
      <c r="A660">
        <v>0.23529411764705882</v>
      </c>
      <c r="B660">
        <v>0.22222222222222221</v>
      </c>
      <c r="C660" s="24">
        <v>0.44444444444444442</v>
      </c>
      <c r="D660">
        <v>0.5714285714285714</v>
      </c>
      <c r="E660">
        <v>0.23076923076923078</v>
      </c>
      <c r="F660">
        <v>0.125</v>
      </c>
      <c r="G660">
        <v>0</v>
      </c>
      <c r="H660">
        <v>0.125</v>
      </c>
      <c r="I660">
        <f t="shared" si="81"/>
        <v>0.23529411764705882</v>
      </c>
      <c r="J660">
        <f t="shared" si="82"/>
        <v>0.22222222222222221</v>
      </c>
      <c r="K660">
        <f t="shared" si="83"/>
        <v>0.44444444444444442</v>
      </c>
      <c r="L660">
        <f t="shared" si="84"/>
        <v>0.5714285714285714</v>
      </c>
      <c r="M660">
        <f t="shared" si="85"/>
        <v>0.23076923076923078</v>
      </c>
      <c r="N660">
        <f t="shared" si="86"/>
        <v>0.125</v>
      </c>
      <c r="O660">
        <f t="shared" si="87"/>
        <v>0</v>
      </c>
      <c r="P660">
        <f t="shared" si="88"/>
        <v>0.125</v>
      </c>
    </row>
    <row r="661" spans="1:16" x14ac:dyDescent="0.4">
      <c r="A661">
        <v>0.33333333333333331</v>
      </c>
      <c r="B661">
        <v>0.44444444444444442</v>
      </c>
      <c r="C661" s="23">
        <v>0.4</v>
      </c>
      <c r="D661">
        <v>0.5</v>
      </c>
      <c r="E661">
        <v>9.0909090909090912E-2</v>
      </c>
      <c r="F661">
        <v>0.1111111111111111</v>
      </c>
      <c r="G661">
        <v>0</v>
      </c>
      <c r="H661">
        <v>0</v>
      </c>
      <c r="I661">
        <f t="shared" si="81"/>
        <v>0.33333333333333331</v>
      </c>
      <c r="J661">
        <f t="shared" si="82"/>
        <v>0.44444444444444442</v>
      </c>
      <c r="K661">
        <f t="shared" si="83"/>
        <v>0.4</v>
      </c>
      <c r="L661">
        <f t="shared" si="84"/>
        <v>0.5</v>
      </c>
      <c r="M661">
        <f t="shared" si="85"/>
        <v>9.0909090909090912E-2</v>
      </c>
      <c r="N661">
        <f t="shared" si="86"/>
        <v>0.1111111111111111</v>
      </c>
      <c r="O661">
        <f t="shared" si="87"/>
        <v>0</v>
      </c>
      <c r="P661">
        <f t="shared" si="88"/>
        <v>0</v>
      </c>
    </row>
    <row r="662" spans="1:16" x14ac:dyDescent="0.4">
      <c r="A662">
        <v>0.14814814814814814</v>
      </c>
      <c r="B662">
        <v>0.13333333333333333</v>
      </c>
      <c r="C662" s="24">
        <v>0.23529411764705882</v>
      </c>
      <c r="D662">
        <v>0.3</v>
      </c>
      <c r="E662">
        <v>0</v>
      </c>
      <c r="F662">
        <v>0.13333333333333333</v>
      </c>
      <c r="G662">
        <v>0.11538461538461539</v>
      </c>
      <c r="H662">
        <v>0.5714285714285714</v>
      </c>
      <c r="I662">
        <f t="shared" si="81"/>
        <v>0.14814814814814814</v>
      </c>
      <c r="J662">
        <f t="shared" si="82"/>
        <v>0.13333333333333333</v>
      </c>
      <c r="K662">
        <f t="shared" si="83"/>
        <v>0.23529411764705882</v>
      </c>
      <c r="L662">
        <f t="shared" si="84"/>
        <v>0.3</v>
      </c>
      <c r="M662">
        <f t="shared" si="85"/>
        <v>0</v>
      </c>
      <c r="N662">
        <f t="shared" si="86"/>
        <v>0.13333333333333333</v>
      </c>
      <c r="O662">
        <f t="shared" si="87"/>
        <v>0.11538461538461539</v>
      </c>
      <c r="P662">
        <f t="shared" si="88"/>
        <v>0.5714285714285714</v>
      </c>
    </row>
    <row r="663" spans="1:16" x14ac:dyDescent="0.4">
      <c r="A663">
        <v>3.2258064516129031E-2</v>
      </c>
      <c r="B663">
        <v>0.25</v>
      </c>
      <c r="C663" s="23">
        <v>0.14814814814814814</v>
      </c>
      <c r="D663">
        <v>0.1875</v>
      </c>
      <c r="E663">
        <v>0.14285714285714285</v>
      </c>
      <c r="F663">
        <v>0.08</v>
      </c>
      <c r="G663">
        <v>0.14285714285714285</v>
      </c>
      <c r="H663">
        <v>0.36363636363636365</v>
      </c>
      <c r="I663">
        <f t="shared" si="81"/>
        <v>3.2258064516129031E-2</v>
      </c>
      <c r="J663">
        <f t="shared" si="82"/>
        <v>0.25</v>
      </c>
      <c r="K663">
        <f t="shared" si="83"/>
        <v>0.14814814814814814</v>
      </c>
      <c r="L663">
        <f t="shared" si="84"/>
        <v>0.1875</v>
      </c>
      <c r="M663">
        <f t="shared" si="85"/>
        <v>0.14285714285714285</v>
      </c>
      <c r="N663">
        <f t="shared" si="86"/>
        <v>0.08</v>
      </c>
      <c r="O663">
        <f t="shared" si="87"/>
        <v>0.14285714285714285</v>
      </c>
      <c r="P663">
        <f t="shared" si="88"/>
        <v>0.36363636363636365</v>
      </c>
    </row>
    <row r="664" spans="1:16" x14ac:dyDescent="0.4">
      <c r="A664">
        <v>0.26666666666666666</v>
      </c>
      <c r="B664">
        <v>0</v>
      </c>
      <c r="C664" s="24">
        <v>0.25</v>
      </c>
      <c r="D664">
        <v>0.44444444444444442</v>
      </c>
      <c r="E664">
        <v>0.27272727272727271</v>
      </c>
      <c r="F664">
        <v>0</v>
      </c>
      <c r="G664">
        <v>0.33333333333333331</v>
      </c>
      <c r="H664">
        <v>0.33333333333333331</v>
      </c>
      <c r="I664">
        <f t="shared" si="81"/>
        <v>0.26666666666666666</v>
      </c>
      <c r="J664">
        <f t="shared" si="82"/>
        <v>0</v>
      </c>
      <c r="K664">
        <f t="shared" si="83"/>
        <v>0.25</v>
      </c>
      <c r="L664">
        <f t="shared" si="84"/>
        <v>0.44444444444444442</v>
      </c>
      <c r="M664">
        <f t="shared" si="85"/>
        <v>0.27272727272727271</v>
      </c>
      <c r="N664">
        <f t="shared" si="86"/>
        <v>0</v>
      </c>
      <c r="O664">
        <f t="shared" si="87"/>
        <v>0.33333333333333331</v>
      </c>
      <c r="P664">
        <f t="shared" si="88"/>
        <v>0.33333333333333331</v>
      </c>
    </row>
    <row r="665" spans="1:16" x14ac:dyDescent="0.4">
      <c r="A665">
        <v>0.33333333333333331</v>
      </c>
      <c r="B665">
        <v>0.33333333333333331</v>
      </c>
      <c r="C665" s="23">
        <v>0.3</v>
      </c>
      <c r="D665">
        <v>0.26666666666666666</v>
      </c>
      <c r="E665">
        <v>0.1</v>
      </c>
      <c r="F665">
        <v>0.5</v>
      </c>
      <c r="G665">
        <v>0.22222222222222221</v>
      </c>
      <c r="H665">
        <v>0</v>
      </c>
      <c r="I665">
        <f t="shared" si="81"/>
        <v>0.33333333333333331</v>
      </c>
      <c r="J665">
        <f t="shared" si="82"/>
        <v>0.33333333333333331</v>
      </c>
      <c r="K665">
        <f t="shared" si="83"/>
        <v>0.3</v>
      </c>
      <c r="L665">
        <f t="shared" si="84"/>
        <v>0.26666666666666666</v>
      </c>
      <c r="M665">
        <f t="shared" si="85"/>
        <v>0.1</v>
      </c>
      <c r="N665">
        <f t="shared" si="86"/>
        <v>0.5</v>
      </c>
      <c r="O665">
        <f t="shared" si="87"/>
        <v>0.22222222222222221</v>
      </c>
      <c r="P665">
        <f t="shared" si="88"/>
        <v>0</v>
      </c>
    </row>
    <row r="666" spans="1:16" x14ac:dyDescent="0.4">
      <c r="A666">
        <v>0.44444444444444442</v>
      </c>
      <c r="B666">
        <v>0.4</v>
      </c>
      <c r="C666" s="24">
        <v>0.33333333333333331</v>
      </c>
      <c r="D666">
        <v>0</v>
      </c>
      <c r="E666">
        <v>0</v>
      </c>
      <c r="F666">
        <v>0.1</v>
      </c>
      <c r="G666">
        <v>0.1</v>
      </c>
      <c r="H666">
        <v>0.44444444444444442</v>
      </c>
      <c r="I666">
        <f t="shared" si="81"/>
        <v>0.44444444444444442</v>
      </c>
      <c r="J666">
        <f t="shared" si="82"/>
        <v>0.4</v>
      </c>
      <c r="K666">
        <f t="shared" si="83"/>
        <v>0.33333333333333331</v>
      </c>
      <c r="L666">
        <f t="shared" si="84"/>
        <v>0</v>
      </c>
      <c r="M666">
        <f t="shared" si="85"/>
        <v>0</v>
      </c>
      <c r="N666">
        <f t="shared" si="86"/>
        <v>0.1</v>
      </c>
      <c r="O666">
        <f t="shared" si="87"/>
        <v>0.1</v>
      </c>
      <c r="P666">
        <f t="shared" si="88"/>
        <v>0.44444444444444442</v>
      </c>
    </row>
    <row r="667" spans="1:16" x14ac:dyDescent="0.4">
      <c r="A667">
        <v>0.10526315789473684</v>
      </c>
      <c r="B667">
        <v>0</v>
      </c>
      <c r="C667" s="23">
        <v>0.4</v>
      </c>
      <c r="D667">
        <v>0.16666666666666666</v>
      </c>
      <c r="E667">
        <v>8.8235294117647065E-2</v>
      </c>
      <c r="F667">
        <v>0</v>
      </c>
      <c r="G667">
        <v>0.12903225806451613</v>
      </c>
      <c r="H667">
        <v>0.5714285714285714</v>
      </c>
      <c r="I667">
        <f t="shared" si="81"/>
        <v>0.10526315789473684</v>
      </c>
      <c r="J667">
        <f t="shared" si="82"/>
        <v>0</v>
      </c>
      <c r="K667">
        <f t="shared" si="83"/>
        <v>0.4</v>
      </c>
      <c r="L667">
        <f t="shared" si="84"/>
        <v>0.16666666666666666</v>
      </c>
      <c r="M667">
        <f t="shared" si="85"/>
        <v>8.8235294117647065E-2</v>
      </c>
      <c r="N667">
        <f t="shared" si="86"/>
        <v>0</v>
      </c>
      <c r="O667">
        <f t="shared" si="87"/>
        <v>0.12903225806451613</v>
      </c>
      <c r="P667">
        <f t="shared" si="88"/>
        <v>0.5714285714285714</v>
      </c>
    </row>
    <row r="668" spans="1:16" x14ac:dyDescent="0.4">
      <c r="A668">
        <v>0.2</v>
      </c>
      <c r="B668">
        <v>0.26666666666666666</v>
      </c>
      <c r="C668" s="24">
        <v>0.30769230769230771</v>
      </c>
      <c r="D668">
        <v>0.10256410256410256</v>
      </c>
      <c r="E668">
        <v>0.1111111111111111</v>
      </c>
      <c r="F668">
        <v>7.6923076923076927E-2</v>
      </c>
      <c r="G668">
        <v>8.3333333333333329E-2</v>
      </c>
      <c r="H668">
        <v>7.4999999999999997E-2</v>
      </c>
      <c r="I668">
        <f t="shared" si="81"/>
        <v>0.2</v>
      </c>
      <c r="J668">
        <f t="shared" si="82"/>
        <v>0.26666666666666666</v>
      </c>
      <c r="K668">
        <f t="shared" si="83"/>
        <v>0.30769230769230771</v>
      </c>
      <c r="L668">
        <f t="shared" si="84"/>
        <v>0.10256410256410256</v>
      </c>
      <c r="M668">
        <f t="shared" si="85"/>
        <v>0.1111111111111111</v>
      </c>
      <c r="N668">
        <f t="shared" si="86"/>
        <v>7.6923076923076927E-2</v>
      </c>
      <c r="O668">
        <f t="shared" si="87"/>
        <v>8.3333333333333329E-2</v>
      </c>
      <c r="P668">
        <f t="shared" si="88"/>
        <v>7.4999999999999997E-2</v>
      </c>
    </row>
    <row r="669" spans="1:16" x14ac:dyDescent="0.4">
      <c r="A669">
        <v>0.21052631578947367</v>
      </c>
      <c r="B669">
        <v>0.26666666666666666</v>
      </c>
      <c r="C669" s="23">
        <v>0.25</v>
      </c>
      <c r="D669">
        <v>0.2</v>
      </c>
      <c r="E669">
        <v>0.11764705882352941</v>
      </c>
      <c r="F669">
        <v>0</v>
      </c>
      <c r="G669">
        <v>7.1428571428571425E-2</v>
      </c>
      <c r="H669">
        <v>0.5714285714285714</v>
      </c>
      <c r="I669">
        <f t="shared" si="81"/>
        <v>0.21052631578947367</v>
      </c>
      <c r="J669">
        <f t="shared" si="82"/>
        <v>0.26666666666666666</v>
      </c>
      <c r="K669">
        <f t="shared" si="83"/>
        <v>0.25</v>
      </c>
      <c r="L669">
        <f t="shared" si="84"/>
        <v>0.2</v>
      </c>
      <c r="M669">
        <f t="shared" si="85"/>
        <v>0.11764705882352941</v>
      </c>
      <c r="N669">
        <f t="shared" si="86"/>
        <v>0</v>
      </c>
      <c r="O669">
        <f t="shared" si="87"/>
        <v>7.1428571428571425E-2</v>
      </c>
      <c r="P669">
        <f t="shared" si="88"/>
        <v>0.5714285714285714</v>
      </c>
    </row>
    <row r="670" spans="1:16" x14ac:dyDescent="0.4">
      <c r="A670">
        <v>0.36363636363636365</v>
      </c>
      <c r="B670">
        <v>0.36363636363636365</v>
      </c>
      <c r="C670" s="24">
        <v>4.878048780487805E-2</v>
      </c>
      <c r="D670">
        <v>0.36363636363636365</v>
      </c>
      <c r="E670">
        <v>0.1</v>
      </c>
      <c r="F670">
        <v>0</v>
      </c>
      <c r="G670">
        <v>0</v>
      </c>
      <c r="H670">
        <v>0</v>
      </c>
      <c r="I670">
        <f t="shared" si="81"/>
        <v>0.36363636363636365</v>
      </c>
      <c r="J670">
        <f t="shared" si="82"/>
        <v>0.36363636363636365</v>
      </c>
      <c r="K670">
        <f t="shared" si="83"/>
        <v>4.878048780487805E-2</v>
      </c>
      <c r="L670">
        <f t="shared" si="84"/>
        <v>0.36363636363636365</v>
      </c>
      <c r="M670">
        <f t="shared" si="85"/>
        <v>0.1</v>
      </c>
      <c r="N670">
        <f t="shared" si="86"/>
        <v>0</v>
      </c>
      <c r="O670">
        <f t="shared" si="87"/>
        <v>0</v>
      </c>
      <c r="P670">
        <f t="shared" si="88"/>
        <v>0</v>
      </c>
    </row>
    <row r="671" spans="1:16" x14ac:dyDescent="0.4">
      <c r="A671">
        <v>3.125E-2</v>
      </c>
      <c r="B671">
        <v>0.22222222222222221</v>
      </c>
      <c r="C671" s="23">
        <v>0</v>
      </c>
      <c r="D671">
        <v>0.23529411764705882</v>
      </c>
      <c r="E671">
        <v>0.14285714285714285</v>
      </c>
      <c r="F671">
        <v>0.44444444444444442</v>
      </c>
      <c r="G671">
        <v>0</v>
      </c>
      <c r="H671">
        <v>0.14285714285714285</v>
      </c>
      <c r="I671">
        <f t="shared" si="81"/>
        <v>3.125E-2</v>
      </c>
      <c r="J671">
        <f t="shared" si="82"/>
        <v>0.22222222222222221</v>
      </c>
      <c r="K671">
        <f t="shared" si="83"/>
        <v>0</v>
      </c>
      <c r="L671">
        <f t="shared" si="84"/>
        <v>0.23529411764705882</v>
      </c>
      <c r="M671">
        <f t="shared" si="85"/>
        <v>0.14285714285714285</v>
      </c>
      <c r="N671">
        <f t="shared" si="86"/>
        <v>0.44444444444444442</v>
      </c>
      <c r="O671">
        <f t="shared" si="87"/>
        <v>0</v>
      </c>
      <c r="P671">
        <f t="shared" si="88"/>
        <v>0.14285714285714285</v>
      </c>
    </row>
    <row r="672" spans="1:16" x14ac:dyDescent="0.4">
      <c r="A672">
        <v>3.5714285714285712E-2</v>
      </c>
      <c r="B672">
        <v>0.30769230769230771</v>
      </c>
      <c r="C672" s="24">
        <v>0.21052631578947367</v>
      </c>
      <c r="D672">
        <v>0.26666666666666666</v>
      </c>
      <c r="E672">
        <v>0.17391304347826086</v>
      </c>
      <c r="F672">
        <v>0.13333333333333333</v>
      </c>
      <c r="G672">
        <v>0</v>
      </c>
      <c r="H672">
        <v>0.27272727272727271</v>
      </c>
      <c r="I672">
        <f t="shared" si="81"/>
        <v>3.5714285714285712E-2</v>
      </c>
      <c r="J672">
        <f t="shared" si="82"/>
        <v>0.30769230769230771</v>
      </c>
      <c r="K672">
        <f t="shared" si="83"/>
        <v>0.21052631578947367</v>
      </c>
      <c r="L672">
        <f t="shared" si="84"/>
        <v>0.26666666666666666</v>
      </c>
      <c r="M672">
        <f t="shared" si="85"/>
        <v>0.17391304347826086</v>
      </c>
      <c r="N672">
        <f t="shared" si="86"/>
        <v>0.13333333333333333</v>
      </c>
      <c r="O672">
        <f t="shared" si="87"/>
        <v>0</v>
      </c>
      <c r="P672">
        <f t="shared" si="88"/>
        <v>0.27272727272727271</v>
      </c>
    </row>
    <row r="673" spans="1:16" x14ac:dyDescent="0.4">
      <c r="A673">
        <v>0.4</v>
      </c>
      <c r="B673">
        <v>7.8431372549019607E-2</v>
      </c>
      <c r="C673" s="23">
        <v>0.66666666666666663</v>
      </c>
      <c r="D673">
        <v>0.21052631578947367</v>
      </c>
      <c r="E673">
        <v>0.2857142857142857</v>
      </c>
      <c r="F673">
        <v>0</v>
      </c>
      <c r="G673">
        <v>0</v>
      </c>
      <c r="H673">
        <v>5.5555555555555552E-2</v>
      </c>
      <c r="I673">
        <f t="shared" si="81"/>
        <v>0.4</v>
      </c>
      <c r="J673">
        <f t="shared" si="82"/>
        <v>7.8431372549019607E-2</v>
      </c>
      <c r="K673">
        <f t="shared" si="83"/>
        <v>0.66666666666666663</v>
      </c>
      <c r="L673">
        <f t="shared" si="84"/>
        <v>0.21052631578947367</v>
      </c>
      <c r="M673">
        <f t="shared" si="85"/>
        <v>0.2857142857142857</v>
      </c>
      <c r="N673">
        <f t="shared" si="86"/>
        <v>0</v>
      </c>
      <c r="O673">
        <f t="shared" si="87"/>
        <v>0</v>
      </c>
      <c r="P673">
        <f t="shared" si="88"/>
        <v>5.5555555555555552E-2</v>
      </c>
    </row>
    <row r="674" spans="1:16" x14ac:dyDescent="0.4">
      <c r="A674">
        <v>0.36363636363636365</v>
      </c>
      <c r="B674">
        <v>0.26666666666666666</v>
      </c>
      <c r="C674" s="24">
        <v>0.14285714285714285</v>
      </c>
      <c r="D674">
        <v>0.2857142857142857</v>
      </c>
      <c r="E674">
        <v>0.375</v>
      </c>
      <c r="F674">
        <v>0.08</v>
      </c>
      <c r="G674">
        <v>0.15384615384615385</v>
      </c>
      <c r="H674">
        <v>0</v>
      </c>
      <c r="I674">
        <f t="shared" si="81"/>
        <v>0.36363636363636365</v>
      </c>
      <c r="J674">
        <f t="shared" si="82"/>
        <v>0.26666666666666666</v>
      </c>
      <c r="K674">
        <f t="shared" si="83"/>
        <v>0.14285714285714285</v>
      </c>
      <c r="L674">
        <f t="shared" si="84"/>
        <v>0.2857142857142857</v>
      </c>
      <c r="M674">
        <f t="shared" si="85"/>
        <v>0.375</v>
      </c>
      <c r="N674">
        <f t="shared" si="86"/>
        <v>0.08</v>
      </c>
      <c r="O674">
        <f t="shared" si="87"/>
        <v>0.15384615384615385</v>
      </c>
      <c r="P674">
        <f t="shared" si="88"/>
        <v>0</v>
      </c>
    </row>
    <row r="675" spans="1:16" x14ac:dyDescent="0.4">
      <c r="A675">
        <v>0.17391304347826086</v>
      </c>
      <c r="B675">
        <v>0.26666666666666666</v>
      </c>
      <c r="C675" s="23">
        <v>0.25</v>
      </c>
      <c r="D675">
        <v>0.5714285714285714</v>
      </c>
      <c r="E675">
        <v>3.8461538461538464E-2</v>
      </c>
      <c r="F675">
        <v>0</v>
      </c>
      <c r="G675">
        <v>0.15384615384615385</v>
      </c>
      <c r="H675">
        <v>0.5</v>
      </c>
      <c r="I675">
        <f t="shared" si="81"/>
        <v>0.17391304347826086</v>
      </c>
      <c r="J675">
        <f t="shared" si="82"/>
        <v>0.26666666666666666</v>
      </c>
      <c r="K675">
        <f t="shared" si="83"/>
        <v>0.25</v>
      </c>
      <c r="L675">
        <f t="shared" si="84"/>
        <v>0.5714285714285714</v>
      </c>
      <c r="M675">
        <f t="shared" si="85"/>
        <v>3.8461538461538464E-2</v>
      </c>
      <c r="N675">
        <f t="shared" si="86"/>
        <v>0</v>
      </c>
      <c r="O675">
        <f t="shared" si="87"/>
        <v>0.15384615384615385</v>
      </c>
      <c r="P675">
        <f t="shared" si="88"/>
        <v>0.5</v>
      </c>
    </row>
    <row r="676" spans="1:16" x14ac:dyDescent="0.4">
      <c r="A676">
        <v>0.13333333333333333</v>
      </c>
      <c r="B676">
        <v>0.16</v>
      </c>
      <c r="C676" s="24">
        <v>5.1948051948051951E-2</v>
      </c>
      <c r="D676">
        <v>0.36363636363636365</v>
      </c>
      <c r="E676">
        <v>3.5714285714285712E-2</v>
      </c>
      <c r="F676">
        <v>1.3157894736842105E-2</v>
      </c>
      <c r="G676">
        <v>9.0909090909090912E-2</v>
      </c>
      <c r="H676">
        <v>0.1</v>
      </c>
      <c r="I676">
        <f t="shared" si="81"/>
        <v>0.13333333333333333</v>
      </c>
      <c r="J676">
        <f t="shared" si="82"/>
        <v>0.16</v>
      </c>
      <c r="K676">
        <f t="shared" si="83"/>
        <v>5.1948051948051951E-2</v>
      </c>
      <c r="L676">
        <f t="shared" si="84"/>
        <v>0.36363636363636365</v>
      </c>
      <c r="M676">
        <f t="shared" si="85"/>
        <v>3.5714285714285712E-2</v>
      </c>
      <c r="N676">
        <f t="shared" si="86"/>
        <v>1.3157894736842105E-2</v>
      </c>
      <c r="O676">
        <f t="shared" si="87"/>
        <v>9.0909090909090912E-2</v>
      </c>
      <c r="P676">
        <f t="shared" si="88"/>
        <v>0.1</v>
      </c>
    </row>
    <row r="677" spans="1:16" x14ac:dyDescent="0.4">
      <c r="A677">
        <v>0.10256410256410256</v>
      </c>
      <c r="B677">
        <v>7.407407407407407E-2</v>
      </c>
      <c r="C677" s="23">
        <v>1.6666666666666666E-2</v>
      </c>
      <c r="D677">
        <v>0.13793103448275862</v>
      </c>
      <c r="E677">
        <v>0</v>
      </c>
      <c r="F677">
        <v>7.0175438596491224E-2</v>
      </c>
      <c r="G677">
        <v>0.16666666666666666</v>
      </c>
      <c r="H677">
        <v>0.12</v>
      </c>
      <c r="I677">
        <f t="shared" si="81"/>
        <v>0.10256410256410256</v>
      </c>
      <c r="J677">
        <f t="shared" si="82"/>
        <v>7.407407407407407E-2</v>
      </c>
      <c r="K677">
        <f t="shared" si="83"/>
        <v>1.6666666666666666E-2</v>
      </c>
      <c r="L677">
        <f t="shared" si="84"/>
        <v>0.13793103448275862</v>
      </c>
      <c r="M677">
        <f t="shared" si="85"/>
        <v>0</v>
      </c>
      <c r="N677">
        <f t="shared" si="86"/>
        <v>7.0175438596491224E-2</v>
      </c>
      <c r="O677">
        <f t="shared" si="87"/>
        <v>0.16666666666666666</v>
      </c>
      <c r="P677">
        <f t="shared" si="88"/>
        <v>0.12</v>
      </c>
    </row>
    <row r="678" spans="1:16" x14ac:dyDescent="0.4">
      <c r="A678">
        <v>0</v>
      </c>
      <c r="B678">
        <v>0.5</v>
      </c>
      <c r="C678" s="24">
        <v>0.14814814814814814</v>
      </c>
      <c r="D678">
        <v>0.44444444444444442</v>
      </c>
      <c r="E678">
        <v>0.13333333333333333</v>
      </c>
      <c r="F678">
        <v>0</v>
      </c>
      <c r="G678">
        <v>0</v>
      </c>
      <c r="H678">
        <v>0.125</v>
      </c>
      <c r="I678">
        <f t="shared" si="81"/>
        <v>0</v>
      </c>
      <c r="J678">
        <f t="shared" si="82"/>
        <v>0.5</v>
      </c>
      <c r="K678">
        <f t="shared" si="83"/>
        <v>0.14814814814814814</v>
      </c>
      <c r="L678">
        <f t="shared" si="84"/>
        <v>0.44444444444444442</v>
      </c>
      <c r="M678">
        <f t="shared" si="85"/>
        <v>0.13333333333333333</v>
      </c>
      <c r="N678">
        <f t="shared" si="86"/>
        <v>0</v>
      </c>
      <c r="O678">
        <f t="shared" si="87"/>
        <v>0</v>
      </c>
      <c r="P678">
        <f t="shared" si="88"/>
        <v>0.125</v>
      </c>
    </row>
    <row r="679" spans="1:16" x14ac:dyDescent="0.4">
      <c r="A679">
        <v>0.30769230769230771</v>
      </c>
      <c r="B679">
        <v>0.33333333333333331</v>
      </c>
      <c r="C679" s="23">
        <v>0.44444444444444442</v>
      </c>
      <c r="D679">
        <v>0.66666666666666663</v>
      </c>
      <c r="E679">
        <v>9.0909090909090912E-2</v>
      </c>
      <c r="F679">
        <v>0</v>
      </c>
      <c r="G679">
        <v>9.0909090909090912E-2</v>
      </c>
      <c r="H679">
        <v>0</v>
      </c>
      <c r="I679">
        <f t="shared" si="81"/>
        <v>0.30769230769230771</v>
      </c>
      <c r="J679">
        <f t="shared" si="82"/>
        <v>0.33333333333333331</v>
      </c>
      <c r="K679">
        <f t="shared" si="83"/>
        <v>0.44444444444444442</v>
      </c>
      <c r="L679">
        <f t="shared" si="84"/>
        <v>0.66666666666666663</v>
      </c>
      <c r="M679">
        <f t="shared" si="85"/>
        <v>9.0909090909090912E-2</v>
      </c>
      <c r="N679">
        <f t="shared" si="86"/>
        <v>0</v>
      </c>
      <c r="O679">
        <f t="shared" si="87"/>
        <v>9.0909090909090912E-2</v>
      </c>
      <c r="P679">
        <f t="shared" si="88"/>
        <v>0</v>
      </c>
    </row>
    <row r="680" spans="1:16" x14ac:dyDescent="0.4">
      <c r="A680">
        <v>0.2857142857142857</v>
      </c>
      <c r="B680">
        <v>0.2857142857142857</v>
      </c>
      <c r="C680" s="24">
        <v>0</v>
      </c>
      <c r="D680">
        <v>0.44444444444444442</v>
      </c>
      <c r="E680">
        <v>7.1428571428571425E-2</v>
      </c>
      <c r="F680">
        <v>1</v>
      </c>
      <c r="G680">
        <v>0</v>
      </c>
      <c r="H680">
        <v>0</v>
      </c>
      <c r="I680">
        <f t="shared" si="81"/>
        <v>0.2857142857142857</v>
      </c>
      <c r="J680">
        <f t="shared" si="82"/>
        <v>0.2857142857142857</v>
      </c>
      <c r="K680">
        <f t="shared" si="83"/>
        <v>0</v>
      </c>
      <c r="L680">
        <f t="shared" si="84"/>
        <v>0.44444444444444442</v>
      </c>
      <c r="M680">
        <f t="shared" si="85"/>
        <v>7.1428571428571425E-2</v>
      </c>
      <c r="N680">
        <f t="shared" si="86"/>
        <v>1</v>
      </c>
      <c r="O680">
        <f t="shared" si="87"/>
        <v>0</v>
      </c>
      <c r="P680">
        <f t="shared" si="88"/>
        <v>0</v>
      </c>
    </row>
    <row r="681" spans="1:16" x14ac:dyDescent="0.4">
      <c r="A681">
        <v>0</v>
      </c>
      <c r="B681">
        <v>0.16666666666666666</v>
      </c>
      <c r="C681" s="23">
        <v>0.125</v>
      </c>
      <c r="D681">
        <v>0.25</v>
      </c>
      <c r="E681">
        <v>0.2857142857142857</v>
      </c>
      <c r="F681">
        <v>1</v>
      </c>
      <c r="G681">
        <v>0</v>
      </c>
      <c r="H681">
        <v>0.15384615384615385</v>
      </c>
      <c r="I681">
        <f t="shared" si="81"/>
        <v>0</v>
      </c>
      <c r="J681">
        <f t="shared" si="82"/>
        <v>0.16666666666666666</v>
      </c>
      <c r="K681">
        <f t="shared" si="83"/>
        <v>0.125</v>
      </c>
      <c r="L681">
        <f t="shared" si="84"/>
        <v>0.25</v>
      </c>
      <c r="M681">
        <f t="shared" si="85"/>
        <v>0.2857142857142857</v>
      </c>
      <c r="N681">
        <f t="shared" si="86"/>
        <v>1</v>
      </c>
      <c r="O681">
        <f t="shared" si="87"/>
        <v>0</v>
      </c>
      <c r="P681">
        <f t="shared" si="88"/>
        <v>0.15384615384615385</v>
      </c>
    </row>
    <row r="682" spans="1:16" x14ac:dyDescent="0.4">
      <c r="A682">
        <v>0</v>
      </c>
      <c r="B682">
        <v>4.7619047619047616E-2</v>
      </c>
      <c r="C682" s="24">
        <v>0.30769230769230771</v>
      </c>
      <c r="D682">
        <v>0.42857142857142855</v>
      </c>
      <c r="E682">
        <v>0.23529411764705882</v>
      </c>
      <c r="F682">
        <v>0.3</v>
      </c>
      <c r="G682">
        <v>0.22222222222222221</v>
      </c>
      <c r="H682">
        <v>0.44444444444444442</v>
      </c>
      <c r="I682">
        <f t="shared" si="81"/>
        <v>0</v>
      </c>
      <c r="J682">
        <f t="shared" si="82"/>
        <v>4.7619047619047616E-2</v>
      </c>
      <c r="K682">
        <f t="shared" si="83"/>
        <v>0.30769230769230771</v>
      </c>
      <c r="L682">
        <f t="shared" si="84"/>
        <v>0.42857142857142855</v>
      </c>
      <c r="M682">
        <f t="shared" si="85"/>
        <v>0.23529411764705882</v>
      </c>
      <c r="N682">
        <f t="shared" si="86"/>
        <v>0.3</v>
      </c>
      <c r="O682">
        <f t="shared" si="87"/>
        <v>0.22222222222222221</v>
      </c>
      <c r="P682">
        <f t="shared" si="88"/>
        <v>0.44444444444444442</v>
      </c>
    </row>
    <row r="683" spans="1:16" x14ac:dyDescent="0.4">
      <c r="A683">
        <v>0.17391304347826086</v>
      </c>
      <c r="B683">
        <v>0.10810810810810811</v>
      </c>
      <c r="C683" s="23">
        <v>0.23529411764705882</v>
      </c>
      <c r="D683">
        <v>0.30769230769230771</v>
      </c>
      <c r="E683">
        <v>4.7619047619047616E-2</v>
      </c>
      <c r="F683">
        <v>0.23076923076923078</v>
      </c>
      <c r="G683">
        <v>9.375E-2</v>
      </c>
      <c r="H683">
        <v>0</v>
      </c>
      <c r="I683">
        <f t="shared" si="81"/>
        <v>0.17391304347826086</v>
      </c>
      <c r="J683">
        <f t="shared" si="82"/>
        <v>0.10810810810810811</v>
      </c>
      <c r="K683">
        <f t="shared" si="83"/>
        <v>0.23529411764705882</v>
      </c>
      <c r="L683">
        <f t="shared" si="84"/>
        <v>0.30769230769230771</v>
      </c>
      <c r="M683">
        <f t="shared" si="85"/>
        <v>4.7619047619047616E-2</v>
      </c>
      <c r="N683">
        <f t="shared" si="86"/>
        <v>0.23076923076923078</v>
      </c>
      <c r="O683">
        <f t="shared" si="87"/>
        <v>9.375E-2</v>
      </c>
      <c r="P683">
        <f t="shared" si="88"/>
        <v>0</v>
      </c>
    </row>
    <row r="684" spans="1:16" x14ac:dyDescent="0.4">
      <c r="A684">
        <v>0.2</v>
      </c>
      <c r="B684">
        <v>0.13793103448275862</v>
      </c>
      <c r="C684" s="24">
        <v>1.7543859649122806E-2</v>
      </c>
      <c r="D684">
        <v>0.4</v>
      </c>
      <c r="E684">
        <v>0.1875</v>
      </c>
      <c r="F684">
        <v>7.5471698113207544E-2</v>
      </c>
      <c r="G684">
        <v>3.7037037037037035E-2</v>
      </c>
      <c r="H684">
        <v>0.25</v>
      </c>
      <c r="I684">
        <f t="shared" si="81"/>
        <v>0.2</v>
      </c>
      <c r="J684">
        <f t="shared" si="82"/>
        <v>0.13793103448275862</v>
      </c>
      <c r="K684">
        <f t="shared" si="83"/>
        <v>1.7543859649122806E-2</v>
      </c>
      <c r="L684">
        <f t="shared" si="84"/>
        <v>0.4</v>
      </c>
      <c r="M684">
        <f t="shared" si="85"/>
        <v>0.1875</v>
      </c>
      <c r="N684">
        <f t="shared" si="86"/>
        <v>7.5471698113207544E-2</v>
      </c>
      <c r="O684">
        <f t="shared" si="87"/>
        <v>3.7037037037037035E-2</v>
      </c>
      <c r="P684">
        <f t="shared" si="88"/>
        <v>0.25</v>
      </c>
    </row>
    <row r="685" spans="1:16" x14ac:dyDescent="0.4">
      <c r="A685">
        <v>0.36363636363636365</v>
      </c>
      <c r="B685">
        <v>0.1111111111111111</v>
      </c>
      <c r="C685" s="23">
        <v>0.10810810810810811</v>
      </c>
      <c r="D685">
        <v>0.5</v>
      </c>
      <c r="E685">
        <v>0.22222222222222221</v>
      </c>
      <c r="F685">
        <v>5.8823529411764705E-2</v>
      </c>
      <c r="G685">
        <v>0.16666666666666666</v>
      </c>
      <c r="H685">
        <v>0.4</v>
      </c>
      <c r="I685">
        <f t="shared" si="81"/>
        <v>0.36363636363636365</v>
      </c>
      <c r="J685">
        <f t="shared" si="82"/>
        <v>0.1111111111111111</v>
      </c>
      <c r="K685">
        <f t="shared" si="83"/>
        <v>0.10810810810810811</v>
      </c>
      <c r="L685">
        <f t="shared" si="84"/>
        <v>0.5</v>
      </c>
      <c r="M685">
        <f t="shared" si="85"/>
        <v>0.22222222222222221</v>
      </c>
      <c r="N685">
        <f t="shared" si="86"/>
        <v>5.8823529411764705E-2</v>
      </c>
      <c r="O685">
        <f t="shared" si="87"/>
        <v>0.16666666666666666</v>
      </c>
      <c r="P685">
        <f t="shared" si="88"/>
        <v>0.4</v>
      </c>
    </row>
    <row r="686" spans="1:16" x14ac:dyDescent="0.4">
      <c r="A686">
        <v>0.21052631578947367</v>
      </c>
      <c r="B686">
        <v>0.23529411764705882</v>
      </c>
      <c r="C686" s="24">
        <v>0.25</v>
      </c>
      <c r="D686">
        <v>0.30769230769230771</v>
      </c>
      <c r="E686">
        <v>0</v>
      </c>
      <c r="F686">
        <v>0.25</v>
      </c>
      <c r="G686">
        <v>0.25</v>
      </c>
      <c r="H686">
        <v>0</v>
      </c>
      <c r="I686">
        <f t="shared" si="81"/>
        <v>0.21052631578947367</v>
      </c>
      <c r="J686">
        <f t="shared" si="82"/>
        <v>0.23529411764705882</v>
      </c>
      <c r="K686">
        <f t="shared" si="83"/>
        <v>0.25</v>
      </c>
      <c r="L686">
        <f t="shared" si="84"/>
        <v>0.30769230769230771</v>
      </c>
      <c r="M686">
        <f t="shared" si="85"/>
        <v>0</v>
      </c>
      <c r="N686">
        <f t="shared" si="86"/>
        <v>0.25</v>
      </c>
      <c r="O686">
        <f t="shared" si="87"/>
        <v>0.25</v>
      </c>
      <c r="P686">
        <f t="shared" si="88"/>
        <v>0</v>
      </c>
    </row>
    <row r="687" spans="1:16" x14ac:dyDescent="0.4">
      <c r="A687">
        <v>0.26666666666666666</v>
      </c>
      <c r="B687">
        <v>0</v>
      </c>
      <c r="C687" s="23">
        <v>0.5</v>
      </c>
      <c r="D687">
        <v>0.44444444444444442</v>
      </c>
      <c r="E687">
        <v>0</v>
      </c>
      <c r="F687">
        <v>0.14285714285714285</v>
      </c>
      <c r="G687">
        <v>0.19047619047619047</v>
      </c>
      <c r="H687">
        <v>0.125</v>
      </c>
      <c r="I687">
        <f t="shared" si="81"/>
        <v>0.26666666666666666</v>
      </c>
      <c r="J687">
        <f t="shared" si="82"/>
        <v>0</v>
      </c>
      <c r="K687">
        <f t="shared" si="83"/>
        <v>0.5</v>
      </c>
      <c r="L687">
        <f t="shared" si="84"/>
        <v>0.44444444444444442</v>
      </c>
      <c r="M687">
        <f t="shared" si="85"/>
        <v>0</v>
      </c>
      <c r="N687">
        <f t="shared" si="86"/>
        <v>0.14285714285714285</v>
      </c>
      <c r="O687">
        <f t="shared" si="87"/>
        <v>0.19047619047619047</v>
      </c>
      <c r="P687">
        <f t="shared" si="88"/>
        <v>0.125</v>
      </c>
    </row>
    <row r="688" spans="1:16" x14ac:dyDescent="0.4">
      <c r="A688">
        <v>0.30769230769230771</v>
      </c>
      <c r="B688">
        <v>0.22222222222222221</v>
      </c>
      <c r="C688" s="24">
        <v>0.2857142857142857</v>
      </c>
      <c r="D688">
        <v>0.5714285714285714</v>
      </c>
      <c r="E688">
        <v>0</v>
      </c>
      <c r="F688">
        <v>7.6923076923076927E-2</v>
      </c>
      <c r="G688">
        <v>0</v>
      </c>
      <c r="H688">
        <v>0.2</v>
      </c>
      <c r="I688">
        <f t="shared" si="81"/>
        <v>0.30769230769230771</v>
      </c>
      <c r="J688">
        <f t="shared" si="82"/>
        <v>0.22222222222222221</v>
      </c>
      <c r="K688">
        <f t="shared" si="83"/>
        <v>0.2857142857142857</v>
      </c>
      <c r="L688">
        <f t="shared" si="84"/>
        <v>0.5714285714285714</v>
      </c>
      <c r="M688">
        <f t="shared" si="85"/>
        <v>0</v>
      </c>
      <c r="N688">
        <f t="shared" si="86"/>
        <v>7.6923076923076927E-2</v>
      </c>
      <c r="O688">
        <f t="shared" si="87"/>
        <v>0</v>
      </c>
      <c r="P688">
        <f t="shared" si="88"/>
        <v>0.2</v>
      </c>
    </row>
    <row r="689" spans="1:16" x14ac:dyDescent="0.4">
      <c r="A689">
        <v>0.11428571428571428</v>
      </c>
      <c r="B689">
        <v>0.5</v>
      </c>
      <c r="C689" s="23">
        <v>0.2857142857142857</v>
      </c>
      <c r="D689">
        <v>0.1</v>
      </c>
      <c r="E689">
        <v>9.375E-2</v>
      </c>
      <c r="F689">
        <v>7.1428571428571425E-2</v>
      </c>
      <c r="G689">
        <v>0</v>
      </c>
      <c r="H689">
        <v>6.5217391304347824E-2</v>
      </c>
      <c r="I689">
        <f t="shared" si="81"/>
        <v>0.11428571428571428</v>
      </c>
      <c r="J689">
        <f t="shared" si="82"/>
        <v>0.5</v>
      </c>
      <c r="K689">
        <f t="shared" si="83"/>
        <v>0.2857142857142857</v>
      </c>
      <c r="L689">
        <f t="shared" si="84"/>
        <v>0.1</v>
      </c>
      <c r="M689">
        <f t="shared" si="85"/>
        <v>9.375E-2</v>
      </c>
      <c r="N689">
        <f t="shared" si="86"/>
        <v>7.1428571428571425E-2</v>
      </c>
      <c r="O689">
        <f t="shared" si="87"/>
        <v>0</v>
      </c>
      <c r="P689">
        <f t="shared" si="88"/>
        <v>6.5217391304347824E-2</v>
      </c>
    </row>
    <row r="690" spans="1:16" x14ac:dyDescent="0.4">
      <c r="A690">
        <v>0.4</v>
      </c>
      <c r="B690">
        <v>0.44444444444444442</v>
      </c>
      <c r="C690" s="24">
        <v>0.26666666666666666</v>
      </c>
      <c r="D690">
        <v>0.5714285714285714</v>
      </c>
      <c r="E690">
        <v>0.1</v>
      </c>
      <c r="F690">
        <v>0.23076923076923078</v>
      </c>
      <c r="G690">
        <v>0.125</v>
      </c>
      <c r="H690">
        <v>0.16666666666666666</v>
      </c>
      <c r="I690">
        <f t="shared" si="81"/>
        <v>0.4</v>
      </c>
      <c r="J690">
        <f t="shared" si="82"/>
        <v>0.44444444444444442</v>
      </c>
      <c r="K690">
        <f t="shared" si="83"/>
        <v>0.26666666666666666</v>
      </c>
      <c r="L690">
        <f t="shared" si="84"/>
        <v>0.5714285714285714</v>
      </c>
      <c r="M690">
        <f t="shared" si="85"/>
        <v>0.1</v>
      </c>
      <c r="N690">
        <f t="shared" si="86"/>
        <v>0.23076923076923078</v>
      </c>
      <c r="O690">
        <f t="shared" si="87"/>
        <v>0.125</v>
      </c>
      <c r="P690">
        <f t="shared" si="88"/>
        <v>0.16666666666666666</v>
      </c>
    </row>
    <row r="691" spans="1:16" x14ac:dyDescent="0.4">
      <c r="A691">
        <v>0.21052631578947367</v>
      </c>
      <c r="B691">
        <v>0.23529411764705882</v>
      </c>
      <c r="C691" s="23">
        <v>7.0175438596491224E-2</v>
      </c>
      <c r="D691">
        <v>0.5714285714285714</v>
      </c>
      <c r="E691">
        <v>0.125</v>
      </c>
      <c r="F691">
        <v>5.6603773584905662E-2</v>
      </c>
      <c r="G691">
        <v>6.6666666666666666E-2</v>
      </c>
      <c r="H691">
        <v>0.16666666666666666</v>
      </c>
      <c r="I691">
        <f t="shared" si="81"/>
        <v>0.21052631578947367</v>
      </c>
      <c r="J691">
        <f t="shared" si="82"/>
        <v>0.23529411764705882</v>
      </c>
      <c r="K691">
        <f t="shared" si="83"/>
        <v>7.0175438596491224E-2</v>
      </c>
      <c r="L691">
        <f t="shared" si="84"/>
        <v>0.5714285714285714</v>
      </c>
      <c r="M691">
        <f t="shared" si="85"/>
        <v>0.125</v>
      </c>
      <c r="N691">
        <f t="shared" si="86"/>
        <v>5.6603773584905662E-2</v>
      </c>
      <c r="O691">
        <f t="shared" si="87"/>
        <v>6.6666666666666666E-2</v>
      </c>
      <c r="P691">
        <f t="shared" si="88"/>
        <v>0.16666666666666666</v>
      </c>
    </row>
    <row r="692" spans="1:16" x14ac:dyDescent="0.4">
      <c r="A692">
        <v>0.5</v>
      </c>
      <c r="B692">
        <v>0.2857142857142857</v>
      </c>
      <c r="C692" s="24">
        <v>0.14814814814814814</v>
      </c>
      <c r="D692">
        <v>0.66666666666666663</v>
      </c>
      <c r="E692">
        <v>0</v>
      </c>
      <c r="F692">
        <v>8.3333333333333329E-2</v>
      </c>
      <c r="G692">
        <v>7.6923076923076927E-2</v>
      </c>
      <c r="H692">
        <v>0.66666666666666663</v>
      </c>
      <c r="I692">
        <f t="shared" si="81"/>
        <v>0.5</v>
      </c>
      <c r="J692">
        <f t="shared" si="82"/>
        <v>0.2857142857142857</v>
      </c>
      <c r="K692">
        <f t="shared" si="83"/>
        <v>0.14814814814814814</v>
      </c>
      <c r="L692">
        <f t="shared" si="84"/>
        <v>0.66666666666666663</v>
      </c>
      <c r="M692">
        <f t="shared" si="85"/>
        <v>0</v>
      </c>
      <c r="N692">
        <f t="shared" si="86"/>
        <v>8.3333333333333329E-2</v>
      </c>
      <c r="O692">
        <f t="shared" si="87"/>
        <v>7.6923076923076927E-2</v>
      </c>
      <c r="P692">
        <f t="shared" si="88"/>
        <v>0.66666666666666663</v>
      </c>
    </row>
    <row r="693" spans="1:16" x14ac:dyDescent="0.4">
      <c r="A693">
        <v>0.4</v>
      </c>
      <c r="B693">
        <v>0.2</v>
      </c>
      <c r="C693" s="23">
        <v>7.6923076923076927E-2</v>
      </c>
      <c r="D693">
        <v>5.4054054054054057E-2</v>
      </c>
      <c r="E693">
        <v>0.2</v>
      </c>
      <c r="F693">
        <v>0.36363636363636365</v>
      </c>
      <c r="G693">
        <v>0</v>
      </c>
      <c r="H693">
        <v>3.4090909090909088E-2</v>
      </c>
      <c r="I693">
        <f t="shared" si="81"/>
        <v>0.4</v>
      </c>
      <c r="J693">
        <f t="shared" si="82"/>
        <v>0.2</v>
      </c>
      <c r="K693">
        <f t="shared" si="83"/>
        <v>7.6923076923076927E-2</v>
      </c>
      <c r="L693">
        <f t="shared" si="84"/>
        <v>5.4054054054054057E-2</v>
      </c>
      <c r="M693">
        <f t="shared" si="85"/>
        <v>0.2</v>
      </c>
      <c r="N693">
        <f t="shared" si="86"/>
        <v>0.36363636363636365</v>
      </c>
      <c r="O693">
        <f t="shared" si="87"/>
        <v>0</v>
      </c>
      <c r="P693">
        <f t="shared" si="88"/>
        <v>3.4090909090909088E-2</v>
      </c>
    </row>
    <row r="694" spans="1:16" x14ac:dyDescent="0.4">
      <c r="A694">
        <v>0</v>
      </c>
      <c r="B694">
        <v>0</v>
      </c>
      <c r="C694" s="24">
        <v>0.2857142857142857</v>
      </c>
      <c r="D694">
        <v>6.7796610169491525E-2</v>
      </c>
      <c r="E694">
        <v>0.26666666666666666</v>
      </c>
      <c r="F694">
        <v>0.18181818181818182</v>
      </c>
      <c r="G694">
        <v>0.2857142857142857</v>
      </c>
      <c r="H694">
        <v>1.3333333333333334E-2</v>
      </c>
      <c r="I694">
        <f t="shared" si="81"/>
        <v>0</v>
      </c>
      <c r="J694">
        <f t="shared" si="82"/>
        <v>0</v>
      </c>
      <c r="K694">
        <f t="shared" si="83"/>
        <v>0.2857142857142857</v>
      </c>
      <c r="L694">
        <f t="shared" si="84"/>
        <v>6.7796610169491525E-2</v>
      </c>
      <c r="M694">
        <f t="shared" si="85"/>
        <v>0.26666666666666666</v>
      </c>
      <c r="N694">
        <f t="shared" si="86"/>
        <v>0.18181818181818182</v>
      </c>
      <c r="O694">
        <f t="shared" si="87"/>
        <v>0.2857142857142857</v>
      </c>
      <c r="P694">
        <f t="shared" si="88"/>
        <v>1.3333333333333334E-2</v>
      </c>
    </row>
    <row r="695" spans="1:16" x14ac:dyDescent="0.4">
      <c r="A695">
        <v>0</v>
      </c>
      <c r="B695">
        <v>0.33333333333333331</v>
      </c>
      <c r="C695" s="23">
        <v>8.8888888888888892E-2</v>
      </c>
      <c r="D695">
        <v>0.25</v>
      </c>
      <c r="E695">
        <v>0.26666666666666666</v>
      </c>
      <c r="F695">
        <v>4.6511627906976744E-2</v>
      </c>
      <c r="G695">
        <v>0.25</v>
      </c>
      <c r="H695">
        <v>0.16666666666666666</v>
      </c>
      <c r="I695">
        <f t="shared" si="81"/>
        <v>0</v>
      </c>
      <c r="J695">
        <f t="shared" si="82"/>
        <v>0.33333333333333331</v>
      </c>
      <c r="K695">
        <f t="shared" si="83"/>
        <v>8.8888888888888892E-2</v>
      </c>
      <c r="L695">
        <f t="shared" si="84"/>
        <v>0.25</v>
      </c>
      <c r="M695">
        <f t="shared" si="85"/>
        <v>0.26666666666666666</v>
      </c>
      <c r="N695">
        <f t="shared" si="86"/>
        <v>4.6511627906976744E-2</v>
      </c>
      <c r="O695">
        <f t="shared" si="87"/>
        <v>0.25</v>
      </c>
      <c r="P695">
        <f t="shared" si="88"/>
        <v>0.16666666666666666</v>
      </c>
    </row>
    <row r="696" spans="1:16" x14ac:dyDescent="0.4">
      <c r="A696">
        <v>0.23529411764705882</v>
      </c>
      <c r="B696">
        <v>0.4</v>
      </c>
      <c r="C696" s="24">
        <v>8.3333333333333329E-2</v>
      </c>
      <c r="D696">
        <v>0.44444444444444442</v>
      </c>
      <c r="E696">
        <v>0</v>
      </c>
      <c r="F696">
        <v>0.4</v>
      </c>
      <c r="G696">
        <v>0.2857142857142857</v>
      </c>
      <c r="H696">
        <v>0.125</v>
      </c>
      <c r="I696">
        <f t="shared" si="81"/>
        <v>0.23529411764705882</v>
      </c>
      <c r="J696">
        <f t="shared" si="82"/>
        <v>0.4</v>
      </c>
      <c r="K696">
        <f t="shared" si="83"/>
        <v>8.3333333333333329E-2</v>
      </c>
      <c r="L696">
        <f t="shared" si="84"/>
        <v>0.44444444444444442</v>
      </c>
      <c r="M696">
        <f t="shared" si="85"/>
        <v>0</v>
      </c>
      <c r="N696">
        <f t="shared" si="86"/>
        <v>0.4</v>
      </c>
      <c r="O696">
        <f t="shared" si="87"/>
        <v>0.2857142857142857</v>
      </c>
      <c r="P696">
        <f t="shared" si="88"/>
        <v>0.125</v>
      </c>
    </row>
    <row r="697" spans="1:16" x14ac:dyDescent="0.4">
      <c r="A697">
        <v>0.33333333333333331</v>
      </c>
      <c r="B697">
        <v>0.33333333333333331</v>
      </c>
      <c r="C697" s="23">
        <v>0.44444444444444442</v>
      </c>
      <c r="D697">
        <v>1</v>
      </c>
      <c r="E697">
        <v>0</v>
      </c>
      <c r="F697">
        <v>0</v>
      </c>
      <c r="G697">
        <v>9.0909090909090912E-2</v>
      </c>
      <c r="H697">
        <v>0</v>
      </c>
      <c r="I697">
        <f t="shared" si="81"/>
        <v>0.33333333333333331</v>
      </c>
      <c r="J697">
        <f t="shared" si="82"/>
        <v>0.33333333333333331</v>
      </c>
      <c r="K697">
        <f t="shared" si="83"/>
        <v>0.44444444444444442</v>
      </c>
      <c r="L697">
        <f t="shared" si="84"/>
        <v>1</v>
      </c>
      <c r="M697">
        <f t="shared" si="85"/>
        <v>0</v>
      </c>
      <c r="N697">
        <f t="shared" si="86"/>
        <v>0</v>
      </c>
      <c r="O697">
        <f t="shared" si="87"/>
        <v>9.0909090909090912E-2</v>
      </c>
      <c r="P697">
        <f t="shared" si="88"/>
        <v>0</v>
      </c>
    </row>
    <row r="698" spans="1:16" x14ac:dyDescent="0.4">
      <c r="A698">
        <v>0.36363636363636365</v>
      </c>
      <c r="B698">
        <v>0</v>
      </c>
      <c r="C698" s="24">
        <v>0.5</v>
      </c>
      <c r="D698">
        <v>0.66666666666666663</v>
      </c>
      <c r="E698">
        <v>0.1111111111111111</v>
      </c>
      <c r="F698">
        <v>0</v>
      </c>
      <c r="G698">
        <v>0.2</v>
      </c>
      <c r="H698">
        <v>0.5</v>
      </c>
      <c r="I698">
        <f t="shared" si="81"/>
        <v>0.36363636363636365</v>
      </c>
      <c r="J698">
        <f t="shared" si="82"/>
        <v>0</v>
      </c>
      <c r="K698">
        <f t="shared" si="83"/>
        <v>0.5</v>
      </c>
      <c r="L698">
        <f t="shared" si="84"/>
        <v>0.66666666666666663</v>
      </c>
      <c r="M698">
        <f t="shared" si="85"/>
        <v>0.1111111111111111</v>
      </c>
      <c r="N698">
        <f t="shared" si="86"/>
        <v>0</v>
      </c>
      <c r="O698">
        <f t="shared" si="87"/>
        <v>0.2</v>
      </c>
      <c r="P698">
        <f t="shared" si="88"/>
        <v>0.5</v>
      </c>
    </row>
    <row r="699" spans="1:16" x14ac:dyDescent="0.4">
      <c r="A699">
        <v>0.1</v>
      </c>
      <c r="B699">
        <v>0.25</v>
      </c>
      <c r="C699" s="23">
        <v>4.5454545454545456E-2</v>
      </c>
      <c r="D699">
        <v>0.4</v>
      </c>
      <c r="E699">
        <v>0.14814814814814814</v>
      </c>
      <c r="F699">
        <v>1.1627906976744186E-2</v>
      </c>
      <c r="G699">
        <v>7.1428571428571425E-2</v>
      </c>
      <c r="H699">
        <v>8.3333333333333329E-2</v>
      </c>
      <c r="I699">
        <f t="shared" si="81"/>
        <v>0.1</v>
      </c>
      <c r="J699">
        <f t="shared" si="82"/>
        <v>0.25</v>
      </c>
      <c r="K699">
        <f t="shared" si="83"/>
        <v>4.5454545454545456E-2</v>
      </c>
      <c r="L699">
        <f t="shared" si="84"/>
        <v>0.4</v>
      </c>
      <c r="M699">
        <f t="shared" si="85"/>
        <v>0.14814814814814814</v>
      </c>
      <c r="N699">
        <f t="shared" si="86"/>
        <v>1.1627906976744186E-2</v>
      </c>
      <c r="O699">
        <f t="shared" si="87"/>
        <v>7.1428571428571425E-2</v>
      </c>
      <c r="P699">
        <f t="shared" si="88"/>
        <v>8.3333333333333329E-2</v>
      </c>
    </row>
    <row r="700" spans="1:16" x14ac:dyDescent="0.4">
      <c r="A700">
        <v>0.22222222222222221</v>
      </c>
      <c r="B700">
        <v>0.30769230769230771</v>
      </c>
      <c r="C700" s="24">
        <v>0.5</v>
      </c>
      <c r="D700">
        <v>9.3023255813953487E-2</v>
      </c>
      <c r="E700">
        <v>0</v>
      </c>
      <c r="F700">
        <v>0.14285714285714285</v>
      </c>
      <c r="G700">
        <v>0</v>
      </c>
      <c r="H700">
        <v>4.1666666666666664E-2</v>
      </c>
      <c r="I700">
        <f t="shared" si="81"/>
        <v>0.22222222222222221</v>
      </c>
      <c r="J700">
        <f t="shared" si="82"/>
        <v>0.30769230769230771</v>
      </c>
      <c r="K700">
        <f t="shared" si="83"/>
        <v>0.5</v>
      </c>
      <c r="L700">
        <f t="shared" si="84"/>
        <v>9.3023255813953487E-2</v>
      </c>
      <c r="M700">
        <f t="shared" si="85"/>
        <v>0</v>
      </c>
      <c r="N700">
        <f t="shared" si="86"/>
        <v>0.14285714285714285</v>
      </c>
      <c r="O700">
        <f t="shared" si="87"/>
        <v>0</v>
      </c>
      <c r="P700">
        <f t="shared" si="88"/>
        <v>4.1666666666666664E-2</v>
      </c>
    </row>
    <row r="701" spans="1:16" x14ac:dyDescent="0.4">
      <c r="A701">
        <v>0.44444444444444442</v>
      </c>
      <c r="B701">
        <v>0.14814814814814814</v>
      </c>
      <c r="C701" s="23">
        <v>0.16666666666666666</v>
      </c>
      <c r="D701">
        <v>0.5</v>
      </c>
      <c r="E701">
        <v>0.14285714285714285</v>
      </c>
      <c r="F701">
        <v>0.14285714285714285</v>
      </c>
      <c r="G701">
        <v>3.5714285714285712E-2</v>
      </c>
      <c r="H701">
        <v>0.33333333333333331</v>
      </c>
      <c r="I701">
        <f t="shared" si="81"/>
        <v>0.44444444444444442</v>
      </c>
      <c r="J701">
        <f t="shared" si="82"/>
        <v>0.14814814814814814</v>
      </c>
      <c r="K701">
        <f t="shared" si="83"/>
        <v>0.16666666666666666</v>
      </c>
      <c r="L701">
        <f t="shared" si="84"/>
        <v>0.5</v>
      </c>
      <c r="M701">
        <f t="shared" si="85"/>
        <v>0.14285714285714285</v>
      </c>
      <c r="N701">
        <f t="shared" si="86"/>
        <v>0.14285714285714285</v>
      </c>
      <c r="O701">
        <f t="shared" si="87"/>
        <v>3.5714285714285712E-2</v>
      </c>
      <c r="P701">
        <f t="shared" si="88"/>
        <v>0.33333333333333331</v>
      </c>
    </row>
    <row r="702" spans="1:16" x14ac:dyDescent="0.4">
      <c r="A702">
        <v>0.33333333333333331</v>
      </c>
      <c r="B702">
        <v>0.19047619047619047</v>
      </c>
      <c r="C702" s="24">
        <v>0.2</v>
      </c>
      <c r="D702">
        <v>0.33333333333333331</v>
      </c>
      <c r="E702">
        <v>9.0909090909090912E-2</v>
      </c>
      <c r="F702">
        <v>0</v>
      </c>
      <c r="G702">
        <v>0</v>
      </c>
      <c r="H702">
        <v>0.13333333333333333</v>
      </c>
      <c r="I702">
        <f t="shared" si="81"/>
        <v>0.33333333333333331</v>
      </c>
      <c r="J702">
        <f t="shared" si="82"/>
        <v>0.19047619047619047</v>
      </c>
      <c r="K702">
        <f t="shared" si="83"/>
        <v>0.2</v>
      </c>
      <c r="L702">
        <f t="shared" si="84"/>
        <v>0.33333333333333331</v>
      </c>
      <c r="M702">
        <f t="shared" si="85"/>
        <v>9.0909090909090912E-2</v>
      </c>
      <c r="N702">
        <f t="shared" si="86"/>
        <v>0</v>
      </c>
      <c r="O702">
        <f t="shared" si="87"/>
        <v>0</v>
      </c>
      <c r="P702">
        <f t="shared" si="88"/>
        <v>0.13333333333333333</v>
      </c>
    </row>
    <row r="703" spans="1:16" x14ac:dyDescent="0.4">
      <c r="A703">
        <v>0</v>
      </c>
      <c r="B703">
        <v>0.25</v>
      </c>
      <c r="C703" s="23">
        <v>8.6956521739130432E-2</v>
      </c>
      <c r="D703">
        <v>5.8823529411764705E-2</v>
      </c>
      <c r="E703">
        <v>0.2857142857142857</v>
      </c>
      <c r="F703">
        <v>0</v>
      </c>
      <c r="G703">
        <v>0</v>
      </c>
      <c r="H703">
        <v>1.2500000000000001E-2</v>
      </c>
      <c r="I703">
        <f t="shared" si="81"/>
        <v>0</v>
      </c>
      <c r="J703">
        <f t="shared" si="82"/>
        <v>0.25</v>
      </c>
      <c r="K703">
        <f t="shared" si="83"/>
        <v>8.6956521739130432E-2</v>
      </c>
      <c r="L703">
        <f t="shared" si="84"/>
        <v>5.8823529411764705E-2</v>
      </c>
      <c r="M703">
        <f t="shared" si="85"/>
        <v>0.2857142857142857</v>
      </c>
      <c r="N703">
        <f t="shared" si="86"/>
        <v>0</v>
      </c>
      <c r="O703">
        <f t="shared" si="87"/>
        <v>0</v>
      </c>
      <c r="P703">
        <f t="shared" si="88"/>
        <v>1.2500000000000001E-2</v>
      </c>
    </row>
    <row r="704" spans="1:16" x14ac:dyDescent="0.4">
      <c r="A704">
        <v>0.16</v>
      </c>
      <c r="B704">
        <v>0.33333333333333331</v>
      </c>
      <c r="C704" s="24">
        <v>0.12903225806451613</v>
      </c>
      <c r="D704">
        <v>0.22222222222222221</v>
      </c>
      <c r="E704">
        <v>0</v>
      </c>
      <c r="F704">
        <v>3.5714285714285712E-2</v>
      </c>
      <c r="G704">
        <v>0</v>
      </c>
      <c r="H704">
        <v>0.66666666666666663</v>
      </c>
      <c r="I704">
        <f t="shared" si="81"/>
        <v>0.16</v>
      </c>
      <c r="J704">
        <f t="shared" si="82"/>
        <v>0.33333333333333331</v>
      </c>
      <c r="K704">
        <f t="shared" si="83"/>
        <v>0.12903225806451613</v>
      </c>
      <c r="L704">
        <f t="shared" si="84"/>
        <v>0.22222222222222221</v>
      </c>
      <c r="M704">
        <f t="shared" si="85"/>
        <v>0</v>
      </c>
      <c r="N704">
        <f t="shared" si="86"/>
        <v>3.5714285714285712E-2</v>
      </c>
      <c r="O704">
        <f t="shared" si="87"/>
        <v>0</v>
      </c>
      <c r="P704">
        <f t="shared" si="88"/>
        <v>0.66666666666666663</v>
      </c>
    </row>
    <row r="705" spans="1:16" x14ac:dyDescent="0.4">
      <c r="A705">
        <v>0.30769230769230771</v>
      </c>
      <c r="B705">
        <v>0.22222222222222221</v>
      </c>
      <c r="C705" s="23">
        <v>0.66666666666666663</v>
      </c>
      <c r="D705">
        <v>0.66666666666666663</v>
      </c>
      <c r="E705">
        <v>8.3333333333333329E-2</v>
      </c>
      <c r="F705">
        <v>0.2</v>
      </c>
      <c r="G705">
        <v>0.13333333333333333</v>
      </c>
      <c r="H705">
        <v>0</v>
      </c>
      <c r="I705">
        <f t="shared" si="81"/>
        <v>0.30769230769230771</v>
      </c>
      <c r="J705">
        <f t="shared" si="82"/>
        <v>0.22222222222222221</v>
      </c>
      <c r="K705">
        <f t="shared" si="83"/>
        <v>0.66666666666666663</v>
      </c>
      <c r="L705">
        <f t="shared" si="84"/>
        <v>0.66666666666666663</v>
      </c>
      <c r="M705">
        <f t="shared" si="85"/>
        <v>8.3333333333333329E-2</v>
      </c>
      <c r="N705">
        <f t="shared" si="86"/>
        <v>0.2</v>
      </c>
      <c r="O705">
        <f t="shared" si="87"/>
        <v>0.13333333333333333</v>
      </c>
      <c r="P705">
        <f t="shared" si="88"/>
        <v>0</v>
      </c>
    </row>
    <row r="706" spans="1:16" x14ac:dyDescent="0.4">
      <c r="A706">
        <v>0.10256410256410256</v>
      </c>
      <c r="B706">
        <v>0</v>
      </c>
      <c r="C706" s="24">
        <v>0.30769230769230771</v>
      </c>
      <c r="D706">
        <v>0</v>
      </c>
      <c r="E706">
        <v>5.5555555555555552E-2</v>
      </c>
      <c r="F706">
        <v>0</v>
      </c>
      <c r="G706">
        <v>0.5714285714285714</v>
      </c>
      <c r="H706">
        <v>0.4</v>
      </c>
      <c r="I706">
        <f t="shared" si="81"/>
        <v>0.10256410256410256</v>
      </c>
      <c r="J706">
        <f t="shared" si="82"/>
        <v>0</v>
      </c>
      <c r="K706">
        <f t="shared" si="83"/>
        <v>0.30769230769230771</v>
      </c>
      <c r="L706">
        <f t="shared" si="84"/>
        <v>0</v>
      </c>
      <c r="M706">
        <f t="shared" si="85"/>
        <v>5.5555555555555552E-2</v>
      </c>
      <c r="N706">
        <f t="shared" si="86"/>
        <v>0</v>
      </c>
      <c r="O706">
        <f t="shared" si="87"/>
        <v>0.5714285714285714</v>
      </c>
      <c r="P706">
        <f t="shared" si="88"/>
        <v>0.4</v>
      </c>
    </row>
    <row r="707" spans="1:16" x14ac:dyDescent="0.4">
      <c r="A707">
        <v>0</v>
      </c>
      <c r="B707">
        <v>0.23529411764705882</v>
      </c>
      <c r="C707" s="23">
        <v>0.22222222222222221</v>
      </c>
      <c r="D707">
        <v>6.0606060606060608E-2</v>
      </c>
      <c r="E707">
        <v>0.2</v>
      </c>
      <c r="F707">
        <v>0</v>
      </c>
      <c r="G707">
        <v>0.15384615384615385</v>
      </c>
      <c r="H707">
        <v>0</v>
      </c>
      <c r="I707">
        <f t="shared" si="81"/>
        <v>0</v>
      </c>
      <c r="J707">
        <f t="shared" si="82"/>
        <v>0.23529411764705882</v>
      </c>
      <c r="K707">
        <f t="shared" si="83"/>
        <v>0.22222222222222221</v>
      </c>
      <c r="L707">
        <f t="shared" si="84"/>
        <v>6.0606060606060608E-2</v>
      </c>
      <c r="M707">
        <f t="shared" si="85"/>
        <v>0.2</v>
      </c>
      <c r="N707">
        <f t="shared" si="86"/>
        <v>0</v>
      </c>
      <c r="O707">
        <f t="shared" si="87"/>
        <v>0.15384615384615385</v>
      </c>
      <c r="P707">
        <f t="shared" si="88"/>
        <v>0</v>
      </c>
    </row>
    <row r="708" spans="1:16" x14ac:dyDescent="0.4">
      <c r="A708">
        <v>0.19047619047619047</v>
      </c>
      <c r="B708">
        <v>0.26666666666666666</v>
      </c>
      <c r="C708" s="24">
        <v>0.4</v>
      </c>
      <c r="D708">
        <v>0.14285714285714285</v>
      </c>
      <c r="E708">
        <v>4.1666666666666664E-2</v>
      </c>
      <c r="F708">
        <v>0.1111111111111111</v>
      </c>
      <c r="G708">
        <v>0.15384615384615385</v>
      </c>
      <c r="H708">
        <v>0.2</v>
      </c>
      <c r="I708">
        <f t="shared" si="81"/>
        <v>0.19047619047619047</v>
      </c>
      <c r="J708">
        <f t="shared" si="82"/>
        <v>0.26666666666666666</v>
      </c>
      <c r="K708">
        <f t="shared" si="83"/>
        <v>0.4</v>
      </c>
      <c r="L708">
        <f t="shared" si="84"/>
        <v>0.14285714285714285</v>
      </c>
      <c r="M708">
        <f t="shared" si="85"/>
        <v>4.1666666666666664E-2</v>
      </c>
      <c r="N708">
        <f t="shared" si="86"/>
        <v>0.1111111111111111</v>
      </c>
      <c r="O708">
        <f t="shared" si="87"/>
        <v>0.15384615384615385</v>
      </c>
      <c r="P708">
        <f t="shared" si="88"/>
        <v>0.2</v>
      </c>
    </row>
    <row r="709" spans="1:16" x14ac:dyDescent="0.4">
      <c r="A709">
        <v>0.23529411764705882</v>
      </c>
      <c r="B709">
        <v>0.25</v>
      </c>
      <c r="C709" s="23">
        <v>0.22222222222222221</v>
      </c>
      <c r="D709">
        <v>0.33333333333333331</v>
      </c>
      <c r="E709">
        <v>0.13333333333333333</v>
      </c>
      <c r="F709">
        <v>5.8823529411764705E-2</v>
      </c>
      <c r="G709">
        <v>0.10526315789473684</v>
      </c>
      <c r="H709">
        <v>0.375</v>
      </c>
      <c r="I709">
        <f t="shared" si="81"/>
        <v>0.23529411764705882</v>
      </c>
      <c r="J709">
        <f t="shared" si="82"/>
        <v>0.25</v>
      </c>
      <c r="K709">
        <f t="shared" si="83"/>
        <v>0.22222222222222221</v>
      </c>
      <c r="L709">
        <f t="shared" si="84"/>
        <v>0.33333333333333331</v>
      </c>
      <c r="M709">
        <f t="shared" si="85"/>
        <v>0.13333333333333333</v>
      </c>
      <c r="N709">
        <f t="shared" si="86"/>
        <v>5.8823529411764705E-2</v>
      </c>
      <c r="O709">
        <f t="shared" si="87"/>
        <v>0.10526315789473684</v>
      </c>
      <c r="P709">
        <f t="shared" si="88"/>
        <v>0.375</v>
      </c>
    </row>
    <row r="710" spans="1:16" x14ac:dyDescent="0.4">
      <c r="A710">
        <v>7.1428571428571425E-2</v>
      </c>
      <c r="B710">
        <v>0.30769230769230771</v>
      </c>
      <c r="C710" s="24">
        <v>0.66666666666666663</v>
      </c>
      <c r="D710">
        <v>0.2857142857142857</v>
      </c>
      <c r="E710">
        <v>0.36363636363636365</v>
      </c>
      <c r="F710">
        <v>0.75</v>
      </c>
      <c r="G710">
        <v>0.3</v>
      </c>
      <c r="H710">
        <v>0</v>
      </c>
      <c r="I710">
        <f t="shared" si="81"/>
        <v>7.1428571428571425E-2</v>
      </c>
      <c r="J710">
        <f t="shared" si="82"/>
        <v>0.30769230769230771</v>
      </c>
      <c r="K710">
        <f t="shared" si="83"/>
        <v>0.66666666666666663</v>
      </c>
      <c r="L710">
        <f t="shared" si="84"/>
        <v>0.2857142857142857</v>
      </c>
      <c r="M710">
        <f t="shared" si="85"/>
        <v>0.36363636363636365</v>
      </c>
      <c r="N710">
        <f t="shared" si="86"/>
        <v>0.75</v>
      </c>
      <c r="O710">
        <f t="shared" si="87"/>
        <v>0.3</v>
      </c>
      <c r="P710">
        <f t="shared" si="88"/>
        <v>0</v>
      </c>
    </row>
    <row r="711" spans="1:16" x14ac:dyDescent="0.4">
      <c r="A711">
        <v>0.125</v>
      </c>
      <c r="B711">
        <v>0.5</v>
      </c>
      <c r="C711" s="23">
        <v>0.14285714285714285</v>
      </c>
      <c r="D711">
        <v>0.8</v>
      </c>
      <c r="E711">
        <v>0.1111111111111111</v>
      </c>
      <c r="F711">
        <v>0.36363636363636365</v>
      </c>
      <c r="G711">
        <v>0.14285714285714285</v>
      </c>
      <c r="H711">
        <v>0.33333333333333331</v>
      </c>
      <c r="I711">
        <f t="shared" si="81"/>
        <v>0.125</v>
      </c>
      <c r="J711">
        <f t="shared" si="82"/>
        <v>0.5</v>
      </c>
      <c r="K711">
        <f t="shared" si="83"/>
        <v>0.14285714285714285</v>
      </c>
      <c r="L711">
        <f t="shared" si="84"/>
        <v>0.8</v>
      </c>
      <c r="M711">
        <f t="shared" si="85"/>
        <v>0.1111111111111111</v>
      </c>
      <c r="N711">
        <f t="shared" si="86"/>
        <v>0.36363636363636365</v>
      </c>
      <c r="O711">
        <f t="shared" si="87"/>
        <v>0.14285714285714285</v>
      </c>
      <c r="P711">
        <f t="shared" si="88"/>
        <v>0.33333333333333331</v>
      </c>
    </row>
    <row r="712" spans="1:16" x14ac:dyDescent="0.4">
      <c r="A712">
        <v>0.25</v>
      </c>
      <c r="B712">
        <v>0.4</v>
      </c>
      <c r="C712" s="24">
        <v>0.15384615384615385</v>
      </c>
      <c r="D712">
        <v>0</v>
      </c>
      <c r="E712">
        <v>6.25E-2</v>
      </c>
      <c r="F712">
        <v>0.5</v>
      </c>
      <c r="G712">
        <v>0</v>
      </c>
      <c r="H712">
        <v>9.3023255813953487E-2</v>
      </c>
      <c r="I712">
        <f t="shared" ref="I712:I775" si="89">IF(A712&gt;1, 1, A712)</f>
        <v>0.25</v>
      </c>
      <c r="J712">
        <f t="shared" ref="J712:J775" si="90">IF(B712&gt;1, 1, B712)</f>
        <v>0.4</v>
      </c>
      <c r="K712">
        <f t="shared" ref="K712:K775" si="91">IF(C712&gt;1, 1, C712)</f>
        <v>0.15384615384615385</v>
      </c>
      <c r="L712">
        <f t="shared" ref="L712:L775" si="92">IF(D712&gt;1, 1, D712)</f>
        <v>0</v>
      </c>
      <c r="M712">
        <f t="shared" ref="M712:M775" si="93">IF(E712&gt;1, 1, E712)</f>
        <v>6.25E-2</v>
      </c>
      <c r="N712">
        <f t="shared" ref="N712:N775" si="94">IF(F712&gt;1, 1, F712)</f>
        <v>0.5</v>
      </c>
      <c r="O712">
        <f t="shared" ref="O712:O775" si="95">IF(G712&gt;1, 1, G712)</f>
        <v>0</v>
      </c>
      <c r="P712">
        <f t="shared" ref="P712:P775" si="96">IF(H712&gt;1, 1, H712)</f>
        <v>9.3023255813953487E-2</v>
      </c>
    </row>
    <row r="713" spans="1:16" x14ac:dyDescent="0.4">
      <c r="A713">
        <v>0.21052631578947367</v>
      </c>
      <c r="B713">
        <v>0.16</v>
      </c>
      <c r="C713" s="23">
        <v>6.4516129032258063E-2</v>
      </c>
      <c r="D713">
        <v>0.15384615384615385</v>
      </c>
      <c r="E713">
        <v>5.5555555555555552E-2</v>
      </c>
      <c r="F713">
        <v>1.6949152542372881E-2</v>
      </c>
      <c r="G713">
        <v>0.14285714285714285</v>
      </c>
      <c r="H713">
        <v>0.22222222222222221</v>
      </c>
      <c r="I713">
        <f t="shared" si="89"/>
        <v>0.21052631578947367</v>
      </c>
      <c r="J713">
        <f t="shared" si="90"/>
        <v>0.16</v>
      </c>
      <c r="K713">
        <f t="shared" si="91"/>
        <v>6.4516129032258063E-2</v>
      </c>
      <c r="L713">
        <f t="shared" si="92"/>
        <v>0.15384615384615385</v>
      </c>
      <c r="M713">
        <f t="shared" si="93"/>
        <v>5.5555555555555552E-2</v>
      </c>
      <c r="N713">
        <f t="shared" si="94"/>
        <v>1.6949152542372881E-2</v>
      </c>
      <c r="O713">
        <f t="shared" si="95"/>
        <v>0.14285714285714285</v>
      </c>
      <c r="P713">
        <f t="shared" si="96"/>
        <v>0.22222222222222221</v>
      </c>
    </row>
    <row r="714" spans="1:16" x14ac:dyDescent="0.4">
      <c r="A714">
        <v>0.15384615384615385</v>
      </c>
      <c r="B714">
        <v>7.6923076923076927E-2</v>
      </c>
      <c r="C714" s="24">
        <v>0.5</v>
      </c>
      <c r="D714">
        <v>8.6956521739130432E-2</v>
      </c>
      <c r="E714">
        <v>8.6956521739130432E-2</v>
      </c>
      <c r="F714">
        <v>0.14285714285714285</v>
      </c>
      <c r="G714">
        <v>0.17391304347826086</v>
      </c>
      <c r="H714">
        <v>1.6393442622950821E-2</v>
      </c>
      <c r="I714">
        <f t="shared" si="89"/>
        <v>0.15384615384615385</v>
      </c>
      <c r="J714">
        <f t="shared" si="90"/>
        <v>7.6923076923076927E-2</v>
      </c>
      <c r="K714">
        <f t="shared" si="91"/>
        <v>0.5</v>
      </c>
      <c r="L714">
        <f t="shared" si="92"/>
        <v>8.6956521739130432E-2</v>
      </c>
      <c r="M714">
        <f t="shared" si="93"/>
        <v>8.6956521739130432E-2</v>
      </c>
      <c r="N714">
        <f t="shared" si="94"/>
        <v>0.14285714285714285</v>
      </c>
      <c r="O714">
        <f t="shared" si="95"/>
        <v>0.17391304347826086</v>
      </c>
      <c r="P714">
        <f t="shared" si="96"/>
        <v>1.6393442622950821E-2</v>
      </c>
    </row>
    <row r="715" spans="1:16" x14ac:dyDescent="0.4">
      <c r="A715">
        <v>6.25E-2</v>
      </c>
      <c r="B715">
        <v>0.4</v>
      </c>
      <c r="C715" s="23">
        <v>0.1111111111111111</v>
      </c>
      <c r="D715">
        <v>0.05</v>
      </c>
      <c r="E715">
        <v>0.14285714285714285</v>
      </c>
      <c r="F715">
        <v>2.8571428571428571E-2</v>
      </c>
      <c r="G715">
        <v>0.125</v>
      </c>
      <c r="H715">
        <v>0.23529411764705882</v>
      </c>
      <c r="I715">
        <f t="shared" si="89"/>
        <v>6.25E-2</v>
      </c>
      <c r="J715">
        <f t="shared" si="90"/>
        <v>0.4</v>
      </c>
      <c r="K715">
        <f t="shared" si="91"/>
        <v>0.1111111111111111</v>
      </c>
      <c r="L715">
        <f t="shared" si="92"/>
        <v>0.05</v>
      </c>
      <c r="M715">
        <f t="shared" si="93"/>
        <v>0.14285714285714285</v>
      </c>
      <c r="N715">
        <f t="shared" si="94"/>
        <v>2.8571428571428571E-2</v>
      </c>
      <c r="O715">
        <f t="shared" si="95"/>
        <v>0.125</v>
      </c>
      <c r="P715">
        <f t="shared" si="96"/>
        <v>0.23529411764705882</v>
      </c>
    </row>
    <row r="716" spans="1:16" x14ac:dyDescent="0.4">
      <c r="A716">
        <v>0</v>
      </c>
      <c r="B716">
        <v>0.19047619047619047</v>
      </c>
      <c r="C716" s="24">
        <v>0.17391304347826086</v>
      </c>
      <c r="D716">
        <v>7.1428571428571425E-2</v>
      </c>
      <c r="E716">
        <v>0.30769230769230771</v>
      </c>
      <c r="F716">
        <v>4.3478260869565216E-2</v>
      </c>
      <c r="G716">
        <v>4.5454545454545456E-2</v>
      </c>
      <c r="H716">
        <v>1.2987012987012988E-2</v>
      </c>
      <c r="I716">
        <f t="shared" si="89"/>
        <v>0</v>
      </c>
      <c r="J716">
        <f t="shared" si="90"/>
        <v>0.19047619047619047</v>
      </c>
      <c r="K716">
        <f t="shared" si="91"/>
        <v>0.17391304347826086</v>
      </c>
      <c r="L716">
        <f t="shared" si="92"/>
        <v>7.1428571428571425E-2</v>
      </c>
      <c r="M716">
        <f t="shared" si="93"/>
        <v>0.30769230769230771</v>
      </c>
      <c r="N716">
        <f t="shared" si="94"/>
        <v>4.3478260869565216E-2</v>
      </c>
      <c r="O716">
        <f t="shared" si="95"/>
        <v>4.5454545454545456E-2</v>
      </c>
      <c r="P716">
        <f t="shared" si="96"/>
        <v>1.2987012987012988E-2</v>
      </c>
    </row>
    <row r="717" spans="1:16" x14ac:dyDescent="0.4">
      <c r="A717">
        <v>0.22222222222222221</v>
      </c>
      <c r="B717">
        <v>0.4</v>
      </c>
      <c r="C717" s="23">
        <v>0</v>
      </c>
      <c r="D717">
        <v>0</v>
      </c>
      <c r="E717">
        <v>6.25E-2</v>
      </c>
      <c r="F717">
        <v>0.44444444444444442</v>
      </c>
      <c r="G717">
        <v>0</v>
      </c>
      <c r="H717">
        <v>0.14285714285714285</v>
      </c>
      <c r="I717">
        <f t="shared" si="89"/>
        <v>0.22222222222222221</v>
      </c>
      <c r="J717">
        <f t="shared" si="90"/>
        <v>0.4</v>
      </c>
      <c r="K717">
        <f t="shared" si="91"/>
        <v>0</v>
      </c>
      <c r="L717">
        <f t="shared" si="92"/>
        <v>0</v>
      </c>
      <c r="M717">
        <f t="shared" si="93"/>
        <v>6.25E-2</v>
      </c>
      <c r="N717">
        <f t="shared" si="94"/>
        <v>0.44444444444444442</v>
      </c>
      <c r="O717">
        <f t="shared" si="95"/>
        <v>0</v>
      </c>
      <c r="P717">
        <f t="shared" si="96"/>
        <v>0.14285714285714285</v>
      </c>
    </row>
    <row r="718" spans="1:16" x14ac:dyDescent="0.4">
      <c r="A718">
        <v>0.33333333333333331</v>
      </c>
      <c r="B718">
        <v>0</v>
      </c>
      <c r="C718" s="24">
        <v>0.33333333333333331</v>
      </c>
      <c r="D718">
        <v>0.18181818181818182</v>
      </c>
      <c r="E718">
        <v>0.33333333333333331</v>
      </c>
      <c r="F718">
        <v>0.375</v>
      </c>
      <c r="G718">
        <v>0.18181818181818182</v>
      </c>
      <c r="H718">
        <v>0.1111111111111111</v>
      </c>
      <c r="I718">
        <f t="shared" si="89"/>
        <v>0.33333333333333331</v>
      </c>
      <c r="J718">
        <f t="shared" si="90"/>
        <v>0</v>
      </c>
      <c r="K718">
        <f t="shared" si="91"/>
        <v>0.33333333333333331</v>
      </c>
      <c r="L718">
        <f t="shared" si="92"/>
        <v>0.18181818181818182</v>
      </c>
      <c r="M718">
        <f t="shared" si="93"/>
        <v>0.33333333333333331</v>
      </c>
      <c r="N718">
        <f t="shared" si="94"/>
        <v>0.375</v>
      </c>
      <c r="O718">
        <f t="shared" si="95"/>
        <v>0.18181818181818182</v>
      </c>
      <c r="P718">
        <f t="shared" si="96"/>
        <v>0.1111111111111111</v>
      </c>
    </row>
    <row r="719" spans="1:16" x14ac:dyDescent="0.4">
      <c r="A719">
        <v>0</v>
      </c>
      <c r="B719">
        <v>6.25E-2</v>
      </c>
      <c r="C719" s="23">
        <v>0.19047619047619047</v>
      </c>
      <c r="D719">
        <v>0</v>
      </c>
      <c r="E719">
        <v>0.15384615384615385</v>
      </c>
      <c r="F719">
        <v>0</v>
      </c>
      <c r="G719">
        <v>0.12903225806451613</v>
      </c>
      <c r="H719">
        <v>0.19047619047619047</v>
      </c>
      <c r="I719">
        <f t="shared" si="89"/>
        <v>0</v>
      </c>
      <c r="J719">
        <f t="shared" si="90"/>
        <v>6.25E-2</v>
      </c>
      <c r="K719">
        <f t="shared" si="91"/>
        <v>0.19047619047619047</v>
      </c>
      <c r="L719">
        <f t="shared" si="92"/>
        <v>0</v>
      </c>
      <c r="M719">
        <f t="shared" si="93"/>
        <v>0.15384615384615385</v>
      </c>
      <c r="N719">
        <f t="shared" si="94"/>
        <v>0</v>
      </c>
      <c r="O719">
        <f t="shared" si="95"/>
        <v>0.12903225806451613</v>
      </c>
      <c r="P719">
        <f t="shared" si="96"/>
        <v>0.19047619047619047</v>
      </c>
    </row>
    <row r="720" spans="1:16" x14ac:dyDescent="0.4">
      <c r="A720">
        <v>0.25</v>
      </c>
      <c r="B720">
        <v>0.2857142857142857</v>
      </c>
      <c r="C720" s="24">
        <v>0.5</v>
      </c>
      <c r="D720">
        <v>0.44444444444444442</v>
      </c>
      <c r="E720">
        <v>7.1428571428571425E-2</v>
      </c>
      <c r="F720">
        <v>0</v>
      </c>
      <c r="G720">
        <v>0.11764705882352941</v>
      </c>
      <c r="H720">
        <v>0.33333333333333331</v>
      </c>
      <c r="I720">
        <f t="shared" si="89"/>
        <v>0.25</v>
      </c>
      <c r="J720">
        <f t="shared" si="90"/>
        <v>0.2857142857142857</v>
      </c>
      <c r="K720">
        <f t="shared" si="91"/>
        <v>0.5</v>
      </c>
      <c r="L720">
        <f t="shared" si="92"/>
        <v>0.44444444444444442</v>
      </c>
      <c r="M720">
        <f t="shared" si="93"/>
        <v>7.1428571428571425E-2</v>
      </c>
      <c r="N720">
        <f t="shared" si="94"/>
        <v>0</v>
      </c>
      <c r="O720">
        <f t="shared" si="95"/>
        <v>0.11764705882352941</v>
      </c>
      <c r="P720">
        <f t="shared" si="96"/>
        <v>0.33333333333333331</v>
      </c>
    </row>
    <row r="721" spans="1:16" x14ac:dyDescent="0.4">
      <c r="A721">
        <v>0</v>
      </c>
      <c r="B721">
        <v>0.36363636363636365</v>
      </c>
      <c r="C721" s="23">
        <v>0.4</v>
      </c>
      <c r="D721">
        <v>0</v>
      </c>
      <c r="E721">
        <v>0.22222222222222221</v>
      </c>
      <c r="F721">
        <v>0.22222222222222221</v>
      </c>
      <c r="G721">
        <v>0</v>
      </c>
      <c r="H721">
        <v>0.33333333333333331</v>
      </c>
      <c r="I721">
        <f t="shared" si="89"/>
        <v>0</v>
      </c>
      <c r="J721">
        <f t="shared" si="90"/>
        <v>0.36363636363636365</v>
      </c>
      <c r="K721">
        <f t="shared" si="91"/>
        <v>0.4</v>
      </c>
      <c r="L721">
        <f t="shared" si="92"/>
        <v>0</v>
      </c>
      <c r="M721">
        <f t="shared" si="93"/>
        <v>0.22222222222222221</v>
      </c>
      <c r="N721">
        <f t="shared" si="94"/>
        <v>0.22222222222222221</v>
      </c>
      <c r="O721">
        <f t="shared" si="95"/>
        <v>0</v>
      </c>
      <c r="P721">
        <f t="shared" si="96"/>
        <v>0.33333333333333331</v>
      </c>
    </row>
    <row r="722" spans="1:16" x14ac:dyDescent="0.4">
      <c r="A722">
        <v>0.23529411764705882</v>
      </c>
      <c r="B722">
        <v>0.4</v>
      </c>
      <c r="C722" s="24">
        <v>0.125</v>
      </c>
      <c r="D722">
        <v>0.26666666666666666</v>
      </c>
      <c r="E722">
        <v>0.14285714285714285</v>
      </c>
      <c r="F722">
        <v>6.6666666666666666E-2</v>
      </c>
      <c r="G722">
        <v>0.25</v>
      </c>
      <c r="H722">
        <v>0</v>
      </c>
      <c r="I722">
        <f t="shared" si="89"/>
        <v>0.23529411764705882</v>
      </c>
      <c r="J722">
        <f t="shared" si="90"/>
        <v>0.4</v>
      </c>
      <c r="K722">
        <f t="shared" si="91"/>
        <v>0.125</v>
      </c>
      <c r="L722">
        <f t="shared" si="92"/>
        <v>0.26666666666666666</v>
      </c>
      <c r="M722">
        <f t="shared" si="93"/>
        <v>0.14285714285714285</v>
      </c>
      <c r="N722">
        <f t="shared" si="94"/>
        <v>6.6666666666666666E-2</v>
      </c>
      <c r="O722">
        <f t="shared" si="95"/>
        <v>0.25</v>
      </c>
      <c r="P722">
        <f t="shared" si="96"/>
        <v>0</v>
      </c>
    </row>
    <row r="723" spans="1:16" x14ac:dyDescent="0.4">
      <c r="A723">
        <v>0.21052631578947367</v>
      </c>
      <c r="B723">
        <v>0.36363636363636365</v>
      </c>
      <c r="C723" s="23">
        <v>0.30769230769230771</v>
      </c>
      <c r="D723">
        <v>0</v>
      </c>
      <c r="E723">
        <v>0.125</v>
      </c>
      <c r="F723">
        <v>0</v>
      </c>
      <c r="G723">
        <v>0.1111111111111111</v>
      </c>
      <c r="H723">
        <v>0.2</v>
      </c>
      <c r="I723">
        <f t="shared" si="89"/>
        <v>0.21052631578947367</v>
      </c>
      <c r="J723">
        <f t="shared" si="90"/>
        <v>0.36363636363636365</v>
      </c>
      <c r="K723">
        <f t="shared" si="91"/>
        <v>0.30769230769230771</v>
      </c>
      <c r="L723">
        <f t="shared" si="92"/>
        <v>0</v>
      </c>
      <c r="M723">
        <f t="shared" si="93"/>
        <v>0.125</v>
      </c>
      <c r="N723">
        <f t="shared" si="94"/>
        <v>0</v>
      </c>
      <c r="O723">
        <f t="shared" si="95"/>
        <v>0.1111111111111111</v>
      </c>
      <c r="P723">
        <f t="shared" si="96"/>
        <v>0.2</v>
      </c>
    </row>
    <row r="724" spans="1:16" x14ac:dyDescent="0.4">
      <c r="A724">
        <v>0.30769230769230771</v>
      </c>
      <c r="B724">
        <v>0.25</v>
      </c>
      <c r="C724" s="24">
        <v>0.16666666666666666</v>
      </c>
      <c r="D724">
        <v>0.44444444444444442</v>
      </c>
      <c r="E724">
        <v>0</v>
      </c>
      <c r="F724">
        <v>4.7619047619047616E-2</v>
      </c>
      <c r="G724">
        <v>0.14285714285714285</v>
      </c>
      <c r="H724">
        <v>0</v>
      </c>
      <c r="I724">
        <f t="shared" si="89"/>
        <v>0.30769230769230771</v>
      </c>
      <c r="J724">
        <f t="shared" si="90"/>
        <v>0.25</v>
      </c>
      <c r="K724">
        <f t="shared" si="91"/>
        <v>0.16666666666666666</v>
      </c>
      <c r="L724">
        <f t="shared" si="92"/>
        <v>0.44444444444444442</v>
      </c>
      <c r="M724">
        <f t="shared" si="93"/>
        <v>0</v>
      </c>
      <c r="N724">
        <f t="shared" si="94"/>
        <v>4.7619047619047616E-2</v>
      </c>
      <c r="O724">
        <f t="shared" si="95"/>
        <v>0.14285714285714285</v>
      </c>
      <c r="P724">
        <f t="shared" si="96"/>
        <v>0</v>
      </c>
    </row>
    <row r="725" spans="1:16" x14ac:dyDescent="0.4">
      <c r="A725">
        <v>0.19047619047619047</v>
      </c>
      <c r="B725">
        <v>0</v>
      </c>
      <c r="C725" s="23">
        <v>0.5714285714285714</v>
      </c>
      <c r="D725">
        <v>0.33333333333333331</v>
      </c>
      <c r="E725">
        <v>0.05</v>
      </c>
      <c r="F725">
        <v>0.6</v>
      </c>
      <c r="G725">
        <v>0.5</v>
      </c>
      <c r="H725">
        <v>0.13043478260869565</v>
      </c>
      <c r="I725">
        <f t="shared" si="89"/>
        <v>0.19047619047619047</v>
      </c>
      <c r="J725">
        <f t="shared" si="90"/>
        <v>0</v>
      </c>
      <c r="K725">
        <f t="shared" si="91"/>
        <v>0.5714285714285714</v>
      </c>
      <c r="L725">
        <f t="shared" si="92"/>
        <v>0.33333333333333331</v>
      </c>
      <c r="M725">
        <f t="shared" si="93"/>
        <v>0.05</v>
      </c>
      <c r="N725">
        <f t="shared" si="94"/>
        <v>0.6</v>
      </c>
      <c r="O725">
        <f t="shared" si="95"/>
        <v>0.5</v>
      </c>
      <c r="P725">
        <f t="shared" si="96"/>
        <v>0.13043478260869565</v>
      </c>
    </row>
    <row r="726" spans="1:16" x14ac:dyDescent="0.4">
      <c r="A726">
        <v>0.2857142857142857</v>
      </c>
      <c r="B726">
        <v>0.23529411764705882</v>
      </c>
      <c r="C726" s="24">
        <v>0.21052631578947367</v>
      </c>
      <c r="D726">
        <v>0.14285714285714285</v>
      </c>
      <c r="E726">
        <v>0</v>
      </c>
      <c r="F726">
        <v>5.5555555555555552E-2</v>
      </c>
      <c r="G726">
        <v>7.1428571428571425E-2</v>
      </c>
      <c r="H726">
        <v>0.10344827586206896</v>
      </c>
      <c r="I726">
        <f t="shared" si="89"/>
        <v>0.2857142857142857</v>
      </c>
      <c r="J726">
        <f t="shared" si="90"/>
        <v>0.23529411764705882</v>
      </c>
      <c r="K726">
        <f t="shared" si="91"/>
        <v>0.21052631578947367</v>
      </c>
      <c r="L726">
        <f t="shared" si="92"/>
        <v>0.14285714285714285</v>
      </c>
      <c r="M726">
        <f t="shared" si="93"/>
        <v>0</v>
      </c>
      <c r="N726">
        <f t="shared" si="94"/>
        <v>5.5555555555555552E-2</v>
      </c>
      <c r="O726">
        <f t="shared" si="95"/>
        <v>7.1428571428571425E-2</v>
      </c>
      <c r="P726">
        <f t="shared" si="96"/>
        <v>0.10344827586206896</v>
      </c>
    </row>
    <row r="727" spans="1:16" x14ac:dyDescent="0.4">
      <c r="A727">
        <v>0.23529411764705882</v>
      </c>
      <c r="B727">
        <v>0.18181818181818182</v>
      </c>
      <c r="C727" s="23">
        <v>0.5</v>
      </c>
      <c r="D727">
        <v>1.8518518518518517E-2</v>
      </c>
      <c r="E727">
        <v>6.6666666666666666E-2</v>
      </c>
      <c r="F727">
        <v>0.14285714285714285</v>
      </c>
      <c r="G727">
        <v>4.7619047619047616E-2</v>
      </c>
      <c r="H727">
        <v>0</v>
      </c>
      <c r="I727">
        <f t="shared" si="89"/>
        <v>0.23529411764705882</v>
      </c>
      <c r="J727">
        <f t="shared" si="90"/>
        <v>0.18181818181818182</v>
      </c>
      <c r="K727">
        <f t="shared" si="91"/>
        <v>0.5</v>
      </c>
      <c r="L727">
        <f t="shared" si="92"/>
        <v>1.8518518518518517E-2</v>
      </c>
      <c r="M727">
        <f t="shared" si="93"/>
        <v>6.6666666666666666E-2</v>
      </c>
      <c r="N727">
        <f t="shared" si="94"/>
        <v>0.14285714285714285</v>
      </c>
      <c r="O727">
        <f t="shared" si="95"/>
        <v>4.7619047619047616E-2</v>
      </c>
      <c r="P727">
        <f t="shared" si="96"/>
        <v>0</v>
      </c>
    </row>
    <row r="728" spans="1:16" x14ac:dyDescent="0.4">
      <c r="A728">
        <v>0.30769230769230771</v>
      </c>
      <c r="B728">
        <v>0.22222222222222221</v>
      </c>
      <c r="C728" s="24">
        <v>0.5</v>
      </c>
      <c r="D728">
        <v>0.16666666666666666</v>
      </c>
      <c r="E728">
        <v>0</v>
      </c>
      <c r="F728">
        <v>0.125</v>
      </c>
      <c r="G728">
        <v>0</v>
      </c>
      <c r="H728">
        <v>0.15</v>
      </c>
      <c r="I728">
        <f t="shared" si="89"/>
        <v>0.30769230769230771</v>
      </c>
      <c r="J728">
        <f t="shared" si="90"/>
        <v>0.22222222222222221</v>
      </c>
      <c r="K728">
        <f t="shared" si="91"/>
        <v>0.5</v>
      </c>
      <c r="L728">
        <f t="shared" si="92"/>
        <v>0.16666666666666666</v>
      </c>
      <c r="M728">
        <f t="shared" si="93"/>
        <v>0</v>
      </c>
      <c r="N728">
        <f t="shared" si="94"/>
        <v>0.125</v>
      </c>
      <c r="O728">
        <f t="shared" si="95"/>
        <v>0</v>
      </c>
      <c r="P728">
        <f t="shared" si="96"/>
        <v>0.15</v>
      </c>
    </row>
    <row r="729" spans="1:16" x14ac:dyDescent="0.4">
      <c r="A729">
        <v>0.33333333333333331</v>
      </c>
      <c r="B729">
        <v>0.17391304347826086</v>
      </c>
      <c r="C729" s="23">
        <v>0.26666666666666666</v>
      </c>
      <c r="D729">
        <v>0.2857142857142857</v>
      </c>
      <c r="E729">
        <v>9.0909090909090912E-2</v>
      </c>
      <c r="F729">
        <v>0</v>
      </c>
      <c r="G729">
        <v>0</v>
      </c>
      <c r="H729">
        <v>7.6923076923076927E-2</v>
      </c>
      <c r="I729">
        <f t="shared" si="89"/>
        <v>0.33333333333333331</v>
      </c>
      <c r="J729">
        <f t="shared" si="90"/>
        <v>0.17391304347826086</v>
      </c>
      <c r="K729">
        <f t="shared" si="91"/>
        <v>0.26666666666666666</v>
      </c>
      <c r="L729">
        <f t="shared" si="92"/>
        <v>0.2857142857142857</v>
      </c>
      <c r="M729">
        <f t="shared" si="93"/>
        <v>9.0909090909090912E-2</v>
      </c>
      <c r="N729">
        <f t="shared" si="94"/>
        <v>0</v>
      </c>
      <c r="O729">
        <f t="shared" si="95"/>
        <v>0</v>
      </c>
      <c r="P729">
        <f t="shared" si="96"/>
        <v>7.6923076923076927E-2</v>
      </c>
    </row>
    <row r="730" spans="1:16" x14ac:dyDescent="0.4">
      <c r="A730">
        <v>0.4</v>
      </c>
      <c r="B730">
        <v>0.4</v>
      </c>
      <c r="C730" s="24">
        <v>0.22222222222222221</v>
      </c>
      <c r="D730">
        <v>0.5</v>
      </c>
      <c r="E730">
        <v>0</v>
      </c>
      <c r="F730">
        <v>5.8823529411764705E-2</v>
      </c>
      <c r="G730">
        <v>0</v>
      </c>
      <c r="H730">
        <v>0.4</v>
      </c>
      <c r="I730">
        <f t="shared" si="89"/>
        <v>0.4</v>
      </c>
      <c r="J730">
        <f t="shared" si="90"/>
        <v>0.4</v>
      </c>
      <c r="K730">
        <f t="shared" si="91"/>
        <v>0.22222222222222221</v>
      </c>
      <c r="L730">
        <f t="shared" si="92"/>
        <v>0.5</v>
      </c>
      <c r="M730">
        <f t="shared" si="93"/>
        <v>0</v>
      </c>
      <c r="N730">
        <f t="shared" si="94"/>
        <v>5.8823529411764705E-2</v>
      </c>
      <c r="O730">
        <f t="shared" si="95"/>
        <v>0</v>
      </c>
      <c r="P730">
        <f t="shared" si="96"/>
        <v>0.4</v>
      </c>
    </row>
    <row r="731" spans="1:16" x14ac:dyDescent="0.4">
      <c r="A731">
        <v>0.30769230769230771</v>
      </c>
      <c r="B731">
        <v>0.26666666666666666</v>
      </c>
      <c r="C731" s="23">
        <v>0.16</v>
      </c>
      <c r="D731">
        <v>0.21052631578947367</v>
      </c>
      <c r="E731">
        <v>0</v>
      </c>
      <c r="F731">
        <v>8.3333333333333329E-2</v>
      </c>
      <c r="G731">
        <v>7.1428571428571425E-2</v>
      </c>
      <c r="H731">
        <v>5.5555555555555552E-2</v>
      </c>
      <c r="I731">
        <f t="shared" si="89"/>
        <v>0.30769230769230771</v>
      </c>
      <c r="J731">
        <f t="shared" si="90"/>
        <v>0.26666666666666666</v>
      </c>
      <c r="K731">
        <f t="shared" si="91"/>
        <v>0.16</v>
      </c>
      <c r="L731">
        <f t="shared" si="92"/>
        <v>0.21052631578947367</v>
      </c>
      <c r="M731">
        <f t="shared" si="93"/>
        <v>0</v>
      </c>
      <c r="N731">
        <f t="shared" si="94"/>
        <v>8.3333333333333329E-2</v>
      </c>
      <c r="O731">
        <f t="shared" si="95"/>
        <v>7.1428571428571425E-2</v>
      </c>
      <c r="P731">
        <f t="shared" si="96"/>
        <v>5.5555555555555552E-2</v>
      </c>
    </row>
    <row r="732" spans="1:16" x14ac:dyDescent="0.4">
      <c r="A732">
        <v>0.2857142857142857</v>
      </c>
      <c r="B732">
        <v>0.21052631578947367</v>
      </c>
      <c r="C732" s="24">
        <v>0.30769230769230771</v>
      </c>
      <c r="D732">
        <v>0.13043478260869565</v>
      </c>
      <c r="E732">
        <v>0.16666666666666666</v>
      </c>
      <c r="F732">
        <v>8.3333333333333329E-2</v>
      </c>
      <c r="G732">
        <v>0.2</v>
      </c>
      <c r="H732">
        <v>9.5238095238095233E-2</v>
      </c>
      <c r="I732">
        <f t="shared" si="89"/>
        <v>0.2857142857142857</v>
      </c>
      <c r="J732">
        <f t="shared" si="90"/>
        <v>0.21052631578947367</v>
      </c>
      <c r="K732">
        <f t="shared" si="91"/>
        <v>0.30769230769230771</v>
      </c>
      <c r="L732">
        <f t="shared" si="92"/>
        <v>0.13043478260869565</v>
      </c>
      <c r="M732">
        <f t="shared" si="93"/>
        <v>0.16666666666666666</v>
      </c>
      <c r="N732">
        <f t="shared" si="94"/>
        <v>8.3333333333333329E-2</v>
      </c>
      <c r="O732">
        <f t="shared" si="95"/>
        <v>0.2</v>
      </c>
      <c r="P732">
        <f t="shared" si="96"/>
        <v>9.5238095238095233E-2</v>
      </c>
    </row>
    <row r="733" spans="1:16" x14ac:dyDescent="0.4">
      <c r="A733">
        <v>0.22222222222222221</v>
      </c>
      <c r="B733">
        <v>0</v>
      </c>
      <c r="C733" s="23">
        <v>0.30769230769230771</v>
      </c>
      <c r="D733">
        <v>0.2857142857142857</v>
      </c>
      <c r="E733">
        <v>0.23076923076923078</v>
      </c>
      <c r="F733">
        <v>7.6923076923076927E-2</v>
      </c>
      <c r="G733">
        <v>0.2857142857142857</v>
      </c>
      <c r="H733">
        <v>0</v>
      </c>
      <c r="I733">
        <f t="shared" si="89"/>
        <v>0.22222222222222221</v>
      </c>
      <c r="J733">
        <f t="shared" si="90"/>
        <v>0</v>
      </c>
      <c r="K733">
        <f t="shared" si="91"/>
        <v>0.30769230769230771</v>
      </c>
      <c r="L733">
        <f t="shared" si="92"/>
        <v>0.2857142857142857</v>
      </c>
      <c r="M733">
        <f t="shared" si="93"/>
        <v>0.23076923076923078</v>
      </c>
      <c r="N733">
        <f t="shared" si="94"/>
        <v>7.6923076923076927E-2</v>
      </c>
      <c r="O733">
        <f t="shared" si="95"/>
        <v>0.2857142857142857</v>
      </c>
      <c r="P733">
        <f t="shared" si="96"/>
        <v>0</v>
      </c>
    </row>
    <row r="734" spans="1:16" x14ac:dyDescent="0.4">
      <c r="A734">
        <v>0.25</v>
      </c>
      <c r="B734">
        <v>0.25</v>
      </c>
      <c r="C734" s="24">
        <v>0.36363636363636365</v>
      </c>
      <c r="D734">
        <v>0.2</v>
      </c>
      <c r="E734">
        <v>0.14285714285714285</v>
      </c>
      <c r="F734">
        <v>0.22222222222222221</v>
      </c>
      <c r="G734">
        <v>0</v>
      </c>
      <c r="H734">
        <v>7.1428571428571425E-2</v>
      </c>
      <c r="I734">
        <f t="shared" si="89"/>
        <v>0.25</v>
      </c>
      <c r="J734">
        <f t="shared" si="90"/>
        <v>0.25</v>
      </c>
      <c r="K734">
        <f t="shared" si="91"/>
        <v>0.36363636363636365</v>
      </c>
      <c r="L734">
        <f t="shared" si="92"/>
        <v>0.2</v>
      </c>
      <c r="M734">
        <f t="shared" si="93"/>
        <v>0.14285714285714285</v>
      </c>
      <c r="N734">
        <f t="shared" si="94"/>
        <v>0.22222222222222221</v>
      </c>
      <c r="O734">
        <f t="shared" si="95"/>
        <v>0</v>
      </c>
      <c r="P734">
        <f t="shared" si="96"/>
        <v>7.1428571428571425E-2</v>
      </c>
    </row>
    <row r="735" spans="1:16" x14ac:dyDescent="0.4">
      <c r="A735">
        <v>0</v>
      </c>
      <c r="B735">
        <v>0.3</v>
      </c>
      <c r="C735" s="23">
        <v>0.23529411764705882</v>
      </c>
      <c r="D735">
        <v>0.26666666666666666</v>
      </c>
      <c r="E735">
        <v>1</v>
      </c>
      <c r="F735">
        <v>6.25E-2</v>
      </c>
      <c r="G735">
        <v>0.5714285714285714</v>
      </c>
      <c r="H735">
        <v>0.25</v>
      </c>
      <c r="I735">
        <f t="shared" si="89"/>
        <v>0</v>
      </c>
      <c r="J735">
        <f t="shared" si="90"/>
        <v>0.3</v>
      </c>
      <c r="K735">
        <f t="shared" si="91"/>
        <v>0.23529411764705882</v>
      </c>
      <c r="L735">
        <f t="shared" si="92"/>
        <v>0.26666666666666666</v>
      </c>
      <c r="M735">
        <f t="shared" si="93"/>
        <v>1</v>
      </c>
      <c r="N735">
        <f t="shared" si="94"/>
        <v>6.25E-2</v>
      </c>
      <c r="O735">
        <f t="shared" si="95"/>
        <v>0.5714285714285714</v>
      </c>
      <c r="P735">
        <f t="shared" si="96"/>
        <v>0.25</v>
      </c>
    </row>
    <row r="736" spans="1:16" x14ac:dyDescent="0.4">
      <c r="A736">
        <v>0.44444444444444442</v>
      </c>
      <c r="B736">
        <v>0</v>
      </c>
      <c r="C736" s="24">
        <v>0.21052631578947367</v>
      </c>
      <c r="D736">
        <v>5.128205128205128E-2</v>
      </c>
      <c r="E736">
        <v>0</v>
      </c>
      <c r="F736">
        <v>5.2631578947368418E-2</v>
      </c>
      <c r="G736">
        <v>0.22222222222222221</v>
      </c>
      <c r="H736">
        <v>2.4691358024691357E-2</v>
      </c>
      <c r="I736">
        <f t="shared" si="89"/>
        <v>0.44444444444444442</v>
      </c>
      <c r="J736">
        <f t="shared" si="90"/>
        <v>0</v>
      </c>
      <c r="K736">
        <f t="shared" si="91"/>
        <v>0.21052631578947367</v>
      </c>
      <c r="L736">
        <f t="shared" si="92"/>
        <v>5.128205128205128E-2</v>
      </c>
      <c r="M736">
        <f t="shared" si="93"/>
        <v>0</v>
      </c>
      <c r="N736">
        <f t="shared" si="94"/>
        <v>5.2631578947368418E-2</v>
      </c>
      <c r="O736">
        <f t="shared" si="95"/>
        <v>0.22222222222222221</v>
      </c>
      <c r="P736">
        <f t="shared" si="96"/>
        <v>2.4691358024691357E-2</v>
      </c>
    </row>
    <row r="737" spans="1:16" x14ac:dyDescent="0.4">
      <c r="A737">
        <v>0.15384615384615385</v>
      </c>
      <c r="B737">
        <v>6.6666666666666666E-2</v>
      </c>
      <c r="C737" s="23">
        <v>0.33333333333333331</v>
      </c>
      <c r="D737">
        <v>0.2857142857142857</v>
      </c>
      <c r="E737">
        <v>0.04</v>
      </c>
      <c r="F737">
        <v>1</v>
      </c>
      <c r="G737">
        <v>0.25</v>
      </c>
      <c r="H737">
        <v>0.27272727272727271</v>
      </c>
      <c r="I737">
        <f t="shared" si="89"/>
        <v>0.15384615384615385</v>
      </c>
      <c r="J737">
        <f t="shared" si="90"/>
        <v>6.6666666666666666E-2</v>
      </c>
      <c r="K737">
        <f t="shared" si="91"/>
        <v>0.33333333333333331</v>
      </c>
      <c r="L737">
        <f t="shared" si="92"/>
        <v>0.2857142857142857</v>
      </c>
      <c r="M737">
        <f t="shared" si="93"/>
        <v>0.04</v>
      </c>
      <c r="N737">
        <f t="shared" si="94"/>
        <v>1</v>
      </c>
      <c r="O737">
        <f t="shared" si="95"/>
        <v>0.25</v>
      </c>
      <c r="P737">
        <f t="shared" si="96"/>
        <v>0.27272727272727271</v>
      </c>
    </row>
    <row r="738" spans="1:16" x14ac:dyDescent="0.4">
      <c r="A738">
        <v>0.25</v>
      </c>
      <c r="B738">
        <v>0.16</v>
      </c>
      <c r="C738" s="24">
        <v>0.19047619047619047</v>
      </c>
      <c r="D738">
        <v>4.2105263157894736E-2</v>
      </c>
      <c r="E738">
        <v>6.6666666666666666E-2</v>
      </c>
      <c r="F738">
        <v>0.16666666666666666</v>
      </c>
      <c r="G738">
        <v>3.8461538461538464E-2</v>
      </c>
      <c r="H738">
        <v>1.020408163265306E-2</v>
      </c>
      <c r="I738">
        <f t="shared" si="89"/>
        <v>0.25</v>
      </c>
      <c r="J738">
        <f t="shared" si="90"/>
        <v>0.16</v>
      </c>
      <c r="K738">
        <f t="shared" si="91"/>
        <v>0.19047619047619047</v>
      </c>
      <c r="L738">
        <f t="shared" si="92"/>
        <v>4.2105263157894736E-2</v>
      </c>
      <c r="M738">
        <f t="shared" si="93"/>
        <v>6.6666666666666666E-2</v>
      </c>
      <c r="N738">
        <f t="shared" si="94"/>
        <v>0.16666666666666666</v>
      </c>
      <c r="O738">
        <f t="shared" si="95"/>
        <v>3.8461538461538464E-2</v>
      </c>
      <c r="P738">
        <f t="shared" si="96"/>
        <v>1.020408163265306E-2</v>
      </c>
    </row>
    <row r="739" spans="1:16" x14ac:dyDescent="0.4">
      <c r="A739">
        <v>0.2</v>
      </c>
      <c r="B739">
        <v>0.30769230769230771</v>
      </c>
      <c r="C739" s="23">
        <v>0.17391304347826086</v>
      </c>
      <c r="D739">
        <v>0.33333333333333331</v>
      </c>
      <c r="E739">
        <v>0</v>
      </c>
      <c r="F739">
        <v>0</v>
      </c>
      <c r="G739">
        <v>8.3333333333333329E-2</v>
      </c>
      <c r="H739">
        <v>0</v>
      </c>
      <c r="I739">
        <f t="shared" si="89"/>
        <v>0.2</v>
      </c>
      <c r="J739">
        <f t="shared" si="90"/>
        <v>0.30769230769230771</v>
      </c>
      <c r="K739">
        <f t="shared" si="91"/>
        <v>0.17391304347826086</v>
      </c>
      <c r="L739">
        <f t="shared" si="92"/>
        <v>0.33333333333333331</v>
      </c>
      <c r="M739">
        <f t="shared" si="93"/>
        <v>0</v>
      </c>
      <c r="N739">
        <f t="shared" si="94"/>
        <v>0</v>
      </c>
      <c r="O739">
        <f t="shared" si="95"/>
        <v>8.3333333333333329E-2</v>
      </c>
      <c r="P739">
        <f t="shared" si="96"/>
        <v>0</v>
      </c>
    </row>
    <row r="740" spans="1:16" x14ac:dyDescent="0.4">
      <c r="A740">
        <v>0.2857142857142857</v>
      </c>
      <c r="B740">
        <v>0.4</v>
      </c>
      <c r="C740" s="24">
        <v>0.11764705882352941</v>
      </c>
      <c r="D740">
        <v>0.14285714285714285</v>
      </c>
      <c r="E740">
        <v>0</v>
      </c>
      <c r="F740">
        <v>0</v>
      </c>
      <c r="G740">
        <v>0.125</v>
      </c>
      <c r="H740">
        <v>0.08</v>
      </c>
      <c r="I740">
        <f t="shared" si="89"/>
        <v>0.2857142857142857</v>
      </c>
      <c r="J740">
        <f t="shared" si="90"/>
        <v>0.4</v>
      </c>
      <c r="K740">
        <f t="shared" si="91"/>
        <v>0.11764705882352941</v>
      </c>
      <c r="L740">
        <f t="shared" si="92"/>
        <v>0.14285714285714285</v>
      </c>
      <c r="M740">
        <f t="shared" si="93"/>
        <v>0</v>
      </c>
      <c r="N740">
        <f t="shared" si="94"/>
        <v>0</v>
      </c>
      <c r="O740">
        <f t="shared" si="95"/>
        <v>0.125</v>
      </c>
      <c r="P740">
        <f t="shared" si="96"/>
        <v>0.08</v>
      </c>
    </row>
    <row r="741" spans="1:16" x14ac:dyDescent="0.4">
      <c r="A741">
        <v>0.1</v>
      </c>
      <c r="B741">
        <v>0.25</v>
      </c>
      <c r="C741" s="23">
        <v>0.25</v>
      </c>
      <c r="D741">
        <v>0</v>
      </c>
      <c r="E741">
        <v>0.5714285714285714</v>
      </c>
      <c r="F741">
        <v>0</v>
      </c>
      <c r="G741">
        <v>0</v>
      </c>
      <c r="H741">
        <v>1</v>
      </c>
      <c r="I741">
        <f t="shared" si="89"/>
        <v>0.1</v>
      </c>
      <c r="J741">
        <f t="shared" si="90"/>
        <v>0.25</v>
      </c>
      <c r="K741">
        <f t="shared" si="91"/>
        <v>0.25</v>
      </c>
      <c r="L741">
        <f t="shared" si="92"/>
        <v>0</v>
      </c>
      <c r="M741">
        <f t="shared" si="93"/>
        <v>0.5714285714285714</v>
      </c>
      <c r="N741">
        <f t="shared" si="94"/>
        <v>0</v>
      </c>
      <c r="O741">
        <f t="shared" si="95"/>
        <v>0</v>
      </c>
      <c r="P741">
        <f t="shared" si="96"/>
        <v>1</v>
      </c>
    </row>
    <row r="742" spans="1:16" x14ac:dyDescent="0.4">
      <c r="A742">
        <v>0.5</v>
      </c>
      <c r="B742">
        <v>0.4</v>
      </c>
      <c r="C742" s="24">
        <v>0.5714285714285714</v>
      </c>
      <c r="D742">
        <v>8.3333333333333329E-2</v>
      </c>
      <c r="E742">
        <v>0</v>
      </c>
      <c r="F742">
        <v>0</v>
      </c>
      <c r="G742">
        <v>0</v>
      </c>
      <c r="H742">
        <v>0.30769230769230771</v>
      </c>
      <c r="I742">
        <f t="shared" si="89"/>
        <v>0.5</v>
      </c>
      <c r="J742">
        <f t="shared" si="90"/>
        <v>0.4</v>
      </c>
      <c r="K742">
        <f t="shared" si="91"/>
        <v>0.5714285714285714</v>
      </c>
      <c r="L742">
        <f t="shared" si="92"/>
        <v>8.3333333333333329E-2</v>
      </c>
      <c r="M742">
        <f t="shared" si="93"/>
        <v>0</v>
      </c>
      <c r="N742">
        <f t="shared" si="94"/>
        <v>0</v>
      </c>
      <c r="O742">
        <f t="shared" si="95"/>
        <v>0</v>
      </c>
      <c r="P742">
        <f t="shared" si="96"/>
        <v>0.30769230769230771</v>
      </c>
    </row>
    <row r="743" spans="1:16" x14ac:dyDescent="0.4">
      <c r="A743">
        <v>0.21052631578947367</v>
      </c>
      <c r="B743">
        <v>0.36363636363636365</v>
      </c>
      <c r="C743" s="23">
        <v>0.5</v>
      </c>
      <c r="D743">
        <v>0.15</v>
      </c>
      <c r="E743">
        <v>0</v>
      </c>
      <c r="F743">
        <v>0</v>
      </c>
      <c r="G743">
        <v>0.375</v>
      </c>
      <c r="H743">
        <v>0.16</v>
      </c>
      <c r="I743">
        <f t="shared" si="89"/>
        <v>0.21052631578947367</v>
      </c>
      <c r="J743">
        <f t="shared" si="90"/>
        <v>0.36363636363636365</v>
      </c>
      <c r="K743">
        <f t="shared" si="91"/>
        <v>0.5</v>
      </c>
      <c r="L743">
        <f t="shared" si="92"/>
        <v>0.15</v>
      </c>
      <c r="M743">
        <f t="shared" si="93"/>
        <v>0</v>
      </c>
      <c r="N743">
        <f t="shared" si="94"/>
        <v>0</v>
      </c>
      <c r="O743">
        <f t="shared" si="95"/>
        <v>0.375</v>
      </c>
      <c r="P743">
        <f t="shared" si="96"/>
        <v>0.16</v>
      </c>
    </row>
    <row r="744" spans="1:16" x14ac:dyDescent="0.4">
      <c r="A744">
        <v>0.33333333333333331</v>
      </c>
      <c r="B744">
        <v>0.25</v>
      </c>
      <c r="C744" s="24">
        <v>0.2</v>
      </c>
      <c r="D744">
        <v>0.23529411764705882</v>
      </c>
      <c r="E744">
        <v>0.18181818181818182</v>
      </c>
      <c r="F744">
        <v>5.2631578947368418E-2</v>
      </c>
      <c r="G744">
        <v>7.1428571428571425E-2</v>
      </c>
      <c r="H744">
        <v>0.15384615384615385</v>
      </c>
      <c r="I744">
        <f t="shared" si="89"/>
        <v>0.33333333333333331</v>
      </c>
      <c r="J744">
        <f t="shared" si="90"/>
        <v>0.25</v>
      </c>
      <c r="K744">
        <f t="shared" si="91"/>
        <v>0.2</v>
      </c>
      <c r="L744">
        <f t="shared" si="92"/>
        <v>0.23529411764705882</v>
      </c>
      <c r="M744">
        <f t="shared" si="93"/>
        <v>0.18181818181818182</v>
      </c>
      <c r="N744">
        <f t="shared" si="94"/>
        <v>5.2631578947368418E-2</v>
      </c>
      <c r="O744">
        <f t="shared" si="95"/>
        <v>7.1428571428571425E-2</v>
      </c>
      <c r="P744">
        <f t="shared" si="96"/>
        <v>0.15384615384615385</v>
      </c>
    </row>
    <row r="745" spans="1:16" x14ac:dyDescent="0.4">
      <c r="A745">
        <v>0.23529411764705882</v>
      </c>
      <c r="B745">
        <v>0.16</v>
      </c>
      <c r="C745" s="23">
        <v>0.21428571428571427</v>
      </c>
      <c r="D745">
        <v>0.44444444444444442</v>
      </c>
      <c r="E745">
        <v>6.6666666666666666E-2</v>
      </c>
      <c r="F745">
        <v>0.36363636363636365</v>
      </c>
      <c r="G745">
        <v>0</v>
      </c>
      <c r="H745">
        <v>0.2857142857142857</v>
      </c>
      <c r="I745">
        <f t="shared" si="89"/>
        <v>0.23529411764705882</v>
      </c>
      <c r="J745">
        <f t="shared" si="90"/>
        <v>0.16</v>
      </c>
      <c r="K745">
        <f t="shared" si="91"/>
        <v>0.21428571428571427</v>
      </c>
      <c r="L745">
        <f t="shared" si="92"/>
        <v>0.44444444444444442</v>
      </c>
      <c r="M745">
        <f t="shared" si="93"/>
        <v>6.6666666666666666E-2</v>
      </c>
      <c r="N745">
        <f t="shared" si="94"/>
        <v>0.36363636363636365</v>
      </c>
      <c r="O745">
        <f t="shared" si="95"/>
        <v>0</v>
      </c>
      <c r="P745">
        <f t="shared" si="96"/>
        <v>0.2857142857142857</v>
      </c>
    </row>
    <row r="746" spans="1:16" x14ac:dyDescent="0.4">
      <c r="A746">
        <v>0</v>
      </c>
      <c r="B746">
        <v>0.44444444444444442</v>
      </c>
      <c r="C746" s="24">
        <v>0.33333333333333331</v>
      </c>
      <c r="D746">
        <v>0.26666666666666666</v>
      </c>
      <c r="E746">
        <v>0.17391304347826086</v>
      </c>
      <c r="F746">
        <v>0.22222222222222221</v>
      </c>
      <c r="G746">
        <v>0.14285714285714285</v>
      </c>
      <c r="H746">
        <v>0.25</v>
      </c>
      <c r="I746">
        <f t="shared" si="89"/>
        <v>0</v>
      </c>
      <c r="J746">
        <f t="shared" si="90"/>
        <v>0.44444444444444442</v>
      </c>
      <c r="K746">
        <f t="shared" si="91"/>
        <v>0.33333333333333331</v>
      </c>
      <c r="L746">
        <f t="shared" si="92"/>
        <v>0.26666666666666666</v>
      </c>
      <c r="M746">
        <f t="shared" si="93"/>
        <v>0.17391304347826086</v>
      </c>
      <c r="N746">
        <f t="shared" si="94"/>
        <v>0.22222222222222221</v>
      </c>
      <c r="O746">
        <f t="shared" si="95"/>
        <v>0.14285714285714285</v>
      </c>
      <c r="P746">
        <f t="shared" si="96"/>
        <v>0.25</v>
      </c>
    </row>
    <row r="747" spans="1:16" x14ac:dyDescent="0.4">
      <c r="A747">
        <v>0.36363636363636365</v>
      </c>
      <c r="B747">
        <v>0.30769230769230771</v>
      </c>
      <c r="C747" s="23">
        <v>0.18181818181818182</v>
      </c>
      <c r="D747">
        <v>0</v>
      </c>
      <c r="E747">
        <v>0.25</v>
      </c>
      <c r="F747">
        <v>0.1</v>
      </c>
      <c r="G747">
        <v>8.3333333333333329E-2</v>
      </c>
      <c r="H747">
        <v>0.26666666666666666</v>
      </c>
      <c r="I747">
        <f t="shared" si="89"/>
        <v>0.36363636363636365</v>
      </c>
      <c r="J747">
        <f t="shared" si="90"/>
        <v>0.30769230769230771</v>
      </c>
      <c r="K747">
        <f t="shared" si="91"/>
        <v>0.18181818181818182</v>
      </c>
      <c r="L747">
        <f t="shared" si="92"/>
        <v>0</v>
      </c>
      <c r="M747">
        <f t="shared" si="93"/>
        <v>0.25</v>
      </c>
      <c r="N747">
        <f t="shared" si="94"/>
        <v>0.1</v>
      </c>
      <c r="O747">
        <f t="shared" si="95"/>
        <v>8.3333333333333329E-2</v>
      </c>
      <c r="P747">
        <f t="shared" si="96"/>
        <v>0.26666666666666666</v>
      </c>
    </row>
    <row r="748" spans="1:16" x14ac:dyDescent="0.4">
      <c r="A748">
        <v>0.14285714285714285</v>
      </c>
      <c r="B748">
        <v>0.33333333333333331</v>
      </c>
      <c r="C748" s="24">
        <v>0.25</v>
      </c>
      <c r="D748">
        <v>0.05</v>
      </c>
      <c r="E748">
        <v>0.125</v>
      </c>
      <c r="F748">
        <v>0</v>
      </c>
      <c r="G748">
        <v>0.2</v>
      </c>
      <c r="H748">
        <v>0.1111111111111111</v>
      </c>
      <c r="I748">
        <f t="shared" si="89"/>
        <v>0.14285714285714285</v>
      </c>
      <c r="J748">
        <f t="shared" si="90"/>
        <v>0.33333333333333331</v>
      </c>
      <c r="K748">
        <f t="shared" si="91"/>
        <v>0.25</v>
      </c>
      <c r="L748">
        <f t="shared" si="92"/>
        <v>0.05</v>
      </c>
      <c r="M748">
        <f t="shared" si="93"/>
        <v>0.125</v>
      </c>
      <c r="N748">
        <f t="shared" si="94"/>
        <v>0</v>
      </c>
      <c r="O748">
        <f t="shared" si="95"/>
        <v>0.2</v>
      </c>
      <c r="P748">
        <f t="shared" si="96"/>
        <v>0.1111111111111111</v>
      </c>
    </row>
    <row r="749" spans="1:16" x14ac:dyDescent="0.4">
      <c r="A749">
        <v>0.33333333333333331</v>
      </c>
      <c r="B749">
        <v>0.21052631578947367</v>
      </c>
      <c r="C749" s="23">
        <v>0.12903225806451613</v>
      </c>
      <c r="D749">
        <v>0.14285714285714285</v>
      </c>
      <c r="E749">
        <v>0</v>
      </c>
      <c r="F749">
        <v>0</v>
      </c>
      <c r="G749">
        <v>0.125</v>
      </c>
      <c r="H749">
        <v>2.564102564102564E-2</v>
      </c>
      <c r="I749">
        <f t="shared" si="89"/>
        <v>0.33333333333333331</v>
      </c>
      <c r="J749">
        <f t="shared" si="90"/>
        <v>0.21052631578947367</v>
      </c>
      <c r="K749">
        <f t="shared" si="91"/>
        <v>0.12903225806451613</v>
      </c>
      <c r="L749">
        <f t="shared" si="92"/>
        <v>0.14285714285714285</v>
      </c>
      <c r="M749">
        <f t="shared" si="93"/>
        <v>0</v>
      </c>
      <c r="N749">
        <f t="shared" si="94"/>
        <v>0</v>
      </c>
      <c r="O749">
        <f t="shared" si="95"/>
        <v>0.125</v>
      </c>
      <c r="P749">
        <f t="shared" si="96"/>
        <v>2.564102564102564E-2</v>
      </c>
    </row>
    <row r="750" spans="1:16" x14ac:dyDescent="0.4">
      <c r="A750">
        <v>0.44444444444444442</v>
      </c>
      <c r="B750">
        <v>0</v>
      </c>
      <c r="C750" s="24">
        <v>0.26666666666666666</v>
      </c>
      <c r="D750">
        <v>2.3809523809523808E-2</v>
      </c>
      <c r="E750">
        <v>0</v>
      </c>
      <c r="F750">
        <v>0</v>
      </c>
      <c r="G750">
        <v>0.25</v>
      </c>
      <c r="H750">
        <v>3.8834951456310676E-2</v>
      </c>
      <c r="I750">
        <f t="shared" si="89"/>
        <v>0.44444444444444442</v>
      </c>
      <c r="J750">
        <f t="shared" si="90"/>
        <v>0</v>
      </c>
      <c r="K750">
        <f t="shared" si="91"/>
        <v>0.26666666666666666</v>
      </c>
      <c r="L750">
        <f t="shared" si="92"/>
        <v>2.3809523809523808E-2</v>
      </c>
      <c r="M750">
        <f t="shared" si="93"/>
        <v>0</v>
      </c>
      <c r="N750">
        <f t="shared" si="94"/>
        <v>0</v>
      </c>
      <c r="O750">
        <f t="shared" si="95"/>
        <v>0.25</v>
      </c>
      <c r="P750">
        <f t="shared" si="96"/>
        <v>3.8834951456310676E-2</v>
      </c>
    </row>
    <row r="751" spans="1:16" x14ac:dyDescent="0.4">
      <c r="A751">
        <v>0.10810810810810811</v>
      </c>
      <c r="B751">
        <v>5.2631578947368418E-2</v>
      </c>
      <c r="C751" s="23">
        <v>0.66666666666666663</v>
      </c>
      <c r="D751">
        <v>0.22222222222222221</v>
      </c>
      <c r="E751">
        <v>0</v>
      </c>
      <c r="F751">
        <v>0.2</v>
      </c>
      <c r="G751">
        <v>0.2857142857142857</v>
      </c>
      <c r="H751">
        <v>0.16</v>
      </c>
      <c r="I751">
        <f t="shared" si="89"/>
        <v>0.10810810810810811</v>
      </c>
      <c r="J751">
        <f t="shared" si="90"/>
        <v>5.2631578947368418E-2</v>
      </c>
      <c r="K751">
        <f t="shared" si="91"/>
        <v>0.66666666666666663</v>
      </c>
      <c r="L751">
        <f t="shared" si="92"/>
        <v>0.22222222222222221</v>
      </c>
      <c r="M751">
        <f t="shared" si="93"/>
        <v>0</v>
      </c>
      <c r="N751">
        <f t="shared" si="94"/>
        <v>0.2</v>
      </c>
      <c r="O751">
        <f t="shared" si="95"/>
        <v>0.2857142857142857</v>
      </c>
      <c r="P751">
        <f t="shared" si="96"/>
        <v>0.16</v>
      </c>
    </row>
    <row r="752" spans="1:16" x14ac:dyDescent="0.4">
      <c r="A752">
        <v>0.17391304347826086</v>
      </c>
      <c r="B752">
        <v>0.15384615384615385</v>
      </c>
      <c r="C752" s="24">
        <v>0.4</v>
      </c>
      <c r="D752">
        <v>0.26666666666666666</v>
      </c>
      <c r="E752">
        <v>3.8461538461538464E-2</v>
      </c>
      <c r="F752">
        <v>0</v>
      </c>
      <c r="G752">
        <v>4.3478260869565216E-2</v>
      </c>
      <c r="H752">
        <v>0.16666666666666666</v>
      </c>
      <c r="I752">
        <f t="shared" si="89"/>
        <v>0.17391304347826086</v>
      </c>
      <c r="J752">
        <f t="shared" si="90"/>
        <v>0.15384615384615385</v>
      </c>
      <c r="K752">
        <f t="shared" si="91"/>
        <v>0.4</v>
      </c>
      <c r="L752">
        <f t="shared" si="92"/>
        <v>0.26666666666666666</v>
      </c>
      <c r="M752">
        <f t="shared" si="93"/>
        <v>3.8461538461538464E-2</v>
      </c>
      <c r="N752">
        <f t="shared" si="94"/>
        <v>0</v>
      </c>
      <c r="O752">
        <f t="shared" si="95"/>
        <v>4.3478260869565216E-2</v>
      </c>
      <c r="P752">
        <f t="shared" si="96"/>
        <v>0.16666666666666666</v>
      </c>
    </row>
    <row r="753" spans="1:16" x14ac:dyDescent="0.4">
      <c r="A753">
        <v>0.4</v>
      </c>
      <c r="B753">
        <v>6.6666666666666666E-2</v>
      </c>
      <c r="C753" s="23">
        <v>0.15384615384615385</v>
      </c>
      <c r="D753">
        <v>4.49438202247191E-2</v>
      </c>
      <c r="E753">
        <v>0.25</v>
      </c>
      <c r="F753">
        <v>0.13043478260869565</v>
      </c>
      <c r="G753">
        <v>0.30769230769230771</v>
      </c>
      <c r="H753">
        <v>3.3707865168539325E-2</v>
      </c>
      <c r="I753">
        <f t="shared" si="89"/>
        <v>0.4</v>
      </c>
      <c r="J753">
        <f t="shared" si="90"/>
        <v>6.6666666666666666E-2</v>
      </c>
      <c r="K753">
        <f t="shared" si="91"/>
        <v>0.15384615384615385</v>
      </c>
      <c r="L753">
        <f t="shared" si="92"/>
        <v>4.49438202247191E-2</v>
      </c>
      <c r="M753">
        <f t="shared" si="93"/>
        <v>0.25</v>
      </c>
      <c r="N753">
        <f t="shared" si="94"/>
        <v>0.13043478260869565</v>
      </c>
      <c r="O753">
        <f t="shared" si="95"/>
        <v>0.30769230769230771</v>
      </c>
      <c r="P753">
        <f t="shared" si="96"/>
        <v>3.3707865168539325E-2</v>
      </c>
    </row>
    <row r="754" spans="1:16" x14ac:dyDescent="0.4">
      <c r="A754">
        <v>0.12903225806451613</v>
      </c>
      <c r="B754">
        <v>0.36363636363636365</v>
      </c>
      <c r="C754" s="24">
        <v>0.33333333333333331</v>
      </c>
      <c r="D754">
        <v>0.2</v>
      </c>
      <c r="E754">
        <v>0.1111111111111111</v>
      </c>
      <c r="F754">
        <v>0</v>
      </c>
      <c r="G754">
        <v>0</v>
      </c>
      <c r="H754">
        <v>0.4</v>
      </c>
      <c r="I754">
        <f t="shared" si="89"/>
        <v>0.12903225806451613</v>
      </c>
      <c r="J754">
        <f t="shared" si="90"/>
        <v>0.36363636363636365</v>
      </c>
      <c r="K754">
        <f t="shared" si="91"/>
        <v>0.33333333333333331</v>
      </c>
      <c r="L754">
        <f t="shared" si="92"/>
        <v>0.2</v>
      </c>
      <c r="M754">
        <f t="shared" si="93"/>
        <v>0.1111111111111111</v>
      </c>
      <c r="N754">
        <f t="shared" si="94"/>
        <v>0</v>
      </c>
      <c r="O754">
        <f t="shared" si="95"/>
        <v>0</v>
      </c>
      <c r="P754">
        <f t="shared" si="96"/>
        <v>0.4</v>
      </c>
    </row>
    <row r="755" spans="1:16" x14ac:dyDescent="0.4">
      <c r="A755">
        <v>0.5</v>
      </c>
      <c r="B755">
        <v>0.4</v>
      </c>
      <c r="C755" s="23">
        <v>0.66666666666666663</v>
      </c>
      <c r="D755">
        <v>0.16</v>
      </c>
      <c r="E755">
        <v>0.14285714285714285</v>
      </c>
      <c r="F755">
        <v>0.66666666666666663</v>
      </c>
      <c r="G755">
        <v>0</v>
      </c>
      <c r="H755">
        <v>0.04</v>
      </c>
      <c r="I755">
        <f t="shared" si="89"/>
        <v>0.5</v>
      </c>
      <c r="J755">
        <f t="shared" si="90"/>
        <v>0.4</v>
      </c>
      <c r="K755">
        <f t="shared" si="91"/>
        <v>0.66666666666666663</v>
      </c>
      <c r="L755">
        <f t="shared" si="92"/>
        <v>0.16</v>
      </c>
      <c r="M755">
        <f t="shared" si="93"/>
        <v>0.14285714285714285</v>
      </c>
      <c r="N755">
        <f t="shared" si="94"/>
        <v>0.66666666666666663</v>
      </c>
      <c r="O755">
        <f t="shared" si="95"/>
        <v>0</v>
      </c>
      <c r="P755">
        <f t="shared" si="96"/>
        <v>0.04</v>
      </c>
    </row>
    <row r="756" spans="1:16" x14ac:dyDescent="0.4">
      <c r="A756">
        <v>0.36363636363636365</v>
      </c>
      <c r="B756">
        <v>0.4</v>
      </c>
      <c r="C756" s="24">
        <v>0.125</v>
      </c>
      <c r="D756">
        <v>0.33333333333333331</v>
      </c>
      <c r="E756">
        <v>0.1</v>
      </c>
      <c r="F756">
        <v>0</v>
      </c>
      <c r="G756">
        <v>0.2857142857142857</v>
      </c>
      <c r="H756">
        <v>0</v>
      </c>
      <c r="I756">
        <f t="shared" si="89"/>
        <v>0.36363636363636365</v>
      </c>
      <c r="J756">
        <f t="shared" si="90"/>
        <v>0.4</v>
      </c>
      <c r="K756">
        <f t="shared" si="91"/>
        <v>0.125</v>
      </c>
      <c r="L756">
        <f t="shared" si="92"/>
        <v>0.33333333333333331</v>
      </c>
      <c r="M756">
        <f t="shared" si="93"/>
        <v>0.1</v>
      </c>
      <c r="N756">
        <f t="shared" si="94"/>
        <v>0</v>
      </c>
      <c r="O756">
        <f t="shared" si="95"/>
        <v>0.2857142857142857</v>
      </c>
      <c r="P756">
        <f t="shared" si="96"/>
        <v>0</v>
      </c>
    </row>
    <row r="757" spans="1:16" x14ac:dyDescent="0.4">
      <c r="A757">
        <v>0.30769230769230771</v>
      </c>
      <c r="B757">
        <v>0.36363636363636365</v>
      </c>
      <c r="C757" s="23">
        <v>0.14285714285714285</v>
      </c>
      <c r="D757">
        <v>0.33333333333333331</v>
      </c>
      <c r="E757">
        <v>8.3333333333333329E-2</v>
      </c>
      <c r="F757">
        <v>0.21052631578947367</v>
      </c>
      <c r="G757">
        <v>0</v>
      </c>
      <c r="H757">
        <v>0.1</v>
      </c>
      <c r="I757">
        <f t="shared" si="89"/>
        <v>0.30769230769230771</v>
      </c>
      <c r="J757">
        <f t="shared" si="90"/>
        <v>0.36363636363636365</v>
      </c>
      <c r="K757">
        <f t="shared" si="91"/>
        <v>0.14285714285714285</v>
      </c>
      <c r="L757">
        <f t="shared" si="92"/>
        <v>0.33333333333333331</v>
      </c>
      <c r="M757">
        <f t="shared" si="93"/>
        <v>8.3333333333333329E-2</v>
      </c>
      <c r="N757">
        <f t="shared" si="94"/>
        <v>0.21052631578947367</v>
      </c>
      <c r="O757">
        <f t="shared" si="95"/>
        <v>0</v>
      </c>
      <c r="P757">
        <f t="shared" si="96"/>
        <v>0.1</v>
      </c>
    </row>
    <row r="758" spans="1:16" x14ac:dyDescent="0.4">
      <c r="A758">
        <v>0.30769230769230771</v>
      </c>
      <c r="B758">
        <v>0.12903225806451613</v>
      </c>
      <c r="C758" s="24">
        <v>0.18181818181818182</v>
      </c>
      <c r="D758">
        <v>0.36363636363636365</v>
      </c>
      <c r="E758">
        <v>0.18181818181818182</v>
      </c>
      <c r="F758">
        <v>4.5454545454545456E-2</v>
      </c>
      <c r="G758">
        <v>6.6666666666666666E-2</v>
      </c>
      <c r="H758">
        <v>7.1428571428571425E-2</v>
      </c>
      <c r="I758">
        <f t="shared" si="89"/>
        <v>0.30769230769230771</v>
      </c>
      <c r="J758">
        <f t="shared" si="90"/>
        <v>0.12903225806451613</v>
      </c>
      <c r="K758">
        <f t="shared" si="91"/>
        <v>0.18181818181818182</v>
      </c>
      <c r="L758">
        <f t="shared" si="92"/>
        <v>0.36363636363636365</v>
      </c>
      <c r="M758">
        <f t="shared" si="93"/>
        <v>0.18181818181818182</v>
      </c>
      <c r="N758">
        <f t="shared" si="94"/>
        <v>4.5454545454545456E-2</v>
      </c>
      <c r="O758">
        <f t="shared" si="95"/>
        <v>6.6666666666666666E-2</v>
      </c>
      <c r="P758">
        <f t="shared" si="96"/>
        <v>7.1428571428571425E-2</v>
      </c>
    </row>
    <row r="759" spans="1:16" x14ac:dyDescent="0.4">
      <c r="A759">
        <v>0.30769230769230771</v>
      </c>
      <c r="B759">
        <v>0.14285714285714285</v>
      </c>
      <c r="C759" s="23">
        <v>0.30769230769230771</v>
      </c>
      <c r="D759">
        <v>0.36363636363636365</v>
      </c>
      <c r="E759">
        <v>0.3</v>
      </c>
      <c r="F759">
        <v>0.3</v>
      </c>
      <c r="G759">
        <v>9.6774193548387094E-2</v>
      </c>
      <c r="H759">
        <v>0</v>
      </c>
      <c r="I759">
        <f t="shared" si="89"/>
        <v>0.30769230769230771</v>
      </c>
      <c r="J759">
        <f t="shared" si="90"/>
        <v>0.14285714285714285</v>
      </c>
      <c r="K759">
        <f t="shared" si="91"/>
        <v>0.30769230769230771</v>
      </c>
      <c r="L759">
        <f t="shared" si="92"/>
        <v>0.36363636363636365</v>
      </c>
      <c r="M759">
        <f t="shared" si="93"/>
        <v>0.3</v>
      </c>
      <c r="N759">
        <f t="shared" si="94"/>
        <v>0.3</v>
      </c>
      <c r="O759">
        <f t="shared" si="95"/>
        <v>9.6774193548387094E-2</v>
      </c>
      <c r="P759">
        <f t="shared" si="96"/>
        <v>0</v>
      </c>
    </row>
    <row r="760" spans="1:16" x14ac:dyDescent="0.4">
      <c r="A760">
        <v>0</v>
      </c>
      <c r="B760">
        <v>0.22222222222222221</v>
      </c>
      <c r="C760" s="24">
        <v>0.5714285714285714</v>
      </c>
      <c r="D760">
        <v>0.26666666666666666</v>
      </c>
      <c r="E760">
        <v>0.26666666666666666</v>
      </c>
      <c r="F760">
        <v>0.33333333333333331</v>
      </c>
      <c r="G760">
        <v>5.8823529411764705E-2</v>
      </c>
      <c r="H760">
        <v>0.25</v>
      </c>
      <c r="I760">
        <f t="shared" si="89"/>
        <v>0</v>
      </c>
      <c r="J760">
        <f t="shared" si="90"/>
        <v>0.22222222222222221</v>
      </c>
      <c r="K760">
        <f t="shared" si="91"/>
        <v>0.5714285714285714</v>
      </c>
      <c r="L760">
        <f t="shared" si="92"/>
        <v>0.26666666666666666</v>
      </c>
      <c r="M760">
        <f t="shared" si="93"/>
        <v>0.26666666666666666</v>
      </c>
      <c r="N760">
        <f t="shared" si="94"/>
        <v>0.33333333333333331</v>
      </c>
      <c r="O760">
        <f t="shared" si="95"/>
        <v>5.8823529411764705E-2</v>
      </c>
      <c r="P760">
        <f t="shared" si="96"/>
        <v>0.25</v>
      </c>
    </row>
    <row r="761" spans="1:16" x14ac:dyDescent="0.4">
      <c r="A761">
        <v>0.25</v>
      </c>
      <c r="B761">
        <v>0</v>
      </c>
      <c r="C761" s="23">
        <v>0.11538461538461539</v>
      </c>
      <c r="D761">
        <v>0.26666666666666666</v>
      </c>
      <c r="E761">
        <v>0.15384615384615385</v>
      </c>
      <c r="F761">
        <v>0.16</v>
      </c>
      <c r="G761">
        <v>0.23529411764705882</v>
      </c>
      <c r="H761">
        <v>0.125</v>
      </c>
      <c r="I761">
        <f t="shared" si="89"/>
        <v>0.25</v>
      </c>
      <c r="J761">
        <f t="shared" si="90"/>
        <v>0</v>
      </c>
      <c r="K761">
        <f t="shared" si="91"/>
        <v>0.11538461538461539</v>
      </c>
      <c r="L761">
        <f t="shared" si="92"/>
        <v>0.26666666666666666</v>
      </c>
      <c r="M761">
        <f t="shared" si="93"/>
        <v>0.15384615384615385</v>
      </c>
      <c r="N761">
        <f t="shared" si="94"/>
        <v>0.16</v>
      </c>
      <c r="O761">
        <f t="shared" si="95"/>
        <v>0.23529411764705882</v>
      </c>
      <c r="P761">
        <f t="shared" si="96"/>
        <v>0.125</v>
      </c>
    </row>
    <row r="762" spans="1:16" x14ac:dyDescent="0.4">
      <c r="A762">
        <v>0.33333333333333331</v>
      </c>
      <c r="B762">
        <v>0.14285714285714285</v>
      </c>
      <c r="C762" s="24">
        <v>0.21052631578947367</v>
      </c>
      <c r="D762">
        <v>0.44444444444444442</v>
      </c>
      <c r="E762">
        <v>0.1</v>
      </c>
      <c r="F762">
        <v>0</v>
      </c>
      <c r="G762">
        <v>0</v>
      </c>
      <c r="H762">
        <v>0.125</v>
      </c>
      <c r="I762">
        <f t="shared" si="89"/>
        <v>0.33333333333333331</v>
      </c>
      <c r="J762">
        <f t="shared" si="90"/>
        <v>0.14285714285714285</v>
      </c>
      <c r="K762">
        <f t="shared" si="91"/>
        <v>0.21052631578947367</v>
      </c>
      <c r="L762">
        <f t="shared" si="92"/>
        <v>0.44444444444444442</v>
      </c>
      <c r="M762">
        <f t="shared" si="93"/>
        <v>0.1</v>
      </c>
      <c r="N762">
        <f t="shared" si="94"/>
        <v>0</v>
      </c>
      <c r="O762">
        <f t="shared" si="95"/>
        <v>0</v>
      </c>
      <c r="P762">
        <f t="shared" si="96"/>
        <v>0.125</v>
      </c>
    </row>
    <row r="763" spans="1:16" x14ac:dyDescent="0.4">
      <c r="A763">
        <v>0.5</v>
      </c>
      <c r="B763">
        <v>0.33333333333333331</v>
      </c>
      <c r="C763" s="23">
        <v>0.26666666666666666</v>
      </c>
      <c r="D763">
        <v>5.7142857142857141E-2</v>
      </c>
      <c r="E763">
        <v>0</v>
      </c>
      <c r="F763">
        <v>0.23076923076923078</v>
      </c>
      <c r="G763">
        <v>0</v>
      </c>
      <c r="H763">
        <v>4.5454545454545456E-2</v>
      </c>
      <c r="I763">
        <f t="shared" si="89"/>
        <v>0.5</v>
      </c>
      <c r="J763">
        <f t="shared" si="90"/>
        <v>0.33333333333333331</v>
      </c>
      <c r="K763">
        <f t="shared" si="91"/>
        <v>0.26666666666666666</v>
      </c>
      <c r="L763">
        <f t="shared" si="92"/>
        <v>5.7142857142857141E-2</v>
      </c>
      <c r="M763">
        <f t="shared" si="93"/>
        <v>0</v>
      </c>
      <c r="N763">
        <f t="shared" si="94"/>
        <v>0.23076923076923078</v>
      </c>
      <c r="O763">
        <f t="shared" si="95"/>
        <v>0</v>
      </c>
      <c r="P763">
        <f t="shared" si="96"/>
        <v>4.5454545454545456E-2</v>
      </c>
    </row>
    <row r="764" spans="1:16" x14ac:dyDescent="0.4">
      <c r="A764">
        <v>0.10526315789473684</v>
      </c>
      <c r="B764">
        <v>0.5714285714285714</v>
      </c>
      <c r="C764" s="24">
        <v>0.25</v>
      </c>
      <c r="D764">
        <v>0.5</v>
      </c>
      <c r="E764">
        <v>8.5714285714285715E-2</v>
      </c>
      <c r="F764">
        <v>0.13333333333333333</v>
      </c>
      <c r="G764">
        <v>0.2</v>
      </c>
      <c r="H764">
        <v>0.14285714285714285</v>
      </c>
      <c r="I764">
        <f t="shared" si="89"/>
        <v>0.10526315789473684</v>
      </c>
      <c r="J764">
        <f t="shared" si="90"/>
        <v>0.5714285714285714</v>
      </c>
      <c r="K764">
        <f t="shared" si="91"/>
        <v>0.25</v>
      </c>
      <c r="L764">
        <f t="shared" si="92"/>
        <v>0.5</v>
      </c>
      <c r="M764">
        <f t="shared" si="93"/>
        <v>8.5714285714285715E-2</v>
      </c>
      <c r="N764">
        <f t="shared" si="94"/>
        <v>0.13333333333333333</v>
      </c>
      <c r="O764">
        <f t="shared" si="95"/>
        <v>0.2</v>
      </c>
      <c r="P764">
        <f t="shared" si="96"/>
        <v>0.14285714285714285</v>
      </c>
    </row>
    <row r="765" spans="1:16" x14ac:dyDescent="0.4">
      <c r="A765">
        <v>0.5</v>
      </c>
      <c r="B765">
        <v>0.21052631578947367</v>
      </c>
      <c r="C765" s="23">
        <v>1.5384615384615385E-2</v>
      </c>
      <c r="D765">
        <v>0.125</v>
      </c>
      <c r="E765">
        <v>0</v>
      </c>
      <c r="F765">
        <v>6.5573770491803282E-2</v>
      </c>
      <c r="G765">
        <v>5.5555555555555552E-2</v>
      </c>
      <c r="H765">
        <v>3.2258064516129031E-2</v>
      </c>
      <c r="I765">
        <f t="shared" si="89"/>
        <v>0.5</v>
      </c>
      <c r="J765">
        <f t="shared" si="90"/>
        <v>0.21052631578947367</v>
      </c>
      <c r="K765">
        <f t="shared" si="91"/>
        <v>1.5384615384615385E-2</v>
      </c>
      <c r="L765">
        <f t="shared" si="92"/>
        <v>0.125</v>
      </c>
      <c r="M765">
        <f t="shared" si="93"/>
        <v>0</v>
      </c>
      <c r="N765">
        <f t="shared" si="94"/>
        <v>6.5573770491803282E-2</v>
      </c>
      <c r="O765">
        <f t="shared" si="95"/>
        <v>5.5555555555555552E-2</v>
      </c>
      <c r="P765">
        <f t="shared" si="96"/>
        <v>3.2258064516129031E-2</v>
      </c>
    </row>
    <row r="766" spans="1:16" x14ac:dyDescent="0.4">
      <c r="A766">
        <v>0.17391304347826086</v>
      </c>
      <c r="B766">
        <v>0.2</v>
      </c>
      <c r="C766" s="24">
        <v>0.25</v>
      </c>
      <c r="D766">
        <v>0.21052631578947367</v>
      </c>
      <c r="E766">
        <v>4.5454545454545456E-2</v>
      </c>
      <c r="F766">
        <v>7.1428571428571425E-2</v>
      </c>
      <c r="G766">
        <v>0.11764705882352941</v>
      </c>
      <c r="H766">
        <v>0</v>
      </c>
      <c r="I766">
        <f t="shared" si="89"/>
        <v>0.17391304347826086</v>
      </c>
      <c r="J766">
        <f t="shared" si="90"/>
        <v>0.2</v>
      </c>
      <c r="K766">
        <f t="shared" si="91"/>
        <v>0.25</v>
      </c>
      <c r="L766">
        <f t="shared" si="92"/>
        <v>0.21052631578947367</v>
      </c>
      <c r="M766">
        <f t="shared" si="93"/>
        <v>4.5454545454545456E-2</v>
      </c>
      <c r="N766">
        <f t="shared" si="94"/>
        <v>7.1428571428571425E-2</v>
      </c>
      <c r="O766">
        <f t="shared" si="95"/>
        <v>0.11764705882352941</v>
      </c>
      <c r="P766">
        <f t="shared" si="96"/>
        <v>0</v>
      </c>
    </row>
    <row r="767" spans="1:16" x14ac:dyDescent="0.4">
      <c r="A767">
        <v>0.33333333333333331</v>
      </c>
      <c r="B767">
        <v>0.21052631578947367</v>
      </c>
      <c r="C767" s="23">
        <v>0.4</v>
      </c>
      <c r="D767">
        <v>0.18181818181818182</v>
      </c>
      <c r="E767">
        <v>0</v>
      </c>
      <c r="F767">
        <v>0.1111111111111111</v>
      </c>
      <c r="G767">
        <v>0</v>
      </c>
      <c r="H767">
        <v>0.05</v>
      </c>
      <c r="I767">
        <f t="shared" si="89"/>
        <v>0.33333333333333331</v>
      </c>
      <c r="J767">
        <f t="shared" si="90"/>
        <v>0.21052631578947367</v>
      </c>
      <c r="K767">
        <f t="shared" si="91"/>
        <v>0.4</v>
      </c>
      <c r="L767">
        <f t="shared" si="92"/>
        <v>0.18181818181818182</v>
      </c>
      <c r="M767">
        <f t="shared" si="93"/>
        <v>0</v>
      </c>
      <c r="N767">
        <f t="shared" si="94"/>
        <v>0.1111111111111111</v>
      </c>
      <c r="O767">
        <f t="shared" si="95"/>
        <v>0</v>
      </c>
      <c r="P767">
        <f t="shared" si="96"/>
        <v>0.05</v>
      </c>
    </row>
    <row r="768" spans="1:16" x14ac:dyDescent="0.4">
      <c r="A768">
        <v>5.8823529411764705E-2</v>
      </c>
      <c r="B768">
        <v>0.30769230769230771</v>
      </c>
      <c r="C768" s="24">
        <v>0.44444444444444442</v>
      </c>
      <c r="D768">
        <v>6.25E-2</v>
      </c>
      <c r="E768">
        <v>0.26666666666666666</v>
      </c>
      <c r="F768">
        <v>0.125</v>
      </c>
      <c r="G768">
        <v>8.3333333333333329E-2</v>
      </c>
      <c r="H768">
        <v>2.7777777777777776E-2</v>
      </c>
      <c r="I768">
        <f t="shared" si="89"/>
        <v>5.8823529411764705E-2</v>
      </c>
      <c r="J768">
        <f t="shared" si="90"/>
        <v>0.30769230769230771</v>
      </c>
      <c r="K768">
        <f t="shared" si="91"/>
        <v>0.44444444444444442</v>
      </c>
      <c r="L768">
        <f t="shared" si="92"/>
        <v>6.25E-2</v>
      </c>
      <c r="M768">
        <f t="shared" si="93"/>
        <v>0.26666666666666666</v>
      </c>
      <c r="N768">
        <f t="shared" si="94"/>
        <v>0.125</v>
      </c>
      <c r="O768">
        <f t="shared" si="95"/>
        <v>8.3333333333333329E-2</v>
      </c>
      <c r="P768">
        <f t="shared" si="96"/>
        <v>2.7777777777777776E-2</v>
      </c>
    </row>
    <row r="769" spans="1:16" x14ac:dyDescent="0.4">
      <c r="A769">
        <v>0.26666666666666666</v>
      </c>
      <c r="B769">
        <v>0.33333333333333331</v>
      </c>
      <c r="C769" s="23">
        <v>3.3333333333333333E-2</v>
      </c>
      <c r="D769">
        <v>0</v>
      </c>
      <c r="E769">
        <v>7.6923076923076927E-2</v>
      </c>
      <c r="F769">
        <v>0.15384615384615385</v>
      </c>
      <c r="G769">
        <v>0</v>
      </c>
      <c r="H769">
        <v>0.2857142857142857</v>
      </c>
      <c r="I769">
        <f t="shared" si="89"/>
        <v>0.26666666666666666</v>
      </c>
      <c r="J769">
        <f t="shared" si="90"/>
        <v>0.33333333333333331</v>
      </c>
      <c r="K769">
        <f t="shared" si="91"/>
        <v>3.3333333333333333E-2</v>
      </c>
      <c r="L769">
        <f t="shared" si="92"/>
        <v>0</v>
      </c>
      <c r="M769">
        <f t="shared" si="93"/>
        <v>7.6923076923076927E-2</v>
      </c>
      <c r="N769">
        <f t="shared" si="94"/>
        <v>0.15384615384615385</v>
      </c>
      <c r="O769">
        <f t="shared" si="95"/>
        <v>0</v>
      </c>
      <c r="P769">
        <f t="shared" si="96"/>
        <v>0.2857142857142857</v>
      </c>
    </row>
    <row r="770" spans="1:16" x14ac:dyDescent="0.4">
      <c r="A770">
        <v>7.1428571428571425E-2</v>
      </c>
      <c r="B770">
        <v>0</v>
      </c>
      <c r="C770" s="24">
        <v>0.33333333333333331</v>
      </c>
      <c r="D770">
        <v>3.0303030303030304E-2</v>
      </c>
      <c r="E770">
        <v>0.36363636363636365</v>
      </c>
      <c r="F770">
        <v>0.1</v>
      </c>
      <c r="G770">
        <v>0.21052631578947367</v>
      </c>
      <c r="H770">
        <v>2.6785714285714284E-2</v>
      </c>
      <c r="I770">
        <f t="shared" si="89"/>
        <v>7.1428571428571425E-2</v>
      </c>
      <c r="J770">
        <f t="shared" si="90"/>
        <v>0</v>
      </c>
      <c r="K770">
        <f t="shared" si="91"/>
        <v>0.33333333333333331</v>
      </c>
      <c r="L770">
        <f t="shared" si="92"/>
        <v>3.0303030303030304E-2</v>
      </c>
      <c r="M770">
        <f t="shared" si="93"/>
        <v>0.36363636363636365</v>
      </c>
      <c r="N770">
        <f t="shared" si="94"/>
        <v>0.1</v>
      </c>
      <c r="O770">
        <f t="shared" si="95"/>
        <v>0.21052631578947367</v>
      </c>
      <c r="P770">
        <f t="shared" si="96"/>
        <v>2.6785714285714284E-2</v>
      </c>
    </row>
    <row r="771" spans="1:16" x14ac:dyDescent="0.4">
      <c r="A771">
        <v>0.30769230769230771</v>
      </c>
      <c r="B771">
        <v>0.36363636363636365</v>
      </c>
      <c r="C771" s="23">
        <v>0.10256410256410256</v>
      </c>
      <c r="D771">
        <v>0</v>
      </c>
      <c r="E771">
        <v>0</v>
      </c>
      <c r="F771">
        <v>5.5555555555555552E-2</v>
      </c>
      <c r="G771">
        <v>0</v>
      </c>
      <c r="H771">
        <v>8.5106382978723402E-2</v>
      </c>
      <c r="I771">
        <f t="shared" si="89"/>
        <v>0.30769230769230771</v>
      </c>
      <c r="J771">
        <f t="shared" si="90"/>
        <v>0.36363636363636365</v>
      </c>
      <c r="K771">
        <f t="shared" si="91"/>
        <v>0.10256410256410256</v>
      </c>
      <c r="L771">
        <f t="shared" si="92"/>
        <v>0</v>
      </c>
      <c r="M771">
        <f t="shared" si="93"/>
        <v>0</v>
      </c>
      <c r="N771">
        <f t="shared" si="94"/>
        <v>5.5555555555555552E-2</v>
      </c>
      <c r="O771">
        <f t="shared" si="95"/>
        <v>0</v>
      </c>
      <c r="P771">
        <f t="shared" si="96"/>
        <v>8.5106382978723402E-2</v>
      </c>
    </row>
    <row r="772" spans="1:16" x14ac:dyDescent="0.4">
      <c r="A772">
        <v>0.4</v>
      </c>
      <c r="B772">
        <v>0.8</v>
      </c>
      <c r="C772" s="24">
        <v>0.25</v>
      </c>
      <c r="D772">
        <v>0.30769230769230771</v>
      </c>
      <c r="E772">
        <v>0</v>
      </c>
      <c r="F772">
        <v>6.25E-2</v>
      </c>
      <c r="G772">
        <v>0.25</v>
      </c>
      <c r="H772">
        <v>0.22222222222222221</v>
      </c>
      <c r="I772">
        <f t="shared" si="89"/>
        <v>0.4</v>
      </c>
      <c r="J772">
        <f t="shared" si="90"/>
        <v>0.8</v>
      </c>
      <c r="K772">
        <f t="shared" si="91"/>
        <v>0.25</v>
      </c>
      <c r="L772">
        <f t="shared" si="92"/>
        <v>0.30769230769230771</v>
      </c>
      <c r="M772">
        <f t="shared" si="93"/>
        <v>0</v>
      </c>
      <c r="N772">
        <f t="shared" si="94"/>
        <v>6.25E-2</v>
      </c>
      <c r="O772">
        <f t="shared" si="95"/>
        <v>0.25</v>
      </c>
      <c r="P772">
        <f t="shared" si="96"/>
        <v>0.22222222222222221</v>
      </c>
    </row>
    <row r="773" spans="1:16" x14ac:dyDescent="0.4">
      <c r="A773">
        <v>0.23529411764705882</v>
      </c>
      <c r="B773">
        <v>0</v>
      </c>
      <c r="C773" s="23">
        <v>0.2857142857142857</v>
      </c>
      <c r="D773">
        <v>0.23529411764705882</v>
      </c>
      <c r="E773">
        <v>0.13333333333333333</v>
      </c>
      <c r="F773">
        <v>0.3</v>
      </c>
      <c r="G773">
        <v>0.19047619047619047</v>
      </c>
      <c r="H773">
        <v>4.5454545454545456E-2</v>
      </c>
      <c r="I773">
        <f t="shared" si="89"/>
        <v>0.23529411764705882</v>
      </c>
      <c r="J773">
        <f t="shared" si="90"/>
        <v>0</v>
      </c>
      <c r="K773">
        <f t="shared" si="91"/>
        <v>0.2857142857142857</v>
      </c>
      <c r="L773">
        <f t="shared" si="92"/>
        <v>0.23529411764705882</v>
      </c>
      <c r="M773">
        <f t="shared" si="93"/>
        <v>0.13333333333333333</v>
      </c>
      <c r="N773">
        <f t="shared" si="94"/>
        <v>0.3</v>
      </c>
      <c r="O773">
        <f t="shared" si="95"/>
        <v>0.19047619047619047</v>
      </c>
      <c r="P773">
        <f t="shared" si="96"/>
        <v>4.5454545454545456E-2</v>
      </c>
    </row>
    <row r="774" spans="1:16" x14ac:dyDescent="0.4">
      <c r="A774">
        <v>0.13333333333333333</v>
      </c>
      <c r="B774">
        <v>0.33333333333333331</v>
      </c>
      <c r="C774" s="24">
        <v>3.8095238095238099E-2</v>
      </c>
      <c r="D774">
        <v>0.375</v>
      </c>
      <c r="E774">
        <v>0.11538461538461539</v>
      </c>
      <c r="F774">
        <v>0</v>
      </c>
      <c r="G774">
        <v>0.22222222222222221</v>
      </c>
      <c r="H774">
        <v>0.8</v>
      </c>
      <c r="I774">
        <f t="shared" si="89"/>
        <v>0.13333333333333333</v>
      </c>
      <c r="J774">
        <f t="shared" si="90"/>
        <v>0.33333333333333331</v>
      </c>
      <c r="K774">
        <f t="shared" si="91"/>
        <v>3.8095238095238099E-2</v>
      </c>
      <c r="L774">
        <f t="shared" si="92"/>
        <v>0.375</v>
      </c>
      <c r="M774">
        <f t="shared" si="93"/>
        <v>0.11538461538461539</v>
      </c>
      <c r="N774">
        <f t="shared" si="94"/>
        <v>0</v>
      </c>
      <c r="O774">
        <f t="shared" si="95"/>
        <v>0.22222222222222221</v>
      </c>
      <c r="P774">
        <f t="shared" si="96"/>
        <v>0.8</v>
      </c>
    </row>
    <row r="775" spans="1:16" x14ac:dyDescent="0.4">
      <c r="A775">
        <v>0.36363636363636365</v>
      </c>
      <c r="B775">
        <v>5.8823529411764705E-2</v>
      </c>
      <c r="C775" s="23">
        <v>2.6548672566371681E-2</v>
      </c>
      <c r="D775">
        <v>0.4</v>
      </c>
      <c r="E775">
        <v>0.1</v>
      </c>
      <c r="F775">
        <v>3.669724770642202E-2</v>
      </c>
      <c r="G775">
        <v>0.16</v>
      </c>
      <c r="H775">
        <v>0.2857142857142857</v>
      </c>
      <c r="I775">
        <f t="shared" si="89"/>
        <v>0.36363636363636365</v>
      </c>
      <c r="J775">
        <f t="shared" si="90"/>
        <v>5.8823529411764705E-2</v>
      </c>
      <c r="K775">
        <f t="shared" si="91"/>
        <v>2.6548672566371681E-2</v>
      </c>
      <c r="L775">
        <f t="shared" si="92"/>
        <v>0.4</v>
      </c>
      <c r="M775">
        <f t="shared" si="93"/>
        <v>0.1</v>
      </c>
      <c r="N775">
        <f t="shared" si="94"/>
        <v>3.669724770642202E-2</v>
      </c>
      <c r="O775">
        <f t="shared" si="95"/>
        <v>0.16</v>
      </c>
      <c r="P775">
        <f t="shared" si="96"/>
        <v>0.2857142857142857</v>
      </c>
    </row>
    <row r="776" spans="1:16" x14ac:dyDescent="0.4">
      <c r="A776">
        <v>0.23529411764705882</v>
      </c>
      <c r="B776">
        <v>0.18181818181818182</v>
      </c>
      <c r="C776" s="24">
        <v>0.2857142857142857</v>
      </c>
      <c r="D776">
        <v>8.1632653061224483E-2</v>
      </c>
      <c r="E776">
        <v>6.25E-2</v>
      </c>
      <c r="F776">
        <v>8.3333333333333329E-2</v>
      </c>
      <c r="G776">
        <v>0.17647058823529413</v>
      </c>
      <c r="H776">
        <v>1.8518518518518517E-2</v>
      </c>
      <c r="I776">
        <f t="shared" ref="I776:I839" si="97">IF(A776&gt;1, 1, A776)</f>
        <v>0.23529411764705882</v>
      </c>
      <c r="J776">
        <f t="shared" ref="J776:J839" si="98">IF(B776&gt;1, 1, B776)</f>
        <v>0.18181818181818182</v>
      </c>
      <c r="K776">
        <f t="shared" ref="K776:K839" si="99">IF(C776&gt;1, 1, C776)</f>
        <v>0.2857142857142857</v>
      </c>
      <c r="L776">
        <f t="shared" ref="L776:L839" si="100">IF(D776&gt;1, 1, D776)</f>
        <v>8.1632653061224483E-2</v>
      </c>
      <c r="M776">
        <f t="shared" ref="M776:M839" si="101">IF(E776&gt;1, 1, E776)</f>
        <v>6.25E-2</v>
      </c>
      <c r="N776">
        <f t="shared" ref="N776:N839" si="102">IF(F776&gt;1, 1, F776)</f>
        <v>8.3333333333333329E-2</v>
      </c>
      <c r="O776">
        <f t="shared" ref="O776:O839" si="103">IF(G776&gt;1, 1, G776)</f>
        <v>0.17647058823529413</v>
      </c>
      <c r="P776">
        <f t="shared" ref="P776:P839" si="104">IF(H776&gt;1, 1, H776)</f>
        <v>1.8518518518518517E-2</v>
      </c>
    </row>
    <row r="777" spans="1:16" x14ac:dyDescent="0.4">
      <c r="A777">
        <v>0.36363636363636365</v>
      </c>
      <c r="B777">
        <v>0.36363636363636365</v>
      </c>
      <c r="C777" s="23">
        <v>8.6956521739130432E-2</v>
      </c>
      <c r="D777">
        <v>0.6</v>
      </c>
      <c r="E777">
        <v>0.1</v>
      </c>
      <c r="F777">
        <v>0</v>
      </c>
      <c r="G777">
        <v>0</v>
      </c>
      <c r="H777">
        <v>1</v>
      </c>
      <c r="I777">
        <f t="shared" si="97"/>
        <v>0.36363636363636365</v>
      </c>
      <c r="J777">
        <f t="shared" si="98"/>
        <v>0.36363636363636365</v>
      </c>
      <c r="K777">
        <f t="shared" si="99"/>
        <v>8.6956521739130432E-2</v>
      </c>
      <c r="L777">
        <f t="shared" si="100"/>
        <v>0.6</v>
      </c>
      <c r="M777">
        <f t="shared" si="101"/>
        <v>0.1</v>
      </c>
      <c r="N777">
        <f t="shared" si="102"/>
        <v>0</v>
      </c>
      <c r="O777">
        <f t="shared" si="103"/>
        <v>0</v>
      </c>
      <c r="P777">
        <f t="shared" si="104"/>
        <v>1</v>
      </c>
    </row>
    <row r="778" spans="1:16" x14ac:dyDescent="0.4">
      <c r="A778">
        <v>0.14285714285714285</v>
      </c>
      <c r="B778">
        <v>0.4</v>
      </c>
      <c r="C778" s="24">
        <v>0.25</v>
      </c>
      <c r="D778">
        <v>0.66666666666666663</v>
      </c>
      <c r="E778">
        <v>0.125</v>
      </c>
      <c r="F778">
        <v>6.25E-2</v>
      </c>
      <c r="G778">
        <v>0</v>
      </c>
      <c r="H778">
        <v>0.66666666666666663</v>
      </c>
      <c r="I778">
        <f t="shared" si="97"/>
        <v>0.14285714285714285</v>
      </c>
      <c r="J778">
        <f t="shared" si="98"/>
        <v>0.4</v>
      </c>
      <c r="K778">
        <f t="shared" si="99"/>
        <v>0.25</v>
      </c>
      <c r="L778">
        <f t="shared" si="100"/>
        <v>0.66666666666666663</v>
      </c>
      <c r="M778">
        <f t="shared" si="101"/>
        <v>0.125</v>
      </c>
      <c r="N778">
        <f t="shared" si="102"/>
        <v>6.25E-2</v>
      </c>
      <c r="O778">
        <f t="shared" si="103"/>
        <v>0</v>
      </c>
      <c r="P778">
        <f t="shared" si="104"/>
        <v>0.66666666666666663</v>
      </c>
    </row>
    <row r="779" spans="1:16" x14ac:dyDescent="0.4">
      <c r="A779">
        <v>0.36363636363636365</v>
      </c>
      <c r="B779">
        <v>0.30769230769230771</v>
      </c>
      <c r="C779" s="23">
        <v>0.33333333333333331</v>
      </c>
      <c r="D779">
        <v>0.30769230769230771</v>
      </c>
      <c r="E779">
        <v>0</v>
      </c>
      <c r="F779">
        <v>0</v>
      </c>
      <c r="G779">
        <v>0</v>
      </c>
      <c r="H779">
        <v>0</v>
      </c>
      <c r="I779">
        <f t="shared" si="97"/>
        <v>0.36363636363636365</v>
      </c>
      <c r="J779">
        <f t="shared" si="98"/>
        <v>0.30769230769230771</v>
      </c>
      <c r="K779">
        <f t="shared" si="99"/>
        <v>0.33333333333333331</v>
      </c>
      <c r="L779">
        <f t="shared" si="100"/>
        <v>0.30769230769230771</v>
      </c>
      <c r="M779">
        <f t="shared" si="101"/>
        <v>0</v>
      </c>
      <c r="N779">
        <f t="shared" si="102"/>
        <v>0</v>
      </c>
      <c r="O779">
        <f t="shared" si="103"/>
        <v>0</v>
      </c>
      <c r="P779">
        <f t="shared" si="104"/>
        <v>0</v>
      </c>
    </row>
    <row r="780" spans="1:16" x14ac:dyDescent="0.4">
      <c r="A780">
        <v>0.44444444444444442</v>
      </c>
      <c r="B780">
        <v>0.2857142857142857</v>
      </c>
      <c r="C780" s="24">
        <v>0.21428571428571427</v>
      </c>
      <c r="D780">
        <v>0.25</v>
      </c>
      <c r="E780">
        <v>0</v>
      </c>
      <c r="F780">
        <v>0.33333333333333331</v>
      </c>
      <c r="G780">
        <v>0.27272727272727271</v>
      </c>
      <c r="H780">
        <v>6.6666666666666666E-2</v>
      </c>
      <c r="I780">
        <f t="shared" si="97"/>
        <v>0.44444444444444442</v>
      </c>
      <c r="J780">
        <f t="shared" si="98"/>
        <v>0.2857142857142857</v>
      </c>
      <c r="K780">
        <f t="shared" si="99"/>
        <v>0.21428571428571427</v>
      </c>
      <c r="L780">
        <f t="shared" si="100"/>
        <v>0.25</v>
      </c>
      <c r="M780">
        <f t="shared" si="101"/>
        <v>0</v>
      </c>
      <c r="N780">
        <f t="shared" si="102"/>
        <v>0.33333333333333331</v>
      </c>
      <c r="O780">
        <f t="shared" si="103"/>
        <v>0.27272727272727271</v>
      </c>
      <c r="P780">
        <f t="shared" si="104"/>
        <v>6.6666666666666666E-2</v>
      </c>
    </row>
    <row r="781" spans="1:16" x14ac:dyDescent="0.4">
      <c r="A781">
        <v>0.33333333333333331</v>
      </c>
      <c r="B781">
        <v>0</v>
      </c>
      <c r="C781" s="23">
        <v>0.4</v>
      </c>
      <c r="D781">
        <v>0.5</v>
      </c>
      <c r="E781">
        <v>0</v>
      </c>
      <c r="F781">
        <v>0.22222222222222221</v>
      </c>
      <c r="G781">
        <v>0.33333333333333331</v>
      </c>
      <c r="H781">
        <v>0.14285714285714285</v>
      </c>
      <c r="I781">
        <f t="shared" si="97"/>
        <v>0.33333333333333331</v>
      </c>
      <c r="J781">
        <f t="shared" si="98"/>
        <v>0</v>
      </c>
      <c r="K781">
        <f t="shared" si="99"/>
        <v>0.4</v>
      </c>
      <c r="L781">
        <f t="shared" si="100"/>
        <v>0.5</v>
      </c>
      <c r="M781">
        <f t="shared" si="101"/>
        <v>0</v>
      </c>
      <c r="N781">
        <f t="shared" si="102"/>
        <v>0.22222222222222221</v>
      </c>
      <c r="O781">
        <f t="shared" si="103"/>
        <v>0.33333333333333331</v>
      </c>
      <c r="P781">
        <f t="shared" si="104"/>
        <v>0.14285714285714285</v>
      </c>
    </row>
    <row r="782" spans="1:16" x14ac:dyDescent="0.4">
      <c r="A782">
        <v>0.16</v>
      </c>
      <c r="B782">
        <v>0.26666666666666666</v>
      </c>
      <c r="C782" s="24">
        <v>5.4794520547945202E-2</v>
      </c>
      <c r="D782">
        <v>0.36363636363636365</v>
      </c>
      <c r="E782">
        <v>0</v>
      </c>
      <c r="F782">
        <v>2.8985507246376812E-2</v>
      </c>
      <c r="G782">
        <v>0.3</v>
      </c>
      <c r="H782">
        <v>6.6666666666666666E-2</v>
      </c>
      <c r="I782">
        <f t="shared" si="97"/>
        <v>0.16</v>
      </c>
      <c r="J782">
        <f t="shared" si="98"/>
        <v>0.26666666666666666</v>
      </c>
      <c r="K782">
        <f t="shared" si="99"/>
        <v>5.4794520547945202E-2</v>
      </c>
      <c r="L782">
        <f t="shared" si="100"/>
        <v>0.36363636363636365</v>
      </c>
      <c r="M782">
        <f t="shared" si="101"/>
        <v>0</v>
      </c>
      <c r="N782">
        <f t="shared" si="102"/>
        <v>2.8985507246376812E-2</v>
      </c>
      <c r="O782">
        <f t="shared" si="103"/>
        <v>0.3</v>
      </c>
      <c r="P782">
        <f t="shared" si="104"/>
        <v>6.6666666666666666E-2</v>
      </c>
    </row>
    <row r="783" spans="1:16" x14ac:dyDescent="0.4">
      <c r="A783">
        <v>0.23529411764705882</v>
      </c>
      <c r="B783">
        <v>0.19047619047619047</v>
      </c>
      <c r="C783" s="23">
        <v>6.8965517241379309E-2</v>
      </c>
      <c r="D783">
        <v>0.14285714285714285</v>
      </c>
      <c r="E783">
        <v>0</v>
      </c>
      <c r="F783">
        <v>3.6363636363636362E-2</v>
      </c>
      <c r="G783">
        <v>0</v>
      </c>
      <c r="H783">
        <v>0.36363636363636365</v>
      </c>
      <c r="I783">
        <f t="shared" si="97"/>
        <v>0.23529411764705882</v>
      </c>
      <c r="J783">
        <f t="shared" si="98"/>
        <v>0.19047619047619047</v>
      </c>
      <c r="K783">
        <f t="shared" si="99"/>
        <v>6.8965517241379309E-2</v>
      </c>
      <c r="L783">
        <f t="shared" si="100"/>
        <v>0.14285714285714285</v>
      </c>
      <c r="M783">
        <f t="shared" si="101"/>
        <v>0</v>
      </c>
      <c r="N783">
        <f t="shared" si="102"/>
        <v>3.6363636363636362E-2</v>
      </c>
      <c r="O783">
        <f t="shared" si="103"/>
        <v>0</v>
      </c>
      <c r="P783">
        <f t="shared" si="104"/>
        <v>0.36363636363636365</v>
      </c>
    </row>
    <row r="784" spans="1:16" x14ac:dyDescent="0.4">
      <c r="A784">
        <v>0.5714285714285714</v>
      </c>
      <c r="B784">
        <v>0.21052631578947367</v>
      </c>
      <c r="C784" s="24">
        <v>8.3333333333333329E-2</v>
      </c>
      <c r="D784">
        <v>0.16666666666666666</v>
      </c>
      <c r="E784">
        <v>0</v>
      </c>
      <c r="F784">
        <v>2.1276595744680851E-2</v>
      </c>
      <c r="G784">
        <v>0</v>
      </c>
      <c r="H784">
        <v>0</v>
      </c>
      <c r="I784">
        <f t="shared" si="97"/>
        <v>0.5714285714285714</v>
      </c>
      <c r="J784">
        <f t="shared" si="98"/>
        <v>0.21052631578947367</v>
      </c>
      <c r="K784">
        <f t="shared" si="99"/>
        <v>8.3333333333333329E-2</v>
      </c>
      <c r="L784">
        <f t="shared" si="100"/>
        <v>0.16666666666666666</v>
      </c>
      <c r="M784">
        <f t="shared" si="101"/>
        <v>0</v>
      </c>
      <c r="N784">
        <f t="shared" si="102"/>
        <v>2.1276595744680851E-2</v>
      </c>
      <c r="O784">
        <f t="shared" si="103"/>
        <v>0</v>
      </c>
      <c r="P784">
        <f t="shared" si="104"/>
        <v>0</v>
      </c>
    </row>
    <row r="785" spans="1:16" x14ac:dyDescent="0.4">
      <c r="A785">
        <v>0.36363636363636365</v>
      </c>
      <c r="B785">
        <v>0</v>
      </c>
      <c r="C785" s="23">
        <v>0.16666666666666666</v>
      </c>
      <c r="D785">
        <v>0.25</v>
      </c>
      <c r="E785">
        <v>0</v>
      </c>
      <c r="F785">
        <v>4.3478260869565216E-2</v>
      </c>
      <c r="G785">
        <v>0.22222222222222221</v>
      </c>
      <c r="H785">
        <v>6.8965517241379309E-2</v>
      </c>
      <c r="I785">
        <f t="shared" si="97"/>
        <v>0.36363636363636365</v>
      </c>
      <c r="J785">
        <f t="shared" si="98"/>
        <v>0</v>
      </c>
      <c r="K785">
        <f t="shared" si="99"/>
        <v>0.16666666666666666</v>
      </c>
      <c r="L785">
        <f t="shared" si="100"/>
        <v>0.25</v>
      </c>
      <c r="M785">
        <f t="shared" si="101"/>
        <v>0</v>
      </c>
      <c r="N785">
        <f t="shared" si="102"/>
        <v>4.3478260869565216E-2</v>
      </c>
      <c r="O785">
        <f t="shared" si="103"/>
        <v>0.22222222222222221</v>
      </c>
      <c r="P785">
        <f t="shared" si="104"/>
        <v>6.8965517241379309E-2</v>
      </c>
    </row>
    <row r="786" spans="1:16" x14ac:dyDescent="0.4">
      <c r="A786">
        <v>0.26666666666666666</v>
      </c>
      <c r="B786">
        <v>0</v>
      </c>
      <c r="C786" s="24">
        <v>4.3478260869565216E-2</v>
      </c>
      <c r="D786">
        <v>0.25</v>
      </c>
      <c r="E786">
        <v>0</v>
      </c>
      <c r="F786">
        <v>0.19047619047619047</v>
      </c>
      <c r="G786">
        <v>0.12121212121212122</v>
      </c>
      <c r="H786">
        <v>0.5714285714285714</v>
      </c>
      <c r="I786">
        <f t="shared" si="97"/>
        <v>0.26666666666666666</v>
      </c>
      <c r="J786">
        <f t="shared" si="98"/>
        <v>0</v>
      </c>
      <c r="K786">
        <f t="shared" si="99"/>
        <v>4.3478260869565216E-2</v>
      </c>
      <c r="L786">
        <f t="shared" si="100"/>
        <v>0.25</v>
      </c>
      <c r="M786">
        <f t="shared" si="101"/>
        <v>0</v>
      </c>
      <c r="N786">
        <f t="shared" si="102"/>
        <v>0.19047619047619047</v>
      </c>
      <c r="O786">
        <f t="shared" si="103"/>
        <v>0.12121212121212122</v>
      </c>
      <c r="P786">
        <f t="shared" si="104"/>
        <v>0.5714285714285714</v>
      </c>
    </row>
    <row r="787" spans="1:16" x14ac:dyDescent="0.4">
      <c r="A787">
        <v>4.1666666666666664E-2</v>
      </c>
      <c r="B787">
        <v>0.25</v>
      </c>
      <c r="C787" s="23">
        <v>0.18181818181818182</v>
      </c>
      <c r="D787">
        <v>0.17391304347826086</v>
      </c>
      <c r="E787">
        <v>0.2</v>
      </c>
      <c r="F787">
        <v>0</v>
      </c>
      <c r="G787">
        <v>7.6923076923076927E-2</v>
      </c>
      <c r="H787">
        <v>0.05</v>
      </c>
      <c r="I787">
        <f t="shared" si="97"/>
        <v>4.1666666666666664E-2</v>
      </c>
      <c r="J787">
        <f t="shared" si="98"/>
        <v>0.25</v>
      </c>
      <c r="K787">
        <f t="shared" si="99"/>
        <v>0.18181818181818182</v>
      </c>
      <c r="L787">
        <f t="shared" si="100"/>
        <v>0.17391304347826086</v>
      </c>
      <c r="M787">
        <f t="shared" si="101"/>
        <v>0.2</v>
      </c>
      <c r="N787">
        <f t="shared" si="102"/>
        <v>0</v>
      </c>
      <c r="O787">
        <f t="shared" si="103"/>
        <v>7.6923076923076927E-2</v>
      </c>
      <c r="P787">
        <f t="shared" si="104"/>
        <v>0.05</v>
      </c>
    </row>
    <row r="788" spans="1:16" x14ac:dyDescent="0.4">
      <c r="A788">
        <v>0.30769230769230771</v>
      </c>
      <c r="B788">
        <v>0.12903225806451613</v>
      </c>
      <c r="C788" s="24">
        <v>0.30769230769230771</v>
      </c>
      <c r="D788">
        <v>0.5</v>
      </c>
      <c r="E788">
        <v>0.2</v>
      </c>
      <c r="F788">
        <v>0.27272727272727271</v>
      </c>
      <c r="G788">
        <v>0</v>
      </c>
      <c r="H788">
        <v>0.6</v>
      </c>
      <c r="I788">
        <f t="shared" si="97"/>
        <v>0.30769230769230771</v>
      </c>
      <c r="J788">
        <f t="shared" si="98"/>
        <v>0.12903225806451613</v>
      </c>
      <c r="K788">
        <f t="shared" si="99"/>
        <v>0.30769230769230771</v>
      </c>
      <c r="L788">
        <f t="shared" si="100"/>
        <v>0.5</v>
      </c>
      <c r="M788">
        <f t="shared" si="101"/>
        <v>0.2</v>
      </c>
      <c r="N788">
        <f t="shared" si="102"/>
        <v>0.27272727272727271</v>
      </c>
      <c r="O788">
        <f t="shared" si="103"/>
        <v>0</v>
      </c>
      <c r="P788">
        <f t="shared" si="104"/>
        <v>0.6</v>
      </c>
    </row>
    <row r="789" spans="1:16" x14ac:dyDescent="0.4">
      <c r="A789">
        <v>0.15384615384615385</v>
      </c>
      <c r="B789">
        <v>0.19047619047619047</v>
      </c>
      <c r="C789" s="23">
        <v>8.3333333333333329E-2</v>
      </c>
      <c r="D789">
        <v>0.4</v>
      </c>
      <c r="E789">
        <v>0.13636363636363635</v>
      </c>
      <c r="F789">
        <v>0.18181818181818182</v>
      </c>
      <c r="G789">
        <v>0</v>
      </c>
      <c r="H789">
        <v>6.6666666666666666E-2</v>
      </c>
      <c r="I789">
        <f t="shared" si="97"/>
        <v>0.15384615384615385</v>
      </c>
      <c r="J789">
        <f t="shared" si="98"/>
        <v>0.19047619047619047</v>
      </c>
      <c r="K789">
        <f t="shared" si="99"/>
        <v>8.3333333333333329E-2</v>
      </c>
      <c r="L789">
        <f t="shared" si="100"/>
        <v>0.4</v>
      </c>
      <c r="M789">
        <f t="shared" si="101"/>
        <v>0.13636363636363635</v>
      </c>
      <c r="N789">
        <f t="shared" si="102"/>
        <v>0.18181818181818182</v>
      </c>
      <c r="O789">
        <f t="shared" si="103"/>
        <v>0</v>
      </c>
      <c r="P789">
        <f t="shared" si="104"/>
        <v>6.6666666666666666E-2</v>
      </c>
    </row>
    <row r="790" spans="1:16" x14ac:dyDescent="0.4">
      <c r="A790">
        <v>0.4</v>
      </c>
      <c r="B790">
        <v>0.36363636363636365</v>
      </c>
      <c r="C790" s="24">
        <v>0.26666666666666666</v>
      </c>
      <c r="D790">
        <v>8.3333333333333329E-2</v>
      </c>
      <c r="E790">
        <v>0.1111111111111111</v>
      </c>
      <c r="F790">
        <v>7.6923076923076927E-2</v>
      </c>
      <c r="G790">
        <v>0.1</v>
      </c>
      <c r="H790">
        <v>0.11428571428571428</v>
      </c>
      <c r="I790">
        <f t="shared" si="97"/>
        <v>0.4</v>
      </c>
      <c r="J790">
        <f t="shared" si="98"/>
        <v>0.36363636363636365</v>
      </c>
      <c r="K790">
        <f t="shared" si="99"/>
        <v>0.26666666666666666</v>
      </c>
      <c r="L790">
        <f t="shared" si="100"/>
        <v>8.3333333333333329E-2</v>
      </c>
      <c r="M790">
        <f t="shared" si="101"/>
        <v>0.1111111111111111</v>
      </c>
      <c r="N790">
        <f t="shared" si="102"/>
        <v>7.6923076923076927E-2</v>
      </c>
      <c r="O790">
        <f t="shared" si="103"/>
        <v>0.1</v>
      </c>
      <c r="P790">
        <f t="shared" si="104"/>
        <v>0.11428571428571428</v>
      </c>
    </row>
    <row r="791" spans="1:16" x14ac:dyDescent="0.4">
      <c r="A791">
        <v>0.33333333333333331</v>
      </c>
      <c r="B791">
        <v>0</v>
      </c>
      <c r="C791" s="23">
        <v>0.16666666666666666</v>
      </c>
      <c r="D791">
        <v>0.21052631578947367</v>
      </c>
      <c r="E791">
        <v>0</v>
      </c>
      <c r="F791">
        <v>0</v>
      </c>
      <c r="G791">
        <v>0.44444444444444442</v>
      </c>
      <c r="H791">
        <v>6.25E-2</v>
      </c>
      <c r="I791">
        <f t="shared" si="97"/>
        <v>0.33333333333333331</v>
      </c>
      <c r="J791">
        <f t="shared" si="98"/>
        <v>0</v>
      </c>
      <c r="K791">
        <f t="shared" si="99"/>
        <v>0.16666666666666666</v>
      </c>
      <c r="L791">
        <f t="shared" si="100"/>
        <v>0.21052631578947367</v>
      </c>
      <c r="M791">
        <f t="shared" si="101"/>
        <v>0</v>
      </c>
      <c r="N791">
        <f t="shared" si="102"/>
        <v>0</v>
      </c>
      <c r="O791">
        <f t="shared" si="103"/>
        <v>0.44444444444444442</v>
      </c>
      <c r="P791">
        <f t="shared" si="104"/>
        <v>6.25E-2</v>
      </c>
    </row>
    <row r="792" spans="1:16" x14ac:dyDescent="0.4">
      <c r="A792">
        <v>0.14814814814814814</v>
      </c>
      <c r="B792">
        <v>0.19047619047619047</v>
      </c>
      <c r="C792" s="24">
        <v>0.3</v>
      </c>
      <c r="D792">
        <v>0.33333333333333331</v>
      </c>
      <c r="E792">
        <v>0.08</v>
      </c>
      <c r="F792">
        <v>0.5</v>
      </c>
      <c r="G792">
        <v>0.1875</v>
      </c>
      <c r="H792">
        <v>0.22222222222222221</v>
      </c>
      <c r="I792">
        <f t="shared" si="97"/>
        <v>0.14814814814814814</v>
      </c>
      <c r="J792">
        <f t="shared" si="98"/>
        <v>0.19047619047619047</v>
      </c>
      <c r="K792">
        <f t="shared" si="99"/>
        <v>0.3</v>
      </c>
      <c r="L792">
        <f t="shared" si="100"/>
        <v>0.33333333333333331</v>
      </c>
      <c r="M792">
        <f t="shared" si="101"/>
        <v>0.08</v>
      </c>
      <c r="N792">
        <f t="shared" si="102"/>
        <v>0.5</v>
      </c>
      <c r="O792">
        <f t="shared" si="103"/>
        <v>0.1875</v>
      </c>
      <c r="P792">
        <f t="shared" si="104"/>
        <v>0.22222222222222221</v>
      </c>
    </row>
    <row r="793" spans="1:16" x14ac:dyDescent="0.4">
      <c r="A793">
        <v>0.4</v>
      </c>
      <c r="B793">
        <v>0.4</v>
      </c>
      <c r="C793" s="23">
        <v>0.2857142857142857</v>
      </c>
      <c r="D793">
        <v>0.10526315789473684</v>
      </c>
      <c r="E793">
        <v>0</v>
      </c>
      <c r="F793">
        <v>0.27272727272727271</v>
      </c>
      <c r="G793">
        <v>0.1111111111111111</v>
      </c>
      <c r="H793">
        <v>7.4999999999999997E-2</v>
      </c>
      <c r="I793">
        <f t="shared" si="97"/>
        <v>0.4</v>
      </c>
      <c r="J793">
        <f t="shared" si="98"/>
        <v>0.4</v>
      </c>
      <c r="K793">
        <f t="shared" si="99"/>
        <v>0.2857142857142857</v>
      </c>
      <c r="L793">
        <f t="shared" si="100"/>
        <v>0.10526315789473684</v>
      </c>
      <c r="M793">
        <f t="shared" si="101"/>
        <v>0</v>
      </c>
      <c r="N793">
        <f t="shared" si="102"/>
        <v>0.27272727272727271</v>
      </c>
      <c r="O793">
        <f t="shared" si="103"/>
        <v>0.1111111111111111</v>
      </c>
      <c r="P793">
        <f t="shared" si="104"/>
        <v>7.4999999999999997E-2</v>
      </c>
    </row>
    <row r="794" spans="1:16" x14ac:dyDescent="0.4">
      <c r="A794">
        <v>0.15384615384615385</v>
      </c>
      <c r="B794">
        <v>0.11428571428571428</v>
      </c>
      <c r="C794" s="24">
        <v>0.4</v>
      </c>
      <c r="D794">
        <v>0.15384615384615385</v>
      </c>
      <c r="E794">
        <v>0.44444444444444442</v>
      </c>
      <c r="F794">
        <v>0.42857142857142855</v>
      </c>
      <c r="G794">
        <v>5.5555555555555552E-2</v>
      </c>
      <c r="H794">
        <v>0.04</v>
      </c>
      <c r="I794">
        <f t="shared" si="97"/>
        <v>0.15384615384615385</v>
      </c>
      <c r="J794">
        <f t="shared" si="98"/>
        <v>0.11428571428571428</v>
      </c>
      <c r="K794">
        <f t="shared" si="99"/>
        <v>0.4</v>
      </c>
      <c r="L794">
        <f t="shared" si="100"/>
        <v>0.15384615384615385</v>
      </c>
      <c r="M794">
        <f t="shared" si="101"/>
        <v>0.44444444444444442</v>
      </c>
      <c r="N794">
        <f t="shared" si="102"/>
        <v>0.42857142857142855</v>
      </c>
      <c r="O794">
        <f t="shared" si="103"/>
        <v>5.5555555555555552E-2</v>
      </c>
      <c r="P794">
        <f t="shared" si="104"/>
        <v>0.04</v>
      </c>
    </row>
    <row r="795" spans="1:16" x14ac:dyDescent="0.4">
      <c r="A795">
        <v>0.44444444444444442</v>
      </c>
      <c r="B795">
        <v>0.44444444444444442</v>
      </c>
      <c r="C795" s="23">
        <v>5.8823529411764705E-2</v>
      </c>
      <c r="D795">
        <v>0.33333333333333331</v>
      </c>
      <c r="E795">
        <v>0</v>
      </c>
      <c r="F795">
        <v>2.9850746268656716E-2</v>
      </c>
      <c r="G795">
        <v>0.125</v>
      </c>
      <c r="H795">
        <v>0.1</v>
      </c>
      <c r="I795">
        <f t="shared" si="97"/>
        <v>0.44444444444444442</v>
      </c>
      <c r="J795">
        <f t="shared" si="98"/>
        <v>0.44444444444444442</v>
      </c>
      <c r="K795">
        <f t="shared" si="99"/>
        <v>5.8823529411764705E-2</v>
      </c>
      <c r="L795">
        <f t="shared" si="100"/>
        <v>0.33333333333333331</v>
      </c>
      <c r="M795">
        <f t="shared" si="101"/>
        <v>0</v>
      </c>
      <c r="N795">
        <f t="shared" si="102"/>
        <v>2.9850746268656716E-2</v>
      </c>
      <c r="O795">
        <f t="shared" si="103"/>
        <v>0.125</v>
      </c>
      <c r="P795">
        <f t="shared" si="104"/>
        <v>0.1</v>
      </c>
    </row>
    <row r="796" spans="1:16" x14ac:dyDescent="0.4">
      <c r="A796">
        <v>0</v>
      </c>
      <c r="B796">
        <v>0.16666666666666666</v>
      </c>
      <c r="C796" s="24">
        <v>0.13793103448275862</v>
      </c>
      <c r="D796">
        <v>0.44444444444444442</v>
      </c>
      <c r="E796">
        <v>0.2857142857142857</v>
      </c>
      <c r="F796">
        <v>0.12</v>
      </c>
      <c r="G796">
        <v>9.0909090909090912E-2</v>
      </c>
      <c r="H796">
        <v>0.14285714285714285</v>
      </c>
      <c r="I796">
        <f t="shared" si="97"/>
        <v>0</v>
      </c>
      <c r="J796">
        <f t="shared" si="98"/>
        <v>0.16666666666666666</v>
      </c>
      <c r="K796">
        <f t="shared" si="99"/>
        <v>0.13793103448275862</v>
      </c>
      <c r="L796">
        <f t="shared" si="100"/>
        <v>0.44444444444444442</v>
      </c>
      <c r="M796">
        <f t="shared" si="101"/>
        <v>0.2857142857142857</v>
      </c>
      <c r="N796">
        <f t="shared" si="102"/>
        <v>0.12</v>
      </c>
      <c r="O796">
        <f t="shared" si="103"/>
        <v>9.0909090909090912E-2</v>
      </c>
      <c r="P796">
        <f t="shared" si="104"/>
        <v>0.14285714285714285</v>
      </c>
    </row>
    <row r="797" spans="1:16" x14ac:dyDescent="0.4">
      <c r="A797">
        <v>0.33333333333333331</v>
      </c>
      <c r="B797">
        <v>0.4</v>
      </c>
      <c r="C797" s="23">
        <v>9.7560975609756101E-2</v>
      </c>
      <c r="D797">
        <v>0.36363636363636365</v>
      </c>
      <c r="E797">
        <v>0</v>
      </c>
      <c r="F797">
        <v>0.05</v>
      </c>
      <c r="G797">
        <v>0</v>
      </c>
      <c r="H797">
        <v>0</v>
      </c>
      <c r="I797">
        <f t="shared" si="97"/>
        <v>0.33333333333333331</v>
      </c>
      <c r="J797">
        <f t="shared" si="98"/>
        <v>0.4</v>
      </c>
      <c r="K797">
        <f t="shared" si="99"/>
        <v>9.7560975609756101E-2</v>
      </c>
      <c r="L797">
        <f t="shared" si="100"/>
        <v>0.36363636363636365</v>
      </c>
      <c r="M797">
        <f t="shared" si="101"/>
        <v>0</v>
      </c>
      <c r="N797">
        <f t="shared" si="102"/>
        <v>0.05</v>
      </c>
      <c r="O797">
        <f t="shared" si="103"/>
        <v>0</v>
      </c>
      <c r="P797">
        <f t="shared" si="104"/>
        <v>0</v>
      </c>
    </row>
    <row r="798" spans="1:16" x14ac:dyDescent="0.4">
      <c r="A798">
        <v>0</v>
      </c>
      <c r="B798">
        <v>0</v>
      </c>
      <c r="C798" s="24">
        <v>0.36363636363636365</v>
      </c>
      <c r="D798">
        <v>0.8</v>
      </c>
      <c r="E798">
        <v>0.15384615384615385</v>
      </c>
      <c r="F798">
        <v>0.22222222222222221</v>
      </c>
      <c r="G798">
        <v>0.16</v>
      </c>
      <c r="H798">
        <v>0</v>
      </c>
      <c r="I798">
        <f t="shared" si="97"/>
        <v>0</v>
      </c>
      <c r="J798">
        <f t="shared" si="98"/>
        <v>0</v>
      </c>
      <c r="K798">
        <f t="shared" si="99"/>
        <v>0.36363636363636365</v>
      </c>
      <c r="L798">
        <f t="shared" si="100"/>
        <v>0.8</v>
      </c>
      <c r="M798">
        <f t="shared" si="101"/>
        <v>0.15384615384615385</v>
      </c>
      <c r="N798">
        <f t="shared" si="102"/>
        <v>0.22222222222222221</v>
      </c>
      <c r="O798">
        <f t="shared" si="103"/>
        <v>0.16</v>
      </c>
      <c r="P798">
        <f t="shared" si="104"/>
        <v>0</v>
      </c>
    </row>
    <row r="799" spans="1:16" x14ac:dyDescent="0.4">
      <c r="A799">
        <v>0.2</v>
      </c>
      <c r="B799">
        <v>0.5714285714285714</v>
      </c>
      <c r="C799" s="23">
        <v>0.18181818181818182</v>
      </c>
      <c r="D799">
        <v>0.66666666666666663</v>
      </c>
      <c r="E799">
        <v>5.5555555555555552E-2</v>
      </c>
      <c r="F799">
        <v>0.44444444444444442</v>
      </c>
      <c r="G799">
        <v>0.2</v>
      </c>
      <c r="H799">
        <v>1</v>
      </c>
      <c r="I799">
        <f t="shared" si="97"/>
        <v>0.2</v>
      </c>
      <c r="J799">
        <f t="shared" si="98"/>
        <v>0.5714285714285714</v>
      </c>
      <c r="K799">
        <f t="shared" si="99"/>
        <v>0.18181818181818182</v>
      </c>
      <c r="L799">
        <f t="shared" si="100"/>
        <v>0.66666666666666663</v>
      </c>
      <c r="M799">
        <f t="shared" si="101"/>
        <v>5.5555555555555552E-2</v>
      </c>
      <c r="N799">
        <f t="shared" si="102"/>
        <v>0.44444444444444442</v>
      </c>
      <c r="O799">
        <f t="shared" si="103"/>
        <v>0.2</v>
      </c>
      <c r="P799">
        <f t="shared" si="104"/>
        <v>1</v>
      </c>
    </row>
    <row r="800" spans="1:16" x14ac:dyDescent="0.4">
      <c r="A800">
        <v>0.30769230769230771</v>
      </c>
      <c r="B800">
        <v>0.125</v>
      </c>
      <c r="C800" s="24">
        <v>0.30769230769230771</v>
      </c>
      <c r="D800">
        <v>0.13333333333333333</v>
      </c>
      <c r="E800">
        <v>0</v>
      </c>
      <c r="F800">
        <v>0</v>
      </c>
      <c r="G800">
        <v>0.10714285714285714</v>
      </c>
      <c r="H800">
        <v>0</v>
      </c>
      <c r="I800">
        <f t="shared" si="97"/>
        <v>0.30769230769230771</v>
      </c>
      <c r="J800">
        <f t="shared" si="98"/>
        <v>0.125</v>
      </c>
      <c r="K800">
        <f t="shared" si="99"/>
        <v>0.30769230769230771</v>
      </c>
      <c r="L800">
        <f t="shared" si="100"/>
        <v>0.13333333333333333</v>
      </c>
      <c r="M800">
        <f t="shared" si="101"/>
        <v>0</v>
      </c>
      <c r="N800">
        <f t="shared" si="102"/>
        <v>0</v>
      </c>
      <c r="O800">
        <f t="shared" si="103"/>
        <v>0.10714285714285714</v>
      </c>
      <c r="P800">
        <f t="shared" si="104"/>
        <v>0</v>
      </c>
    </row>
    <row r="801" spans="1:16" x14ac:dyDescent="0.4">
      <c r="A801">
        <v>0.4</v>
      </c>
      <c r="B801">
        <v>0.2857142857142857</v>
      </c>
      <c r="C801" s="23">
        <v>0.19047619047619047</v>
      </c>
      <c r="D801">
        <v>0.25</v>
      </c>
      <c r="E801">
        <v>0</v>
      </c>
      <c r="F801">
        <v>0.1111111111111111</v>
      </c>
      <c r="G801">
        <v>0</v>
      </c>
      <c r="H801">
        <v>0.5</v>
      </c>
      <c r="I801">
        <f t="shared" si="97"/>
        <v>0.4</v>
      </c>
      <c r="J801">
        <f t="shared" si="98"/>
        <v>0.2857142857142857</v>
      </c>
      <c r="K801">
        <f t="shared" si="99"/>
        <v>0.19047619047619047</v>
      </c>
      <c r="L801">
        <f t="shared" si="100"/>
        <v>0.25</v>
      </c>
      <c r="M801">
        <f t="shared" si="101"/>
        <v>0</v>
      </c>
      <c r="N801">
        <f t="shared" si="102"/>
        <v>0.1111111111111111</v>
      </c>
      <c r="O801">
        <f t="shared" si="103"/>
        <v>0</v>
      </c>
      <c r="P801">
        <f t="shared" si="104"/>
        <v>0.5</v>
      </c>
    </row>
    <row r="802" spans="1:16" x14ac:dyDescent="0.4">
      <c r="A802">
        <v>0.2</v>
      </c>
      <c r="B802">
        <v>0.33333333333333331</v>
      </c>
      <c r="C802" s="24">
        <v>0.4</v>
      </c>
      <c r="D802">
        <v>0.10256410256410256</v>
      </c>
      <c r="E802">
        <v>5.2631578947368418E-2</v>
      </c>
      <c r="F802">
        <v>0.375</v>
      </c>
      <c r="G802">
        <v>0.1</v>
      </c>
      <c r="H802">
        <v>5.4054054054054057E-2</v>
      </c>
      <c r="I802">
        <f t="shared" si="97"/>
        <v>0.2</v>
      </c>
      <c r="J802">
        <f t="shared" si="98"/>
        <v>0.33333333333333331</v>
      </c>
      <c r="K802">
        <f t="shared" si="99"/>
        <v>0.4</v>
      </c>
      <c r="L802">
        <f t="shared" si="100"/>
        <v>0.10256410256410256</v>
      </c>
      <c r="M802">
        <f t="shared" si="101"/>
        <v>5.2631578947368418E-2</v>
      </c>
      <c r="N802">
        <f t="shared" si="102"/>
        <v>0.375</v>
      </c>
      <c r="O802">
        <f t="shared" si="103"/>
        <v>0.1</v>
      </c>
      <c r="P802">
        <f t="shared" si="104"/>
        <v>5.4054054054054057E-2</v>
      </c>
    </row>
    <row r="803" spans="1:16" x14ac:dyDescent="0.4">
      <c r="A803">
        <v>0</v>
      </c>
      <c r="B803">
        <v>0.13793103448275862</v>
      </c>
      <c r="C803" s="23">
        <v>0.4</v>
      </c>
      <c r="D803">
        <v>0.21428571428571427</v>
      </c>
      <c r="E803">
        <v>0.2857142857142857</v>
      </c>
      <c r="F803">
        <v>0.25</v>
      </c>
      <c r="G803">
        <v>7.6923076923076927E-2</v>
      </c>
      <c r="H803">
        <v>0.25</v>
      </c>
      <c r="I803">
        <f t="shared" si="97"/>
        <v>0</v>
      </c>
      <c r="J803">
        <f t="shared" si="98"/>
        <v>0.13793103448275862</v>
      </c>
      <c r="K803">
        <f t="shared" si="99"/>
        <v>0.4</v>
      </c>
      <c r="L803">
        <f t="shared" si="100"/>
        <v>0.21428571428571427</v>
      </c>
      <c r="M803">
        <f t="shared" si="101"/>
        <v>0.2857142857142857</v>
      </c>
      <c r="N803">
        <f t="shared" si="102"/>
        <v>0.25</v>
      </c>
      <c r="O803">
        <f t="shared" si="103"/>
        <v>7.6923076923076927E-2</v>
      </c>
      <c r="P803">
        <f t="shared" si="104"/>
        <v>0.25</v>
      </c>
    </row>
    <row r="804" spans="1:16" x14ac:dyDescent="0.4">
      <c r="A804">
        <v>9.0909090909090912E-2</v>
      </c>
      <c r="B804">
        <v>0.25</v>
      </c>
      <c r="C804" s="24">
        <v>0</v>
      </c>
      <c r="D804">
        <v>0.25</v>
      </c>
      <c r="E804">
        <v>7.6923076923076927E-2</v>
      </c>
      <c r="F804">
        <v>7.2727272727272724E-2</v>
      </c>
      <c r="G804">
        <v>6.6666666666666666E-2</v>
      </c>
      <c r="H804">
        <v>7.1428571428571425E-2</v>
      </c>
      <c r="I804">
        <f t="shared" si="97"/>
        <v>9.0909090909090912E-2</v>
      </c>
      <c r="J804">
        <f t="shared" si="98"/>
        <v>0.25</v>
      </c>
      <c r="K804">
        <f t="shared" si="99"/>
        <v>0</v>
      </c>
      <c r="L804">
        <f t="shared" si="100"/>
        <v>0.25</v>
      </c>
      <c r="M804">
        <f t="shared" si="101"/>
        <v>7.6923076923076927E-2</v>
      </c>
      <c r="N804">
        <f t="shared" si="102"/>
        <v>7.2727272727272724E-2</v>
      </c>
      <c r="O804">
        <f t="shared" si="103"/>
        <v>6.6666666666666666E-2</v>
      </c>
      <c r="P804">
        <f t="shared" si="104"/>
        <v>7.1428571428571425E-2</v>
      </c>
    </row>
    <row r="805" spans="1:16" x14ac:dyDescent="0.4">
      <c r="A805">
        <v>0.4</v>
      </c>
      <c r="B805">
        <v>0.36363636363636365</v>
      </c>
      <c r="C805" s="23">
        <v>4.7619047619047616E-2</v>
      </c>
      <c r="D805">
        <v>0.23529411764705882</v>
      </c>
      <c r="E805">
        <v>0</v>
      </c>
      <c r="F805">
        <v>1.2195121951219513E-2</v>
      </c>
      <c r="G805">
        <v>0.1111111111111111</v>
      </c>
      <c r="H805">
        <v>0.23076923076923078</v>
      </c>
      <c r="I805">
        <f t="shared" si="97"/>
        <v>0.4</v>
      </c>
      <c r="J805">
        <f t="shared" si="98"/>
        <v>0.36363636363636365</v>
      </c>
      <c r="K805">
        <f t="shared" si="99"/>
        <v>4.7619047619047616E-2</v>
      </c>
      <c r="L805">
        <f t="shared" si="100"/>
        <v>0.23529411764705882</v>
      </c>
      <c r="M805">
        <f t="shared" si="101"/>
        <v>0</v>
      </c>
      <c r="N805">
        <f t="shared" si="102"/>
        <v>1.2195121951219513E-2</v>
      </c>
      <c r="O805">
        <f t="shared" si="103"/>
        <v>0.1111111111111111</v>
      </c>
      <c r="P805">
        <f t="shared" si="104"/>
        <v>0.23076923076923078</v>
      </c>
    </row>
    <row r="806" spans="1:16" x14ac:dyDescent="0.4">
      <c r="A806">
        <v>0.36363636363636365</v>
      </c>
      <c r="B806">
        <v>0.14285714285714285</v>
      </c>
      <c r="C806" s="24">
        <v>0.36363636363636365</v>
      </c>
      <c r="D806">
        <v>0.04</v>
      </c>
      <c r="E806">
        <v>0</v>
      </c>
      <c r="F806">
        <v>0</v>
      </c>
      <c r="G806">
        <v>7.6923076923076927E-2</v>
      </c>
      <c r="H806">
        <v>0.14285714285714285</v>
      </c>
      <c r="I806">
        <f t="shared" si="97"/>
        <v>0.36363636363636365</v>
      </c>
      <c r="J806">
        <f t="shared" si="98"/>
        <v>0.14285714285714285</v>
      </c>
      <c r="K806">
        <f t="shared" si="99"/>
        <v>0.36363636363636365</v>
      </c>
      <c r="L806">
        <f t="shared" si="100"/>
        <v>0.04</v>
      </c>
      <c r="M806">
        <f t="shared" si="101"/>
        <v>0</v>
      </c>
      <c r="N806">
        <f t="shared" si="102"/>
        <v>0</v>
      </c>
      <c r="O806">
        <f t="shared" si="103"/>
        <v>7.6923076923076927E-2</v>
      </c>
      <c r="P806">
        <f t="shared" si="104"/>
        <v>0.14285714285714285</v>
      </c>
    </row>
    <row r="807" spans="1:16" x14ac:dyDescent="0.4">
      <c r="A807">
        <v>0.2857142857142857</v>
      </c>
      <c r="B807">
        <v>0</v>
      </c>
      <c r="C807" s="23">
        <v>0.23529411764705882</v>
      </c>
      <c r="D807">
        <v>0</v>
      </c>
      <c r="E807">
        <v>0</v>
      </c>
      <c r="F807">
        <v>0.14285714285714285</v>
      </c>
      <c r="G807">
        <v>0.44444444444444442</v>
      </c>
      <c r="H807">
        <v>0.36363636363636365</v>
      </c>
      <c r="I807">
        <f t="shared" si="97"/>
        <v>0.2857142857142857</v>
      </c>
      <c r="J807">
        <f t="shared" si="98"/>
        <v>0</v>
      </c>
      <c r="K807">
        <f t="shared" si="99"/>
        <v>0.23529411764705882</v>
      </c>
      <c r="L807">
        <f t="shared" si="100"/>
        <v>0</v>
      </c>
      <c r="M807">
        <f t="shared" si="101"/>
        <v>0</v>
      </c>
      <c r="N807">
        <f t="shared" si="102"/>
        <v>0.14285714285714285</v>
      </c>
      <c r="O807">
        <f t="shared" si="103"/>
        <v>0.44444444444444442</v>
      </c>
      <c r="P807">
        <f t="shared" si="104"/>
        <v>0.36363636363636365</v>
      </c>
    </row>
    <row r="808" spans="1:16" x14ac:dyDescent="0.4">
      <c r="A808">
        <v>0.19047619047619047</v>
      </c>
      <c r="B808">
        <v>0.25</v>
      </c>
      <c r="C808" s="24">
        <v>0.33333333333333331</v>
      </c>
      <c r="D808">
        <v>4.3956043956043959E-2</v>
      </c>
      <c r="E808">
        <v>4.5454545454545456E-2</v>
      </c>
      <c r="F808">
        <v>9.0909090909090912E-2</v>
      </c>
      <c r="G808">
        <v>7.6923076923076927E-2</v>
      </c>
      <c r="H808">
        <v>0</v>
      </c>
      <c r="I808">
        <f t="shared" si="97"/>
        <v>0.19047619047619047</v>
      </c>
      <c r="J808">
        <f t="shared" si="98"/>
        <v>0.25</v>
      </c>
      <c r="K808">
        <f t="shared" si="99"/>
        <v>0.33333333333333331</v>
      </c>
      <c r="L808">
        <f t="shared" si="100"/>
        <v>4.3956043956043959E-2</v>
      </c>
      <c r="M808">
        <f t="shared" si="101"/>
        <v>4.5454545454545456E-2</v>
      </c>
      <c r="N808">
        <f t="shared" si="102"/>
        <v>9.0909090909090912E-2</v>
      </c>
      <c r="O808">
        <f t="shared" si="103"/>
        <v>7.6923076923076927E-2</v>
      </c>
      <c r="P808">
        <f t="shared" si="104"/>
        <v>0</v>
      </c>
    </row>
    <row r="809" spans="1:16" x14ac:dyDescent="0.4">
      <c r="A809">
        <v>0.36363636363636365</v>
      </c>
      <c r="B809">
        <v>0.17391304347826086</v>
      </c>
      <c r="C809" s="23">
        <v>0.36363636363636365</v>
      </c>
      <c r="D809">
        <v>0.13333333333333333</v>
      </c>
      <c r="E809">
        <v>0.1111111111111111</v>
      </c>
      <c r="F809">
        <v>0.2</v>
      </c>
      <c r="G809">
        <v>9.5238095238095233E-2</v>
      </c>
      <c r="H809">
        <v>0.33333333333333331</v>
      </c>
      <c r="I809">
        <f t="shared" si="97"/>
        <v>0.36363636363636365</v>
      </c>
      <c r="J809">
        <f t="shared" si="98"/>
        <v>0.17391304347826086</v>
      </c>
      <c r="K809">
        <f t="shared" si="99"/>
        <v>0.36363636363636365</v>
      </c>
      <c r="L809">
        <f t="shared" si="100"/>
        <v>0.13333333333333333</v>
      </c>
      <c r="M809">
        <f t="shared" si="101"/>
        <v>0.1111111111111111</v>
      </c>
      <c r="N809">
        <f t="shared" si="102"/>
        <v>0.2</v>
      </c>
      <c r="O809">
        <f t="shared" si="103"/>
        <v>9.5238095238095233E-2</v>
      </c>
      <c r="P809">
        <f t="shared" si="104"/>
        <v>0.33333333333333331</v>
      </c>
    </row>
    <row r="810" spans="1:16" x14ac:dyDescent="0.4">
      <c r="A810">
        <v>0.125</v>
      </c>
      <c r="B810">
        <v>0.4</v>
      </c>
      <c r="C810" s="24">
        <v>0.2857142857142857</v>
      </c>
      <c r="D810">
        <v>0.26666666666666666</v>
      </c>
      <c r="E810">
        <v>0</v>
      </c>
      <c r="F810">
        <v>0</v>
      </c>
      <c r="G810">
        <v>0</v>
      </c>
      <c r="H810">
        <v>0.27272727272727271</v>
      </c>
      <c r="I810">
        <f t="shared" si="97"/>
        <v>0.125</v>
      </c>
      <c r="J810">
        <f t="shared" si="98"/>
        <v>0.4</v>
      </c>
      <c r="K810">
        <f t="shared" si="99"/>
        <v>0.2857142857142857</v>
      </c>
      <c r="L810">
        <f t="shared" si="100"/>
        <v>0.26666666666666666</v>
      </c>
      <c r="M810">
        <f t="shared" si="101"/>
        <v>0</v>
      </c>
      <c r="N810">
        <f t="shared" si="102"/>
        <v>0</v>
      </c>
      <c r="O810">
        <f t="shared" si="103"/>
        <v>0</v>
      </c>
      <c r="P810">
        <f t="shared" si="104"/>
        <v>0.27272727272727271</v>
      </c>
    </row>
    <row r="811" spans="1:16" x14ac:dyDescent="0.4">
      <c r="A811">
        <v>0</v>
      </c>
      <c r="B811">
        <v>0.2</v>
      </c>
      <c r="C811" s="23">
        <v>0.36363636363636365</v>
      </c>
      <c r="D811">
        <v>0.36363636363636365</v>
      </c>
      <c r="E811">
        <v>0.21052631578947367</v>
      </c>
      <c r="F811">
        <v>0</v>
      </c>
      <c r="G811">
        <v>5.2631578947368418E-2</v>
      </c>
      <c r="H811">
        <v>0</v>
      </c>
      <c r="I811">
        <f t="shared" si="97"/>
        <v>0</v>
      </c>
      <c r="J811">
        <f t="shared" si="98"/>
        <v>0.2</v>
      </c>
      <c r="K811">
        <f t="shared" si="99"/>
        <v>0.36363636363636365</v>
      </c>
      <c r="L811">
        <f t="shared" si="100"/>
        <v>0.36363636363636365</v>
      </c>
      <c r="M811">
        <f t="shared" si="101"/>
        <v>0.21052631578947367</v>
      </c>
      <c r="N811">
        <f t="shared" si="102"/>
        <v>0</v>
      </c>
      <c r="O811">
        <f t="shared" si="103"/>
        <v>5.2631578947368418E-2</v>
      </c>
      <c r="P811">
        <f t="shared" si="104"/>
        <v>0</v>
      </c>
    </row>
    <row r="812" spans="1:16" x14ac:dyDescent="0.4">
      <c r="A812">
        <v>0.36363636363636365</v>
      </c>
      <c r="B812">
        <v>0.17391304347826086</v>
      </c>
      <c r="C812" s="24">
        <v>0.3</v>
      </c>
      <c r="D812">
        <v>9.5238095238095233E-2</v>
      </c>
      <c r="E812">
        <v>0.25</v>
      </c>
      <c r="F812">
        <v>0.5</v>
      </c>
      <c r="G812">
        <v>9.0909090909090912E-2</v>
      </c>
      <c r="H812">
        <v>0</v>
      </c>
      <c r="I812">
        <f t="shared" si="97"/>
        <v>0.36363636363636365</v>
      </c>
      <c r="J812">
        <f t="shared" si="98"/>
        <v>0.17391304347826086</v>
      </c>
      <c r="K812">
        <f t="shared" si="99"/>
        <v>0.3</v>
      </c>
      <c r="L812">
        <f t="shared" si="100"/>
        <v>9.5238095238095233E-2</v>
      </c>
      <c r="M812">
        <f t="shared" si="101"/>
        <v>0.25</v>
      </c>
      <c r="N812">
        <f t="shared" si="102"/>
        <v>0.5</v>
      </c>
      <c r="O812">
        <f t="shared" si="103"/>
        <v>9.0909090909090912E-2</v>
      </c>
      <c r="P812">
        <f t="shared" si="104"/>
        <v>0</v>
      </c>
    </row>
    <row r="813" spans="1:16" x14ac:dyDescent="0.4">
      <c r="A813">
        <v>0.5</v>
      </c>
      <c r="B813">
        <v>0.2857142857142857</v>
      </c>
      <c r="C813" s="23">
        <v>0.15384615384615385</v>
      </c>
      <c r="D813">
        <v>0.33333333333333331</v>
      </c>
      <c r="E813">
        <v>0</v>
      </c>
      <c r="F813">
        <v>9.0909090909090912E-2</v>
      </c>
      <c r="G813">
        <v>0</v>
      </c>
      <c r="H813">
        <v>0.36363636363636365</v>
      </c>
      <c r="I813">
        <f t="shared" si="97"/>
        <v>0.5</v>
      </c>
      <c r="J813">
        <f t="shared" si="98"/>
        <v>0.2857142857142857</v>
      </c>
      <c r="K813">
        <f t="shared" si="99"/>
        <v>0.15384615384615385</v>
      </c>
      <c r="L813">
        <f t="shared" si="100"/>
        <v>0.33333333333333331</v>
      </c>
      <c r="M813">
        <f t="shared" si="101"/>
        <v>0</v>
      </c>
      <c r="N813">
        <f t="shared" si="102"/>
        <v>9.0909090909090912E-2</v>
      </c>
      <c r="O813">
        <f t="shared" si="103"/>
        <v>0</v>
      </c>
      <c r="P813">
        <f t="shared" si="104"/>
        <v>0.36363636363636365</v>
      </c>
    </row>
    <row r="814" spans="1:16" x14ac:dyDescent="0.4">
      <c r="A814">
        <v>0.2857142857142857</v>
      </c>
      <c r="B814">
        <v>0.5</v>
      </c>
      <c r="C814" s="24">
        <v>6.3492063492063489E-2</v>
      </c>
      <c r="D814">
        <v>0.5714285714285714</v>
      </c>
      <c r="E814">
        <v>7.6923076923076927E-2</v>
      </c>
      <c r="F814">
        <v>1.6393442622950821E-2</v>
      </c>
      <c r="G814">
        <v>0.16666666666666666</v>
      </c>
      <c r="H814">
        <v>0.5</v>
      </c>
      <c r="I814">
        <f t="shared" si="97"/>
        <v>0.2857142857142857</v>
      </c>
      <c r="J814">
        <f t="shared" si="98"/>
        <v>0.5</v>
      </c>
      <c r="K814">
        <f t="shared" si="99"/>
        <v>6.3492063492063489E-2</v>
      </c>
      <c r="L814">
        <f t="shared" si="100"/>
        <v>0.5714285714285714</v>
      </c>
      <c r="M814">
        <f t="shared" si="101"/>
        <v>7.6923076923076927E-2</v>
      </c>
      <c r="N814">
        <f t="shared" si="102"/>
        <v>1.6393442622950821E-2</v>
      </c>
      <c r="O814">
        <f t="shared" si="103"/>
        <v>0.16666666666666666</v>
      </c>
      <c r="P814">
        <f t="shared" si="104"/>
        <v>0.5</v>
      </c>
    </row>
    <row r="815" spans="1:16" x14ac:dyDescent="0.4">
      <c r="A815">
        <v>0.5</v>
      </c>
      <c r="B815">
        <v>4.3478260869565216E-2</v>
      </c>
      <c r="C815" s="23">
        <v>2.9411764705882353E-2</v>
      </c>
      <c r="D815">
        <v>6.8965517241379309E-2</v>
      </c>
      <c r="E815">
        <v>0.33333333333333331</v>
      </c>
      <c r="F815">
        <v>0.13333333333333333</v>
      </c>
      <c r="G815">
        <v>0.11764705882352941</v>
      </c>
      <c r="H815">
        <v>1.6129032258064516E-2</v>
      </c>
      <c r="I815">
        <f t="shared" si="97"/>
        <v>0.5</v>
      </c>
      <c r="J815">
        <f t="shared" si="98"/>
        <v>4.3478260869565216E-2</v>
      </c>
      <c r="K815">
        <f t="shared" si="99"/>
        <v>2.9411764705882353E-2</v>
      </c>
      <c r="L815">
        <f t="shared" si="100"/>
        <v>6.8965517241379309E-2</v>
      </c>
      <c r="M815">
        <f t="shared" si="101"/>
        <v>0.33333333333333331</v>
      </c>
      <c r="N815">
        <f t="shared" si="102"/>
        <v>0.13333333333333333</v>
      </c>
      <c r="O815">
        <f t="shared" si="103"/>
        <v>0.11764705882352941</v>
      </c>
      <c r="P815">
        <f t="shared" si="104"/>
        <v>1.6129032258064516E-2</v>
      </c>
    </row>
    <row r="816" spans="1:16" x14ac:dyDescent="0.4">
      <c r="A816">
        <v>0.2857142857142857</v>
      </c>
      <c r="B816">
        <v>0.23529411764705882</v>
      </c>
      <c r="C816" s="24">
        <v>0.5714285714285714</v>
      </c>
      <c r="D816">
        <v>0</v>
      </c>
      <c r="E816">
        <v>7.6923076923076927E-2</v>
      </c>
      <c r="F816">
        <v>0.2</v>
      </c>
      <c r="G816">
        <v>0</v>
      </c>
      <c r="H816">
        <v>0.33333333333333331</v>
      </c>
      <c r="I816">
        <f t="shared" si="97"/>
        <v>0.2857142857142857</v>
      </c>
      <c r="J816">
        <f t="shared" si="98"/>
        <v>0.23529411764705882</v>
      </c>
      <c r="K816">
        <f t="shared" si="99"/>
        <v>0.5714285714285714</v>
      </c>
      <c r="L816">
        <f t="shared" si="100"/>
        <v>0</v>
      </c>
      <c r="M816">
        <f t="shared" si="101"/>
        <v>7.6923076923076927E-2</v>
      </c>
      <c r="N816">
        <f t="shared" si="102"/>
        <v>0.2</v>
      </c>
      <c r="O816">
        <f t="shared" si="103"/>
        <v>0</v>
      </c>
      <c r="P816">
        <f t="shared" si="104"/>
        <v>0.33333333333333331</v>
      </c>
    </row>
    <row r="817" spans="1:16" x14ac:dyDescent="0.4">
      <c r="A817">
        <v>0.15384615384615385</v>
      </c>
      <c r="B817">
        <v>0.2857142857142857</v>
      </c>
      <c r="C817" s="23">
        <v>0.66666666666666663</v>
      </c>
      <c r="D817">
        <v>0</v>
      </c>
      <c r="E817">
        <v>8.3333333333333329E-2</v>
      </c>
      <c r="F817">
        <v>0.4</v>
      </c>
      <c r="G817">
        <v>8.3333333333333329E-2</v>
      </c>
      <c r="H817">
        <v>0.5714285714285714</v>
      </c>
      <c r="I817">
        <f t="shared" si="97"/>
        <v>0.15384615384615385</v>
      </c>
      <c r="J817">
        <f t="shared" si="98"/>
        <v>0.2857142857142857</v>
      </c>
      <c r="K817">
        <f t="shared" si="99"/>
        <v>0.66666666666666663</v>
      </c>
      <c r="L817">
        <f t="shared" si="100"/>
        <v>0</v>
      </c>
      <c r="M817">
        <f t="shared" si="101"/>
        <v>8.3333333333333329E-2</v>
      </c>
      <c r="N817">
        <f t="shared" si="102"/>
        <v>0.4</v>
      </c>
      <c r="O817">
        <f t="shared" si="103"/>
        <v>8.3333333333333329E-2</v>
      </c>
      <c r="P817">
        <f t="shared" si="104"/>
        <v>0.5714285714285714</v>
      </c>
    </row>
    <row r="818" spans="1:16" x14ac:dyDescent="0.4">
      <c r="A818">
        <v>0.22222222222222221</v>
      </c>
      <c r="B818">
        <v>0.11428571428571428</v>
      </c>
      <c r="C818" s="24">
        <v>0.44444444444444442</v>
      </c>
      <c r="D818">
        <v>0.30769230769230771</v>
      </c>
      <c r="E818">
        <v>0.5714285714285714</v>
      </c>
      <c r="F818">
        <v>0.125</v>
      </c>
      <c r="G818">
        <v>9.375E-2</v>
      </c>
      <c r="H818">
        <v>0</v>
      </c>
      <c r="I818">
        <f t="shared" si="97"/>
        <v>0.22222222222222221</v>
      </c>
      <c r="J818">
        <f t="shared" si="98"/>
        <v>0.11428571428571428</v>
      </c>
      <c r="K818">
        <f t="shared" si="99"/>
        <v>0.44444444444444442</v>
      </c>
      <c r="L818">
        <f t="shared" si="100"/>
        <v>0.30769230769230771</v>
      </c>
      <c r="M818">
        <f t="shared" si="101"/>
        <v>0.5714285714285714</v>
      </c>
      <c r="N818">
        <f t="shared" si="102"/>
        <v>0.125</v>
      </c>
      <c r="O818">
        <f t="shared" si="103"/>
        <v>9.375E-2</v>
      </c>
      <c r="P818">
        <f t="shared" si="104"/>
        <v>0</v>
      </c>
    </row>
    <row r="819" spans="1:16" x14ac:dyDescent="0.4">
      <c r="A819">
        <v>0.44444444444444442</v>
      </c>
      <c r="B819">
        <v>0.22222222222222221</v>
      </c>
      <c r="C819" s="23">
        <v>0.8</v>
      </c>
      <c r="D819">
        <v>8.6956521739130432E-2</v>
      </c>
      <c r="E819">
        <v>0</v>
      </c>
      <c r="F819">
        <v>0</v>
      </c>
      <c r="G819">
        <v>0.13333333333333333</v>
      </c>
      <c r="H819">
        <v>0</v>
      </c>
      <c r="I819">
        <f t="shared" si="97"/>
        <v>0.44444444444444442</v>
      </c>
      <c r="J819">
        <f t="shared" si="98"/>
        <v>0.22222222222222221</v>
      </c>
      <c r="K819">
        <f t="shared" si="99"/>
        <v>0.8</v>
      </c>
      <c r="L819">
        <f t="shared" si="100"/>
        <v>8.6956521739130432E-2</v>
      </c>
      <c r="M819">
        <f t="shared" si="101"/>
        <v>0</v>
      </c>
      <c r="N819">
        <f t="shared" si="102"/>
        <v>0</v>
      </c>
      <c r="O819">
        <f t="shared" si="103"/>
        <v>0.13333333333333333</v>
      </c>
      <c r="P819">
        <f t="shared" si="104"/>
        <v>0</v>
      </c>
    </row>
    <row r="820" spans="1:16" x14ac:dyDescent="0.4">
      <c r="A820">
        <v>0.5</v>
      </c>
      <c r="B820">
        <v>0.1111111111111111</v>
      </c>
      <c r="C820" s="24">
        <v>0.22222222222222221</v>
      </c>
      <c r="D820">
        <v>0.16</v>
      </c>
      <c r="E820">
        <v>0</v>
      </c>
      <c r="F820">
        <v>0</v>
      </c>
      <c r="G820">
        <v>0</v>
      </c>
      <c r="H820">
        <v>4.1666666666666664E-2</v>
      </c>
      <c r="I820">
        <f t="shared" si="97"/>
        <v>0.5</v>
      </c>
      <c r="J820">
        <f t="shared" si="98"/>
        <v>0.1111111111111111</v>
      </c>
      <c r="K820">
        <f t="shared" si="99"/>
        <v>0.22222222222222221</v>
      </c>
      <c r="L820">
        <f t="shared" si="100"/>
        <v>0.16</v>
      </c>
      <c r="M820">
        <f t="shared" si="101"/>
        <v>0</v>
      </c>
      <c r="N820">
        <f t="shared" si="102"/>
        <v>0</v>
      </c>
      <c r="O820">
        <f t="shared" si="103"/>
        <v>0</v>
      </c>
      <c r="P820">
        <f t="shared" si="104"/>
        <v>4.1666666666666664E-2</v>
      </c>
    </row>
    <row r="821" spans="1:16" x14ac:dyDescent="0.4">
      <c r="A821">
        <v>0.33333333333333331</v>
      </c>
      <c r="B821">
        <v>0.2857142857142857</v>
      </c>
      <c r="C821" s="23">
        <v>0.14285714285714285</v>
      </c>
      <c r="D821">
        <v>0.33333333333333331</v>
      </c>
      <c r="E821">
        <v>0</v>
      </c>
      <c r="F821">
        <v>0.22222222222222221</v>
      </c>
      <c r="G821">
        <v>8.3333333333333329E-2</v>
      </c>
      <c r="H821">
        <v>0.375</v>
      </c>
      <c r="I821">
        <f t="shared" si="97"/>
        <v>0.33333333333333331</v>
      </c>
      <c r="J821">
        <f t="shared" si="98"/>
        <v>0.2857142857142857</v>
      </c>
      <c r="K821">
        <f t="shared" si="99"/>
        <v>0.14285714285714285</v>
      </c>
      <c r="L821">
        <f t="shared" si="100"/>
        <v>0.33333333333333331</v>
      </c>
      <c r="M821">
        <f t="shared" si="101"/>
        <v>0</v>
      </c>
      <c r="N821">
        <f t="shared" si="102"/>
        <v>0.22222222222222221</v>
      </c>
      <c r="O821">
        <f t="shared" si="103"/>
        <v>8.3333333333333329E-2</v>
      </c>
      <c r="P821">
        <f t="shared" si="104"/>
        <v>0.375</v>
      </c>
    </row>
    <row r="822" spans="1:16" x14ac:dyDescent="0.4">
      <c r="A822">
        <v>4.1666666666666664E-2</v>
      </c>
      <c r="B822">
        <v>0.36363636363636365</v>
      </c>
      <c r="C822" s="24">
        <v>0.16666666666666666</v>
      </c>
      <c r="D822">
        <v>0.10810810810810811</v>
      </c>
      <c r="E822">
        <v>0.19047619047619047</v>
      </c>
      <c r="F822">
        <v>0.5</v>
      </c>
      <c r="G822">
        <v>0</v>
      </c>
      <c r="H822">
        <v>5.8823529411764705E-2</v>
      </c>
      <c r="I822">
        <f t="shared" si="97"/>
        <v>4.1666666666666664E-2</v>
      </c>
      <c r="J822">
        <f t="shared" si="98"/>
        <v>0.36363636363636365</v>
      </c>
      <c r="K822">
        <f t="shared" si="99"/>
        <v>0.16666666666666666</v>
      </c>
      <c r="L822">
        <f t="shared" si="100"/>
        <v>0.10810810810810811</v>
      </c>
      <c r="M822">
        <f t="shared" si="101"/>
        <v>0.19047619047619047</v>
      </c>
      <c r="N822">
        <f t="shared" si="102"/>
        <v>0.5</v>
      </c>
      <c r="O822">
        <f t="shared" si="103"/>
        <v>0</v>
      </c>
      <c r="P822">
        <f t="shared" si="104"/>
        <v>5.8823529411764705E-2</v>
      </c>
    </row>
    <row r="823" spans="1:16" x14ac:dyDescent="0.4">
      <c r="A823">
        <v>0</v>
      </c>
      <c r="B823">
        <v>0.2857142857142857</v>
      </c>
      <c r="C823" s="23">
        <v>0.2857142857142857</v>
      </c>
      <c r="D823">
        <v>0.2857142857142857</v>
      </c>
      <c r="E823">
        <v>0.23529411764705882</v>
      </c>
      <c r="F823">
        <v>8.3333333333333329E-2</v>
      </c>
      <c r="G823">
        <v>0</v>
      </c>
      <c r="H823">
        <v>0.25</v>
      </c>
      <c r="I823">
        <f t="shared" si="97"/>
        <v>0</v>
      </c>
      <c r="J823">
        <f t="shared" si="98"/>
        <v>0.2857142857142857</v>
      </c>
      <c r="K823">
        <f t="shared" si="99"/>
        <v>0.2857142857142857</v>
      </c>
      <c r="L823">
        <f t="shared" si="100"/>
        <v>0.2857142857142857</v>
      </c>
      <c r="M823">
        <f t="shared" si="101"/>
        <v>0.23529411764705882</v>
      </c>
      <c r="N823">
        <f t="shared" si="102"/>
        <v>8.3333333333333329E-2</v>
      </c>
      <c r="O823">
        <f t="shared" si="103"/>
        <v>0</v>
      </c>
      <c r="P823">
        <f t="shared" si="104"/>
        <v>0.25</v>
      </c>
    </row>
    <row r="824" spans="1:16" x14ac:dyDescent="0.4">
      <c r="A824">
        <v>5.8823529411764705E-2</v>
      </c>
      <c r="B824">
        <v>0.19047619047619047</v>
      </c>
      <c r="C824" s="24">
        <v>0</v>
      </c>
      <c r="D824">
        <v>5.1724137931034482E-2</v>
      </c>
      <c r="E824">
        <v>0.30769230769230771</v>
      </c>
      <c r="F824">
        <v>1</v>
      </c>
      <c r="G824">
        <v>0</v>
      </c>
      <c r="H824">
        <v>7.2727272727272724E-2</v>
      </c>
      <c r="I824">
        <f t="shared" si="97"/>
        <v>5.8823529411764705E-2</v>
      </c>
      <c r="J824">
        <f t="shared" si="98"/>
        <v>0.19047619047619047</v>
      </c>
      <c r="K824">
        <f t="shared" si="99"/>
        <v>0</v>
      </c>
      <c r="L824">
        <f t="shared" si="100"/>
        <v>5.1724137931034482E-2</v>
      </c>
      <c r="M824">
        <f t="shared" si="101"/>
        <v>0.30769230769230771</v>
      </c>
      <c r="N824">
        <f t="shared" si="102"/>
        <v>1</v>
      </c>
      <c r="O824">
        <f t="shared" si="103"/>
        <v>0</v>
      </c>
      <c r="P824">
        <f t="shared" si="104"/>
        <v>7.2727272727272724E-2</v>
      </c>
    </row>
    <row r="825" spans="1:16" x14ac:dyDescent="0.4">
      <c r="A825">
        <v>0.25</v>
      </c>
      <c r="B825">
        <v>0.2857142857142857</v>
      </c>
      <c r="C825" s="23">
        <v>0.33333333333333331</v>
      </c>
      <c r="D825" t="e">
        <v>#DIV/0!</v>
      </c>
      <c r="E825">
        <v>0</v>
      </c>
      <c r="F825">
        <v>9.0909090909090912E-2</v>
      </c>
      <c r="G825">
        <v>8.3333333333333329E-2</v>
      </c>
      <c r="H825">
        <v>0.30769230769230771</v>
      </c>
      <c r="I825">
        <f t="shared" si="97"/>
        <v>0.25</v>
      </c>
      <c r="J825">
        <f t="shared" si="98"/>
        <v>0.2857142857142857</v>
      </c>
      <c r="K825">
        <f t="shared" si="99"/>
        <v>0.33333333333333331</v>
      </c>
      <c r="L825" t="e">
        <f t="shared" si="100"/>
        <v>#DIV/0!</v>
      </c>
      <c r="M825">
        <f t="shared" si="101"/>
        <v>0</v>
      </c>
      <c r="N825">
        <f t="shared" si="102"/>
        <v>9.0909090909090912E-2</v>
      </c>
      <c r="O825">
        <f t="shared" si="103"/>
        <v>8.3333333333333329E-2</v>
      </c>
      <c r="P825">
        <f t="shared" si="104"/>
        <v>0.30769230769230771</v>
      </c>
    </row>
    <row r="826" spans="1:16" x14ac:dyDescent="0.4">
      <c r="A826">
        <v>0.19047619047619047</v>
      </c>
      <c r="B826">
        <v>0.36363636363636365</v>
      </c>
      <c r="C826" s="24">
        <v>0.33333333333333331</v>
      </c>
      <c r="D826">
        <v>0.12903225806451613</v>
      </c>
      <c r="E826">
        <v>0.05</v>
      </c>
      <c r="F826">
        <v>0</v>
      </c>
      <c r="G826">
        <v>0.25</v>
      </c>
      <c r="H826">
        <v>2.564102564102564E-2</v>
      </c>
      <c r="I826">
        <f t="shared" si="97"/>
        <v>0.19047619047619047</v>
      </c>
      <c r="J826">
        <f t="shared" si="98"/>
        <v>0.36363636363636365</v>
      </c>
      <c r="K826">
        <f t="shared" si="99"/>
        <v>0.33333333333333331</v>
      </c>
      <c r="L826">
        <f t="shared" si="100"/>
        <v>0.12903225806451613</v>
      </c>
      <c r="M826">
        <f t="shared" si="101"/>
        <v>0.05</v>
      </c>
      <c r="N826">
        <f t="shared" si="102"/>
        <v>0</v>
      </c>
      <c r="O826">
        <f t="shared" si="103"/>
        <v>0.25</v>
      </c>
      <c r="P826">
        <f t="shared" si="104"/>
        <v>2.564102564102564E-2</v>
      </c>
    </row>
    <row r="827" spans="1:16" x14ac:dyDescent="0.4">
      <c r="A827">
        <v>0.14814814814814814</v>
      </c>
      <c r="B827">
        <v>0.14814814814814814</v>
      </c>
      <c r="C827" s="23">
        <v>0.30769230769230771</v>
      </c>
      <c r="D827">
        <v>0.5714285714285714</v>
      </c>
      <c r="E827">
        <v>0.125</v>
      </c>
      <c r="F827">
        <v>0.18181818181818182</v>
      </c>
      <c r="G827">
        <v>3.8461538461538464E-2</v>
      </c>
      <c r="H827">
        <v>0.16666666666666666</v>
      </c>
      <c r="I827">
        <f t="shared" si="97"/>
        <v>0.14814814814814814</v>
      </c>
      <c r="J827">
        <f t="shared" si="98"/>
        <v>0.14814814814814814</v>
      </c>
      <c r="K827">
        <f t="shared" si="99"/>
        <v>0.30769230769230771</v>
      </c>
      <c r="L827">
        <f t="shared" si="100"/>
        <v>0.5714285714285714</v>
      </c>
      <c r="M827">
        <f t="shared" si="101"/>
        <v>0.125</v>
      </c>
      <c r="N827">
        <f t="shared" si="102"/>
        <v>0.18181818181818182</v>
      </c>
      <c r="O827">
        <f t="shared" si="103"/>
        <v>3.8461538461538464E-2</v>
      </c>
      <c r="P827">
        <f t="shared" si="104"/>
        <v>0.16666666666666666</v>
      </c>
    </row>
    <row r="828" spans="1:16" x14ac:dyDescent="0.4">
      <c r="A828">
        <v>0.2</v>
      </c>
      <c r="B828">
        <v>0</v>
      </c>
      <c r="C828" s="24">
        <v>7.2727272727272724E-2</v>
      </c>
      <c r="D828">
        <v>0.5</v>
      </c>
      <c r="E828">
        <v>0</v>
      </c>
      <c r="F828">
        <v>5.7692307692307696E-2</v>
      </c>
      <c r="G828">
        <v>0.4</v>
      </c>
      <c r="H828">
        <v>0.14285714285714285</v>
      </c>
      <c r="I828">
        <f t="shared" si="97"/>
        <v>0.2</v>
      </c>
      <c r="J828">
        <f t="shared" si="98"/>
        <v>0</v>
      </c>
      <c r="K828">
        <f t="shared" si="99"/>
        <v>7.2727272727272724E-2</v>
      </c>
      <c r="L828">
        <f t="shared" si="100"/>
        <v>0.5</v>
      </c>
      <c r="M828">
        <f t="shared" si="101"/>
        <v>0</v>
      </c>
      <c r="N828">
        <f t="shared" si="102"/>
        <v>5.7692307692307696E-2</v>
      </c>
      <c r="O828">
        <f t="shared" si="103"/>
        <v>0.4</v>
      </c>
      <c r="P828">
        <f t="shared" si="104"/>
        <v>0.14285714285714285</v>
      </c>
    </row>
    <row r="829" spans="1:16" x14ac:dyDescent="0.4">
      <c r="A829">
        <v>5.8823529411764705E-2</v>
      </c>
      <c r="B829">
        <v>0.2857142857142857</v>
      </c>
      <c r="C829" s="23">
        <v>5.7142857142857141E-2</v>
      </c>
      <c r="D829">
        <v>0.19047619047619047</v>
      </c>
      <c r="E829">
        <v>0.30769230769230771</v>
      </c>
      <c r="F829">
        <v>0.12121212121212122</v>
      </c>
      <c r="G829">
        <v>8.3333333333333329E-2</v>
      </c>
      <c r="H829">
        <v>5.2631578947368418E-2</v>
      </c>
      <c r="I829">
        <f t="shared" si="97"/>
        <v>5.8823529411764705E-2</v>
      </c>
      <c r="J829">
        <f t="shared" si="98"/>
        <v>0.2857142857142857</v>
      </c>
      <c r="K829">
        <f t="shared" si="99"/>
        <v>5.7142857142857141E-2</v>
      </c>
      <c r="L829">
        <f t="shared" si="100"/>
        <v>0.19047619047619047</v>
      </c>
      <c r="M829">
        <f t="shared" si="101"/>
        <v>0.30769230769230771</v>
      </c>
      <c r="N829">
        <f t="shared" si="102"/>
        <v>0.12121212121212122</v>
      </c>
      <c r="O829">
        <f t="shared" si="103"/>
        <v>8.3333333333333329E-2</v>
      </c>
      <c r="P829">
        <f t="shared" si="104"/>
        <v>5.2631578947368418E-2</v>
      </c>
    </row>
    <row r="830" spans="1:16" x14ac:dyDescent="0.4">
      <c r="A830">
        <v>0.4</v>
      </c>
      <c r="B830">
        <v>0</v>
      </c>
      <c r="C830" s="24">
        <v>0.21052631578947367</v>
      </c>
      <c r="D830">
        <v>0.19047619047619047</v>
      </c>
      <c r="E830">
        <v>0</v>
      </c>
      <c r="F830">
        <v>0.21428571428571427</v>
      </c>
      <c r="G830">
        <v>0.26666666666666666</v>
      </c>
      <c r="H830">
        <v>3.125E-2</v>
      </c>
      <c r="I830">
        <f t="shared" si="97"/>
        <v>0.4</v>
      </c>
      <c r="J830">
        <f t="shared" si="98"/>
        <v>0</v>
      </c>
      <c r="K830">
        <f t="shared" si="99"/>
        <v>0.21052631578947367</v>
      </c>
      <c r="L830">
        <f t="shared" si="100"/>
        <v>0.19047619047619047</v>
      </c>
      <c r="M830">
        <f t="shared" si="101"/>
        <v>0</v>
      </c>
      <c r="N830">
        <f t="shared" si="102"/>
        <v>0.21428571428571427</v>
      </c>
      <c r="O830">
        <f t="shared" si="103"/>
        <v>0.26666666666666666</v>
      </c>
      <c r="P830">
        <f t="shared" si="104"/>
        <v>3.125E-2</v>
      </c>
    </row>
    <row r="831" spans="1:16" x14ac:dyDescent="0.4">
      <c r="A831">
        <v>0.14285714285714285</v>
      </c>
      <c r="B831">
        <v>3.125E-2</v>
      </c>
      <c r="C831" s="23">
        <v>0.13793103448275862</v>
      </c>
      <c r="D831">
        <v>0.5</v>
      </c>
      <c r="E831">
        <v>0.08</v>
      </c>
      <c r="F831">
        <v>3.5714285714285712E-2</v>
      </c>
      <c r="G831">
        <v>0.14814814814814814</v>
      </c>
      <c r="H831">
        <v>0.16666666666666666</v>
      </c>
      <c r="I831">
        <f t="shared" si="97"/>
        <v>0.14285714285714285</v>
      </c>
      <c r="J831">
        <f t="shared" si="98"/>
        <v>3.125E-2</v>
      </c>
      <c r="K831">
        <f t="shared" si="99"/>
        <v>0.13793103448275862</v>
      </c>
      <c r="L831">
        <f t="shared" si="100"/>
        <v>0.5</v>
      </c>
      <c r="M831">
        <f t="shared" si="101"/>
        <v>0.08</v>
      </c>
      <c r="N831">
        <f t="shared" si="102"/>
        <v>3.5714285714285712E-2</v>
      </c>
      <c r="O831">
        <f t="shared" si="103"/>
        <v>0.14814814814814814</v>
      </c>
      <c r="P831">
        <f t="shared" si="104"/>
        <v>0.16666666666666666</v>
      </c>
    </row>
    <row r="832" spans="1:16" x14ac:dyDescent="0.4">
      <c r="A832">
        <v>0.2857142857142857</v>
      </c>
      <c r="B832">
        <v>0.25</v>
      </c>
      <c r="C832" s="24">
        <v>0.25</v>
      </c>
      <c r="D832">
        <v>0.23076923076923078</v>
      </c>
      <c r="E832">
        <v>0</v>
      </c>
      <c r="F832">
        <v>0.23076923076923078</v>
      </c>
      <c r="G832">
        <v>7.1428571428571425E-2</v>
      </c>
      <c r="H832">
        <v>0.4</v>
      </c>
      <c r="I832">
        <f t="shared" si="97"/>
        <v>0.2857142857142857</v>
      </c>
      <c r="J832">
        <f t="shared" si="98"/>
        <v>0.25</v>
      </c>
      <c r="K832">
        <f t="shared" si="99"/>
        <v>0.25</v>
      </c>
      <c r="L832">
        <f t="shared" si="100"/>
        <v>0.23076923076923078</v>
      </c>
      <c r="M832">
        <f t="shared" si="101"/>
        <v>0</v>
      </c>
      <c r="N832">
        <f t="shared" si="102"/>
        <v>0.23076923076923078</v>
      </c>
      <c r="O832">
        <f t="shared" si="103"/>
        <v>7.1428571428571425E-2</v>
      </c>
      <c r="P832">
        <f t="shared" si="104"/>
        <v>0.4</v>
      </c>
    </row>
    <row r="833" spans="1:16" x14ac:dyDescent="0.4">
      <c r="A833">
        <v>0.26666666666666666</v>
      </c>
      <c r="B833">
        <v>0.26666666666666666</v>
      </c>
      <c r="C833" s="23">
        <v>0.44444444444444442</v>
      </c>
      <c r="D833">
        <v>0.5714285714285714</v>
      </c>
      <c r="E833">
        <v>0</v>
      </c>
      <c r="F833">
        <v>0.2857142857142857</v>
      </c>
      <c r="G833">
        <v>0</v>
      </c>
      <c r="H833">
        <v>0.22222222222222221</v>
      </c>
      <c r="I833">
        <f t="shared" si="97"/>
        <v>0.26666666666666666</v>
      </c>
      <c r="J833">
        <f t="shared" si="98"/>
        <v>0.26666666666666666</v>
      </c>
      <c r="K833">
        <f t="shared" si="99"/>
        <v>0.44444444444444442</v>
      </c>
      <c r="L833">
        <f t="shared" si="100"/>
        <v>0.5714285714285714</v>
      </c>
      <c r="M833">
        <f t="shared" si="101"/>
        <v>0</v>
      </c>
      <c r="N833">
        <f t="shared" si="102"/>
        <v>0.2857142857142857</v>
      </c>
      <c r="O833">
        <f t="shared" si="103"/>
        <v>0</v>
      </c>
      <c r="P833">
        <f t="shared" si="104"/>
        <v>0.22222222222222221</v>
      </c>
    </row>
    <row r="834" spans="1:16" x14ac:dyDescent="0.4">
      <c r="A834">
        <v>0</v>
      </c>
      <c r="B834">
        <v>0.16</v>
      </c>
      <c r="C834" s="24">
        <v>0.125</v>
      </c>
      <c r="D834">
        <v>0.2</v>
      </c>
      <c r="E834">
        <v>0.21052631578947367</v>
      </c>
      <c r="F834">
        <v>0.66666666666666663</v>
      </c>
      <c r="G834">
        <v>4.1666666666666664E-2</v>
      </c>
      <c r="H834">
        <v>0.2</v>
      </c>
      <c r="I834">
        <f t="shared" si="97"/>
        <v>0</v>
      </c>
      <c r="J834">
        <f t="shared" si="98"/>
        <v>0.16</v>
      </c>
      <c r="K834">
        <f t="shared" si="99"/>
        <v>0.125</v>
      </c>
      <c r="L834">
        <f t="shared" si="100"/>
        <v>0.2</v>
      </c>
      <c r="M834">
        <f t="shared" si="101"/>
        <v>0.21052631578947367</v>
      </c>
      <c r="N834">
        <f t="shared" si="102"/>
        <v>0.66666666666666663</v>
      </c>
      <c r="O834">
        <f t="shared" si="103"/>
        <v>4.1666666666666664E-2</v>
      </c>
      <c r="P834">
        <f t="shared" si="104"/>
        <v>0.2</v>
      </c>
    </row>
    <row r="835" spans="1:16" x14ac:dyDescent="0.4">
      <c r="A835">
        <v>0</v>
      </c>
      <c r="B835">
        <v>0.15384615384615385</v>
      </c>
      <c r="C835" s="23">
        <v>3.3898305084745763E-2</v>
      </c>
      <c r="D835">
        <v>0.30769230769230771</v>
      </c>
      <c r="E835">
        <v>0.44444444444444442</v>
      </c>
      <c r="F835">
        <v>7.2727272727272724E-2</v>
      </c>
      <c r="G835">
        <v>0.14285714285714285</v>
      </c>
      <c r="H835">
        <v>9.0909090909090912E-2</v>
      </c>
      <c r="I835">
        <f t="shared" si="97"/>
        <v>0</v>
      </c>
      <c r="J835">
        <f t="shared" si="98"/>
        <v>0.15384615384615385</v>
      </c>
      <c r="K835">
        <f t="shared" si="99"/>
        <v>3.3898305084745763E-2</v>
      </c>
      <c r="L835">
        <f t="shared" si="100"/>
        <v>0.30769230769230771</v>
      </c>
      <c r="M835">
        <f t="shared" si="101"/>
        <v>0.44444444444444442</v>
      </c>
      <c r="N835">
        <f t="shared" si="102"/>
        <v>7.2727272727272724E-2</v>
      </c>
      <c r="O835">
        <f t="shared" si="103"/>
        <v>0.14285714285714285</v>
      </c>
      <c r="P835">
        <f t="shared" si="104"/>
        <v>9.0909090909090912E-2</v>
      </c>
    </row>
    <row r="836" spans="1:16" x14ac:dyDescent="0.4">
      <c r="A836">
        <v>0.36363636363636365</v>
      </c>
      <c r="B836">
        <v>0.23529411764705882</v>
      </c>
      <c r="C836" s="24">
        <v>0.30769230769230771</v>
      </c>
      <c r="D836">
        <v>0.2</v>
      </c>
      <c r="E836">
        <v>0.25</v>
      </c>
      <c r="F836">
        <v>0</v>
      </c>
      <c r="G836">
        <v>0</v>
      </c>
      <c r="H836">
        <v>0.16666666666666666</v>
      </c>
      <c r="I836">
        <f t="shared" si="97"/>
        <v>0.36363636363636365</v>
      </c>
      <c r="J836">
        <f t="shared" si="98"/>
        <v>0.23529411764705882</v>
      </c>
      <c r="K836">
        <f t="shared" si="99"/>
        <v>0.30769230769230771</v>
      </c>
      <c r="L836">
        <f t="shared" si="100"/>
        <v>0.2</v>
      </c>
      <c r="M836">
        <f t="shared" si="101"/>
        <v>0.25</v>
      </c>
      <c r="N836">
        <f t="shared" si="102"/>
        <v>0</v>
      </c>
      <c r="O836">
        <f t="shared" si="103"/>
        <v>0</v>
      </c>
      <c r="P836">
        <f t="shared" si="104"/>
        <v>0.16666666666666666</v>
      </c>
    </row>
    <row r="837" spans="1:16" x14ac:dyDescent="0.4">
      <c r="A837">
        <v>0.16666666666666666</v>
      </c>
      <c r="B837">
        <v>0.44444444444444442</v>
      </c>
      <c r="C837" s="23">
        <v>0.4</v>
      </c>
      <c r="D837">
        <v>4.6153846153846156E-2</v>
      </c>
      <c r="E837">
        <v>9.5238095238095233E-2</v>
      </c>
      <c r="F837">
        <v>0.1</v>
      </c>
      <c r="G837">
        <v>0</v>
      </c>
      <c r="H837">
        <v>5.3333333333333337E-2</v>
      </c>
      <c r="I837">
        <f t="shared" si="97"/>
        <v>0.16666666666666666</v>
      </c>
      <c r="J837">
        <f t="shared" si="98"/>
        <v>0.44444444444444442</v>
      </c>
      <c r="K837">
        <f t="shared" si="99"/>
        <v>0.4</v>
      </c>
      <c r="L837">
        <f t="shared" si="100"/>
        <v>4.6153846153846156E-2</v>
      </c>
      <c r="M837">
        <f t="shared" si="101"/>
        <v>9.5238095238095233E-2</v>
      </c>
      <c r="N837">
        <f t="shared" si="102"/>
        <v>0.1</v>
      </c>
      <c r="O837">
        <f t="shared" si="103"/>
        <v>0</v>
      </c>
      <c r="P837">
        <f t="shared" si="104"/>
        <v>5.3333333333333337E-2</v>
      </c>
    </row>
    <row r="838" spans="1:16" x14ac:dyDescent="0.4">
      <c r="A838">
        <v>0</v>
      </c>
      <c r="B838">
        <v>0.2</v>
      </c>
      <c r="C838" s="24">
        <v>9.3023255813953487E-2</v>
      </c>
      <c r="D838">
        <v>0.26666666666666666</v>
      </c>
      <c r="E838">
        <v>9.5238095238095233E-2</v>
      </c>
      <c r="F838">
        <v>4.878048780487805E-2</v>
      </c>
      <c r="G838">
        <v>0.1875</v>
      </c>
      <c r="H838">
        <v>0.18181818181818182</v>
      </c>
      <c r="I838">
        <f t="shared" si="97"/>
        <v>0</v>
      </c>
      <c r="J838">
        <f t="shared" si="98"/>
        <v>0.2</v>
      </c>
      <c r="K838">
        <f t="shared" si="99"/>
        <v>9.3023255813953487E-2</v>
      </c>
      <c r="L838">
        <f t="shared" si="100"/>
        <v>0.26666666666666666</v>
      </c>
      <c r="M838">
        <f t="shared" si="101"/>
        <v>9.5238095238095233E-2</v>
      </c>
      <c r="N838">
        <f t="shared" si="102"/>
        <v>4.878048780487805E-2</v>
      </c>
      <c r="O838">
        <f t="shared" si="103"/>
        <v>0.1875</v>
      </c>
      <c r="P838">
        <f t="shared" si="104"/>
        <v>0.18181818181818182</v>
      </c>
    </row>
    <row r="839" spans="1:16" x14ac:dyDescent="0.4">
      <c r="A839">
        <v>0.36363636363636365</v>
      </c>
      <c r="B839">
        <v>0.4</v>
      </c>
      <c r="C839" s="23">
        <v>0.4</v>
      </c>
      <c r="D839">
        <v>0.19047619047619047</v>
      </c>
      <c r="E839">
        <v>0.22222222222222221</v>
      </c>
      <c r="F839">
        <v>0.1</v>
      </c>
      <c r="G839">
        <v>0</v>
      </c>
      <c r="H839">
        <v>0.05</v>
      </c>
      <c r="I839">
        <f t="shared" si="97"/>
        <v>0.36363636363636365</v>
      </c>
      <c r="J839">
        <f t="shared" si="98"/>
        <v>0.4</v>
      </c>
      <c r="K839">
        <f t="shared" si="99"/>
        <v>0.4</v>
      </c>
      <c r="L839">
        <f t="shared" si="100"/>
        <v>0.19047619047619047</v>
      </c>
      <c r="M839">
        <f t="shared" si="101"/>
        <v>0.22222222222222221</v>
      </c>
      <c r="N839">
        <f t="shared" si="102"/>
        <v>0.1</v>
      </c>
      <c r="O839">
        <f t="shared" si="103"/>
        <v>0</v>
      </c>
      <c r="P839">
        <f t="shared" si="104"/>
        <v>0.05</v>
      </c>
    </row>
    <row r="840" spans="1:16" x14ac:dyDescent="0.4">
      <c r="A840">
        <v>0.25</v>
      </c>
      <c r="B840">
        <v>0.26666666666666666</v>
      </c>
      <c r="C840" s="24">
        <v>0.125</v>
      </c>
      <c r="D840">
        <v>0.25</v>
      </c>
      <c r="E840">
        <v>0</v>
      </c>
      <c r="F840">
        <v>0.33333333333333331</v>
      </c>
      <c r="G840">
        <v>0.15384615384615385</v>
      </c>
      <c r="H840">
        <v>0.66666666666666663</v>
      </c>
      <c r="I840">
        <f t="shared" ref="I840:I903" si="105">IF(A840&gt;1, 1, A840)</f>
        <v>0.25</v>
      </c>
      <c r="J840">
        <f t="shared" ref="J840:J903" si="106">IF(B840&gt;1, 1, B840)</f>
        <v>0.26666666666666666</v>
      </c>
      <c r="K840">
        <f t="shared" ref="K840:K903" si="107">IF(C840&gt;1, 1, C840)</f>
        <v>0.125</v>
      </c>
      <c r="L840">
        <f t="shared" ref="L840:L903" si="108">IF(D840&gt;1, 1, D840)</f>
        <v>0.25</v>
      </c>
      <c r="M840">
        <f t="shared" ref="M840:M903" si="109">IF(E840&gt;1, 1, E840)</f>
        <v>0</v>
      </c>
      <c r="N840">
        <f t="shared" ref="N840:N903" si="110">IF(F840&gt;1, 1, F840)</f>
        <v>0.33333333333333331</v>
      </c>
      <c r="O840">
        <f t="shared" ref="O840:O903" si="111">IF(G840&gt;1, 1, G840)</f>
        <v>0.15384615384615385</v>
      </c>
      <c r="P840">
        <f t="shared" ref="P840:P903" si="112">IF(H840&gt;1, 1, H840)</f>
        <v>0.66666666666666663</v>
      </c>
    </row>
    <row r="841" spans="1:16" x14ac:dyDescent="0.4">
      <c r="A841">
        <v>0.44444444444444442</v>
      </c>
      <c r="B841">
        <v>0</v>
      </c>
      <c r="C841" s="23">
        <v>8.3333333333333329E-2</v>
      </c>
      <c r="D841">
        <v>0.18181818181818182</v>
      </c>
      <c r="E841">
        <v>0</v>
      </c>
      <c r="F841">
        <v>0.2</v>
      </c>
      <c r="G841">
        <v>0.5714285714285714</v>
      </c>
      <c r="H841">
        <v>0.17647058823529413</v>
      </c>
      <c r="I841">
        <f t="shared" si="105"/>
        <v>0.44444444444444442</v>
      </c>
      <c r="J841">
        <f t="shared" si="106"/>
        <v>0</v>
      </c>
      <c r="K841">
        <f t="shared" si="107"/>
        <v>8.3333333333333329E-2</v>
      </c>
      <c r="L841">
        <f t="shared" si="108"/>
        <v>0.18181818181818182</v>
      </c>
      <c r="M841">
        <f t="shared" si="109"/>
        <v>0</v>
      </c>
      <c r="N841">
        <f t="shared" si="110"/>
        <v>0.2</v>
      </c>
      <c r="O841">
        <f t="shared" si="111"/>
        <v>0.5714285714285714</v>
      </c>
      <c r="P841">
        <f t="shared" si="112"/>
        <v>0.17647058823529413</v>
      </c>
    </row>
    <row r="842" spans="1:16" x14ac:dyDescent="0.4">
      <c r="A842">
        <v>0.44444444444444442</v>
      </c>
      <c r="B842">
        <v>0.13793103448275862</v>
      </c>
      <c r="C842" s="24">
        <v>0.36363636363636365</v>
      </c>
      <c r="D842">
        <v>0.22222222222222221</v>
      </c>
      <c r="E842">
        <v>0.125</v>
      </c>
      <c r="F842">
        <v>0.25</v>
      </c>
      <c r="G842">
        <v>3.8461538461538464E-2</v>
      </c>
      <c r="H842">
        <v>6.25E-2</v>
      </c>
      <c r="I842">
        <f t="shared" si="105"/>
        <v>0.44444444444444442</v>
      </c>
      <c r="J842">
        <f t="shared" si="106"/>
        <v>0.13793103448275862</v>
      </c>
      <c r="K842">
        <f t="shared" si="107"/>
        <v>0.36363636363636365</v>
      </c>
      <c r="L842">
        <f t="shared" si="108"/>
        <v>0.22222222222222221</v>
      </c>
      <c r="M842">
        <f t="shared" si="109"/>
        <v>0.125</v>
      </c>
      <c r="N842">
        <f t="shared" si="110"/>
        <v>0.25</v>
      </c>
      <c r="O842">
        <f t="shared" si="111"/>
        <v>3.8461538461538464E-2</v>
      </c>
      <c r="P842">
        <f t="shared" si="112"/>
        <v>6.25E-2</v>
      </c>
    </row>
    <row r="843" spans="1:16" x14ac:dyDescent="0.4">
      <c r="A843">
        <v>0.14285714285714285</v>
      </c>
      <c r="B843">
        <v>0.26666666666666666</v>
      </c>
      <c r="C843" s="23">
        <v>0.22222222222222221</v>
      </c>
      <c r="D843">
        <v>0.44444444444444442</v>
      </c>
      <c r="E843">
        <v>0.36363636363636365</v>
      </c>
      <c r="F843">
        <v>0.1875</v>
      </c>
      <c r="G843">
        <v>7.6923076923076927E-2</v>
      </c>
      <c r="H843">
        <v>0.2857142857142857</v>
      </c>
      <c r="I843">
        <f t="shared" si="105"/>
        <v>0.14285714285714285</v>
      </c>
      <c r="J843">
        <f t="shared" si="106"/>
        <v>0.26666666666666666</v>
      </c>
      <c r="K843">
        <f t="shared" si="107"/>
        <v>0.22222222222222221</v>
      </c>
      <c r="L843">
        <f t="shared" si="108"/>
        <v>0.44444444444444442</v>
      </c>
      <c r="M843">
        <f t="shared" si="109"/>
        <v>0.36363636363636365</v>
      </c>
      <c r="N843">
        <f t="shared" si="110"/>
        <v>0.1875</v>
      </c>
      <c r="O843">
        <f t="shared" si="111"/>
        <v>7.6923076923076927E-2</v>
      </c>
      <c r="P843">
        <f t="shared" si="112"/>
        <v>0.2857142857142857</v>
      </c>
    </row>
    <row r="844" spans="1:16" x14ac:dyDescent="0.4">
      <c r="A844">
        <v>0.36363636363636365</v>
      </c>
      <c r="B844">
        <v>0.10810810810810811</v>
      </c>
      <c r="C844" s="24">
        <v>0.14285714285714285</v>
      </c>
      <c r="D844">
        <v>0.11764705882352941</v>
      </c>
      <c r="E844">
        <v>0</v>
      </c>
      <c r="F844">
        <v>0.36363636363636365</v>
      </c>
      <c r="G844">
        <v>9.0909090909090912E-2</v>
      </c>
      <c r="H844">
        <v>3.0303030303030304E-2</v>
      </c>
      <c r="I844">
        <f t="shared" si="105"/>
        <v>0.36363636363636365</v>
      </c>
      <c r="J844">
        <f t="shared" si="106"/>
        <v>0.10810810810810811</v>
      </c>
      <c r="K844">
        <f t="shared" si="107"/>
        <v>0.14285714285714285</v>
      </c>
      <c r="L844">
        <f t="shared" si="108"/>
        <v>0.11764705882352941</v>
      </c>
      <c r="M844">
        <f t="shared" si="109"/>
        <v>0</v>
      </c>
      <c r="N844">
        <f t="shared" si="110"/>
        <v>0.36363636363636365</v>
      </c>
      <c r="O844">
        <f t="shared" si="111"/>
        <v>9.0909090909090912E-2</v>
      </c>
      <c r="P844">
        <f t="shared" si="112"/>
        <v>3.0303030303030304E-2</v>
      </c>
    </row>
    <row r="845" spans="1:16" x14ac:dyDescent="0.4">
      <c r="A845">
        <v>0.17391304347826086</v>
      </c>
      <c r="B845">
        <v>0.44444444444444442</v>
      </c>
      <c r="C845" s="23">
        <v>0.26666666666666666</v>
      </c>
      <c r="D845">
        <v>0.16666666666666666</v>
      </c>
      <c r="E845">
        <v>0</v>
      </c>
      <c r="F845">
        <v>0.16666666666666666</v>
      </c>
      <c r="G845">
        <v>0</v>
      </c>
      <c r="H845">
        <v>0.16</v>
      </c>
      <c r="I845">
        <f t="shared" si="105"/>
        <v>0.17391304347826086</v>
      </c>
      <c r="J845">
        <f t="shared" si="106"/>
        <v>0.44444444444444442</v>
      </c>
      <c r="K845">
        <f t="shared" si="107"/>
        <v>0.26666666666666666</v>
      </c>
      <c r="L845">
        <f t="shared" si="108"/>
        <v>0.16666666666666666</v>
      </c>
      <c r="M845">
        <f t="shared" si="109"/>
        <v>0</v>
      </c>
      <c r="N845">
        <f t="shared" si="110"/>
        <v>0.16666666666666666</v>
      </c>
      <c r="O845">
        <f t="shared" si="111"/>
        <v>0</v>
      </c>
      <c r="P845">
        <f t="shared" si="112"/>
        <v>0.16</v>
      </c>
    </row>
    <row r="846" spans="1:16" x14ac:dyDescent="0.4">
      <c r="A846">
        <v>0.19047619047619047</v>
      </c>
      <c r="B846">
        <v>0.2857142857142857</v>
      </c>
      <c r="C846" s="24">
        <v>0.23529411764705882</v>
      </c>
      <c r="D846">
        <v>0.1111111111111111</v>
      </c>
      <c r="E846">
        <v>0.15789473684210525</v>
      </c>
      <c r="F846">
        <v>0.13333333333333333</v>
      </c>
      <c r="G846">
        <v>8.3333333333333329E-2</v>
      </c>
      <c r="H846">
        <v>0.8</v>
      </c>
      <c r="I846">
        <f t="shared" si="105"/>
        <v>0.19047619047619047</v>
      </c>
      <c r="J846">
        <f t="shared" si="106"/>
        <v>0.2857142857142857</v>
      </c>
      <c r="K846">
        <f t="shared" si="107"/>
        <v>0.23529411764705882</v>
      </c>
      <c r="L846">
        <f t="shared" si="108"/>
        <v>0.1111111111111111</v>
      </c>
      <c r="M846">
        <f t="shared" si="109"/>
        <v>0.15789473684210525</v>
      </c>
      <c r="N846">
        <f t="shared" si="110"/>
        <v>0.13333333333333333</v>
      </c>
      <c r="O846">
        <f t="shared" si="111"/>
        <v>8.3333333333333329E-2</v>
      </c>
      <c r="P846">
        <f t="shared" si="112"/>
        <v>0.8</v>
      </c>
    </row>
    <row r="847" spans="1:16" x14ac:dyDescent="0.4">
      <c r="A847">
        <v>0.17391304347826086</v>
      </c>
      <c r="B847">
        <v>0.44444444444444442</v>
      </c>
      <c r="C847" s="23">
        <v>0.5714285714285714</v>
      </c>
      <c r="D847">
        <v>0.25</v>
      </c>
      <c r="E847">
        <v>9.5238095238095233E-2</v>
      </c>
      <c r="F847">
        <v>0.14285714285714285</v>
      </c>
      <c r="G847">
        <v>0</v>
      </c>
      <c r="H847">
        <v>7.1428571428571425E-2</v>
      </c>
      <c r="I847">
        <f t="shared" si="105"/>
        <v>0.17391304347826086</v>
      </c>
      <c r="J847">
        <f t="shared" si="106"/>
        <v>0.44444444444444442</v>
      </c>
      <c r="K847">
        <f t="shared" si="107"/>
        <v>0.5714285714285714</v>
      </c>
      <c r="L847">
        <f t="shared" si="108"/>
        <v>0.25</v>
      </c>
      <c r="M847">
        <f t="shared" si="109"/>
        <v>9.5238095238095233E-2</v>
      </c>
      <c r="N847">
        <f t="shared" si="110"/>
        <v>0.14285714285714285</v>
      </c>
      <c r="O847">
        <f t="shared" si="111"/>
        <v>0</v>
      </c>
      <c r="P847">
        <f t="shared" si="112"/>
        <v>7.1428571428571425E-2</v>
      </c>
    </row>
    <row r="848" spans="1:16" x14ac:dyDescent="0.4">
      <c r="A848">
        <v>0.25</v>
      </c>
      <c r="B848">
        <v>0.2</v>
      </c>
      <c r="C848" s="24">
        <v>0.44444444444444442</v>
      </c>
      <c r="D848">
        <v>0.4</v>
      </c>
      <c r="E848">
        <v>6.6666666666666666E-2</v>
      </c>
      <c r="F848">
        <v>0.125</v>
      </c>
      <c r="G848">
        <v>5.5555555555555552E-2</v>
      </c>
      <c r="H848">
        <v>0</v>
      </c>
      <c r="I848">
        <f t="shared" si="105"/>
        <v>0.25</v>
      </c>
      <c r="J848">
        <f t="shared" si="106"/>
        <v>0.2</v>
      </c>
      <c r="K848">
        <f t="shared" si="107"/>
        <v>0.44444444444444442</v>
      </c>
      <c r="L848">
        <f t="shared" si="108"/>
        <v>0.4</v>
      </c>
      <c r="M848">
        <f t="shared" si="109"/>
        <v>6.6666666666666666E-2</v>
      </c>
      <c r="N848">
        <f t="shared" si="110"/>
        <v>0.125</v>
      </c>
      <c r="O848">
        <f t="shared" si="111"/>
        <v>5.5555555555555552E-2</v>
      </c>
      <c r="P848">
        <f t="shared" si="112"/>
        <v>0</v>
      </c>
    </row>
    <row r="849" spans="1:16" x14ac:dyDescent="0.4">
      <c r="A849">
        <v>0.30769230769230771</v>
      </c>
      <c r="B849">
        <v>0.2857142857142857</v>
      </c>
      <c r="C849" s="23">
        <v>0</v>
      </c>
      <c r="D849">
        <v>0.18181818181818182</v>
      </c>
      <c r="E849">
        <v>8.3333333333333329E-2</v>
      </c>
      <c r="F849">
        <v>0.4</v>
      </c>
      <c r="G849">
        <v>0</v>
      </c>
      <c r="H849">
        <v>0</v>
      </c>
      <c r="I849">
        <f t="shared" si="105"/>
        <v>0.30769230769230771</v>
      </c>
      <c r="J849">
        <f t="shared" si="106"/>
        <v>0.2857142857142857</v>
      </c>
      <c r="K849">
        <f t="shared" si="107"/>
        <v>0</v>
      </c>
      <c r="L849">
        <f t="shared" si="108"/>
        <v>0.18181818181818182</v>
      </c>
      <c r="M849">
        <f t="shared" si="109"/>
        <v>8.3333333333333329E-2</v>
      </c>
      <c r="N849">
        <f t="shared" si="110"/>
        <v>0.4</v>
      </c>
      <c r="O849">
        <f t="shared" si="111"/>
        <v>0</v>
      </c>
      <c r="P849">
        <f t="shared" si="112"/>
        <v>0</v>
      </c>
    </row>
    <row r="850" spans="1:16" x14ac:dyDescent="0.4">
      <c r="A850">
        <v>0.25</v>
      </c>
      <c r="B850">
        <v>0.36363636363636365</v>
      </c>
      <c r="C850" s="24">
        <v>0.1</v>
      </c>
      <c r="D850">
        <v>0.22222222222222221</v>
      </c>
      <c r="E850">
        <v>0</v>
      </c>
      <c r="F850">
        <v>0</v>
      </c>
      <c r="G850">
        <v>0</v>
      </c>
      <c r="H850">
        <v>0.4</v>
      </c>
      <c r="I850">
        <f t="shared" si="105"/>
        <v>0.25</v>
      </c>
      <c r="J850">
        <f t="shared" si="106"/>
        <v>0.36363636363636365</v>
      </c>
      <c r="K850">
        <f t="shared" si="107"/>
        <v>0.1</v>
      </c>
      <c r="L850">
        <f t="shared" si="108"/>
        <v>0.22222222222222221</v>
      </c>
      <c r="M850">
        <f t="shared" si="109"/>
        <v>0</v>
      </c>
      <c r="N850">
        <f t="shared" si="110"/>
        <v>0</v>
      </c>
      <c r="O850">
        <f t="shared" si="111"/>
        <v>0</v>
      </c>
      <c r="P850">
        <f t="shared" si="112"/>
        <v>0.4</v>
      </c>
    </row>
    <row r="851" spans="1:16" x14ac:dyDescent="0.4">
      <c r="A851">
        <v>0.36363636363636365</v>
      </c>
      <c r="B851">
        <v>0.16</v>
      </c>
      <c r="C851" s="23">
        <v>9.0909090909090912E-2</v>
      </c>
      <c r="D851">
        <v>5.7971014492753624E-2</v>
      </c>
      <c r="E851">
        <v>0.1</v>
      </c>
      <c r="F851">
        <v>0.13793103448275862</v>
      </c>
      <c r="G851">
        <v>4.1666666666666664E-2</v>
      </c>
      <c r="H851">
        <v>0</v>
      </c>
      <c r="I851">
        <f t="shared" si="105"/>
        <v>0.36363636363636365</v>
      </c>
      <c r="J851">
        <f t="shared" si="106"/>
        <v>0.16</v>
      </c>
      <c r="K851">
        <f t="shared" si="107"/>
        <v>9.0909090909090912E-2</v>
      </c>
      <c r="L851">
        <f t="shared" si="108"/>
        <v>5.7971014492753624E-2</v>
      </c>
      <c r="M851">
        <f t="shared" si="109"/>
        <v>0.1</v>
      </c>
      <c r="N851">
        <f t="shared" si="110"/>
        <v>0.13793103448275862</v>
      </c>
      <c r="O851">
        <f t="shared" si="111"/>
        <v>4.1666666666666664E-2</v>
      </c>
      <c r="P851">
        <f t="shared" si="112"/>
        <v>0</v>
      </c>
    </row>
    <row r="852" spans="1:16" x14ac:dyDescent="0.4">
      <c r="A852">
        <v>0.25</v>
      </c>
      <c r="B852">
        <v>0.22222222222222221</v>
      </c>
      <c r="C852" s="24">
        <v>0.17391304347826086</v>
      </c>
      <c r="D852">
        <v>7.0175438596491224E-2</v>
      </c>
      <c r="E852">
        <v>0</v>
      </c>
      <c r="F852">
        <v>0</v>
      </c>
      <c r="G852">
        <v>6.25E-2</v>
      </c>
      <c r="H852">
        <v>0</v>
      </c>
      <c r="I852">
        <f t="shared" si="105"/>
        <v>0.25</v>
      </c>
      <c r="J852">
        <f t="shared" si="106"/>
        <v>0.22222222222222221</v>
      </c>
      <c r="K852">
        <f t="shared" si="107"/>
        <v>0.17391304347826086</v>
      </c>
      <c r="L852">
        <f t="shared" si="108"/>
        <v>7.0175438596491224E-2</v>
      </c>
      <c r="M852">
        <f t="shared" si="109"/>
        <v>0</v>
      </c>
      <c r="N852">
        <f t="shared" si="110"/>
        <v>0</v>
      </c>
      <c r="O852">
        <f t="shared" si="111"/>
        <v>6.25E-2</v>
      </c>
      <c r="P852">
        <f t="shared" si="112"/>
        <v>0</v>
      </c>
    </row>
    <row r="853" spans="1:16" x14ac:dyDescent="0.4">
      <c r="A853">
        <v>0.33333333333333331</v>
      </c>
      <c r="B853">
        <v>0.33333333333333331</v>
      </c>
      <c r="C853" s="23">
        <v>0.15384615384615385</v>
      </c>
      <c r="D853">
        <v>0.30769230769230771</v>
      </c>
      <c r="E853">
        <v>9.0909090909090912E-2</v>
      </c>
      <c r="F853">
        <v>0</v>
      </c>
      <c r="G853">
        <v>9.0909090909090912E-2</v>
      </c>
      <c r="H853">
        <v>7.6923076923076927E-2</v>
      </c>
      <c r="I853">
        <f t="shared" si="105"/>
        <v>0.33333333333333331</v>
      </c>
      <c r="J853">
        <f t="shared" si="106"/>
        <v>0.33333333333333331</v>
      </c>
      <c r="K853">
        <f t="shared" si="107"/>
        <v>0.15384615384615385</v>
      </c>
      <c r="L853">
        <f t="shared" si="108"/>
        <v>0.30769230769230771</v>
      </c>
      <c r="M853">
        <f t="shared" si="109"/>
        <v>9.0909090909090912E-2</v>
      </c>
      <c r="N853">
        <f t="shared" si="110"/>
        <v>0</v>
      </c>
      <c r="O853">
        <f t="shared" si="111"/>
        <v>9.0909090909090912E-2</v>
      </c>
      <c r="P853">
        <f t="shared" si="112"/>
        <v>7.6923076923076927E-2</v>
      </c>
    </row>
    <row r="854" spans="1:16" x14ac:dyDescent="0.4">
      <c r="A854">
        <v>0.26666666666666666</v>
      </c>
      <c r="B854">
        <v>0</v>
      </c>
      <c r="C854" s="24">
        <v>4.9180327868852458E-2</v>
      </c>
      <c r="D854">
        <v>0.4</v>
      </c>
      <c r="E854">
        <v>7.6923076923076927E-2</v>
      </c>
      <c r="F854">
        <v>6.6666666666666666E-2</v>
      </c>
      <c r="G854">
        <v>0.17391304347826086</v>
      </c>
      <c r="H854">
        <v>0.42857142857142855</v>
      </c>
      <c r="I854">
        <f t="shared" si="105"/>
        <v>0.26666666666666666</v>
      </c>
      <c r="J854">
        <f t="shared" si="106"/>
        <v>0</v>
      </c>
      <c r="K854">
        <f t="shared" si="107"/>
        <v>4.9180327868852458E-2</v>
      </c>
      <c r="L854">
        <f t="shared" si="108"/>
        <v>0.4</v>
      </c>
      <c r="M854">
        <f t="shared" si="109"/>
        <v>7.6923076923076927E-2</v>
      </c>
      <c r="N854">
        <f t="shared" si="110"/>
        <v>6.6666666666666666E-2</v>
      </c>
      <c r="O854">
        <f t="shared" si="111"/>
        <v>0.17391304347826086</v>
      </c>
      <c r="P854">
        <f t="shared" si="112"/>
        <v>0.42857142857142855</v>
      </c>
    </row>
    <row r="855" spans="1:16" x14ac:dyDescent="0.4">
      <c r="A855">
        <v>0.26666666666666666</v>
      </c>
      <c r="B855">
        <v>0.4</v>
      </c>
      <c r="C855" s="23">
        <v>0.21052631578947367</v>
      </c>
      <c r="D855">
        <v>0.26666666666666666</v>
      </c>
      <c r="E855">
        <v>0</v>
      </c>
      <c r="F855">
        <v>5.5555555555555552E-2</v>
      </c>
      <c r="G855">
        <v>0.125</v>
      </c>
      <c r="H855">
        <v>0.15384615384615385</v>
      </c>
      <c r="I855">
        <f t="shared" si="105"/>
        <v>0.26666666666666666</v>
      </c>
      <c r="J855">
        <f t="shared" si="106"/>
        <v>0.4</v>
      </c>
      <c r="K855">
        <f t="shared" si="107"/>
        <v>0.21052631578947367</v>
      </c>
      <c r="L855">
        <f t="shared" si="108"/>
        <v>0.26666666666666666</v>
      </c>
      <c r="M855">
        <f t="shared" si="109"/>
        <v>0</v>
      </c>
      <c r="N855">
        <f t="shared" si="110"/>
        <v>5.5555555555555552E-2</v>
      </c>
      <c r="O855">
        <f t="shared" si="111"/>
        <v>0.125</v>
      </c>
      <c r="P855">
        <f t="shared" si="112"/>
        <v>0.15384615384615385</v>
      </c>
    </row>
    <row r="856" spans="1:16" x14ac:dyDescent="0.4">
      <c r="A856">
        <v>0.33333333333333331</v>
      </c>
      <c r="B856">
        <v>0.26666666666666666</v>
      </c>
      <c r="C856" s="24">
        <v>3.5714285714285712E-2</v>
      </c>
      <c r="D856">
        <v>0.2857142857142857</v>
      </c>
      <c r="E856">
        <v>0.22222222222222221</v>
      </c>
      <c r="F856">
        <v>0.16</v>
      </c>
      <c r="G856">
        <v>7.6923076923076927E-2</v>
      </c>
      <c r="H856">
        <v>7.6923076923076927E-2</v>
      </c>
      <c r="I856">
        <f t="shared" si="105"/>
        <v>0.33333333333333331</v>
      </c>
      <c r="J856">
        <f t="shared" si="106"/>
        <v>0.26666666666666666</v>
      </c>
      <c r="K856">
        <f t="shared" si="107"/>
        <v>3.5714285714285712E-2</v>
      </c>
      <c r="L856">
        <f t="shared" si="108"/>
        <v>0.2857142857142857</v>
      </c>
      <c r="M856">
        <f t="shared" si="109"/>
        <v>0.22222222222222221</v>
      </c>
      <c r="N856">
        <f t="shared" si="110"/>
        <v>0.16</v>
      </c>
      <c r="O856">
        <f t="shared" si="111"/>
        <v>7.6923076923076927E-2</v>
      </c>
      <c r="P856">
        <f t="shared" si="112"/>
        <v>7.6923076923076927E-2</v>
      </c>
    </row>
    <row r="857" spans="1:16" x14ac:dyDescent="0.4">
      <c r="A857">
        <v>0.21052631578947367</v>
      </c>
      <c r="B857">
        <v>0.25</v>
      </c>
      <c r="C857" s="23">
        <v>0.13333333333333333</v>
      </c>
      <c r="D857">
        <v>0.18181818181818182</v>
      </c>
      <c r="E857">
        <v>5.5555555555555552E-2</v>
      </c>
      <c r="F857">
        <v>0</v>
      </c>
      <c r="G857">
        <v>7.1428571428571425E-2</v>
      </c>
      <c r="H857">
        <v>0.2</v>
      </c>
      <c r="I857">
        <f t="shared" si="105"/>
        <v>0.21052631578947367</v>
      </c>
      <c r="J857">
        <f t="shared" si="106"/>
        <v>0.25</v>
      </c>
      <c r="K857">
        <f t="shared" si="107"/>
        <v>0.13333333333333333</v>
      </c>
      <c r="L857">
        <f t="shared" si="108"/>
        <v>0.18181818181818182</v>
      </c>
      <c r="M857">
        <f t="shared" si="109"/>
        <v>5.5555555555555552E-2</v>
      </c>
      <c r="N857">
        <f t="shared" si="110"/>
        <v>0</v>
      </c>
      <c r="O857">
        <f t="shared" si="111"/>
        <v>7.1428571428571425E-2</v>
      </c>
      <c r="P857">
        <f t="shared" si="112"/>
        <v>0.2</v>
      </c>
    </row>
    <row r="858" spans="1:16" x14ac:dyDescent="0.4">
      <c r="A858">
        <v>9.0909090909090912E-2</v>
      </c>
      <c r="B858">
        <v>0.14814814814814814</v>
      </c>
      <c r="C858" s="24">
        <v>0.25</v>
      </c>
      <c r="D858">
        <v>0.4</v>
      </c>
      <c r="E858">
        <v>0.5</v>
      </c>
      <c r="F858">
        <v>0</v>
      </c>
      <c r="G858">
        <v>0.08</v>
      </c>
      <c r="H858">
        <v>0.2857142857142857</v>
      </c>
      <c r="I858">
        <f t="shared" si="105"/>
        <v>9.0909090909090912E-2</v>
      </c>
      <c r="J858">
        <f t="shared" si="106"/>
        <v>0.14814814814814814</v>
      </c>
      <c r="K858">
        <f t="shared" si="107"/>
        <v>0.25</v>
      </c>
      <c r="L858">
        <f t="shared" si="108"/>
        <v>0.4</v>
      </c>
      <c r="M858">
        <f t="shared" si="109"/>
        <v>0.5</v>
      </c>
      <c r="N858">
        <f t="shared" si="110"/>
        <v>0</v>
      </c>
      <c r="O858">
        <f t="shared" si="111"/>
        <v>0.08</v>
      </c>
      <c r="P858">
        <f t="shared" si="112"/>
        <v>0.2857142857142857</v>
      </c>
    </row>
    <row r="859" spans="1:16" x14ac:dyDescent="0.4">
      <c r="A859">
        <v>6.25E-2</v>
      </c>
      <c r="B859">
        <v>0.26666666666666666</v>
      </c>
      <c r="C859" s="23">
        <v>0.19047619047619047</v>
      </c>
      <c r="D859">
        <v>0.5714285714285714</v>
      </c>
      <c r="E859">
        <v>0.14814814814814814</v>
      </c>
      <c r="F859">
        <v>0.16666666666666666</v>
      </c>
      <c r="G859">
        <v>7.6923076923076927E-2</v>
      </c>
      <c r="H859">
        <v>0.18181818181818182</v>
      </c>
      <c r="I859">
        <f t="shared" si="105"/>
        <v>6.25E-2</v>
      </c>
      <c r="J859">
        <f t="shared" si="106"/>
        <v>0.26666666666666666</v>
      </c>
      <c r="K859">
        <f t="shared" si="107"/>
        <v>0.19047619047619047</v>
      </c>
      <c r="L859">
        <f t="shared" si="108"/>
        <v>0.5714285714285714</v>
      </c>
      <c r="M859">
        <f t="shared" si="109"/>
        <v>0.14814814814814814</v>
      </c>
      <c r="N859">
        <f t="shared" si="110"/>
        <v>0.16666666666666666</v>
      </c>
      <c r="O859">
        <f t="shared" si="111"/>
        <v>7.6923076923076927E-2</v>
      </c>
      <c r="P859">
        <f t="shared" si="112"/>
        <v>0.18181818181818182</v>
      </c>
    </row>
    <row r="860" spans="1:16" x14ac:dyDescent="0.4">
      <c r="A860">
        <v>0.18181818181818182</v>
      </c>
      <c r="B860">
        <v>0.30769230769230771</v>
      </c>
      <c r="C860" s="24">
        <v>0.5</v>
      </c>
      <c r="D860">
        <v>0.15384615384615385</v>
      </c>
      <c r="E860">
        <v>0</v>
      </c>
      <c r="F860">
        <v>0.2857142857142857</v>
      </c>
      <c r="G860">
        <v>0</v>
      </c>
      <c r="H860">
        <v>7.1428571428571425E-2</v>
      </c>
      <c r="I860">
        <f t="shared" si="105"/>
        <v>0.18181818181818182</v>
      </c>
      <c r="J860">
        <f t="shared" si="106"/>
        <v>0.30769230769230771</v>
      </c>
      <c r="K860">
        <f t="shared" si="107"/>
        <v>0.5</v>
      </c>
      <c r="L860">
        <f t="shared" si="108"/>
        <v>0.15384615384615385</v>
      </c>
      <c r="M860">
        <f t="shared" si="109"/>
        <v>0</v>
      </c>
      <c r="N860">
        <f t="shared" si="110"/>
        <v>0.2857142857142857</v>
      </c>
      <c r="O860">
        <f t="shared" si="111"/>
        <v>0</v>
      </c>
      <c r="P860">
        <f t="shared" si="112"/>
        <v>7.1428571428571425E-2</v>
      </c>
    </row>
    <row r="861" spans="1:16" x14ac:dyDescent="0.4">
      <c r="A861">
        <v>0</v>
      </c>
      <c r="B861">
        <v>5.2631578947368418E-2</v>
      </c>
      <c r="C861" s="23">
        <v>5.128205128205128E-2</v>
      </c>
      <c r="D861">
        <v>0.44444444444444442</v>
      </c>
      <c r="E861">
        <v>0.18181818181818182</v>
      </c>
      <c r="F861">
        <v>2.7397260273972601E-2</v>
      </c>
      <c r="G861">
        <v>0.23529411764705882</v>
      </c>
      <c r="H861">
        <v>0.125</v>
      </c>
      <c r="I861">
        <f t="shared" si="105"/>
        <v>0</v>
      </c>
      <c r="J861">
        <f t="shared" si="106"/>
        <v>5.2631578947368418E-2</v>
      </c>
      <c r="K861">
        <f t="shared" si="107"/>
        <v>5.128205128205128E-2</v>
      </c>
      <c r="L861">
        <f t="shared" si="108"/>
        <v>0.44444444444444442</v>
      </c>
      <c r="M861">
        <f t="shared" si="109"/>
        <v>0.18181818181818182</v>
      </c>
      <c r="N861">
        <f t="shared" si="110"/>
        <v>2.7397260273972601E-2</v>
      </c>
      <c r="O861">
        <f t="shared" si="111"/>
        <v>0.23529411764705882</v>
      </c>
      <c r="P861">
        <f t="shared" si="112"/>
        <v>0.125</v>
      </c>
    </row>
    <row r="862" spans="1:16" x14ac:dyDescent="0.4">
      <c r="A862">
        <v>0.2857142857142857</v>
      </c>
      <c r="B862">
        <v>0.30769230769230771</v>
      </c>
      <c r="C862" s="24">
        <v>0.5714285714285714</v>
      </c>
      <c r="D862">
        <v>0.30769230769230771</v>
      </c>
      <c r="E862">
        <v>9.0909090909090912E-2</v>
      </c>
      <c r="F862">
        <v>0</v>
      </c>
      <c r="G862">
        <v>0.2</v>
      </c>
      <c r="H862">
        <v>9.0909090909090912E-2</v>
      </c>
      <c r="I862">
        <f t="shared" si="105"/>
        <v>0.2857142857142857</v>
      </c>
      <c r="J862">
        <f t="shared" si="106"/>
        <v>0.30769230769230771</v>
      </c>
      <c r="K862">
        <f t="shared" si="107"/>
        <v>0.5714285714285714</v>
      </c>
      <c r="L862">
        <f t="shared" si="108"/>
        <v>0.30769230769230771</v>
      </c>
      <c r="M862">
        <f t="shared" si="109"/>
        <v>9.0909090909090912E-2</v>
      </c>
      <c r="N862">
        <f t="shared" si="110"/>
        <v>0</v>
      </c>
      <c r="O862">
        <f t="shared" si="111"/>
        <v>0.2</v>
      </c>
      <c r="P862">
        <f t="shared" si="112"/>
        <v>9.0909090909090912E-2</v>
      </c>
    </row>
    <row r="863" spans="1:16" x14ac:dyDescent="0.4">
      <c r="A863">
        <v>0.4</v>
      </c>
      <c r="B863">
        <v>0.12121212121212122</v>
      </c>
      <c r="C863" s="23">
        <v>0.66666666666666663</v>
      </c>
      <c r="D863">
        <v>0</v>
      </c>
      <c r="E863">
        <v>0.1111111111111111</v>
      </c>
      <c r="F863">
        <v>1</v>
      </c>
      <c r="G863">
        <v>3.125E-2</v>
      </c>
      <c r="H863">
        <v>0.66666666666666663</v>
      </c>
      <c r="I863">
        <f t="shared" si="105"/>
        <v>0.4</v>
      </c>
      <c r="J863">
        <f t="shared" si="106"/>
        <v>0.12121212121212122</v>
      </c>
      <c r="K863">
        <f t="shared" si="107"/>
        <v>0.66666666666666663</v>
      </c>
      <c r="L863">
        <f t="shared" si="108"/>
        <v>0</v>
      </c>
      <c r="M863">
        <f t="shared" si="109"/>
        <v>0.1111111111111111</v>
      </c>
      <c r="N863">
        <f t="shared" si="110"/>
        <v>1</v>
      </c>
      <c r="O863">
        <f t="shared" si="111"/>
        <v>3.125E-2</v>
      </c>
      <c r="P863">
        <f t="shared" si="112"/>
        <v>0.66666666666666663</v>
      </c>
    </row>
    <row r="864" spans="1:16" x14ac:dyDescent="0.4">
      <c r="A864">
        <v>0</v>
      </c>
      <c r="B864">
        <v>0</v>
      </c>
      <c r="C864" s="24">
        <v>0.44444444444444442</v>
      </c>
      <c r="D864">
        <v>0.66666666666666663</v>
      </c>
      <c r="E864">
        <v>0.4</v>
      </c>
      <c r="F864">
        <v>0.42857142857142855</v>
      </c>
      <c r="G864">
        <v>0.5</v>
      </c>
      <c r="H864">
        <v>0.66666666666666663</v>
      </c>
      <c r="I864">
        <f t="shared" si="105"/>
        <v>0</v>
      </c>
      <c r="J864">
        <f t="shared" si="106"/>
        <v>0</v>
      </c>
      <c r="K864">
        <f t="shared" si="107"/>
        <v>0.44444444444444442</v>
      </c>
      <c r="L864">
        <f t="shared" si="108"/>
        <v>0.66666666666666663</v>
      </c>
      <c r="M864">
        <f t="shared" si="109"/>
        <v>0.4</v>
      </c>
      <c r="N864">
        <f t="shared" si="110"/>
        <v>0.42857142857142855</v>
      </c>
      <c r="O864">
        <f t="shared" si="111"/>
        <v>0.5</v>
      </c>
      <c r="P864">
        <f t="shared" si="112"/>
        <v>0.66666666666666663</v>
      </c>
    </row>
    <row r="865" spans="1:16" x14ac:dyDescent="0.4">
      <c r="A865">
        <v>0.26666666666666666</v>
      </c>
      <c r="B865">
        <v>0.5714285714285714</v>
      </c>
      <c r="C865" s="23">
        <v>0.5714285714285714</v>
      </c>
      <c r="D865">
        <v>0.26666666666666666</v>
      </c>
      <c r="E865">
        <v>0</v>
      </c>
      <c r="F865">
        <v>0.16666666666666666</v>
      </c>
      <c r="G865">
        <v>0.5</v>
      </c>
      <c r="H865">
        <v>0.11764705882352941</v>
      </c>
      <c r="I865">
        <f t="shared" si="105"/>
        <v>0.26666666666666666</v>
      </c>
      <c r="J865">
        <f t="shared" si="106"/>
        <v>0.5714285714285714</v>
      </c>
      <c r="K865">
        <f t="shared" si="107"/>
        <v>0.5714285714285714</v>
      </c>
      <c r="L865">
        <f t="shared" si="108"/>
        <v>0.26666666666666666</v>
      </c>
      <c r="M865">
        <f t="shared" si="109"/>
        <v>0</v>
      </c>
      <c r="N865">
        <f t="shared" si="110"/>
        <v>0.16666666666666666</v>
      </c>
      <c r="O865">
        <f t="shared" si="111"/>
        <v>0.5</v>
      </c>
      <c r="P865">
        <f t="shared" si="112"/>
        <v>0.11764705882352941</v>
      </c>
    </row>
    <row r="866" spans="1:16" x14ac:dyDescent="0.4">
      <c r="A866">
        <v>0.4</v>
      </c>
      <c r="B866">
        <v>0.26666666666666666</v>
      </c>
      <c r="C866" s="24">
        <v>0.44444444444444442</v>
      </c>
      <c r="D866">
        <v>0.3</v>
      </c>
      <c r="E866">
        <v>0.1111111111111111</v>
      </c>
      <c r="F866">
        <v>0.2857142857142857</v>
      </c>
      <c r="G866">
        <v>0</v>
      </c>
      <c r="H866">
        <v>0.5714285714285714</v>
      </c>
      <c r="I866">
        <f t="shared" si="105"/>
        <v>0.4</v>
      </c>
      <c r="J866">
        <f t="shared" si="106"/>
        <v>0.26666666666666666</v>
      </c>
      <c r="K866">
        <f t="shared" si="107"/>
        <v>0.44444444444444442</v>
      </c>
      <c r="L866">
        <f t="shared" si="108"/>
        <v>0.3</v>
      </c>
      <c r="M866">
        <f t="shared" si="109"/>
        <v>0.1111111111111111</v>
      </c>
      <c r="N866">
        <f t="shared" si="110"/>
        <v>0.2857142857142857</v>
      </c>
      <c r="O866">
        <f t="shared" si="111"/>
        <v>0</v>
      </c>
      <c r="P866">
        <f t="shared" si="112"/>
        <v>0.5714285714285714</v>
      </c>
    </row>
    <row r="867" spans="1:16" x14ac:dyDescent="0.4">
      <c r="A867">
        <v>0.26666666666666666</v>
      </c>
      <c r="B867">
        <v>0.14814814814814814</v>
      </c>
      <c r="C867" s="23">
        <v>0.26666666666666666</v>
      </c>
      <c r="D867">
        <v>0.14814814814814814</v>
      </c>
      <c r="E867">
        <v>7.1428571428571425E-2</v>
      </c>
      <c r="F867">
        <v>0</v>
      </c>
      <c r="G867">
        <v>0</v>
      </c>
      <c r="H867">
        <v>9.0909090909090912E-2</v>
      </c>
      <c r="I867">
        <f t="shared" si="105"/>
        <v>0.26666666666666666</v>
      </c>
      <c r="J867">
        <f t="shared" si="106"/>
        <v>0.14814814814814814</v>
      </c>
      <c r="K867">
        <f t="shared" si="107"/>
        <v>0.26666666666666666</v>
      </c>
      <c r="L867">
        <f t="shared" si="108"/>
        <v>0.14814814814814814</v>
      </c>
      <c r="M867">
        <f t="shared" si="109"/>
        <v>7.1428571428571425E-2</v>
      </c>
      <c r="N867">
        <f t="shared" si="110"/>
        <v>0</v>
      </c>
      <c r="O867">
        <f t="shared" si="111"/>
        <v>0</v>
      </c>
      <c r="P867">
        <f t="shared" si="112"/>
        <v>9.0909090909090912E-2</v>
      </c>
    </row>
    <row r="868" spans="1:16" x14ac:dyDescent="0.4">
      <c r="A868">
        <v>0.19047619047619047</v>
      </c>
      <c r="B868">
        <v>0.19047619047619047</v>
      </c>
      <c r="C868" s="24">
        <v>0.2857142857142857</v>
      </c>
      <c r="D868">
        <v>0.14285714285714285</v>
      </c>
      <c r="E868">
        <v>5.2631578947368418E-2</v>
      </c>
      <c r="F868">
        <v>7.6923076923076927E-2</v>
      </c>
      <c r="G868">
        <v>0.17647058823529413</v>
      </c>
      <c r="H868">
        <v>0.5714285714285714</v>
      </c>
      <c r="I868">
        <f t="shared" si="105"/>
        <v>0.19047619047619047</v>
      </c>
      <c r="J868">
        <f t="shared" si="106"/>
        <v>0.19047619047619047</v>
      </c>
      <c r="K868">
        <f t="shared" si="107"/>
        <v>0.2857142857142857</v>
      </c>
      <c r="L868">
        <f t="shared" si="108"/>
        <v>0.14285714285714285</v>
      </c>
      <c r="M868">
        <f t="shared" si="109"/>
        <v>5.2631578947368418E-2</v>
      </c>
      <c r="N868">
        <f t="shared" si="110"/>
        <v>7.6923076923076927E-2</v>
      </c>
      <c r="O868">
        <f t="shared" si="111"/>
        <v>0.17647058823529413</v>
      </c>
      <c r="P868">
        <f t="shared" si="112"/>
        <v>0.5714285714285714</v>
      </c>
    </row>
    <row r="869" spans="1:16" x14ac:dyDescent="0.4">
      <c r="A869">
        <v>0.30769230769230771</v>
      </c>
      <c r="B869">
        <v>0.21052631578947367</v>
      </c>
      <c r="C869" s="23">
        <v>0.1875</v>
      </c>
      <c r="D869">
        <v>0.1</v>
      </c>
      <c r="E869">
        <v>9.0909090909090912E-2</v>
      </c>
      <c r="F869">
        <v>0.2857142857142857</v>
      </c>
      <c r="G869">
        <v>0</v>
      </c>
      <c r="H869">
        <v>0.19047619047619047</v>
      </c>
      <c r="I869">
        <f t="shared" si="105"/>
        <v>0.30769230769230771</v>
      </c>
      <c r="J869">
        <f t="shared" si="106"/>
        <v>0.21052631578947367</v>
      </c>
      <c r="K869">
        <f t="shared" si="107"/>
        <v>0.1875</v>
      </c>
      <c r="L869">
        <f t="shared" si="108"/>
        <v>0.1</v>
      </c>
      <c r="M869">
        <f t="shared" si="109"/>
        <v>9.0909090909090912E-2</v>
      </c>
      <c r="N869">
        <f t="shared" si="110"/>
        <v>0.2857142857142857</v>
      </c>
      <c r="O869">
        <f t="shared" si="111"/>
        <v>0</v>
      </c>
      <c r="P869">
        <f t="shared" si="112"/>
        <v>0.19047619047619047</v>
      </c>
    </row>
    <row r="870" spans="1:16" x14ac:dyDescent="0.4">
      <c r="A870">
        <v>0.2857142857142857</v>
      </c>
      <c r="B870">
        <v>0.30769230769230771</v>
      </c>
      <c r="C870" s="24">
        <v>0.33333333333333331</v>
      </c>
      <c r="D870">
        <v>0.36363636363636365</v>
      </c>
      <c r="E870">
        <v>0</v>
      </c>
      <c r="F870">
        <v>0</v>
      </c>
      <c r="G870">
        <v>0.2</v>
      </c>
      <c r="H870">
        <v>0.1111111111111111</v>
      </c>
      <c r="I870">
        <f t="shared" si="105"/>
        <v>0.2857142857142857</v>
      </c>
      <c r="J870">
        <f t="shared" si="106"/>
        <v>0.30769230769230771</v>
      </c>
      <c r="K870">
        <f t="shared" si="107"/>
        <v>0.33333333333333331</v>
      </c>
      <c r="L870">
        <f t="shared" si="108"/>
        <v>0.36363636363636365</v>
      </c>
      <c r="M870">
        <f t="shared" si="109"/>
        <v>0</v>
      </c>
      <c r="N870">
        <f t="shared" si="110"/>
        <v>0</v>
      </c>
      <c r="O870">
        <f t="shared" si="111"/>
        <v>0.2</v>
      </c>
      <c r="P870">
        <f t="shared" si="112"/>
        <v>0.1111111111111111</v>
      </c>
    </row>
    <row r="871" spans="1:16" x14ac:dyDescent="0.4">
      <c r="A871">
        <v>0.4</v>
      </c>
      <c r="B871">
        <v>0.33333333333333331</v>
      </c>
      <c r="C871" s="23">
        <v>9.7560975609756101E-2</v>
      </c>
      <c r="D871">
        <v>4.5454545454545456E-2</v>
      </c>
      <c r="E871">
        <v>0.1111111111111111</v>
      </c>
      <c r="F871">
        <v>0</v>
      </c>
      <c r="G871">
        <v>0</v>
      </c>
      <c r="H871">
        <v>0.19047619047619047</v>
      </c>
      <c r="I871">
        <f t="shared" si="105"/>
        <v>0.4</v>
      </c>
      <c r="J871">
        <f t="shared" si="106"/>
        <v>0.33333333333333331</v>
      </c>
      <c r="K871">
        <f t="shared" si="107"/>
        <v>9.7560975609756101E-2</v>
      </c>
      <c r="L871">
        <f t="shared" si="108"/>
        <v>4.5454545454545456E-2</v>
      </c>
      <c r="M871">
        <f t="shared" si="109"/>
        <v>0.1111111111111111</v>
      </c>
      <c r="N871">
        <f t="shared" si="110"/>
        <v>0</v>
      </c>
      <c r="O871">
        <f t="shared" si="111"/>
        <v>0</v>
      </c>
      <c r="P871">
        <f t="shared" si="112"/>
        <v>0.19047619047619047</v>
      </c>
    </row>
    <row r="872" spans="1:16" x14ac:dyDescent="0.4">
      <c r="A872">
        <v>0.33333333333333331</v>
      </c>
      <c r="B872">
        <v>0.44444444444444442</v>
      </c>
      <c r="C872" s="24">
        <v>4.3010752688172046E-2</v>
      </c>
      <c r="D872">
        <v>0.36363636363636365</v>
      </c>
      <c r="E872">
        <v>0.1</v>
      </c>
      <c r="F872">
        <v>2.247191011235955E-2</v>
      </c>
      <c r="G872">
        <v>0.125</v>
      </c>
      <c r="H872">
        <v>0.25</v>
      </c>
      <c r="I872">
        <f t="shared" si="105"/>
        <v>0.33333333333333331</v>
      </c>
      <c r="J872">
        <f t="shared" si="106"/>
        <v>0.44444444444444442</v>
      </c>
      <c r="K872">
        <f t="shared" si="107"/>
        <v>4.3010752688172046E-2</v>
      </c>
      <c r="L872">
        <f t="shared" si="108"/>
        <v>0.36363636363636365</v>
      </c>
      <c r="M872">
        <f t="shared" si="109"/>
        <v>0.1</v>
      </c>
      <c r="N872">
        <f t="shared" si="110"/>
        <v>2.247191011235955E-2</v>
      </c>
      <c r="O872">
        <f t="shared" si="111"/>
        <v>0.125</v>
      </c>
      <c r="P872">
        <f t="shared" si="112"/>
        <v>0.25</v>
      </c>
    </row>
    <row r="873" spans="1:16" x14ac:dyDescent="0.4">
      <c r="A873">
        <v>0.2857142857142857</v>
      </c>
      <c r="B873">
        <v>0.44444444444444442</v>
      </c>
      <c r="C873" s="23">
        <v>0.19047619047619047</v>
      </c>
      <c r="D873">
        <v>0.23529411764705882</v>
      </c>
      <c r="E873">
        <v>0.16666666666666666</v>
      </c>
      <c r="F873">
        <v>0.15789473684210525</v>
      </c>
      <c r="G873">
        <v>0</v>
      </c>
      <c r="H873">
        <v>0.08</v>
      </c>
      <c r="I873">
        <f t="shared" si="105"/>
        <v>0.2857142857142857</v>
      </c>
      <c r="J873">
        <f t="shared" si="106"/>
        <v>0.44444444444444442</v>
      </c>
      <c r="K873">
        <f t="shared" si="107"/>
        <v>0.19047619047619047</v>
      </c>
      <c r="L873">
        <f t="shared" si="108"/>
        <v>0.23529411764705882</v>
      </c>
      <c r="M873">
        <f t="shared" si="109"/>
        <v>0.16666666666666666</v>
      </c>
      <c r="N873">
        <f t="shared" si="110"/>
        <v>0.15789473684210525</v>
      </c>
      <c r="O873">
        <f t="shared" si="111"/>
        <v>0</v>
      </c>
      <c r="P873">
        <f t="shared" si="112"/>
        <v>0.08</v>
      </c>
    </row>
    <row r="874" spans="1:16" x14ac:dyDescent="0.4">
      <c r="A874">
        <v>0.13333333333333333</v>
      </c>
      <c r="B874">
        <v>0.125</v>
      </c>
      <c r="C874" s="24">
        <v>0.18181818181818182</v>
      </c>
      <c r="D874">
        <v>0.14285714285714285</v>
      </c>
      <c r="E874">
        <v>3.0303030303030304E-2</v>
      </c>
      <c r="F874">
        <v>0.5</v>
      </c>
      <c r="G874">
        <v>0.2</v>
      </c>
      <c r="H874">
        <v>0.22222222222222221</v>
      </c>
      <c r="I874">
        <f t="shared" si="105"/>
        <v>0.13333333333333333</v>
      </c>
      <c r="J874">
        <f t="shared" si="106"/>
        <v>0.125</v>
      </c>
      <c r="K874">
        <f t="shared" si="107"/>
        <v>0.18181818181818182</v>
      </c>
      <c r="L874">
        <f t="shared" si="108"/>
        <v>0.14285714285714285</v>
      </c>
      <c r="M874">
        <f t="shared" si="109"/>
        <v>3.0303030303030304E-2</v>
      </c>
      <c r="N874">
        <f t="shared" si="110"/>
        <v>0.5</v>
      </c>
      <c r="O874">
        <f t="shared" si="111"/>
        <v>0.2</v>
      </c>
      <c r="P874">
        <f t="shared" si="112"/>
        <v>0.22222222222222221</v>
      </c>
    </row>
    <row r="875" spans="1:16" x14ac:dyDescent="0.4">
      <c r="A875">
        <v>0.33333333333333331</v>
      </c>
      <c r="B875">
        <v>0.4</v>
      </c>
      <c r="C875" s="23">
        <v>1.1235955056179775E-2</v>
      </c>
      <c r="D875">
        <v>1.6393442622950821E-2</v>
      </c>
      <c r="E875">
        <v>9.0909090909090912E-2</v>
      </c>
      <c r="F875">
        <v>4.7058823529411764E-2</v>
      </c>
      <c r="G875">
        <v>0</v>
      </c>
      <c r="H875">
        <v>6.0606060606060608E-2</v>
      </c>
      <c r="I875">
        <f t="shared" si="105"/>
        <v>0.33333333333333331</v>
      </c>
      <c r="J875">
        <f t="shared" si="106"/>
        <v>0.4</v>
      </c>
      <c r="K875">
        <f t="shared" si="107"/>
        <v>1.1235955056179775E-2</v>
      </c>
      <c r="L875">
        <f t="shared" si="108"/>
        <v>1.6393442622950821E-2</v>
      </c>
      <c r="M875">
        <f t="shared" si="109"/>
        <v>9.0909090909090912E-2</v>
      </c>
      <c r="N875">
        <f t="shared" si="110"/>
        <v>4.7058823529411764E-2</v>
      </c>
      <c r="O875">
        <f t="shared" si="111"/>
        <v>0</v>
      </c>
      <c r="P875">
        <f t="shared" si="112"/>
        <v>6.0606060606060608E-2</v>
      </c>
    </row>
    <row r="876" spans="1:16" x14ac:dyDescent="0.4">
      <c r="A876">
        <v>0.33333333333333331</v>
      </c>
      <c r="B876">
        <v>0.33333333333333331</v>
      </c>
      <c r="C876" s="24">
        <v>0.17391304347826086</v>
      </c>
      <c r="D876">
        <v>5.5555555555555552E-2</v>
      </c>
      <c r="E876">
        <v>0</v>
      </c>
      <c r="F876">
        <v>4.7619047619047616E-2</v>
      </c>
      <c r="G876">
        <v>0</v>
      </c>
      <c r="H876">
        <v>0.11428571428571428</v>
      </c>
      <c r="I876">
        <f t="shared" si="105"/>
        <v>0.33333333333333331</v>
      </c>
      <c r="J876">
        <f t="shared" si="106"/>
        <v>0.33333333333333331</v>
      </c>
      <c r="K876">
        <f t="shared" si="107"/>
        <v>0.17391304347826086</v>
      </c>
      <c r="L876">
        <f t="shared" si="108"/>
        <v>5.5555555555555552E-2</v>
      </c>
      <c r="M876">
        <f t="shared" si="109"/>
        <v>0</v>
      </c>
      <c r="N876">
        <f t="shared" si="110"/>
        <v>4.7619047619047616E-2</v>
      </c>
      <c r="O876">
        <f t="shared" si="111"/>
        <v>0</v>
      </c>
      <c r="P876">
        <f t="shared" si="112"/>
        <v>0.11428571428571428</v>
      </c>
    </row>
    <row r="877" spans="1:16" x14ac:dyDescent="0.4">
      <c r="A877">
        <v>0.36363636363636365</v>
      </c>
      <c r="B877">
        <v>0.5</v>
      </c>
      <c r="C877" s="23">
        <v>0.33333333333333331</v>
      </c>
      <c r="D877">
        <v>0.25</v>
      </c>
      <c r="E877">
        <v>0</v>
      </c>
      <c r="F877">
        <v>0.2</v>
      </c>
      <c r="G877">
        <v>0</v>
      </c>
      <c r="H877">
        <v>0.22222222222222221</v>
      </c>
      <c r="I877">
        <f t="shared" si="105"/>
        <v>0.36363636363636365</v>
      </c>
      <c r="J877">
        <f t="shared" si="106"/>
        <v>0.5</v>
      </c>
      <c r="K877">
        <f t="shared" si="107"/>
        <v>0.33333333333333331</v>
      </c>
      <c r="L877">
        <f t="shared" si="108"/>
        <v>0.25</v>
      </c>
      <c r="M877">
        <f t="shared" si="109"/>
        <v>0</v>
      </c>
      <c r="N877">
        <f t="shared" si="110"/>
        <v>0.2</v>
      </c>
      <c r="O877">
        <f t="shared" si="111"/>
        <v>0</v>
      </c>
      <c r="P877">
        <f t="shared" si="112"/>
        <v>0.22222222222222221</v>
      </c>
    </row>
    <row r="878" spans="1:16" x14ac:dyDescent="0.4">
      <c r="A878">
        <v>0.16666666666666666</v>
      </c>
      <c r="B878">
        <v>0.36363636363636365</v>
      </c>
      <c r="C878" s="24">
        <v>0.19047619047619047</v>
      </c>
      <c r="D878">
        <v>8.5106382978723402E-2</v>
      </c>
      <c r="E878">
        <v>4.1666666666666664E-2</v>
      </c>
      <c r="F878">
        <v>0.10526315789473684</v>
      </c>
      <c r="G878">
        <v>0.42857142857142855</v>
      </c>
      <c r="H878">
        <v>2.0833333333333332E-2</v>
      </c>
      <c r="I878">
        <f t="shared" si="105"/>
        <v>0.16666666666666666</v>
      </c>
      <c r="J878">
        <f t="shared" si="106"/>
        <v>0.36363636363636365</v>
      </c>
      <c r="K878">
        <f t="shared" si="107"/>
        <v>0.19047619047619047</v>
      </c>
      <c r="L878">
        <f t="shared" si="108"/>
        <v>8.5106382978723402E-2</v>
      </c>
      <c r="M878">
        <f t="shared" si="109"/>
        <v>4.1666666666666664E-2</v>
      </c>
      <c r="N878">
        <f t="shared" si="110"/>
        <v>0.10526315789473684</v>
      </c>
      <c r="O878">
        <f t="shared" si="111"/>
        <v>0.42857142857142855</v>
      </c>
      <c r="P878">
        <f t="shared" si="112"/>
        <v>2.0833333333333332E-2</v>
      </c>
    </row>
    <row r="879" spans="1:16" x14ac:dyDescent="0.4">
      <c r="A879">
        <v>0.4</v>
      </c>
      <c r="B879">
        <v>5.2631578947368418E-2</v>
      </c>
      <c r="C879" s="23">
        <v>0.36363636363636365</v>
      </c>
      <c r="D879">
        <v>0</v>
      </c>
      <c r="E879">
        <v>0.1111111111111111</v>
      </c>
      <c r="F879">
        <v>0.22222222222222221</v>
      </c>
      <c r="G879">
        <v>0.15384615384615385</v>
      </c>
      <c r="H879">
        <v>0.21052631578947367</v>
      </c>
      <c r="I879">
        <f t="shared" si="105"/>
        <v>0.4</v>
      </c>
      <c r="J879">
        <f t="shared" si="106"/>
        <v>5.2631578947368418E-2</v>
      </c>
      <c r="K879">
        <f t="shared" si="107"/>
        <v>0.36363636363636365</v>
      </c>
      <c r="L879">
        <f t="shared" si="108"/>
        <v>0</v>
      </c>
      <c r="M879">
        <f t="shared" si="109"/>
        <v>0.1111111111111111</v>
      </c>
      <c r="N879">
        <f t="shared" si="110"/>
        <v>0.22222222222222221</v>
      </c>
      <c r="O879">
        <f t="shared" si="111"/>
        <v>0.15384615384615385</v>
      </c>
      <c r="P879">
        <f t="shared" si="112"/>
        <v>0.21052631578947367</v>
      </c>
    </row>
    <row r="880" spans="1:16" x14ac:dyDescent="0.4">
      <c r="A880">
        <v>0.17391304347826086</v>
      </c>
      <c r="B880">
        <v>0.33333333333333331</v>
      </c>
      <c r="C880" s="24">
        <v>0.2857142857142857</v>
      </c>
      <c r="D880">
        <v>0.25</v>
      </c>
      <c r="E880">
        <v>0</v>
      </c>
      <c r="F880">
        <v>0.27272727272727271</v>
      </c>
      <c r="G880">
        <v>0.22222222222222221</v>
      </c>
      <c r="H880">
        <v>0.27272727272727271</v>
      </c>
      <c r="I880">
        <f t="shared" si="105"/>
        <v>0.17391304347826086</v>
      </c>
      <c r="J880">
        <f t="shared" si="106"/>
        <v>0.33333333333333331</v>
      </c>
      <c r="K880">
        <f t="shared" si="107"/>
        <v>0.2857142857142857</v>
      </c>
      <c r="L880">
        <f t="shared" si="108"/>
        <v>0.25</v>
      </c>
      <c r="M880">
        <f t="shared" si="109"/>
        <v>0</v>
      </c>
      <c r="N880">
        <f t="shared" si="110"/>
        <v>0.27272727272727271</v>
      </c>
      <c r="O880">
        <f t="shared" si="111"/>
        <v>0.22222222222222221</v>
      </c>
      <c r="P880">
        <f t="shared" si="112"/>
        <v>0.27272727272727271</v>
      </c>
    </row>
    <row r="881" spans="1:16" x14ac:dyDescent="0.4">
      <c r="A881">
        <v>0.16</v>
      </c>
      <c r="B881">
        <v>0.13333333333333333</v>
      </c>
      <c r="C881" s="23">
        <v>0.16</v>
      </c>
      <c r="D881">
        <v>0.13333333333333333</v>
      </c>
      <c r="E881">
        <v>8.6956521739130432E-2</v>
      </c>
      <c r="F881">
        <v>0.13043478260869565</v>
      </c>
      <c r="G881">
        <v>0</v>
      </c>
      <c r="H881">
        <v>3.3333333333333333E-2</v>
      </c>
      <c r="I881">
        <f t="shared" si="105"/>
        <v>0.16</v>
      </c>
      <c r="J881">
        <f t="shared" si="106"/>
        <v>0.13333333333333333</v>
      </c>
      <c r="K881">
        <f t="shared" si="107"/>
        <v>0.16</v>
      </c>
      <c r="L881">
        <f t="shared" si="108"/>
        <v>0.13333333333333333</v>
      </c>
      <c r="M881">
        <f t="shared" si="109"/>
        <v>8.6956521739130432E-2</v>
      </c>
      <c r="N881">
        <f t="shared" si="110"/>
        <v>0.13043478260869565</v>
      </c>
      <c r="O881">
        <f t="shared" si="111"/>
        <v>0</v>
      </c>
      <c r="P881">
        <f t="shared" si="112"/>
        <v>3.3333333333333333E-2</v>
      </c>
    </row>
    <row r="882" spans="1:16" x14ac:dyDescent="0.4">
      <c r="A882">
        <v>0.30769230769230771</v>
      </c>
      <c r="B882">
        <v>0.23529411764705882</v>
      </c>
      <c r="C882" s="24">
        <v>0.66666666666666663</v>
      </c>
      <c r="D882">
        <v>2.8846153846153848E-2</v>
      </c>
      <c r="E882">
        <v>0</v>
      </c>
      <c r="F882">
        <v>0.75</v>
      </c>
      <c r="G882">
        <v>0</v>
      </c>
      <c r="H882">
        <v>2.6785714285714284E-2</v>
      </c>
      <c r="I882">
        <f t="shared" si="105"/>
        <v>0.30769230769230771</v>
      </c>
      <c r="J882">
        <f t="shared" si="106"/>
        <v>0.23529411764705882</v>
      </c>
      <c r="K882">
        <f t="shared" si="107"/>
        <v>0.66666666666666663</v>
      </c>
      <c r="L882">
        <f t="shared" si="108"/>
        <v>2.8846153846153848E-2</v>
      </c>
      <c r="M882">
        <f t="shared" si="109"/>
        <v>0</v>
      </c>
      <c r="N882">
        <f t="shared" si="110"/>
        <v>0.75</v>
      </c>
      <c r="O882">
        <f t="shared" si="111"/>
        <v>0</v>
      </c>
      <c r="P882">
        <f t="shared" si="112"/>
        <v>2.6785714285714284E-2</v>
      </c>
    </row>
    <row r="883" spans="1:16" x14ac:dyDescent="0.4">
      <c r="A883">
        <v>0</v>
      </c>
      <c r="B883">
        <v>0.19047619047619047</v>
      </c>
      <c r="C883" s="23">
        <v>0.36363636363636365</v>
      </c>
      <c r="D883">
        <v>0.14285714285714285</v>
      </c>
      <c r="E883">
        <v>0.17391304347826086</v>
      </c>
      <c r="F883">
        <v>0.22222222222222221</v>
      </c>
      <c r="G883">
        <v>0.10526315789473684</v>
      </c>
      <c r="H883">
        <v>0.33333333333333331</v>
      </c>
      <c r="I883">
        <f t="shared" si="105"/>
        <v>0</v>
      </c>
      <c r="J883">
        <f t="shared" si="106"/>
        <v>0.19047619047619047</v>
      </c>
      <c r="K883">
        <f t="shared" si="107"/>
        <v>0.36363636363636365</v>
      </c>
      <c r="L883">
        <f t="shared" si="108"/>
        <v>0.14285714285714285</v>
      </c>
      <c r="M883">
        <f t="shared" si="109"/>
        <v>0.17391304347826086</v>
      </c>
      <c r="N883">
        <f t="shared" si="110"/>
        <v>0.22222222222222221</v>
      </c>
      <c r="O883">
        <f t="shared" si="111"/>
        <v>0.10526315789473684</v>
      </c>
      <c r="P883">
        <f t="shared" si="112"/>
        <v>0.33333333333333331</v>
      </c>
    </row>
    <row r="884" spans="1:16" x14ac:dyDescent="0.4">
      <c r="A884">
        <v>0.10810810810810811</v>
      </c>
      <c r="B884">
        <v>0.5</v>
      </c>
      <c r="C884" s="24">
        <v>0.26666666666666666</v>
      </c>
      <c r="D884">
        <v>3.8834951456310676E-2</v>
      </c>
      <c r="E884">
        <v>6.0606060606060608E-2</v>
      </c>
      <c r="F884">
        <v>0.25</v>
      </c>
      <c r="G884">
        <v>0</v>
      </c>
      <c r="H884">
        <v>9.7087378640776691E-3</v>
      </c>
      <c r="I884">
        <f t="shared" si="105"/>
        <v>0.10810810810810811</v>
      </c>
      <c r="J884">
        <f t="shared" si="106"/>
        <v>0.5</v>
      </c>
      <c r="K884">
        <f t="shared" si="107"/>
        <v>0.26666666666666666</v>
      </c>
      <c r="L884">
        <f t="shared" si="108"/>
        <v>3.8834951456310676E-2</v>
      </c>
      <c r="M884">
        <f t="shared" si="109"/>
        <v>6.0606060606060608E-2</v>
      </c>
      <c r="N884">
        <f t="shared" si="110"/>
        <v>0.25</v>
      </c>
      <c r="O884">
        <f t="shared" si="111"/>
        <v>0</v>
      </c>
      <c r="P884">
        <f t="shared" si="112"/>
        <v>9.7087378640776691E-3</v>
      </c>
    </row>
    <row r="885" spans="1:16" x14ac:dyDescent="0.4">
      <c r="A885">
        <v>0.36363636363636365</v>
      </c>
      <c r="B885">
        <v>0.23529411764705882</v>
      </c>
      <c r="C885" s="23">
        <v>0.44444444444444442</v>
      </c>
      <c r="D885">
        <v>5.5555555555555552E-2</v>
      </c>
      <c r="E885">
        <v>0.1</v>
      </c>
      <c r="F885">
        <v>0.125</v>
      </c>
      <c r="G885">
        <v>6.6666666666666666E-2</v>
      </c>
      <c r="H885">
        <v>2.3809523809523808E-2</v>
      </c>
      <c r="I885">
        <f t="shared" si="105"/>
        <v>0.36363636363636365</v>
      </c>
      <c r="J885">
        <f t="shared" si="106"/>
        <v>0.23529411764705882</v>
      </c>
      <c r="K885">
        <f t="shared" si="107"/>
        <v>0.44444444444444442</v>
      </c>
      <c r="L885">
        <f t="shared" si="108"/>
        <v>5.5555555555555552E-2</v>
      </c>
      <c r="M885">
        <f t="shared" si="109"/>
        <v>0.1</v>
      </c>
      <c r="N885">
        <f t="shared" si="110"/>
        <v>0.125</v>
      </c>
      <c r="O885">
        <f t="shared" si="111"/>
        <v>6.6666666666666666E-2</v>
      </c>
      <c r="P885">
        <f t="shared" si="112"/>
        <v>2.3809523809523808E-2</v>
      </c>
    </row>
    <row r="886" spans="1:16" x14ac:dyDescent="0.4">
      <c r="A886">
        <v>0.36363636363636365</v>
      </c>
      <c r="B886">
        <v>0</v>
      </c>
      <c r="C886" s="24">
        <v>0.36363636363636365</v>
      </c>
      <c r="D886">
        <v>0.4</v>
      </c>
      <c r="E886">
        <v>0</v>
      </c>
      <c r="F886">
        <v>9.0909090909090912E-2</v>
      </c>
      <c r="G886">
        <v>0.25</v>
      </c>
      <c r="H886">
        <v>0.25</v>
      </c>
      <c r="I886">
        <f t="shared" si="105"/>
        <v>0.36363636363636365</v>
      </c>
      <c r="J886">
        <f t="shared" si="106"/>
        <v>0</v>
      </c>
      <c r="K886">
        <f t="shared" si="107"/>
        <v>0.36363636363636365</v>
      </c>
      <c r="L886">
        <f t="shared" si="108"/>
        <v>0.4</v>
      </c>
      <c r="M886">
        <f t="shared" si="109"/>
        <v>0</v>
      </c>
      <c r="N886">
        <f t="shared" si="110"/>
        <v>9.0909090909090912E-2</v>
      </c>
      <c r="O886">
        <f t="shared" si="111"/>
        <v>0.25</v>
      </c>
      <c r="P886">
        <f t="shared" si="112"/>
        <v>0.25</v>
      </c>
    </row>
    <row r="887" spans="1:16" x14ac:dyDescent="0.4">
      <c r="A887">
        <v>0</v>
      </c>
      <c r="B887">
        <v>0.36363636363636365</v>
      </c>
      <c r="C887" s="23">
        <v>0.5714285714285714</v>
      </c>
      <c r="D887">
        <v>0.44444444444444442</v>
      </c>
      <c r="E887">
        <v>0.30769230769230771</v>
      </c>
      <c r="F887">
        <v>0.16666666666666666</v>
      </c>
      <c r="G887">
        <v>0</v>
      </c>
      <c r="H887">
        <v>0.2857142857142857</v>
      </c>
      <c r="I887">
        <f t="shared" si="105"/>
        <v>0</v>
      </c>
      <c r="J887">
        <f t="shared" si="106"/>
        <v>0.36363636363636365</v>
      </c>
      <c r="K887">
        <f t="shared" si="107"/>
        <v>0.5714285714285714</v>
      </c>
      <c r="L887">
        <f t="shared" si="108"/>
        <v>0.44444444444444442</v>
      </c>
      <c r="M887">
        <f t="shared" si="109"/>
        <v>0.30769230769230771</v>
      </c>
      <c r="N887">
        <f t="shared" si="110"/>
        <v>0.16666666666666666</v>
      </c>
      <c r="O887">
        <f t="shared" si="111"/>
        <v>0</v>
      </c>
      <c r="P887">
        <f t="shared" si="112"/>
        <v>0.2857142857142857</v>
      </c>
    </row>
    <row r="888" spans="1:16" x14ac:dyDescent="0.4">
      <c r="A888">
        <v>0.33333333333333331</v>
      </c>
      <c r="B888">
        <v>0.10256410256410256</v>
      </c>
      <c r="C888" s="24">
        <v>0.30769230769230771</v>
      </c>
      <c r="D888">
        <v>0.25</v>
      </c>
      <c r="E888">
        <v>0</v>
      </c>
      <c r="F888">
        <v>0.27272727272727271</v>
      </c>
      <c r="G888">
        <v>0</v>
      </c>
      <c r="H888">
        <v>0.33333333333333331</v>
      </c>
      <c r="I888">
        <f t="shared" si="105"/>
        <v>0.33333333333333331</v>
      </c>
      <c r="J888">
        <f t="shared" si="106"/>
        <v>0.10256410256410256</v>
      </c>
      <c r="K888">
        <f t="shared" si="107"/>
        <v>0.30769230769230771</v>
      </c>
      <c r="L888">
        <f t="shared" si="108"/>
        <v>0.25</v>
      </c>
      <c r="M888">
        <f t="shared" si="109"/>
        <v>0</v>
      </c>
      <c r="N888">
        <f t="shared" si="110"/>
        <v>0.27272727272727271</v>
      </c>
      <c r="O888">
        <f t="shared" si="111"/>
        <v>0</v>
      </c>
      <c r="P888">
        <f t="shared" si="112"/>
        <v>0.33333333333333331</v>
      </c>
    </row>
    <row r="889" spans="1:16" x14ac:dyDescent="0.4">
      <c r="A889">
        <v>0.4</v>
      </c>
      <c r="B889">
        <v>0.33333333333333331</v>
      </c>
      <c r="C889" s="23">
        <v>0.16</v>
      </c>
      <c r="D889">
        <v>0.15384615384615385</v>
      </c>
      <c r="E889">
        <v>0</v>
      </c>
      <c r="F889">
        <v>8.6956521739130432E-2</v>
      </c>
      <c r="G889">
        <v>9.0909090909090912E-2</v>
      </c>
      <c r="H889">
        <v>6.6666666666666666E-2</v>
      </c>
      <c r="I889">
        <f t="shared" si="105"/>
        <v>0.4</v>
      </c>
      <c r="J889">
        <f t="shared" si="106"/>
        <v>0.33333333333333331</v>
      </c>
      <c r="K889">
        <f t="shared" si="107"/>
        <v>0.16</v>
      </c>
      <c r="L889">
        <f t="shared" si="108"/>
        <v>0.15384615384615385</v>
      </c>
      <c r="M889">
        <f t="shared" si="109"/>
        <v>0</v>
      </c>
      <c r="N889">
        <f t="shared" si="110"/>
        <v>8.6956521739130432E-2</v>
      </c>
      <c r="O889">
        <f t="shared" si="111"/>
        <v>9.0909090909090912E-2</v>
      </c>
      <c r="P889">
        <f t="shared" si="112"/>
        <v>6.6666666666666666E-2</v>
      </c>
    </row>
    <row r="890" spans="1:16" x14ac:dyDescent="0.4">
      <c r="A890">
        <v>0.14285714285714285</v>
      </c>
      <c r="B890">
        <v>0</v>
      </c>
      <c r="C890" s="24">
        <v>9.7560975609756101E-2</v>
      </c>
      <c r="D890">
        <v>1.4492753623188406E-2</v>
      </c>
      <c r="E890">
        <v>0</v>
      </c>
      <c r="F890">
        <v>5.4054054054054057E-2</v>
      </c>
      <c r="G890">
        <v>0.30769230769230771</v>
      </c>
      <c r="H890">
        <v>4.878048780487805E-2</v>
      </c>
      <c r="I890">
        <f t="shared" si="105"/>
        <v>0.14285714285714285</v>
      </c>
      <c r="J890">
        <f t="shared" si="106"/>
        <v>0</v>
      </c>
      <c r="K890">
        <f t="shared" si="107"/>
        <v>9.7560975609756101E-2</v>
      </c>
      <c r="L890">
        <f t="shared" si="108"/>
        <v>1.4492753623188406E-2</v>
      </c>
      <c r="M890">
        <f t="shared" si="109"/>
        <v>0</v>
      </c>
      <c r="N890">
        <f t="shared" si="110"/>
        <v>5.4054054054054057E-2</v>
      </c>
      <c r="O890">
        <f t="shared" si="111"/>
        <v>0.30769230769230771</v>
      </c>
      <c r="P890">
        <f t="shared" si="112"/>
        <v>4.878048780487805E-2</v>
      </c>
    </row>
    <row r="891" spans="1:16" x14ac:dyDescent="0.4">
      <c r="A891">
        <v>0.23529411764705882</v>
      </c>
      <c r="B891">
        <v>0</v>
      </c>
      <c r="C891" s="23">
        <v>0.5</v>
      </c>
      <c r="D891">
        <v>0</v>
      </c>
      <c r="E891">
        <v>0.2</v>
      </c>
      <c r="F891">
        <v>0.33333333333333331</v>
      </c>
      <c r="G891">
        <v>0.30769230769230771</v>
      </c>
      <c r="H891">
        <v>0.5714285714285714</v>
      </c>
      <c r="I891">
        <f t="shared" si="105"/>
        <v>0.23529411764705882</v>
      </c>
      <c r="J891">
        <f t="shared" si="106"/>
        <v>0</v>
      </c>
      <c r="K891">
        <f t="shared" si="107"/>
        <v>0.5</v>
      </c>
      <c r="L891">
        <f t="shared" si="108"/>
        <v>0</v>
      </c>
      <c r="M891">
        <f t="shared" si="109"/>
        <v>0.2</v>
      </c>
      <c r="N891">
        <f t="shared" si="110"/>
        <v>0.33333333333333331</v>
      </c>
      <c r="O891">
        <f t="shared" si="111"/>
        <v>0.30769230769230771</v>
      </c>
      <c r="P891">
        <f t="shared" si="112"/>
        <v>0.5714285714285714</v>
      </c>
    </row>
    <row r="892" spans="1:16" x14ac:dyDescent="0.4">
      <c r="A892">
        <v>0.15384615384615385</v>
      </c>
      <c r="B892">
        <v>0</v>
      </c>
      <c r="C892" s="24">
        <v>0.21052631578947367</v>
      </c>
      <c r="D892">
        <v>0.44444444444444442</v>
      </c>
      <c r="E892">
        <v>8.3333333333333329E-2</v>
      </c>
      <c r="F892">
        <v>0.17647058823529413</v>
      </c>
      <c r="G892">
        <v>0.5</v>
      </c>
      <c r="H892">
        <v>0</v>
      </c>
      <c r="I892">
        <f t="shared" si="105"/>
        <v>0.15384615384615385</v>
      </c>
      <c r="J892">
        <f t="shared" si="106"/>
        <v>0</v>
      </c>
      <c r="K892">
        <f t="shared" si="107"/>
        <v>0.21052631578947367</v>
      </c>
      <c r="L892">
        <f t="shared" si="108"/>
        <v>0.44444444444444442</v>
      </c>
      <c r="M892">
        <f t="shared" si="109"/>
        <v>8.3333333333333329E-2</v>
      </c>
      <c r="N892">
        <f t="shared" si="110"/>
        <v>0.17647058823529413</v>
      </c>
      <c r="O892">
        <f t="shared" si="111"/>
        <v>0.5</v>
      </c>
      <c r="P892">
        <f t="shared" si="112"/>
        <v>0</v>
      </c>
    </row>
    <row r="893" spans="1:16" x14ac:dyDescent="0.4">
      <c r="A893">
        <v>0.25</v>
      </c>
      <c r="B893">
        <v>0</v>
      </c>
      <c r="C893" s="23">
        <v>0.4</v>
      </c>
      <c r="D893">
        <v>0.25</v>
      </c>
      <c r="E893">
        <v>0</v>
      </c>
      <c r="F893">
        <v>0.42857142857142855</v>
      </c>
      <c r="G893">
        <v>0.2857142857142857</v>
      </c>
      <c r="H893">
        <v>0.14285714285714285</v>
      </c>
      <c r="I893">
        <f t="shared" si="105"/>
        <v>0.25</v>
      </c>
      <c r="J893">
        <f t="shared" si="106"/>
        <v>0</v>
      </c>
      <c r="K893">
        <f t="shared" si="107"/>
        <v>0.4</v>
      </c>
      <c r="L893">
        <f t="shared" si="108"/>
        <v>0.25</v>
      </c>
      <c r="M893">
        <f t="shared" si="109"/>
        <v>0</v>
      </c>
      <c r="N893">
        <f t="shared" si="110"/>
        <v>0.42857142857142855</v>
      </c>
      <c r="O893">
        <f t="shared" si="111"/>
        <v>0.2857142857142857</v>
      </c>
      <c r="P893">
        <f t="shared" si="112"/>
        <v>0.14285714285714285</v>
      </c>
    </row>
    <row r="894" spans="1:16" x14ac:dyDescent="0.4">
      <c r="A894">
        <v>0.25</v>
      </c>
      <c r="B894">
        <v>0.19047619047619047</v>
      </c>
      <c r="C894" s="24">
        <v>0.15384615384615385</v>
      </c>
      <c r="D894">
        <v>0.17391304347826086</v>
      </c>
      <c r="E894">
        <v>0</v>
      </c>
      <c r="F894">
        <v>0.36363636363636365</v>
      </c>
      <c r="G894">
        <v>0.11764705882352941</v>
      </c>
      <c r="H894">
        <v>0.05</v>
      </c>
      <c r="I894">
        <f t="shared" si="105"/>
        <v>0.25</v>
      </c>
      <c r="J894">
        <f t="shared" si="106"/>
        <v>0.19047619047619047</v>
      </c>
      <c r="K894">
        <f t="shared" si="107"/>
        <v>0.15384615384615385</v>
      </c>
      <c r="L894">
        <f t="shared" si="108"/>
        <v>0.17391304347826086</v>
      </c>
      <c r="M894">
        <f t="shared" si="109"/>
        <v>0</v>
      </c>
      <c r="N894">
        <f t="shared" si="110"/>
        <v>0.36363636363636365</v>
      </c>
      <c r="O894">
        <f t="shared" si="111"/>
        <v>0.11764705882352941</v>
      </c>
      <c r="P894">
        <f t="shared" si="112"/>
        <v>0.05</v>
      </c>
    </row>
    <row r="895" spans="1:16" x14ac:dyDescent="0.4">
      <c r="A895">
        <v>0</v>
      </c>
      <c r="B895">
        <v>0.16666666666666666</v>
      </c>
      <c r="C895" s="23">
        <v>0.30769230769230771</v>
      </c>
      <c r="D895">
        <v>4.878048780487805E-2</v>
      </c>
      <c r="E895">
        <v>0.18181818181818182</v>
      </c>
      <c r="F895">
        <v>0</v>
      </c>
      <c r="G895">
        <v>0.44444444444444442</v>
      </c>
      <c r="H895">
        <v>6.1538461538461542E-2</v>
      </c>
      <c r="I895">
        <f t="shared" si="105"/>
        <v>0</v>
      </c>
      <c r="J895">
        <f t="shared" si="106"/>
        <v>0.16666666666666666</v>
      </c>
      <c r="K895">
        <f t="shared" si="107"/>
        <v>0.30769230769230771</v>
      </c>
      <c r="L895">
        <f t="shared" si="108"/>
        <v>4.878048780487805E-2</v>
      </c>
      <c r="M895">
        <f t="shared" si="109"/>
        <v>0.18181818181818182</v>
      </c>
      <c r="N895">
        <f t="shared" si="110"/>
        <v>0</v>
      </c>
      <c r="O895">
        <f t="shared" si="111"/>
        <v>0.44444444444444442</v>
      </c>
      <c r="P895">
        <f t="shared" si="112"/>
        <v>6.1538461538461542E-2</v>
      </c>
    </row>
    <row r="896" spans="1:16" x14ac:dyDescent="0.4">
      <c r="A896">
        <v>0.16</v>
      </c>
      <c r="B896">
        <v>0.33333333333333331</v>
      </c>
      <c r="C896" s="24">
        <v>0.23529411764705882</v>
      </c>
      <c r="D896">
        <v>0.44444444444444442</v>
      </c>
      <c r="E896">
        <v>7.407407407407407E-2</v>
      </c>
      <c r="F896">
        <v>6.25E-2</v>
      </c>
      <c r="G896">
        <v>0.1</v>
      </c>
      <c r="H896">
        <v>0.14285714285714285</v>
      </c>
      <c r="I896">
        <f t="shared" si="105"/>
        <v>0.16</v>
      </c>
      <c r="J896">
        <f t="shared" si="106"/>
        <v>0.33333333333333331</v>
      </c>
      <c r="K896">
        <f t="shared" si="107"/>
        <v>0.23529411764705882</v>
      </c>
      <c r="L896">
        <f t="shared" si="108"/>
        <v>0.44444444444444442</v>
      </c>
      <c r="M896">
        <f t="shared" si="109"/>
        <v>7.407407407407407E-2</v>
      </c>
      <c r="N896">
        <f t="shared" si="110"/>
        <v>6.25E-2</v>
      </c>
      <c r="O896">
        <f t="shared" si="111"/>
        <v>0.1</v>
      </c>
      <c r="P896">
        <f t="shared" si="112"/>
        <v>0.14285714285714285</v>
      </c>
    </row>
    <row r="897" spans="1:16" x14ac:dyDescent="0.4">
      <c r="A897">
        <v>0.2857142857142857</v>
      </c>
      <c r="B897">
        <v>0.33333333333333331</v>
      </c>
      <c r="C897" s="23">
        <v>0.23529411764705882</v>
      </c>
      <c r="D897">
        <v>0.30769230769230771</v>
      </c>
      <c r="E897">
        <v>0.16666666666666666</v>
      </c>
      <c r="F897">
        <v>0.13333333333333333</v>
      </c>
      <c r="G897">
        <v>0.2</v>
      </c>
      <c r="H897">
        <v>0.3</v>
      </c>
      <c r="I897">
        <f t="shared" si="105"/>
        <v>0.2857142857142857</v>
      </c>
      <c r="J897">
        <f t="shared" si="106"/>
        <v>0.33333333333333331</v>
      </c>
      <c r="K897">
        <f t="shared" si="107"/>
        <v>0.23529411764705882</v>
      </c>
      <c r="L897">
        <f t="shared" si="108"/>
        <v>0.30769230769230771</v>
      </c>
      <c r="M897">
        <f t="shared" si="109"/>
        <v>0.16666666666666666</v>
      </c>
      <c r="N897">
        <f t="shared" si="110"/>
        <v>0.13333333333333333</v>
      </c>
      <c r="O897">
        <f t="shared" si="111"/>
        <v>0.2</v>
      </c>
      <c r="P897">
        <f t="shared" si="112"/>
        <v>0.3</v>
      </c>
    </row>
    <row r="898" spans="1:16" x14ac:dyDescent="0.4">
      <c r="A898">
        <v>0.22222222222222221</v>
      </c>
      <c r="B898">
        <v>0.5</v>
      </c>
      <c r="C898" s="24">
        <v>0.16666666666666666</v>
      </c>
      <c r="D898">
        <v>0.19047619047619047</v>
      </c>
      <c r="E898">
        <v>0</v>
      </c>
      <c r="F898">
        <v>0.14285714285714285</v>
      </c>
      <c r="G898">
        <v>0</v>
      </c>
      <c r="H898">
        <v>0.11764705882352941</v>
      </c>
      <c r="I898">
        <f t="shared" si="105"/>
        <v>0.22222222222222221</v>
      </c>
      <c r="J898">
        <f t="shared" si="106"/>
        <v>0.5</v>
      </c>
      <c r="K898">
        <f t="shared" si="107"/>
        <v>0.16666666666666666</v>
      </c>
      <c r="L898">
        <f t="shared" si="108"/>
        <v>0.19047619047619047</v>
      </c>
      <c r="M898">
        <f t="shared" si="109"/>
        <v>0</v>
      </c>
      <c r="N898">
        <f t="shared" si="110"/>
        <v>0.14285714285714285</v>
      </c>
      <c r="O898">
        <f t="shared" si="111"/>
        <v>0</v>
      </c>
      <c r="P898">
        <f t="shared" si="112"/>
        <v>0.11764705882352941</v>
      </c>
    </row>
    <row r="899" spans="1:16" x14ac:dyDescent="0.4">
      <c r="A899">
        <v>0.4</v>
      </c>
      <c r="B899">
        <v>0.25</v>
      </c>
      <c r="C899" s="23">
        <v>0</v>
      </c>
      <c r="D899">
        <v>8.1632653061224483E-2</v>
      </c>
      <c r="E899">
        <v>0</v>
      </c>
      <c r="F899">
        <v>0.5714285714285714</v>
      </c>
      <c r="G899">
        <v>0</v>
      </c>
      <c r="H899">
        <v>2.0408163265306121E-2</v>
      </c>
      <c r="I899">
        <f t="shared" si="105"/>
        <v>0.4</v>
      </c>
      <c r="J899">
        <f t="shared" si="106"/>
        <v>0.25</v>
      </c>
      <c r="K899">
        <f t="shared" si="107"/>
        <v>0</v>
      </c>
      <c r="L899">
        <f t="shared" si="108"/>
        <v>8.1632653061224483E-2</v>
      </c>
      <c r="M899">
        <f t="shared" si="109"/>
        <v>0</v>
      </c>
      <c r="N899">
        <f t="shared" si="110"/>
        <v>0.5714285714285714</v>
      </c>
      <c r="O899">
        <f t="shared" si="111"/>
        <v>0</v>
      </c>
      <c r="P899">
        <f t="shared" si="112"/>
        <v>2.0408163265306121E-2</v>
      </c>
    </row>
    <row r="900" spans="1:16" x14ac:dyDescent="0.4">
      <c r="A900">
        <v>0.2857142857142857</v>
      </c>
      <c r="B900">
        <v>0.2</v>
      </c>
      <c r="C900" s="24">
        <v>0.25</v>
      </c>
      <c r="D900">
        <v>0.18181818181818182</v>
      </c>
      <c r="E900">
        <v>0</v>
      </c>
      <c r="F900">
        <v>0.27272727272727271</v>
      </c>
      <c r="G900">
        <v>0</v>
      </c>
      <c r="H900">
        <v>0.15789473684210525</v>
      </c>
      <c r="I900">
        <f t="shared" si="105"/>
        <v>0.2857142857142857</v>
      </c>
      <c r="J900">
        <f t="shared" si="106"/>
        <v>0.2</v>
      </c>
      <c r="K900">
        <f t="shared" si="107"/>
        <v>0.25</v>
      </c>
      <c r="L900">
        <f t="shared" si="108"/>
        <v>0.18181818181818182</v>
      </c>
      <c r="M900">
        <f t="shared" si="109"/>
        <v>0</v>
      </c>
      <c r="N900">
        <f t="shared" si="110"/>
        <v>0.27272727272727271</v>
      </c>
      <c r="O900">
        <f t="shared" si="111"/>
        <v>0</v>
      </c>
      <c r="P900">
        <f t="shared" si="112"/>
        <v>0.15789473684210525</v>
      </c>
    </row>
    <row r="901" spans="1:16" x14ac:dyDescent="0.4">
      <c r="A901">
        <v>0.23529411764705882</v>
      </c>
      <c r="B901">
        <v>0.4</v>
      </c>
      <c r="C901" s="23">
        <v>0.4</v>
      </c>
      <c r="D901">
        <v>0.25</v>
      </c>
      <c r="E901">
        <v>0</v>
      </c>
      <c r="F901">
        <v>0.25</v>
      </c>
      <c r="G901">
        <v>0</v>
      </c>
      <c r="H901">
        <v>8.6956521739130432E-2</v>
      </c>
      <c r="I901">
        <f t="shared" si="105"/>
        <v>0.23529411764705882</v>
      </c>
      <c r="J901">
        <f t="shared" si="106"/>
        <v>0.4</v>
      </c>
      <c r="K901">
        <f t="shared" si="107"/>
        <v>0.4</v>
      </c>
      <c r="L901">
        <f t="shared" si="108"/>
        <v>0.25</v>
      </c>
      <c r="M901">
        <f t="shared" si="109"/>
        <v>0</v>
      </c>
      <c r="N901">
        <f t="shared" si="110"/>
        <v>0.25</v>
      </c>
      <c r="O901">
        <f t="shared" si="111"/>
        <v>0</v>
      </c>
      <c r="P901">
        <f t="shared" si="112"/>
        <v>8.6956521739130432E-2</v>
      </c>
    </row>
    <row r="902" spans="1:16" x14ac:dyDescent="0.4">
      <c r="A902">
        <v>0.1</v>
      </c>
      <c r="B902">
        <v>0.36363636363636365</v>
      </c>
      <c r="C902" s="24">
        <v>0.22222222222222221</v>
      </c>
      <c r="D902">
        <v>0.36363636363636365</v>
      </c>
      <c r="E902">
        <v>4.4444444444444446E-2</v>
      </c>
      <c r="F902">
        <v>5.8823529411764705E-2</v>
      </c>
      <c r="G902">
        <v>0.22222222222222221</v>
      </c>
      <c r="H902">
        <v>0.2</v>
      </c>
      <c r="I902">
        <f t="shared" si="105"/>
        <v>0.1</v>
      </c>
      <c r="J902">
        <f t="shared" si="106"/>
        <v>0.36363636363636365</v>
      </c>
      <c r="K902">
        <f t="shared" si="107"/>
        <v>0.22222222222222221</v>
      </c>
      <c r="L902">
        <f t="shared" si="108"/>
        <v>0.36363636363636365</v>
      </c>
      <c r="M902">
        <f t="shared" si="109"/>
        <v>4.4444444444444446E-2</v>
      </c>
      <c r="N902">
        <f t="shared" si="110"/>
        <v>5.8823529411764705E-2</v>
      </c>
      <c r="O902">
        <f t="shared" si="111"/>
        <v>0.22222222222222221</v>
      </c>
      <c r="P902">
        <f t="shared" si="112"/>
        <v>0.2</v>
      </c>
    </row>
    <row r="903" spans="1:16" x14ac:dyDescent="0.4">
      <c r="A903">
        <v>0</v>
      </c>
      <c r="B903">
        <v>0.36363636363636365</v>
      </c>
      <c r="C903" s="23">
        <v>0.5714285714285714</v>
      </c>
      <c r="D903">
        <v>6.6666666666666666E-2</v>
      </c>
      <c r="E903">
        <v>0.5714285714285714</v>
      </c>
      <c r="F903">
        <v>0.16666666666666666</v>
      </c>
      <c r="G903">
        <v>0</v>
      </c>
      <c r="H903">
        <v>4.9180327868852458E-2</v>
      </c>
      <c r="I903">
        <f t="shared" si="105"/>
        <v>0</v>
      </c>
      <c r="J903">
        <f t="shared" si="106"/>
        <v>0.36363636363636365</v>
      </c>
      <c r="K903">
        <f t="shared" si="107"/>
        <v>0.5714285714285714</v>
      </c>
      <c r="L903">
        <f t="shared" si="108"/>
        <v>6.6666666666666666E-2</v>
      </c>
      <c r="M903">
        <f t="shared" si="109"/>
        <v>0.5714285714285714</v>
      </c>
      <c r="N903">
        <f t="shared" si="110"/>
        <v>0.16666666666666666</v>
      </c>
      <c r="O903">
        <f t="shared" si="111"/>
        <v>0</v>
      </c>
      <c r="P903">
        <f t="shared" si="112"/>
        <v>4.9180327868852458E-2</v>
      </c>
    </row>
    <row r="904" spans="1:16" x14ac:dyDescent="0.4">
      <c r="A904">
        <v>0.18181818181818182</v>
      </c>
      <c r="B904">
        <v>0.25</v>
      </c>
      <c r="C904" s="24">
        <v>3.8834951456310676E-2</v>
      </c>
      <c r="D904">
        <v>0.125</v>
      </c>
      <c r="E904">
        <v>0</v>
      </c>
      <c r="F904">
        <v>0.02</v>
      </c>
      <c r="G904">
        <v>0.25</v>
      </c>
      <c r="H904">
        <v>0.25</v>
      </c>
      <c r="I904">
        <f t="shared" ref="I904:I967" si="113">IF(A904&gt;1, 1, A904)</f>
        <v>0.18181818181818182</v>
      </c>
      <c r="J904">
        <f t="shared" ref="J904:J967" si="114">IF(B904&gt;1, 1, B904)</f>
        <v>0.25</v>
      </c>
      <c r="K904">
        <f t="shared" ref="K904:K967" si="115">IF(C904&gt;1, 1, C904)</f>
        <v>3.8834951456310676E-2</v>
      </c>
      <c r="L904">
        <f t="shared" ref="L904:L967" si="116">IF(D904&gt;1, 1, D904)</f>
        <v>0.125</v>
      </c>
      <c r="M904">
        <f t="shared" ref="M904:M967" si="117">IF(E904&gt;1, 1, E904)</f>
        <v>0</v>
      </c>
      <c r="N904">
        <f t="shared" ref="N904:N967" si="118">IF(F904&gt;1, 1, F904)</f>
        <v>0.02</v>
      </c>
      <c r="O904">
        <f t="shared" ref="O904:O967" si="119">IF(G904&gt;1, 1, G904)</f>
        <v>0.25</v>
      </c>
      <c r="P904">
        <f t="shared" ref="P904:P967" si="120">IF(H904&gt;1, 1, H904)</f>
        <v>0.25</v>
      </c>
    </row>
    <row r="905" spans="1:16" x14ac:dyDescent="0.4">
      <c r="A905">
        <v>0.30769230769230771</v>
      </c>
      <c r="B905">
        <v>0.23529411764705882</v>
      </c>
      <c r="C905" s="23">
        <v>0.19047619047619047</v>
      </c>
      <c r="D905">
        <v>0.23529411764705882</v>
      </c>
      <c r="E905">
        <v>0</v>
      </c>
      <c r="F905">
        <v>0.05</v>
      </c>
      <c r="G905">
        <v>0.13333333333333333</v>
      </c>
      <c r="H905">
        <v>0.17647058823529413</v>
      </c>
      <c r="I905">
        <f t="shared" si="113"/>
        <v>0.30769230769230771</v>
      </c>
      <c r="J905">
        <f t="shared" si="114"/>
        <v>0.23529411764705882</v>
      </c>
      <c r="K905">
        <f t="shared" si="115"/>
        <v>0.19047619047619047</v>
      </c>
      <c r="L905">
        <f t="shared" si="116"/>
        <v>0.23529411764705882</v>
      </c>
      <c r="M905">
        <f t="shared" si="117"/>
        <v>0</v>
      </c>
      <c r="N905">
        <f t="shared" si="118"/>
        <v>0.05</v>
      </c>
      <c r="O905">
        <f t="shared" si="119"/>
        <v>0.13333333333333333</v>
      </c>
      <c r="P905">
        <f t="shared" si="120"/>
        <v>0.17647058823529413</v>
      </c>
    </row>
    <row r="906" spans="1:16" x14ac:dyDescent="0.4">
      <c r="A906">
        <v>0.36363636363636365</v>
      </c>
      <c r="B906">
        <v>0.22222222222222221</v>
      </c>
      <c r="C906" s="24">
        <v>0.15384615384615385</v>
      </c>
      <c r="D906">
        <v>0.33333333333333331</v>
      </c>
      <c r="E906">
        <v>0</v>
      </c>
      <c r="F906">
        <v>0.13636363636363635</v>
      </c>
      <c r="G906">
        <v>0</v>
      </c>
      <c r="H906">
        <v>0.1</v>
      </c>
      <c r="I906">
        <f t="shared" si="113"/>
        <v>0.36363636363636365</v>
      </c>
      <c r="J906">
        <f t="shared" si="114"/>
        <v>0.22222222222222221</v>
      </c>
      <c r="K906">
        <f t="shared" si="115"/>
        <v>0.15384615384615385</v>
      </c>
      <c r="L906">
        <f t="shared" si="116"/>
        <v>0.33333333333333331</v>
      </c>
      <c r="M906">
        <f t="shared" si="117"/>
        <v>0</v>
      </c>
      <c r="N906">
        <f t="shared" si="118"/>
        <v>0.13636363636363635</v>
      </c>
      <c r="O906">
        <f t="shared" si="119"/>
        <v>0</v>
      </c>
      <c r="P906">
        <f t="shared" si="120"/>
        <v>0.1</v>
      </c>
    </row>
    <row r="907" spans="1:16" x14ac:dyDescent="0.4">
      <c r="A907">
        <v>0.30769230769230771</v>
      </c>
      <c r="B907">
        <v>0.16666666666666666</v>
      </c>
      <c r="C907" s="23">
        <v>0.4</v>
      </c>
      <c r="D907">
        <v>0.21052631578947367</v>
      </c>
      <c r="E907">
        <v>8.3333333333333329E-2</v>
      </c>
      <c r="F907">
        <v>0.1111111111111111</v>
      </c>
      <c r="G907">
        <v>4.5454545454545456E-2</v>
      </c>
      <c r="H907">
        <v>0.2</v>
      </c>
      <c r="I907">
        <f t="shared" si="113"/>
        <v>0.30769230769230771</v>
      </c>
      <c r="J907">
        <f t="shared" si="114"/>
        <v>0.16666666666666666</v>
      </c>
      <c r="K907">
        <f t="shared" si="115"/>
        <v>0.4</v>
      </c>
      <c r="L907">
        <f t="shared" si="116"/>
        <v>0.21052631578947367</v>
      </c>
      <c r="M907">
        <f t="shared" si="117"/>
        <v>8.3333333333333329E-2</v>
      </c>
      <c r="N907">
        <f t="shared" si="118"/>
        <v>0.1111111111111111</v>
      </c>
      <c r="O907">
        <f t="shared" si="119"/>
        <v>4.5454545454545456E-2</v>
      </c>
      <c r="P907">
        <f t="shared" si="120"/>
        <v>0.2</v>
      </c>
    </row>
    <row r="908" spans="1:16" x14ac:dyDescent="0.4">
      <c r="A908">
        <v>0.18181818181818182</v>
      </c>
      <c r="B908">
        <v>0.33333333333333331</v>
      </c>
      <c r="C908" s="24">
        <v>0.5</v>
      </c>
      <c r="D908">
        <v>0.22222222222222221</v>
      </c>
      <c r="E908">
        <v>0</v>
      </c>
      <c r="F908">
        <v>0.125</v>
      </c>
      <c r="G908">
        <v>9.0909090909090912E-2</v>
      </c>
      <c r="H908">
        <v>5.8823529411764705E-2</v>
      </c>
      <c r="I908">
        <f t="shared" si="113"/>
        <v>0.18181818181818182</v>
      </c>
      <c r="J908">
        <f t="shared" si="114"/>
        <v>0.33333333333333331</v>
      </c>
      <c r="K908">
        <f t="shared" si="115"/>
        <v>0.5</v>
      </c>
      <c r="L908">
        <f t="shared" si="116"/>
        <v>0.22222222222222221</v>
      </c>
      <c r="M908">
        <f t="shared" si="117"/>
        <v>0</v>
      </c>
      <c r="N908">
        <f t="shared" si="118"/>
        <v>0.125</v>
      </c>
      <c r="O908">
        <f t="shared" si="119"/>
        <v>9.0909090909090912E-2</v>
      </c>
      <c r="P908">
        <f t="shared" si="120"/>
        <v>5.8823529411764705E-2</v>
      </c>
    </row>
    <row r="909" spans="1:16" x14ac:dyDescent="0.4">
      <c r="A909">
        <v>0</v>
      </c>
      <c r="B909">
        <v>0.04</v>
      </c>
      <c r="C909" s="23">
        <v>0.23529411764705882</v>
      </c>
      <c r="D909">
        <v>0.18181818181818182</v>
      </c>
      <c r="E909">
        <v>0.22222222222222221</v>
      </c>
      <c r="F909">
        <v>0</v>
      </c>
      <c r="G909">
        <v>0.19047619047619047</v>
      </c>
      <c r="H909">
        <v>0.05</v>
      </c>
      <c r="I909">
        <f t="shared" si="113"/>
        <v>0</v>
      </c>
      <c r="J909">
        <f t="shared" si="114"/>
        <v>0.04</v>
      </c>
      <c r="K909">
        <f t="shared" si="115"/>
        <v>0.23529411764705882</v>
      </c>
      <c r="L909">
        <f t="shared" si="116"/>
        <v>0.18181818181818182</v>
      </c>
      <c r="M909">
        <f t="shared" si="117"/>
        <v>0.22222222222222221</v>
      </c>
      <c r="N909">
        <f t="shared" si="118"/>
        <v>0</v>
      </c>
      <c r="O909">
        <f t="shared" si="119"/>
        <v>0.19047619047619047</v>
      </c>
      <c r="P909">
        <f t="shared" si="120"/>
        <v>0.05</v>
      </c>
    </row>
    <row r="910" spans="1:16" x14ac:dyDescent="0.4">
      <c r="A910">
        <v>0.14285714285714285</v>
      </c>
      <c r="B910">
        <v>0.30769230769230771</v>
      </c>
      <c r="C910" s="24">
        <v>0.18181818181818182</v>
      </c>
      <c r="D910">
        <v>0.1111111111111111</v>
      </c>
      <c r="E910">
        <v>0</v>
      </c>
      <c r="F910">
        <v>0.1</v>
      </c>
      <c r="G910">
        <v>0</v>
      </c>
      <c r="H910">
        <v>0.66666666666666663</v>
      </c>
      <c r="I910">
        <f t="shared" si="113"/>
        <v>0.14285714285714285</v>
      </c>
      <c r="J910">
        <f t="shared" si="114"/>
        <v>0.30769230769230771</v>
      </c>
      <c r="K910">
        <f t="shared" si="115"/>
        <v>0.18181818181818182</v>
      </c>
      <c r="L910">
        <f t="shared" si="116"/>
        <v>0.1111111111111111</v>
      </c>
      <c r="M910">
        <f t="shared" si="117"/>
        <v>0</v>
      </c>
      <c r="N910">
        <f t="shared" si="118"/>
        <v>0.1</v>
      </c>
      <c r="O910">
        <f t="shared" si="119"/>
        <v>0</v>
      </c>
      <c r="P910">
        <f t="shared" si="120"/>
        <v>0.66666666666666663</v>
      </c>
    </row>
    <row r="911" spans="1:16" x14ac:dyDescent="0.4">
      <c r="A911">
        <v>0.4</v>
      </c>
      <c r="B911">
        <v>9.0909090909090912E-2</v>
      </c>
      <c r="C911" s="23">
        <v>0.4</v>
      </c>
      <c r="D911">
        <v>0.5714285714285714</v>
      </c>
      <c r="E911">
        <v>0</v>
      </c>
      <c r="F911">
        <v>0.42857142857142855</v>
      </c>
      <c r="G911">
        <v>0.5</v>
      </c>
      <c r="H911">
        <v>1</v>
      </c>
      <c r="I911">
        <f t="shared" si="113"/>
        <v>0.4</v>
      </c>
      <c r="J911">
        <f t="shared" si="114"/>
        <v>9.0909090909090912E-2</v>
      </c>
      <c r="K911">
        <f t="shared" si="115"/>
        <v>0.4</v>
      </c>
      <c r="L911">
        <f t="shared" si="116"/>
        <v>0.5714285714285714</v>
      </c>
      <c r="M911">
        <f t="shared" si="117"/>
        <v>0</v>
      </c>
      <c r="N911">
        <f t="shared" si="118"/>
        <v>0.42857142857142855</v>
      </c>
      <c r="O911">
        <f t="shared" si="119"/>
        <v>0.5</v>
      </c>
      <c r="P911">
        <f t="shared" si="120"/>
        <v>1</v>
      </c>
    </row>
    <row r="912" spans="1:16" x14ac:dyDescent="0.4">
      <c r="A912">
        <v>0.36363636363636365</v>
      </c>
      <c r="B912">
        <v>0</v>
      </c>
      <c r="C912" s="24">
        <v>2.5423728813559324E-2</v>
      </c>
      <c r="D912">
        <v>0.44444444444444442</v>
      </c>
      <c r="E912">
        <v>0</v>
      </c>
      <c r="F912">
        <v>0</v>
      </c>
      <c r="G912">
        <v>0.33333333333333331</v>
      </c>
      <c r="H912">
        <v>6.25E-2</v>
      </c>
      <c r="I912">
        <f t="shared" si="113"/>
        <v>0.36363636363636365</v>
      </c>
      <c r="J912">
        <f t="shared" si="114"/>
        <v>0</v>
      </c>
      <c r="K912">
        <f t="shared" si="115"/>
        <v>2.5423728813559324E-2</v>
      </c>
      <c r="L912">
        <f t="shared" si="116"/>
        <v>0.44444444444444442</v>
      </c>
      <c r="M912">
        <f t="shared" si="117"/>
        <v>0</v>
      </c>
      <c r="N912">
        <f t="shared" si="118"/>
        <v>0</v>
      </c>
      <c r="O912">
        <f t="shared" si="119"/>
        <v>0.33333333333333331</v>
      </c>
      <c r="P912">
        <f t="shared" si="120"/>
        <v>6.25E-2</v>
      </c>
    </row>
    <row r="913" spans="1:16" x14ac:dyDescent="0.4">
      <c r="A913">
        <v>0.19047619047619047</v>
      </c>
      <c r="B913">
        <v>0.33333333333333331</v>
      </c>
      <c r="C913" s="23">
        <v>0.2857142857142857</v>
      </c>
      <c r="D913">
        <v>0.23529411764705882</v>
      </c>
      <c r="E913">
        <v>0</v>
      </c>
      <c r="F913">
        <v>8.3333333333333329E-2</v>
      </c>
      <c r="G913">
        <v>0.1111111111111111</v>
      </c>
      <c r="H913">
        <v>0</v>
      </c>
      <c r="I913">
        <f t="shared" si="113"/>
        <v>0.19047619047619047</v>
      </c>
      <c r="J913">
        <f t="shared" si="114"/>
        <v>0.33333333333333331</v>
      </c>
      <c r="K913">
        <f t="shared" si="115"/>
        <v>0.2857142857142857</v>
      </c>
      <c r="L913">
        <f t="shared" si="116"/>
        <v>0.23529411764705882</v>
      </c>
      <c r="M913">
        <f t="shared" si="117"/>
        <v>0</v>
      </c>
      <c r="N913">
        <f t="shared" si="118"/>
        <v>8.3333333333333329E-2</v>
      </c>
      <c r="O913">
        <f t="shared" si="119"/>
        <v>0.1111111111111111</v>
      </c>
      <c r="P913">
        <f t="shared" si="120"/>
        <v>0</v>
      </c>
    </row>
    <row r="914" spans="1:16" x14ac:dyDescent="0.4">
      <c r="A914">
        <v>0.15384615384615385</v>
      </c>
      <c r="B914">
        <v>0.2</v>
      </c>
      <c r="C914" s="24">
        <v>5.3571428571428568E-2</v>
      </c>
      <c r="D914">
        <v>0.2</v>
      </c>
      <c r="E914">
        <v>0.13636363636363635</v>
      </c>
      <c r="F914">
        <v>7.407407407407407E-2</v>
      </c>
      <c r="G914">
        <v>0.33333333333333331</v>
      </c>
      <c r="H914">
        <v>0.1875</v>
      </c>
      <c r="I914">
        <f t="shared" si="113"/>
        <v>0.15384615384615385</v>
      </c>
      <c r="J914">
        <f t="shared" si="114"/>
        <v>0.2</v>
      </c>
      <c r="K914">
        <f t="shared" si="115"/>
        <v>5.3571428571428568E-2</v>
      </c>
      <c r="L914">
        <f t="shared" si="116"/>
        <v>0.2</v>
      </c>
      <c r="M914">
        <f t="shared" si="117"/>
        <v>0.13636363636363635</v>
      </c>
      <c r="N914">
        <f t="shared" si="118"/>
        <v>7.407407407407407E-2</v>
      </c>
      <c r="O914">
        <f t="shared" si="119"/>
        <v>0.33333333333333331</v>
      </c>
      <c r="P914">
        <f t="shared" si="120"/>
        <v>0.1875</v>
      </c>
    </row>
    <row r="915" spans="1:16" x14ac:dyDescent="0.4">
      <c r="A915">
        <v>0.18181818181818182</v>
      </c>
      <c r="B915">
        <v>0.36363636363636365</v>
      </c>
      <c r="C915" s="23">
        <v>0</v>
      </c>
      <c r="D915">
        <v>0.19047619047619047</v>
      </c>
      <c r="E915">
        <v>0.05</v>
      </c>
      <c r="F915">
        <v>0.66666666666666663</v>
      </c>
      <c r="G915">
        <v>0</v>
      </c>
      <c r="H915">
        <v>0.10714285714285714</v>
      </c>
      <c r="I915">
        <f t="shared" si="113"/>
        <v>0.18181818181818182</v>
      </c>
      <c r="J915">
        <f t="shared" si="114"/>
        <v>0.36363636363636365</v>
      </c>
      <c r="K915">
        <f t="shared" si="115"/>
        <v>0</v>
      </c>
      <c r="L915">
        <f t="shared" si="116"/>
        <v>0.19047619047619047</v>
      </c>
      <c r="M915">
        <f t="shared" si="117"/>
        <v>0.05</v>
      </c>
      <c r="N915">
        <f t="shared" si="118"/>
        <v>0.66666666666666663</v>
      </c>
      <c r="O915">
        <f t="shared" si="119"/>
        <v>0</v>
      </c>
      <c r="P915">
        <f t="shared" si="120"/>
        <v>0.10714285714285714</v>
      </c>
    </row>
    <row r="916" spans="1:16" x14ac:dyDescent="0.4">
      <c r="A916">
        <v>0.36363636363636365</v>
      </c>
      <c r="B916">
        <v>0.33333333333333331</v>
      </c>
      <c r="C916" s="24">
        <v>4.3478260869565216E-2</v>
      </c>
      <c r="D916">
        <v>5.4054054054054057E-2</v>
      </c>
      <c r="E916">
        <v>0.1111111111111111</v>
      </c>
      <c r="F916">
        <v>3.4482758620689655E-2</v>
      </c>
      <c r="G916">
        <v>0.1</v>
      </c>
      <c r="H916">
        <v>0</v>
      </c>
      <c r="I916">
        <f t="shared" si="113"/>
        <v>0.36363636363636365</v>
      </c>
      <c r="J916">
        <f t="shared" si="114"/>
        <v>0.33333333333333331</v>
      </c>
      <c r="K916">
        <f t="shared" si="115"/>
        <v>4.3478260869565216E-2</v>
      </c>
      <c r="L916">
        <f t="shared" si="116"/>
        <v>5.4054054054054057E-2</v>
      </c>
      <c r="M916">
        <f t="shared" si="117"/>
        <v>0.1111111111111111</v>
      </c>
      <c r="N916">
        <f t="shared" si="118"/>
        <v>3.4482758620689655E-2</v>
      </c>
      <c r="O916">
        <f t="shared" si="119"/>
        <v>0.1</v>
      </c>
      <c r="P916">
        <f t="shared" si="120"/>
        <v>0</v>
      </c>
    </row>
    <row r="917" spans="1:16" x14ac:dyDescent="0.4">
      <c r="A917">
        <v>0.23529411764705882</v>
      </c>
      <c r="B917">
        <v>0.44444444444444442</v>
      </c>
      <c r="C917" s="23">
        <v>0.13333333333333333</v>
      </c>
      <c r="D917">
        <v>0.19047619047619047</v>
      </c>
      <c r="E917">
        <v>6.25E-2</v>
      </c>
      <c r="F917">
        <v>0</v>
      </c>
      <c r="G917">
        <v>0.2857142857142857</v>
      </c>
      <c r="H917">
        <v>0.05</v>
      </c>
      <c r="I917">
        <f t="shared" si="113"/>
        <v>0.23529411764705882</v>
      </c>
      <c r="J917">
        <f t="shared" si="114"/>
        <v>0.44444444444444442</v>
      </c>
      <c r="K917">
        <f t="shared" si="115"/>
        <v>0.13333333333333333</v>
      </c>
      <c r="L917">
        <f t="shared" si="116"/>
        <v>0.19047619047619047</v>
      </c>
      <c r="M917">
        <f t="shared" si="117"/>
        <v>6.25E-2</v>
      </c>
      <c r="N917">
        <f t="shared" si="118"/>
        <v>0</v>
      </c>
      <c r="O917">
        <f t="shared" si="119"/>
        <v>0.2857142857142857</v>
      </c>
      <c r="P917">
        <f t="shared" si="120"/>
        <v>0.05</v>
      </c>
    </row>
    <row r="918" spans="1:16" x14ac:dyDescent="0.4">
      <c r="A918">
        <v>0.44444444444444442</v>
      </c>
      <c r="B918">
        <v>0.33333333333333331</v>
      </c>
      <c r="C918" s="24">
        <v>0.23529411764705882</v>
      </c>
      <c r="D918">
        <v>0.11764705882352941</v>
      </c>
      <c r="E918">
        <v>0</v>
      </c>
      <c r="F918">
        <v>0.21428571428571427</v>
      </c>
      <c r="G918">
        <v>0.2</v>
      </c>
      <c r="H918">
        <v>5.2631578947368418E-2</v>
      </c>
      <c r="I918">
        <f t="shared" si="113"/>
        <v>0.44444444444444442</v>
      </c>
      <c r="J918">
        <f t="shared" si="114"/>
        <v>0.33333333333333331</v>
      </c>
      <c r="K918">
        <f t="shared" si="115"/>
        <v>0.23529411764705882</v>
      </c>
      <c r="L918">
        <f t="shared" si="116"/>
        <v>0.11764705882352941</v>
      </c>
      <c r="M918">
        <f t="shared" si="117"/>
        <v>0</v>
      </c>
      <c r="N918">
        <f t="shared" si="118"/>
        <v>0.21428571428571427</v>
      </c>
      <c r="O918">
        <f t="shared" si="119"/>
        <v>0.2</v>
      </c>
      <c r="P918">
        <f t="shared" si="120"/>
        <v>5.2631578947368418E-2</v>
      </c>
    </row>
    <row r="919" spans="1:16" x14ac:dyDescent="0.4">
      <c r="A919">
        <v>0</v>
      </c>
      <c r="B919">
        <v>0.36363636363636365</v>
      </c>
      <c r="C919" s="23">
        <v>0.5</v>
      </c>
      <c r="D919">
        <v>0.15384615384615385</v>
      </c>
      <c r="E919">
        <v>0.33333333333333331</v>
      </c>
      <c r="F919">
        <v>0.5</v>
      </c>
      <c r="G919">
        <v>0.42857142857142855</v>
      </c>
      <c r="H919">
        <v>0.33333333333333331</v>
      </c>
      <c r="I919">
        <f t="shared" si="113"/>
        <v>0</v>
      </c>
      <c r="J919">
        <f t="shared" si="114"/>
        <v>0.36363636363636365</v>
      </c>
      <c r="K919">
        <f t="shared" si="115"/>
        <v>0.5</v>
      </c>
      <c r="L919">
        <f t="shared" si="116"/>
        <v>0.15384615384615385</v>
      </c>
      <c r="M919">
        <f t="shared" si="117"/>
        <v>0.33333333333333331</v>
      </c>
      <c r="N919">
        <f t="shared" si="118"/>
        <v>0.5</v>
      </c>
      <c r="O919">
        <f t="shared" si="119"/>
        <v>0.42857142857142855</v>
      </c>
      <c r="P919">
        <f t="shared" si="120"/>
        <v>0.33333333333333331</v>
      </c>
    </row>
    <row r="920" spans="1:16" x14ac:dyDescent="0.4">
      <c r="A920">
        <v>0.26666666666666666</v>
      </c>
      <c r="B920">
        <v>0.23529411764705882</v>
      </c>
      <c r="C920" s="24">
        <v>0.36363636363636365</v>
      </c>
      <c r="D920">
        <v>9.0909090909090912E-2</v>
      </c>
      <c r="E920">
        <v>0</v>
      </c>
      <c r="F920">
        <v>0.375</v>
      </c>
      <c r="G920">
        <v>0</v>
      </c>
      <c r="H920">
        <v>0.5714285714285714</v>
      </c>
      <c r="I920">
        <f t="shared" si="113"/>
        <v>0.26666666666666666</v>
      </c>
      <c r="J920">
        <f t="shared" si="114"/>
        <v>0.23529411764705882</v>
      </c>
      <c r="K920">
        <f t="shared" si="115"/>
        <v>0.36363636363636365</v>
      </c>
      <c r="L920">
        <f t="shared" si="116"/>
        <v>9.0909090909090912E-2</v>
      </c>
      <c r="M920">
        <f t="shared" si="117"/>
        <v>0</v>
      </c>
      <c r="N920">
        <f t="shared" si="118"/>
        <v>0.375</v>
      </c>
      <c r="O920">
        <f t="shared" si="119"/>
        <v>0</v>
      </c>
      <c r="P920">
        <f t="shared" si="120"/>
        <v>0.5714285714285714</v>
      </c>
    </row>
    <row r="921" spans="1:16" x14ac:dyDescent="0.4">
      <c r="A921">
        <v>0.22222222222222221</v>
      </c>
      <c r="B921">
        <v>0.2</v>
      </c>
      <c r="C921" s="23">
        <v>0.13793103448275862</v>
      </c>
      <c r="D921">
        <v>0.36363636363636365</v>
      </c>
      <c r="E921">
        <v>0.13333333333333333</v>
      </c>
      <c r="F921">
        <v>7.407407407407407E-2</v>
      </c>
      <c r="G921">
        <v>0.5714285714285714</v>
      </c>
      <c r="H921">
        <v>0.125</v>
      </c>
      <c r="I921">
        <f t="shared" si="113"/>
        <v>0.22222222222222221</v>
      </c>
      <c r="J921">
        <f t="shared" si="114"/>
        <v>0.2</v>
      </c>
      <c r="K921">
        <f t="shared" si="115"/>
        <v>0.13793103448275862</v>
      </c>
      <c r="L921">
        <f t="shared" si="116"/>
        <v>0.36363636363636365</v>
      </c>
      <c r="M921">
        <f t="shared" si="117"/>
        <v>0.13333333333333333</v>
      </c>
      <c r="N921">
        <f t="shared" si="118"/>
        <v>7.407407407407407E-2</v>
      </c>
      <c r="O921">
        <f t="shared" si="119"/>
        <v>0.5714285714285714</v>
      </c>
      <c r="P921">
        <f t="shared" si="120"/>
        <v>0.125</v>
      </c>
    </row>
    <row r="922" spans="1:16" x14ac:dyDescent="0.4">
      <c r="A922">
        <v>0.3</v>
      </c>
      <c r="B922">
        <v>0.18181818181818182</v>
      </c>
      <c r="C922" s="24">
        <v>0.36363636363636365</v>
      </c>
      <c r="D922">
        <v>0.36363636363636365</v>
      </c>
      <c r="E922">
        <v>0.5714285714285714</v>
      </c>
      <c r="F922">
        <v>0</v>
      </c>
      <c r="G922">
        <v>5.2631578947368418E-2</v>
      </c>
      <c r="H922">
        <v>0</v>
      </c>
      <c r="I922">
        <f t="shared" si="113"/>
        <v>0.3</v>
      </c>
      <c r="J922">
        <f t="shared" si="114"/>
        <v>0.18181818181818182</v>
      </c>
      <c r="K922">
        <f t="shared" si="115"/>
        <v>0.36363636363636365</v>
      </c>
      <c r="L922">
        <f t="shared" si="116"/>
        <v>0.36363636363636365</v>
      </c>
      <c r="M922">
        <f t="shared" si="117"/>
        <v>0.5714285714285714</v>
      </c>
      <c r="N922">
        <f t="shared" si="118"/>
        <v>0</v>
      </c>
      <c r="O922">
        <f t="shared" si="119"/>
        <v>5.2631578947368418E-2</v>
      </c>
      <c r="P922">
        <f t="shared" si="120"/>
        <v>0</v>
      </c>
    </row>
    <row r="923" spans="1:16" x14ac:dyDescent="0.4">
      <c r="A923">
        <v>0.30769230769230771</v>
      </c>
      <c r="B923">
        <v>0.4</v>
      </c>
      <c r="C923" s="23">
        <v>0.26666666666666666</v>
      </c>
      <c r="D923">
        <v>0.25</v>
      </c>
      <c r="E923">
        <v>0</v>
      </c>
      <c r="F923">
        <v>0.14285714285714285</v>
      </c>
      <c r="G923">
        <v>0.25</v>
      </c>
      <c r="H923">
        <v>7.1428571428571425E-2</v>
      </c>
      <c r="I923">
        <f t="shared" si="113"/>
        <v>0.30769230769230771</v>
      </c>
      <c r="J923">
        <f t="shared" si="114"/>
        <v>0.4</v>
      </c>
      <c r="K923">
        <f t="shared" si="115"/>
        <v>0.26666666666666666</v>
      </c>
      <c r="L923">
        <f t="shared" si="116"/>
        <v>0.25</v>
      </c>
      <c r="M923">
        <f t="shared" si="117"/>
        <v>0</v>
      </c>
      <c r="N923">
        <f t="shared" si="118"/>
        <v>0.14285714285714285</v>
      </c>
      <c r="O923">
        <f t="shared" si="119"/>
        <v>0.25</v>
      </c>
      <c r="P923">
        <f t="shared" si="120"/>
        <v>7.1428571428571425E-2</v>
      </c>
    </row>
    <row r="924" spans="1:16" x14ac:dyDescent="0.4">
      <c r="A924">
        <v>0.36363636363636365</v>
      </c>
      <c r="B924">
        <v>0.25</v>
      </c>
      <c r="C924" s="24">
        <v>0.8</v>
      </c>
      <c r="D924">
        <v>0.18181818181818182</v>
      </c>
      <c r="E924">
        <v>0.22222222222222221</v>
      </c>
      <c r="F924">
        <v>1</v>
      </c>
      <c r="G924">
        <v>6.6666666666666666E-2</v>
      </c>
      <c r="H924">
        <v>0.5</v>
      </c>
      <c r="I924">
        <f t="shared" si="113"/>
        <v>0.36363636363636365</v>
      </c>
      <c r="J924">
        <f t="shared" si="114"/>
        <v>0.25</v>
      </c>
      <c r="K924">
        <f t="shared" si="115"/>
        <v>0.8</v>
      </c>
      <c r="L924">
        <f t="shared" si="116"/>
        <v>0.18181818181818182</v>
      </c>
      <c r="M924">
        <f t="shared" si="117"/>
        <v>0.22222222222222221</v>
      </c>
      <c r="N924">
        <f t="shared" si="118"/>
        <v>1</v>
      </c>
      <c r="O924">
        <f t="shared" si="119"/>
        <v>6.6666666666666666E-2</v>
      </c>
      <c r="P924">
        <f t="shared" si="120"/>
        <v>0.5</v>
      </c>
    </row>
    <row r="925" spans="1:16" x14ac:dyDescent="0.4">
      <c r="A925">
        <v>0.30769230769230771</v>
      </c>
      <c r="B925">
        <v>0.5</v>
      </c>
      <c r="C925" s="23">
        <v>8.3333333333333329E-2</v>
      </c>
      <c r="D925">
        <v>0.42857142857142855</v>
      </c>
      <c r="E925">
        <v>0</v>
      </c>
      <c r="F925">
        <v>2.1276595744680851E-2</v>
      </c>
      <c r="G925">
        <v>0</v>
      </c>
      <c r="H925">
        <v>0.21052631578947367</v>
      </c>
      <c r="I925">
        <f t="shared" si="113"/>
        <v>0.30769230769230771</v>
      </c>
      <c r="J925">
        <f t="shared" si="114"/>
        <v>0.5</v>
      </c>
      <c r="K925">
        <f t="shared" si="115"/>
        <v>8.3333333333333329E-2</v>
      </c>
      <c r="L925">
        <f t="shared" si="116"/>
        <v>0.42857142857142855</v>
      </c>
      <c r="M925">
        <f t="shared" si="117"/>
        <v>0</v>
      </c>
      <c r="N925">
        <f t="shared" si="118"/>
        <v>2.1276595744680851E-2</v>
      </c>
      <c r="O925">
        <f t="shared" si="119"/>
        <v>0</v>
      </c>
      <c r="P925">
        <f t="shared" si="120"/>
        <v>0.21052631578947367</v>
      </c>
    </row>
    <row r="926" spans="1:16" x14ac:dyDescent="0.4">
      <c r="A926">
        <v>0.23529411764705882</v>
      </c>
      <c r="B926">
        <v>0.2857142857142857</v>
      </c>
      <c r="C926" s="24">
        <v>0.26666666666666666</v>
      </c>
      <c r="D926">
        <v>0.44444444444444442</v>
      </c>
      <c r="E926">
        <v>0.14285714285714285</v>
      </c>
      <c r="F926">
        <v>0</v>
      </c>
      <c r="G926">
        <v>8.3333333333333329E-2</v>
      </c>
      <c r="H926">
        <v>0.2</v>
      </c>
      <c r="I926">
        <f t="shared" si="113"/>
        <v>0.23529411764705882</v>
      </c>
      <c r="J926">
        <f t="shared" si="114"/>
        <v>0.2857142857142857</v>
      </c>
      <c r="K926">
        <f t="shared" si="115"/>
        <v>0.26666666666666666</v>
      </c>
      <c r="L926">
        <f t="shared" si="116"/>
        <v>0.44444444444444442</v>
      </c>
      <c r="M926">
        <f t="shared" si="117"/>
        <v>0.14285714285714285</v>
      </c>
      <c r="N926">
        <f t="shared" si="118"/>
        <v>0</v>
      </c>
      <c r="O926">
        <f t="shared" si="119"/>
        <v>8.3333333333333329E-2</v>
      </c>
      <c r="P926">
        <f t="shared" si="120"/>
        <v>0.2</v>
      </c>
    </row>
    <row r="927" spans="1:16" x14ac:dyDescent="0.4">
      <c r="A927">
        <v>0.4</v>
      </c>
      <c r="B927">
        <v>0.18181818181818182</v>
      </c>
      <c r="C927" s="23">
        <v>0.14814814814814814</v>
      </c>
      <c r="D927">
        <v>0</v>
      </c>
      <c r="E927">
        <v>0</v>
      </c>
      <c r="F927">
        <v>3.8461538461538464E-2</v>
      </c>
      <c r="G927">
        <v>4.7619047619047616E-2</v>
      </c>
      <c r="H927">
        <v>0.4</v>
      </c>
      <c r="I927">
        <f t="shared" si="113"/>
        <v>0.4</v>
      </c>
      <c r="J927">
        <f t="shared" si="114"/>
        <v>0.18181818181818182</v>
      </c>
      <c r="K927">
        <f t="shared" si="115"/>
        <v>0.14814814814814814</v>
      </c>
      <c r="L927">
        <f t="shared" si="116"/>
        <v>0</v>
      </c>
      <c r="M927">
        <f t="shared" si="117"/>
        <v>0</v>
      </c>
      <c r="N927">
        <f t="shared" si="118"/>
        <v>3.8461538461538464E-2</v>
      </c>
      <c r="O927">
        <f t="shared" si="119"/>
        <v>4.7619047619047616E-2</v>
      </c>
      <c r="P927">
        <f t="shared" si="120"/>
        <v>0.4</v>
      </c>
    </row>
    <row r="928" spans="1:16" x14ac:dyDescent="0.4">
      <c r="A928">
        <v>0.25</v>
      </c>
      <c r="B928">
        <v>0.4</v>
      </c>
      <c r="C928" s="24">
        <v>0.33333333333333331</v>
      </c>
      <c r="D928">
        <v>0.36363636363636365</v>
      </c>
      <c r="E928">
        <v>0</v>
      </c>
      <c r="F928">
        <v>0</v>
      </c>
      <c r="G928">
        <v>0.125</v>
      </c>
      <c r="H928">
        <v>0</v>
      </c>
      <c r="I928">
        <f t="shared" si="113"/>
        <v>0.25</v>
      </c>
      <c r="J928">
        <f t="shared" si="114"/>
        <v>0.4</v>
      </c>
      <c r="K928">
        <f t="shared" si="115"/>
        <v>0.33333333333333331</v>
      </c>
      <c r="L928">
        <f t="shared" si="116"/>
        <v>0.36363636363636365</v>
      </c>
      <c r="M928">
        <f t="shared" si="117"/>
        <v>0</v>
      </c>
      <c r="N928">
        <f t="shared" si="118"/>
        <v>0</v>
      </c>
      <c r="O928">
        <f t="shared" si="119"/>
        <v>0.125</v>
      </c>
      <c r="P928">
        <f t="shared" si="120"/>
        <v>0</v>
      </c>
    </row>
    <row r="929" spans="1:16" x14ac:dyDescent="0.4">
      <c r="A929">
        <v>0.21052631578947367</v>
      </c>
      <c r="B929">
        <v>0.4</v>
      </c>
      <c r="C929" s="23">
        <v>0</v>
      </c>
      <c r="D929">
        <v>7.8431372549019607E-2</v>
      </c>
      <c r="E929">
        <v>0</v>
      </c>
      <c r="F929">
        <v>1</v>
      </c>
      <c r="G929">
        <v>0</v>
      </c>
      <c r="H929">
        <v>1.9230769230769232E-2</v>
      </c>
      <c r="I929">
        <f t="shared" si="113"/>
        <v>0.21052631578947367</v>
      </c>
      <c r="J929">
        <f t="shared" si="114"/>
        <v>0.4</v>
      </c>
      <c r="K929">
        <f t="shared" si="115"/>
        <v>0</v>
      </c>
      <c r="L929">
        <f t="shared" si="116"/>
        <v>7.8431372549019607E-2</v>
      </c>
      <c r="M929">
        <f t="shared" si="117"/>
        <v>0</v>
      </c>
      <c r="N929">
        <f t="shared" si="118"/>
        <v>1</v>
      </c>
      <c r="O929">
        <f t="shared" si="119"/>
        <v>0</v>
      </c>
      <c r="P929">
        <f t="shared" si="120"/>
        <v>1.9230769230769232E-2</v>
      </c>
    </row>
    <row r="930" spans="1:16" x14ac:dyDescent="0.4">
      <c r="A930">
        <v>0.36363636363636365</v>
      </c>
      <c r="B930">
        <v>0.13793103448275862</v>
      </c>
      <c r="C930" s="24">
        <v>0.2</v>
      </c>
      <c r="D930">
        <v>0.26666666666666666</v>
      </c>
      <c r="E930">
        <v>0.1111111111111111</v>
      </c>
      <c r="F930">
        <v>5.2631578947368418E-2</v>
      </c>
      <c r="G930">
        <v>3.7037037037037035E-2</v>
      </c>
      <c r="H930">
        <v>0</v>
      </c>
      <c r="I930">
        <f t="shared" si="113"/>
        <v>0.36363636363636365</v>
      </c>
      <c r="J930">
        <f t="shared" si="114"/>
        <v>0.13793103448275862</v>
      </c>
      <c r="K930">
        <f t="shared" si="115"/>
        <v>0.2</v>
      </c>
      <c r="L930">
        <f t="shared" si="116"/>
        <v>0.26666666666666666</v>
      </c>
      <c r="M930">
        <f t="shared" si="117"/>
        <v>0.1111111111111111</v>
      </c>
      <c r="N930">
        <f t="shared" si="118"/>
        <v>5.2631578947368418E-2</v>
      </c>
      <c r="O930">
        <f t="shared" si="119"/>
        <v>3.7037037037037035E-2</v>
      </c>
      <c r="P930">
        <f t="shared" si="120"/>
        <v>0</v>
      </c>
    </row>
    <row r="931" spans="1:16" x14ac:dyDescent="0.4">
      <c r="A931">
        <v>0.15384615384615385</v>
      </c>
      <c r="B931">
        <v>0.23529411764705882</v>
      </c>
      <c r="C931" s="23">
        <v>0.33333333333333331</v>
      </c>
      <c r="D931">
        <v>0.5</v>
      </c>
      <c r="E931">
        <v>0.4</v>
      </c>
      <c r="F931">
        <v>1</v>
      </c>
      <c r="G931">
        <v>0</v>
      </c>
      <c r="H931">
        <v>0</v>
      </c>
      <c r="I931">
        <f t="shared" si="113"/>
        <v>0.15384615384615385</v>
      </c>
      <c r="J931">
        <f t="shared" si="114"/>
        <v>0.23529411764705882</v>
      </c>
      <c r="K931">
        <f t="shared" si="115"/>
        <v>0.33333333333333331</v>
      </c>
      <c r="L931">
        <f t="shared" si="116"/>
        <v>0.5</v>
      </c>
      <c r="M931">
        <f t="shared" si="117"/>
        <v>0.4</v>
      </c>
      <c r="N931">
        <f t="shared" si="118"/>
        <v>1</v>
      </c>
      <c r="O931">
        <f t="shared" si="119"/>
        <v>0</v>
      </c>
      <c r="P931">
        <f t="shared" si="120"/>
        <v>0</v>
      </c>
    </row>
    <row r="932" spans="1:16" x14ac:dyDescent="0.4">
      <c r="A932">
        <v>0.36363636363636365</v>
      </c>
      <c r="B932">
        <v>0.36363636363636365</v>
      </c>
      <c r="C932" s="24">
        <v>0.4</v>
      </c>
      <c r="D932">
        <v>0.8</v>
      </c>
      <c r="E932">
        <v>0.125</v>
      </c>
      <c r="F932">
        <v>0.5</v>
      </c>
      <c r="G932">
        <v>0.1</v>
      </c>
      <c r="H932">
        <v>1</v>
      </c>
      <c r="I932">
        <f t="shared" si="113"/>
        <v>0.36363636363636365</v>
      </c>
      <c r="J932">
        <f t="shared" si="114"/>
        <v>0.36363636363636365</v>
      </c>
      <c r="K932">
        <f t="shared" si="115"/>
        <v>0.4</v>
      </c>
      <c r="L932">
        <f t="shared" si="116"/>
        <v>0.8</v>
      </c>
      <c r="M932">
        <f t="shared" si="117"/>
        <v>0.125</v>
      </c>
      <c r="N932">
        <f t="shared" si="118"/>
        <v>0.5</v>
      </c>
      <c r="O932">
        <f t="shared" si="119"/>
        <v>0.1</v>
      </c>
      <c r="P932">
        <f t="shared" si="120"/>
        <v>1</v>
      </c>
    </row>
    <row r="933" spans="1:16" x14ac:dyDescent="0.4">
      <c r="A933">
        <v>0.1</v>
      </c>
      <c r="B933">
        <v>0.22222222222222221</v>
      </c>
      <c r="C933" s="23">
        <v>0.30769230769230771</v>
      </c>
      <c r="D933">
        <v>0.33333333333333331</v>
      </c>
      <c r="E933">
        <v>0.14814814814814814</v>
      </c>
      <c r="F933">
        <v>8.3333333333333329E-2</v>
      </c>
      <c r="G933">
        <v>0.13333333333333333</v>
      </c>
      <c r="H933">
        <v>0.2</v>
      </c>
      <c r="I933">
        <f t="shared" si="113"/>
        <v>0.1</v>
      </c>
      <c r="J933">
        <f t="shared" si="114"/>
        <v>0.22222222222222221</v>
      </c>
      <c r="K933">
        <f t="shared" si="115"/>
        <v>0.30769230769230771</v>
      </c>
      <c r="L933">
        <f t="shared" si="116"/>
        <v>0.33333333333333331</v>
      </c>
      <c r="M933">
        <f t="shared" si="117"/>
        <v>0.14814814814814814</v>
      </c>
      <c r="N933">
        <f t="shared" si="118"/>
        <v>8.3333333333333329E-2</v>
      </c>
      <c r="O933">
        <f t="shared" si="119"/>
        <v>0.13333333333333333</v>
      </c>
      <c r="P933">
        <f t="shared" si="120"/>
        <v>0.2</v>
      </c>
    </row>
    <row r="934" spans="1:16" x14ac:dyDescent="0.4">
      <c r="A934">
        <v>0.18181818181818182</v>
      </c>
      <c r="B934">
        <v>0.30769230769230771</v>
      </c>
      <c r="C934" s="24">
        <v>0.2857142857142857</v>
      </c>
      <c r="D934">
        <v>0.8</v>
      </c>
      <c r="E934">
        <v>0</v>
      </c>
      <c r="F934">
        <v>7.6923076923076927E-2</v>
      </c>
      <c r="G934">
        <v>8.3333333333333329E-2</v>
      </c>
      <c r="H934">
        <v>0.16666666666666666</v>
      </c>
      <c r="I934">
        <f t="shared" si="113"/>
        <v>0.18181818181818182</v>
      </c>
      <c r="J934">
        <f t="shared" si="114"/>
        <v>0.30769230769230771</v>
      </c>
      <c r="K934">
        <f t="shared" si="115"/>
        <v>0.2857142857142857</v>
      </c>
      <c r="L934">
        <f t="shared" si="116"/>
        <v>0.8</v>
      </c>
      <c r="M934">
        <f t="shared" si="117"/>
        <v>0</v>
      </c>
      <c r="N934">
        <f t="shared" si="118"/>
        <v>7.6923076923076927E-2</v>
      </c>
      <c r="O934">
        <f t="shared" si="119"/>
        <v>8.3333333333333329E-2</v>
      </c>
      <c r="P934">
        <f t="shared" si="120"/>
        <v>0.16666666666666666</v>
      </c>
    </row>
    <row r="935" spans="1:16" x14ac:dyDescent="0.4">
      <c r="A935">
        <v>0.4</v>
      </c>
      <c r="B935">
        <v>0.33333333333333331</v>
      </c>
      <c r="C935" s="23">
        <v>0.14285714285714285</v>
      </c>
      <c r="D935">
        <v>0.21052631578947367</v>
      </c>
      <c r="E935">
        <v>0</v>
      </c>
      <c r="F935">
        <v>0</v>
      </c>
      <c r="G935">
        <v>0</v>
      </c>
      <c r="H935">
        <v>5.5555555555555552E-2</v>
      </c>
      <c r="I935">
        <f t="shared" si="113"/>
        <v>0.4</v>
      </c>
      <c r="J935">
        <f t="shared" si="114"/>
        <v>0.33333333333333331</v>
      </c>
      <c r="K935">
        <f t="shared" si="115"/>
        <v>0.14285714285714285</v>
      </c>
      <c r="L935">
        <f t="shared" si="116"/>
        <v>0.21052631578947367</v>
      </c>
      <c r="M935">
        <f t="shared" si="117"/>
        <v>0</v>
      </c>
      <c r="N935">
        <f t="shared" si="118"/>
        <v>0</v>
      </c>
      <c r="O935">
        <f t="shared" si="119"/>
        <v>0</v>
      </c>
      <c r="P935">
        <f t="shared" si="120"/>
        <v>5.5555555555555552E-2</v>
      </c>
    </row>
    <row r="936" spans="1:16" x14ac:dyDescent="0.4">
      <c r="A936">
        <v>0.25</v>
      </c>
      <c r="B936">
        <v>0.2857142857142857</v>
      </c>
      <c r="C936" s="24">
        <v>0.44444444444444442</v>
      </c>
      <c r="D936">
        <v>0.18181818181818182</v>
      </c>
      <c r="E936">
        <v>0.15384615384615385</v>
      </c>
      <c r="F936">
        <v>0.125</v>
      </c>
      <c r="G936">
        <v>0.27272727272727271</v>
      </c>
      <c r="H936">
        <v>2.2222222222222223E-2</v>
      </c>
      <c r="I936">
        <f t="shared" si="113"/>
        <v>0.25</v>
      </c>
      <c r="J936">
        <f t="shared" si="114"/>
        <v>0.2857142857142857</v>
      </c>
      <c r="K936">
        <f t="shared" si="115"/>
        <v>0.44444444444444442</v>
      </c>
      <c r="L936">
        <f t="shared" si="116"/>
        <v>0.18181818181818182</v>
      </c>
      <c r="M936">
        <f t="shared" si="117"/>
        <v>0.15384615384615385</v>
      </c>
      <c r="N936">
        <f t="shared" si="118"/>
        <v>0.125</v>
      </c>
      <c r="O936">
        <f t="shared" si="119"/>
        <v>0.27272727272727271</v>
      </c>
      <c r="P936">
        <f t="shared" si="120"/>
        <v>2.2222222222222223E-2</v>
      </c>
    </row>
    <row r="937" spans="1:16" x14ac:dyDescent="0.4">
      <c r="A937">
        <v>0.4</v>
      </c>
      <c r="B937">
        <v>0.16666666666666666</v>
      </c>
      <c r="C937" s="23">
        <v>0.10526315789473684</v>
      </c>
      <c r="D937">
        <v>0.44444444444444442</v>
      </c>
      <c r="E937">
        <v>0.25</v>
      </c>
      <c r="F937">
        <v>2.7027027027027029E-2</v>
      </c>
      <c r="G937">
        <v>0.15</v>
      </c>
      <c r="H937">
        <v>0.33333333333333331</v>
      </c>
      <c r="I937">
        <f t="shared" si="113"/>
        <v>0.4</v>
      </c>
      <c r="J937">
        <f t="shared" si="114"/>
        <v>0.16666666666666666</v>
      </c>
      <c r="K937">
        <f t="shared" si="115"/>
        <v>0.10526315789473684</v>
      </c>
      <c r="L937">
        <f t="shared" si="116"/>
        <v>0.44444444444444442</v>
      </c>
      <c r="M937">
        <f t="shared" si="117"/>
        <v>0.25</v>
      </c>
      <c r="N937">
        <f t="shared" si="118"/>
        <v>2.7027027027027029E-2</v>
      </c>
      <c r="O937">
        <f t="shared" si="119"/>
        <v>0.15</v>
      </c>
      <c r="P937">
        <f t="shared" si="120"/>
        <v>0.33333333333333331</v>
      </c>
    </row>
    <row r="938" spans="1:16" x14ac:dyDescent="0.4">
      <c r="A938">
        <v>0.30769230769230771</v>
      </c>
      <c r="B938">
        <v>0.5</v>
      </c>
      <c r="C938" s="24">
        <v>7.6923076923076927E-2</v>
      </c>
      <c r="D938">
        <v>0.33333333333333331</v>
      </c>
      <c r="E938">
        <v>0.18181818181818182</v>
      </c>
      <c r="F938">
        <v>1.8867924528301886E-2</v>
      </c>
      <c r="G938">
        <v>0</v>
      </c>
      <c r="H938">
        <v>6.25E-2</v>
      </c>
      <c r="I938">
        <f t="shared" si="113"/>
        <v>0.30769230769230771</v>
      </c>
      <c r="J938">
        <f t="shared" si="114"/>
        <v>0.5</v>
      </c>
      <c r="K938">
        <f t="shared" si="115"/>
        <v>7.6923076923076927E-2</v>
      </c>
      <c r="L938">
        <f t="shared" si="116"/>
        <v>0.33333333333333331</v>
      </c>
      <c r="M938">
        <f t="shared" si="117"/>
        <v>0.18181818181818182</v>
      </c>
      <c r="N938">
        <f t="shared" si="118"/>
        <v>1.8867924528301886E-2</v>
      </c>
      <c r="O938">
        <f t="shared" si="119"/>
        <v>0</v>
      </c>
      <c r="P938">
        <f t="shared" si="120"/>
        <v>6.25E-2</v>
      </c>
    </row>
    <row r="939" spans="1:16" x14ac:dyDescent="0.4">
      <c r="A939">
        <v>0.125</v>
      </c>
      <c r="B939">
        <v>0.08</v>
      </c>
      <c r="C939" s="23">
        <v>0.25</v>
      </c>
      <c r="D939">
        <v>0.23076923076923078</v>
      </c>
      <c r="E939">
        <v>0.10714285714285714</v>
      </c>
      <c r="F939">
        <v>6.25E-2</v>
      </c>
      <c r="G939">
        <v>0.18181818181818182</v>
      </c>
      <c r="H939">
        <v>0.4</v>
      </c>
      <c r="I939">
        <f t="shared" si="113"/>
        <v>0.125</v>
      </c>
      <c r="J939">
        <f t="shared" si="114"/>
        <v>0.08</v>
      </c>
      <c r="K939">
        <f t="shared" si="115"/>
        <v>0.25</v>
      </c>
      <c r="L939">
        <f t="shared" si="116"/>
        <v>0.23076923076923078</v>
      </c>
      <c r="M939">
        <f t="shared" si="117"/>
        <v>0.10714285714285714</v>
      </c>
      <c r="N939">
        <f t="shared" si="118"/>
        <v>6.25E-2</v>
      </c>
      <c r="O939">
        <f t="shared" si="119"/>
        <v>0.18181818181818182</v>
      </c>
      <c r="P939">
        <f t="shared" si="120"/>
        <v>0.4</v>
      </c>
    </row>
    <row r="940" spans="1:16" x14ac:dyDescent="0.4">
      <c r="A940">
        <v>0.25</v>
      </c>
      <c r="B940">
        <v>0.33333333333333331</v>
      </c>
      <c r="C940" s="24">
        <v>0.4</v>
      </c>
      <c r="D940">
        <v>0.16666666666666666</v>
      </c>
      <c r="E940">
        <v>0</v>
      </c>
      <c r="F940">
        <v>0</v>
      </c>
      <c r="G940">
        <v>0</v>
      </c>
      <c r="H940">
        <v>0.1</v>
      </c>
      <c r="I940">
        <f t="shared" si="113"/>
        <v>0.25</v>
      </c>
      <c r="J940">
        <f t="shared" si="114"/>
        <v>0.33333333333333331</v>
      </c>
      <c r="K940">
        <f t="shared" si="115"/>
        <v>0.4</v>
      </c>
      <c r="L940">
        <f t="shared" si="116"/>
        <v>0.16666666666666666</v>
      </c>
      <c r="M940">
        <f t="shared" si="117"/>
        <v>0</v>
      </c>
      <c r="N940">
        <f t="shared" si="118"/>
        <v>0</v>
      </c>
      <c r="O940">
        <f t="shared" si="119"/>
        <v>0</v>
      </c>
      <c r="P940">
        <f t="shared" si="120"/>
        <v>0.1</v>
      </c>
    </row>
    <row r="941" spans="1:16" x14ac:dyDescent="0.4">
      <c r="A941">
        <v>0.4</v>
      </c>
      <c r="B941">
        <v>0.25</v>
      </c>
      <c r="C941" s="23">
        <v>0.22222222222222221</v>
      </c>
      <c r="D941">
        <v>0.8</v>
      </c>
      <c r="E941">
        <v>0</v>
      </c>
      <c r="F941">
        <v>0</v>
      </c>
      <c r="G941">
        <v>0</v>
      </c>
      <c r="H941">
        <v>0</v>
      </c>
      <c r="I941">
        <f t="shared" si="113"/>
        <v>0.4</v>
      </c>
      <c r="J941">
        <f t="shared" si="114"/>
        <v>0.25</v>
      </c>
      <c r="K941">
        <f t="shared" si="115"/>
        <v>0.22222222222222221</v>
      </c>
      <c r="L941">
        <f t="shared" si="116"/>
        <v>0.8</v>
      </c>
      <c r="M941">
        <f t="shared" si="117"/>
        <v>0</v>
      </c>
      <c r="N941">
        <f t="shared" si="118"/>
        <v>0</v>
      </c>
      <c r="O941">
        <f t="shared" si="119"/>
        <v>0</v>
      </c>
      <c r="P941">
        <f t="shared" si="120"/>
        <v>0</v>
      </c>
    </row>
    <row r="942" spans="1:16" x14ac:dyDescent="0.4">
      <c r="A942">
        <v>0</v>
      </c>
      <c r="B942">
        <v>0.1</v>
      </c>
      <c r="C942" s="24">
        <v>0.125</v>
      </c>
      <c r="D942">
        <v>0.4</v>
      </c>
      <c r="E942">
        <v>0.23529411764705882</v>
      </c>
      <c r="F942">
        <v>0.2857142857142857</v>
      </c>
      <c r="G942">
        <v>5.4054054054054057E-2</v>
      </c>
      <c r="H942">
        <v>0.1111111111111111</v>
      </c>
      <c r="I942">
        <f t="shared" si="113"/>
        <v>0</v>
      </c>
      <c r="J942">
        <f t="shared" si="114"/>
        <v>0.1</v>
      </c>
      <c r="K942">
        <f t="shared" si="115"/>
        <v>0.125</v>
      </c>
      <c r="L942">
        <f t="shared" si="116"/>
        <v>0.4</v>
      </c>
      <c r="M942">
        <f t="shared" si="117"/>
        <v>0.23529411764705882</v>
      </c>
      <c r="N942">
        <f t="shared" si="118"/>
        <v>0.2857142857142857</v>
      </c>
      <c r="O942">
        <f t="shared" si="119"/>
        <v>5.4054054054054057E-2</v>
      </c>
      <c r="P942">
        <f t="shared" si="120"/>
        <v>0.1111111111111111</v>
      </c>
    </row>
    <row r="943" spans="1:16" x14ac:dyDescent="0.4">
      <c r="A943">
        <v>0.23529411764705882</v>
      </c>
      <c r="B943">
        <v>0.30769230769230771</v>
      </c>
      <c r="C943" s="23">
        <v>3.7037037037037035E-2</v>
      </c>
      <c r="D943">
        <v>0.36363636363636365</v>
      </c>
      <c r="E943">
        <v>0</v>
      </c>
      <c r="F943">
        <v>0.16</v>
      </c>
      <c r="G943">
        <v>0.18181818181818182</v>
      </c>
      <c r="H943">
        <v>0.22222222222222221</v>
      </c>
      <c r="I943">
        <f t="shared" si="113"/>
        <v>0.23529411764705882</v>
      </c>
      <c r="J943">
        <f t="shared" si="114"/>
        <v>0.30769230769230771</v>
      </c>
      <c r="K943">
        <f t="shared" si="115"/>
        <v>3.7037037037037035E-2</v>
      </c>
      <c r="L943">
        <f t="shared" si="116"/>
        <v>0.36363636363636365</v>
      </c>
      <c r="M943">
        <f t="shared" si="117"/>
        <v>0</v>
      </c>
      <c r="N943">
        <f t="shared" si="118"/>
        <v>0.16</v>
      </c>
      <c r="O943">
        <f t="shared" si="119"/>
        <v>0.18181818181818182</v>
      </c>
      <c r="P943">
        <f t="shared" si="120"/>
        <v>0.22222222222222221</v>
      </c>
    </row>
    <row r="944" spans="1:16" x14ac:dyDescent="0.4">
      <c r="A944">
        <v>0.16</v>
      </c>
      <c r="B944">
        <v>0.44444444444444442</v>
      </c>
      <c r="C944" s="24">
        <v>0.44444444444444442</v>
      </c>
      <c r="D944">
        <v>0.33333333333333331</v>
      </c>
      <c r="E944">
        <v>4.1666666666666664E-2</v>
      </c>
      <c r="F944">
        <v>0.33333333333333331</v>
      </c>
      <c r="G944">
        <v>0.125</v>
      </c>
      <c r="H944">
        <v>0.33333333333333331</v>
      </c>
      <c r="I944">
        <f t="shared" si="113"/>
        <v>0.16</v>
      </c>
      <c r="J944">
        <f t="shared" si="114"/>
        <v>0.44444444444444442</v>
      </c>
      <c r="K944">
        <f t="shared" si="115"/>
        <v>0.44444444444444442</v>
      </c>
      <c r="L944">
        <f t="shared" si="116"/>
        <v>0.33333333333333331</v>
      </c>
      <c r="M944">
        <f t="shared" si="117"/>
        <v>4.1666666666666664E-2</v>
      </c>
      <c r="N944">
        <f t="shared" si="118"/>
        <v>0.33333333333333331</v>
      </c>
      <c r="O944">
        <f t="shared" si="119"/>
        <v>0.125</v>
      </c>
      <c r="P944">
        <f t="shared" si="120"/>
        <v>0.33333333333333331</v>
      </c>
    </row>
    <row r="945" spans="1:16" x14ac:dyDescent="0.4">
      <c r="A945">
        <v>8.6956521739130432E-2</v>
      </c>
      <c r="B945">
        <v>0.33333333333333331</v>
      </c>
      <c r="C945" s="23">
        <v>0.22222222222222221</v>
      </c>
      <c r="D945">
        <v>0.11764705882352941</v>
      </c>
      <c r="E945">
        <v>0.18181818181818182</v>
      </c>
      <c r="F945">
        <v>6.25E-2</v>
      </c>
      <c r="G945">
        <v>0.1</v>
      </c>
      <c r="H945">
        <v>5.4054054054054057E-2</v>
      </c>
      <c r="I945">
        <f t="shared" si="113"/>
        <v>8.6956521739130432E-2</v>
      </c>
      <c r="J945">
        <f t="shared" si="114"/>
        <v>0.33333333333333331</v>
      </c>
      <c r="K945">
        <f t="shared" si="115"/>
        <v>0.22222222222222221</v>
      </c>
      <c r="L945">
        <f t="shared" si="116"/>
        <v>0.11764705882352941</v>
      </c>
      <c r="M945">
        <f t="shared" si="117"/>
        <v>0.18181818181818182</v>
      </c>
      <c r="N945">
        <f t="shared" si="118"/>
        <v>6.25E-2</v>
      </c>
      <c r="O945">
        <f t="shared" si="119"/>
        <v>0.1</v>
      </c>
      <c r="P945">
        <f t="shared" si="120"/>
        <v>5.4054054054054057E-2</v>
      </c>
    </row>
    <row r="946" spans="1:16" x14ac:dyDescent="0.4">
      <c r="A946">
        <v>0.36363636363636365</v>
      </c>
      <c r="B946">
        <v>0</v>
      </c>
      <c r="C946" s="24">
        <v>0.44444444444444442</v>
      </c>
      <c r="D946">
        <v>9.0909090909090912E-2</v>
      </c>
      <c r="E946">
        <v>0</v>
      </c>
      <c r="F946">
        <v>0.5</v>
      </c>
      <c r="G946">
        <v>0.4</v>
      </c>
      <c r="H946">
        <v>4.5454545454545456E-2</v>
      </c>
      <c r="I946">
        <f t="shared" si="113"/>
        <v>0.36363636363636365</v>
      </c>
      <c r="J946">
        <f t="shared" si="114"/>
        <v>0</v>
      </c>
      <c r="K946">
        <f t="shared" si="115"/>
        <v>0.44444444444444442</v>
      </c>
      <c r="L946">
        <f t="shared" si="116"/>
        <v>9.0909090909090912E-2</v>
      </c>
      <c r="M946">
        <f t="shared" si="117"/>
        <v>0</v>
      </c>
      <c r="N946">
        <f t="shared" si="118"/>
        <v>0.5</v>
      </c>
      <c r="O946">
        <f t="shared" si="119"/>
        <v>0.4</v>
      </c>
      <c r="P946">
        <f t="shared" si="120"/>
        <v>4.5454545454545456E-2</v>
      </c>
    </row>
    <row r="947" spans="1:16" x14ac:dyDescent="0.4">
      <c r="A947">
        <v>0.4</v>
      </c>
      <c r="B947">
        <v>0.30769230769230771</v>
      </c>
      <c r="C947" s="23">
        <v>0.30769230769230771</v>
      </c>
      <c r="D947">
        <v>0.26666666666666666</v>
      </c>
      <c r="E947">
        <v>0.5</v>
      </c>
      <c r="F947">
        <v>0.3</v>
      </c>
      <c r="G947">
        <v>0</v>
      </c>
      <c r="H947">
        <v>0.15384615384615385</v>
      </c>
      <c r="I947">
        <f t="shared" si="113"/>
        <v>0.4</v>
      </c>
      <c r="J947">
        <f t="shared" si="114"/>
        <v>0.30769230769230771</v>
      </c>
      <c r="K947">
        <f t="shared" si="115"/>
        <v>0.30769230769230771</v>
      </c>
      <c r="L947">
        <f t="shared" si="116"/>
        <v>0.26666666666666666</v>
      </c>
      <c r="M947">
        <f t="shared" si="117"/>
        <v>0.5</v>
      </c>
      <c r="N947">
        <f t="shared" si="118"/>
        <v>0.3</v>
      </c>
      <c r="O947">
        <f t="shared" si="119"/>
        <v>0</v>
      </c>
      <c r="P947">
        <f t="shared" si="120"/>
        <v>0.15384615384615385</v>
      </c>
    </row>
    <row r="948" spans="1:16" x14ac:dyDescent="0.4">
      <c r="A948">
        <v>0.33333333333333331</v>
      </c>
      <c r="B948">
        <v>0.26666666666666666</v>
      </c>
      <c r="C948" s="24">
        <v>3.8461538461538464E-2</v>
      </c>
      <c r="D948">
        <v>0.4</v>
      </c>
      <c r="E948">
        <v>9.0909090909090912E-2</v>
      </c>
      <c r="F948">
        <v>0</v>
      </c>
      <c r="G948">
        <v>0.15384615384615385</v>
      </c>
      <c r="H948">
        <v>0</v>
      </c>
      <c r="I948">
        <f t="shared" si="113"/>
        <v>0.33333333333333331</v>
      </c>
      <c r="J948">
        <f t="shared" si="114"/>
        <v>0.26666666666666666</v>
      </c>
      <c r="K948">
        <f t="shared" si="115"/>
        <v>3.8461538461538464E-2</v>
      </c>
      <c r="L948">
        <f t="shared" si="116"/>
        <v>0.4</v>
      </c>
      <c r="M948">
        <f t="shared" si="117"/>
        <v>9.0909090909090912E-2</v>
      </c>
      <c r="N948">
        <f t="shared" si="118"/>
        <v>0</v>
      </c>
      <c r="O948">
        <f t="shared" si="119"/>
        <v>0.15384615384615385</v>
      </c>
      <c r="P948">
        <f t="shared" si="120"/>
        <v>0</v>
      </c>
    </row>
    <row r="949" spans="1:16" x14ac:dyDescent="0.4">
      <c r="A949">
        <v>3.8461538461538464E-2</v>
      </c>
      <c r="B949">
        <v>0.5</v>
      </c>
      <c r="C949" s="23">
        <v>0.25</v>
      </c>
      <c r="D949">
        <v>0.22222222222222221</v>
      </c>
      <c r="E949">
        <v>0.18181818181818182</v>
      </c>
      <c r="F949">
        <v>6.6666666666666666E-2</v>
      </c>
      <c r="G949">
        <v>0</v>
      </c>
      <c r="H949">
        <v>0</v>
      </c>
      <c r="I949">
        <f t="shared" si="113"/>
        <v>3.8461538461538464E-2</v>
      </c>
      <c r="J949">
        <f t="shared" si="114"/>
        <v>0.5</v>
      </c>
      <c r="K949">
        <f t="shared" si="115"/>
        <v>0.25</v>
      </c>
      <c r="L949">
        <f t="shared" si="116"/>
        <v>0.22222222222222221</v>
      </c>
      <c r="M949">
        <f t="shared" si="117"/>
        <v>0.18181818181818182</v>
      </c>
      <c r="N949">
        <f t="shared" si="118"/>
        <v>6.6666666666666666E-2</v>
      </c>
      <c r="O949">
        <f t="shared" si="119"/>
        <v>0</v>
      </c>
      <c r="P949">
        <f t="shared" si="120"/>
        <v>0</v>
      </c>
    </row>
    <row r="950" spans="1:16" x14ac:dyDescent="0.4">
      <c r="A950">
        <v>0.4</v>
      </c>
      <c r="B950">
        <v>0.4</v>
      </c>
      <c r="C950" s="24">
        <v>7.2727272727272724E-2</v>
      </c>
      <c r="D950">
        <v>0.44444444444444442</v>
      </c>
      <c r="E950">
        <v>0.125</v>
      </c>
      <c r="F950">
        <v>5.7692307692307696E-2</v>
      </c>
      <c r="G950">
        <v>0.125</v>
      </c>
      <c r="H950">
        <v>0</v>
      </c>
      <c r="I950">
        <f t="shared" si="113"/>
        <v>0.4</v>
      </c>
      <c r="J950">
        <f t="shared" si="114"/>
        <v>0.4</v>
      </c>
      <c r="K950">
        <f t="shared" si="115"/>
        <v>7.2727272727272724E-2</v>
      </c>
      <c r="L950">
        <f t="shared" si="116"/>
        <v>0.44444444444444442</v>
      </c>
      <c r="M950">
        <f t="shared" si="117"/>
        <v>0.125</v>
      </c>
      <c r="N950">
        <f t="shared" si="118"/>
        <v>5.7692307692307696E-2</v>
      </c>
      <c r="O950">
        <f t="shared" si="119"/>
        <v>0.125</v>
      </c>
      <c r="P950">
        <f t="shared" si="120"/>
        <v>0</v>
      </c>
    </row>
    <row r="951" spans="1:16" x14ac:dyDescent="0.4">
      <c r="A951">
        <v>0.16666666666666666</v>
      </c>
      <c r="B951">
        <v>0.12121212121212122</v>
      </c>
      <c r="C951" s="23">
        <v>0.5714285714285714</v>
      </c>
      <c r="D951">
        <v>6.5573770491803282E-2</v>
      </c>
      <c r="E951">
        <v>0</v>
      </c>
      <c r="F951">
        <v>0.75</v>
      </c>
      <c r="G951">
        <v>3.125E-2</v>
      </c>
      <c r="H951">
        <v>1.4285714285714285E-2</v>
      </c>
      <c r="I951">
        <f t="shared" si="113"/>
        <v>0.16666666666666666</v>
      </c>
      <c r="J951">
        <f t="shared" si="114"/>
        <v>0.12121212121212122</v>
      </c>
      <c r="K951">
        <f t="shared" si="115"/>
        <v>0.5714285714285714</v>
      </c>
      <c r="L951">
        <f t="shared" si="116"/>
        <v>6.5573770491803282E-2</v>
      </c>
      <c r="M951">
        <f t="shared" si="117"/>
        <v>0</v>
      </c>
      <c r="N951">
        <f t="shared" si="118"/>
        <v>0.75</v>
      </c>
      <c r="O951">
        <f t="shared" si="119"/>
        <v>3.125E-2</v>
      </c>
      <c r="P951">
        <f t="shared" si="120"/>
        <v>1.4285714285714285E-2</v>
      </c>
    </row>
    <row r="952" spans="1:16" x14ac:dyDescent="0.4">
      <c r="A952">
        <v>0.36363636363636365</v>
      </c>
      <c r="B952">
        <v>0.4</v>
      </c>
      <c r="C952" s="24">
        <v>0.25</v>
      </c>
      <c r="D952">
        <v>0.25</v>
      </c>
      <c r="E952">
        <v>0.1</v>
      </c>
      <c r="F952">
        <v>6.25E-2</v>
      </c>
      <c r="G952">
        <v>0.2857142857142857</v>
      </c>
      <c r="H952">
        <v>0.25</v>
      </c>
      <c r="I952">
        <f t="shared" si="113"/>
        <v>0.36363636363636365</v>
      </c>
      <c r="J952">
        <f t="shared" si="114"/>
        <v>0.4</v>
      </c>
      <c r="K952">
        <f t="shared" si="115"/>
        <v>0.25</v>
      </c>
      <c r="L952">
        <f t="shared" si="116"/>
        <v>0.25</v>
      </c>
      <c r="M952">
        <f t="shared" si="117"/>
        <v>0.1</v>
      </c>
      <c r="N952">
        <f t="shared" si="118"/>
        <v>6.25E-2</v>
      </c>
      <c r="O952">
        <f t="shared" si="119"/>
        <v>0.2857142857142857</v>
      </c>
      <c r="P952">
        <f t="shared" si="120"/>
        <v>0.25</v>
      </c>
    </row>
    <row r="953" spans="1:16" x14ac:dyDescent="0.4">
      <c r="A953">
        <v>0.30769230769230771</v>
      </c>
      <c r="B953">
        <v>0.44444444444444442</v>
      </c>
      <c r="C953" s="23">
        <v>0.26666666666666666</v>
      </c>
      <c r="D953">
        <v>0.33333333333333331</v>
      </c>
      <c r="E953">
        <v>8.3333333333333329E-2</v>
      </c>
      <c r="F953">
        <v>0.23076923076923078</v>
      </c>
      <c r="G953">
        <v>0</v>
      </c>
      <c r="H953">
        <v>9.0909090909090912E-2</v>
      </c>
      <c r="I953">
        <f t="shared" si="113"/>
        <v>0.30769230769230771</v>
      </c>
      <c r="J953">
        <f t="shared" si="114"/>
        <v>0.44444444444444442</v>
      </c>
      <c r="K953">
        <f t="shared" si="115"/>
        <v>0.26666666666666666</v>
      </c>
      <c r="L953">
        <f t="shared" si="116"/>
        <v>0.33333333333333331</v>
      </c>
      <c r="M953">
        <f t="shared" si="117"/>
        <v>8.3333333333333329E-2</v>
      </c>
      <c r="N953">
        <f t="shared" si="118"/>
        <v>0.23076923076923078</v>
      </c>
      <c r="O953">
        <f t="shared" si="119"/>
        <v>0</v>
      </c>
      <c r="P953">
        <f t="shared" si="120"/>
        <v>9.0909090909090912E-2</v>
      </c>
    </row>
    <row r="954" spans="1:16" x14ac:dyDescent="0.4">
      <c r="A954">
        <v>0.21052631578947367</v>
      </c>
      <c r="B954">
        <v>0.10256410256410256</v>
      </c>
      <c r="C954" s="24">
        <v>0.19047619047619047</v>
      </c>
      <c r="D954">
        <v>8.6956521739130432E-2</v>
      </c>
      <c r="E954">
        <v>0.2</v>
      </c>
      <c r="F954">
        <v>0.10526315789473684</v>
      </c>
      <c r="G954">
        <v>8.5714285714285715E-2</v>
      </c>
      <c r="H954">
        <v>6.8181818181818177E-2</v>
      </c>
      <c r="I954">
        <f t="shared" si="113"/>
        <v>0.21052631578947367</v>
      </c>
      <c r="J954">
        <f t="shared" si="114"/>
        <v>0.10256410256410256</v>
      </c>
      <c r="K954">
        <f t="shared" si="115"/>
        <v>0.19047619047619047</v>
      </c>
      <c r="L954">
        <f t="shared" si="116"/>
        <v>8.6956521739130432E-2</v>
      </c>
      <c r="M954">
        <f t="shared" si="117"/>
        <v>0.2</v>
      </c>
      <c r="N954">
        <f t="shared" si="118"/>
        <v>0.10526315789473684</v>
      </c>
      <c r="O954">
        <f t="shared" si="119"/>
        <v>8.5714285714285715E-2</v>
      </c>
      <c r="P954">
        <f t="shared" si="120"/>
        <v>6.8181818181818177E-2</v>
      </c>
    </row>
    <row r="955" spans="1:16" x14ac:dyDescent="0.4">
      <c r="A955">
        <v>4.3478260869565216E-2</v>
      </c>
      <c r="B955">
        <v>0.15384615384615385</v>
      </c>
      <c r="C955" s="23">
        <v>0.4</v>
      </c>
      <c r="D955">
        <v>0.25</v>
      </c>
      <c r="E955">
        <v>0.2</v>
      </c>
      <c r="F955">
        <v>0.1111111111111111</v>
      </c>
      <c r="G955">
        <v>0.13636363636363635</v>
      </c>
      <c r="H955">
        <v>9.7560975609756101E-2</v>
      </c>
      <c r="I955">
        <f t="shared" si="113"/>
        <v>4.3478260869565216E-2</v>
      </c>
      <c r="J955">
        <f t="shared" si="114"/>
        <v>0.15384615384615385</v>
      </c>
      <c r="K955">
        <f t="shared" si="115"/>
        <v>0.4</v>
      </c>
      <c r="L955">
        <f t="shared" si="116"/>
        <v>0.25</v>
      </c>
      <c r="M955">
        <f t="shared" si="117"/>
        <v>0.2</v>
      </c>
      <c r="N955">
        <f t="shared" si="118"/>
        <v>0.1111111111111111</v>
      </c>
      <c r="O955">
        <f t="shared" si="119"/>
        <v>0.13636363636363635</v>
      </c>
      <c r="P955">
        <f t="shared" si="120"/>
        <v>9.7560975609756101E-2</v>
      </c>
    </row>
    <row r="956" spans="1:16" x14ac:dyDescent="0.4">
      <c r="A956">
        <v>0.16666666666666666</v>
      </c>
      <c r="B956">
        <v>0.1</v>
      </c>
      <c r="C956" s="24">
        <v>0.27272727272727271</v>
      </c>
      <c r="D956">
        <v>0.22222222222222221</v>
      </c>
      <c r="E956">
        <v>0.5714285714285714</v>
      </c>
      <c r="F956">
        <v>0.44444444444444442</v>
      </c>
      <c r="G956">
        <v>0.23529411764705882</v>
      </c>
      <c r="H956">
        <v>6.6666666666666666E-2</v>
      </c>
      <c r="I956">
        <f t="shared" si="113"/>
        <v>0.16666666666666666</v>
      </c>
      <c r="J956">
        <f t="shared" si="114"/>
        <v>0.1</v>
      </c>
      <c r="K956">
        <f t="shared" si="115"/>
        <v>0.27272727272727271</v>
      </c>
      <c r="L956">
        <f t="shared" si="116"/>
        <v>0.22222222222222221</v>
      </c>
      <c r="M956">
        <f t="shared" si="117"/>
        <v>0.5714285714285714</v>
      </c>
      <c r="N956">
        <f t="shared" si="118"/>
        <v>0.44444444444444442</v>
      </c>
      <c r="O956">
        <f t="shared" si="119"/>
        <v>0.23529411764705882</v>
      </c>
      <c r="P956">
        <f t="shared" si="120"/>
        <v>6.6666666666666666E-2</v>
      </c>
    </row>
    <row r="957" spans="1:16" x14ac:dyDescent="0.4">
      <c r="A957">
        <v>0.33333333333333331</v>
      </c>
      <c r="B957">
        <v>0.13043478260869565</v>
      </c>
      <c r="C957" s="23">
        <v>0.25</v>
      </c>
      <c r="D957">
        <v>0.36363636363636365</v>
      </c>
      <c r="E957">
        <v>0</v>
      </c>
      <c r="F957">
        <v>0</v>
      </c>
      <c r="G957">
        <v>0.22222222222222221</v>
      </c>
      <c r="H957">
        <v>0</v>
      </c>
      <c r="I957">
        <f t="shared" si="113"/>
        <v>0.33333333333333331</v>
      </c>
      <c r="J957">
        <f t="shared" si="114"/>
        <v>0.13043478260869565</v>
      </c>
      <c r="K957">
        <f t="shared" si="115"/>
        <v>0.25</v>
      </c>
      <c r="L957">
        <f t="shared" si="116"/>
        <v>0.36363636363636365</v>
      </c>
      <c r="M957">
        <f t="shared" si="117"/>
        <v>0</v>
      </c>
      <c r="N957">
        <f t="shared" si="118"/>
        <v>0</v>
      </c>
      <c r="O957">
        <f t="shared" si="119"/>
        <v>0.22222222222222221</v>
      </c>
      <c r="P957">
        <f t="shared" si="120"/>
        <v>0</v>
      </c>
    </row>
    <row r="958" spans="1:16" x14ac:dyDescent="0.4">
      <c r="A958">
        <v>0.26666666666666666</v>
      </c>
      <c r="B958">
        <v>0.13636363636363635</v>
      </c>
      <c r="C958" s="24">
        <v>0.5</v>
      </c>
      <c r="D958">
        <v>0.26666666666666666</v>
      </c>
      <c r="E958">
        <v>0</v>
      </c>
      <c r="F958">
        <v>0.33333333333333331</v>
      </c>
      <c r="G958">
        <v>0.22222222222222221</v>
      </c>
      <c r="H958">
        <v>7.6923076923076927E-2</v>
      </c>
      <c r="I958">
        <f t="shared" si="113"/>
        <v>0.26666666666666666</v>
      </c>
      <c r="J958">
        <f t="shared" si="114"/>
        <v>0.13636363636363635</v>
      </c>
      <c r="K958">
        <f t="shared" si="115"/>
        <v>0.5</v>
      </c>
      <c r="L958">
        <f t="shared" si="116"/>
        <v>0.26666666666666666</v>
      </c>
      <c r="M958">
        <f t="shared" si="117"/>
        <v>0</v>
      </c>
      <c r="N958">
        <f t="shared" si="118"/>
        <v>0.33333333333333331</v>
      </c>
      <c r="O958">
        <f t="shared" si="119"/>
        <v>0.22222222222222221</v>
      </c>
      <c r="P958">
        <f t="shared" si="120"/>
        <v>7.6923076923076927E-2</v>
      </c>
    </row>
    <row r="959" spans="1:16" x14ac:dyDescent="0.4">
      <c r="A959">
        <v>0.10526315789473684</v>
      </c>
      <c r="B959">
        <v>0.15384615384615385</v>
      </c>
      <c r="C959" s="23">
        <v>0.66666666666666663</v>
      </c>
      <c r="D959">
        <v>0.5</v>
      </c>
      <c r="E959">
        <v>5.7142857142857141E-2</v>
      </c>
      <c r="F959">
        <v>0.2</v>
      </c>
      <c r="G959">
        <v>4.3478260869565216E-2</v>
      </c>
      <c r="H959">
        <v>0.14285714285714285</v>
      </c>
      <c r="I959">
        <f t="shared" si="113"/>
        <v>0.10526315789473684</v>
      </c>
      <c r="J959">
        <f t="shared" si="114"/>
        <v>0.15384615384615385</v>
      </c>
      <c r="K959">
        <f t="shared" si="115"/>
        <v>0.66666666666666663</v>
      </c>
      <c r="L959">
        <f t="shared" si="116"/>
        <v>0.5</v>
      </c>
      <c r="M959">
        <f t="shared" si="117"/>
        <v>5.7142857142857141E-2</v>
      </c>
      <c r="N959">
        <f t="shared" si="118"/>
        <v>0.2</v>
      </c>
      <c r="O959">
        <f t="shared" si="119"/>
        <v>4.3478260869565216E-2</v>
      </c>
      <c r="P959">
        <f t="shared" si="120"/>
        <v>0.14285714285714285</v>
      </c>
    </row>
    <row r="960" spans="1:16" x14ac:dyDescent="0.4">
      <c r="A960">
        <v>0.44444444444444442</v>
      </c>
      <c r="B960">
        <v>0</v>
      </c>
      <c r="C960" s="24">
        <v>3.6036036036036036E-2</v>
      </c>
      <c r="D960">
        <v>0.5714285714285714</v>
      </c>
      <c r="E960">
        <v>0</v>
      </c>
      <c r="F960">
        <v>1.8691588785046728E-2</v>
      </c>
      <c r="G960">
        <v>0.5714285714285714</v>
      </c>
      <c r="H960">
        <v>0.16666666666666666</v>
      </c>
      <c r="I960">
        <f t="shared" si="113"/>
        <v>0.44444444444444442</v>
      </c>
      <c r="J960">
        <f t="shared" si="114"/>
        <v>0</v>
      </c>
      <c r="K960">
        <f t="shared" si="115"/>
        <v>3.6036036036036036E-2</v>
      </c>
      <c r="L960">
        <f t="shared" si="116"/>
        <v>0.5714285714285714</v>
      </c>
      <c r="M960">
        <f t="shared" si="117"/>
        <v>0</v>
      </c>
      <c r="N960">
        <f t="shared" si="118"/>
        <v>1.8691588785046728E-2</v>
      </c>
      <c r="O960">
        <f t="shared" si="119"/>
        <v>0.5714285714285714</v>
      </c>
      <c r="P960">
        <f t="shared" si="120"/>
        <v>0.16666666666666666</v>
      </c>
    </row>
    <row r="961" spans="1:16" x14ac:dyDescent="0.4">
      <c r="A961">
        <v>0.5</v>
      </c>
      <c r="B961">
        <v>3.4482758620689655E-2</v>
      </c>
      <c r="C961" s="23">
        <v>0.44444444444444442</v>
      </c>
      <c r="D961">
        <v>0.30769230769230771</v>
      </c>
      <c r="E961">
        <v>0.14285714285714285</v>
      </c>
      <c r="F961">
        <v>0.1111111111111111</v>
      </c>
      <c r="G961">
        <v>0.125</v>
      </c>
      <c r="H961">
        <v>0</v>
      </c>
      <c r="I961">
        <f t="shared" si="113"/>
        <v>0.5</v>
      </c>
      <c r="J961">
        <f t="shared" si="114"/>
        <v>3.4482758620689655E-2</v>
      </c>
      <c r="K961">
        <f t="shared" si="115"/>
        <v>0.44444444444444442</v>
      </c>
      <c r="L961">
        <f t="shared" si="116"/>
        <v>0.30769230769230771</v>
      </c>
      <c r="M961">
        <f t="shared" si="117"/>
        <v>0.14285714285714285</v>
      </c>
      <c r="N961">
        <f t="shared" si="118"/>
        <v>0.1111111111111111</v>
      </c>
      <c r="O961">
        <f t="shared" si="119"/>
        <v>0.125</v>
      </c>
      <c r="P961">
        <f t="shared" si="120"/>
        <v>0</v>
      </c>
    </row>
    <row r="962" spans="1:16" x14ac:dyDescent="0.4">
      <c r="A962">
        <v>0.2</v>
      </c>
      <c r="B962">
        <v>9.0909090909090912E-2</v>
      </c>
      <c r="C962" s="24">
        <v>0.17647058823529413</v>
      </c>
      <c r="D962">
        <v>0.18181818181818182</v>
      </c>
      <c r="E962">
        <v>0</v>
      </c>
      <c r="F962">
        <v>0.2857142857142857</v>
      </c>
      <c r="G962">
        <v>0.16</v>
      </c>
      <c r="H962">
        <v>4.7619047619047616E-2</v>
      </c>
      <c r="I962">
        <f t="shared" si="113"/>
        <v>0.2</v>
      </c>
      <c r="J962">
        <f t="shared" si="114"/>
        <v>9.0909090909090912E-2</v>
      </c>
      <c r="K962">
        <f t="shared" si="115"/>
        <v>0.17647058823529413</v>
      </c>
      <c r="L962">
        <f t="shared" si="116"/>
        <v>0.18181818181818182</v>
      </c>
      <c r="M962">
        <f t="shared" si="117"/>
        <v>0</v>
      </c>
      <c r="N962">
        <f t="shared" si="118"/>
        <v>0.2857142857142857</v>
      </c>
      <c r="O962">
        <f t="shared" si="119"/>
        <v>0.16</v>
      </c>
      <c r="P962">
        <f t="shared" si="120"/>
        <v>4.7619047619047616E-2</v>
      </c>
    </row>
    <row r="963" spans="1:16" x14ac:dyDescent="0.4">
      <c r="A963">
        <v>0.1</v>
      </c>
      <c r="B963">
        <v>0.36363636363636365</v>
      </c>
      <c r="C963" s="23">
        <v>0.22222222222222221</v>
      </c>
      <c r="D963">
        <v>0.36363636363636365</v>
      </c>
      <c r="E963">
        <v>0.23529411764705882</v>
      </c>
      <c r="F963">
        <v>0</v>
      </c>
      <c r="G963">
        <v>0</v>
      </c>
      <c r="H963">
        <v>0.25</v>
      </c>
      <c r="I963">
        <f t="shared" si="113"/>
        <v>0.1</v>
      </c>
      <c r="J963">
        <f t="shared" si="114"/>
        <v>0.36363636363636365</v>
      </c>
      <c r="K963">
        <f t="shared" si="115"/>
        <v>0.22222222222222221</v>
      </c>
      <c r="L963">
        <f t="shared" si="116"/>
        <v>0.36363636363636365</v>
      </c>
      <c r="M963">
        <f t="shared" si="117"/>
        <v>0.23529411764705882</v>
      </c>
      <c r="N963">
        <f t="shared" si="118"/>
        <v>0</v>
      </c>
      <c r="O963">
        <f t="shared" si="119"/>
        <v>0</v>
      </c>
      <c r="P963">
        <f t="shared" si="120"/>
        <v>0.25</v>
      </c>
    </row>
    <row r="964" spans="1:16" x14ac:dyDescent="0.4">
      <c r="A964">
        <v>0.4</v>
      </c>
      <c r="B964">
        <v>0</v>
      </c>
      <c r="C964" s="24">
        <v>0.1</v>
      </c>
      <c r="D964">
        <v>9.5238095238095233E-2</v>
      </c>
      <c r="E964">
        <v>0</v>
      </c>
      <c r="F964">
        <v>0.5</v>
      </c>
      <c r="G964">
        <v>0.13793103448275862</v>
      </c>
      <c r="H964">
        <v>0.22222222222222221</v>
      </c>
      <c r="I964">
        <f t="shared" si="113"/>
        <v>0.4</v>
      </c>
      <c r="J964">
        <f t="shared" si="114"/>
        <v>0</v>
      </c>
      <c r="K964">
        <f t="shared" si="115"/>
        <v>0.1</v>
      </c>
      <c r="L964">
        <f t="shared" si="116"/>
        <v>9.5238095238095233E-2</v>
      </c>
      <c r="M964">
        <f t="shared" si="117"/>
        <v>0</v>
      </c>
      <c r="N964">
        <f t="shared" si="118"/>
        <v>0.5</v>
      </c>
      <c r="O964">
        <f t="shared" si="119"/>
        <v>0.13793103448275862</v>
      </c>
      <c r="P964">
        <f t="shared" si="120"/>
        <v>0.22222222222222221</v>
      </c>
    </row>
    <row r="965" spans="1:16" x14ac:dyDescent="0.4">
      <c r="A965">
        <v>0.125</v>
      </c>
      <c r="B965">
        <v>0.36363636363636365</v>
      </c>
      <c r="C965" s="23">
        <v>0.2857142857142857</v>
      </c>
      <c r="D965">
        <v>0.2</v>
      </c>
      <c r="E965">
        <v>3.2258064516129031E-2</v>
      </c>
      <c r="F965">
        <v>8.3333333333333329E-2</v>
      </c>
      <c r="G965">
        <v>0</v>
      </c>
      <c r="H965">
        <v>4.3478260869565216E-2</v>
      </c>
      <c r="I965">
        <f t="shared" si="113"/>
        <v>0.125</v>
      </c>
      <c r="J965">
        <f t="shared" si="114"/>
        <v>0.36363636363636365</v>
      </c>
      <c r="K965">
        <f t="shared" si="115"/>
        <v>0.2857142857142857</v>
      </c>
      <c r="L965">
        <f t="shared" si="116"/>
        <v>0.2</v>
      </c>
      <c r="M965">
        <f t="shared" si="117"/>
        <v>3.2258064516129031E-2</v>
      </c>
      <c r="N965">
        <f t="shared" si="118"/>
        <v>8.3333333333333329E-2</v>
      </c>
      <c r="O965">
        <f t="shared" si="119"/>
        <v>0</v>
      </c>
      <c r="P965">
        <f t="shared" si="120"/>
        <v>4.3478260869565216E-2</v>
      </c>
    </row>
    <row r="966" spans="1:16" x14ac:dyDescent="0.4">
      <c r="A966">
        <v>0.23529411764705882</v>
      </c>
      <c r="B966">
        <v>0.26666666666666666</v>
      </c>
      <c r="C966" s="24">
        <v>9.7560975609756101E-2</v>
      </c>
      <c r="D966">
        <v>0.2</v>
      </c>
      <c r="E966">
        <v>0.21428571428571427</v>
      </c>
      <c r="F966">
        <v>2.5000000000000001E-2</v>
      </c>
      <c r="G966">
        <v>0</v>
      </c>
      <c r="H966">
        <v>0</v>
      </c>
      <c r="I966">
        <f t="shared" si="113"/>
        <v>0.23529411764705882</v>
      </c>
      <c r="J966">
        <f t="shared" si="114"/>
        <v>0.26666666666666666</v>
      </c>
      <c r="K966">
        <f t="shared" si="115"/>
        <v>9.7560975609756101E-2</v>
      </c>
      <c r="L966">
        <f t="shared" si="116"/>
        <v>0.2</v>
      </c>
      <c r="M966">
        <f t="shared" si="117"/>
        <v>0.21428571428571427</v>
      </c>
      <c r="N966">
        <f t="shared" si="118"/>
        <v>2.5000000000000001E-2</v>
      </c>
      <c r="O966">
        <f t="shared" si="119"/>
        <v>0</v>
      </c>
      <c r="P966">
        <f t="shared" si="120"/>
        <v>0</v>
      </c>
    </row>
    <row r="967" spans="1:16" x14ac:dyDescent="0.4">
      <c r="A967">
        <v>0.26666666666666666</v>
      </c>
      <c r="B967">
        <v>0.33333333333333331</v>
      </c>
      <c r="C967" s="23">
        <v>8.1632653061224483E-2</v>
      </c>
      <c r="D967">
        <v>0.19047619047619047</v>
      </c>
      <c r="E967">
        <v>7.6923076923076927E-2</v>
      </c>
      <c r="F967">
        <v>2.0833333333333332E-2</v>
      </c>
      <c r="G967">
        <v>0</v>
      </c>
      <c r="H967">
        <v>0.10526315789473684</v>
      </c>
      <c r="I967">
        <f t="shared" si="113"/>
        <v>0.26666666666666666</v>
      </c>
      <c r="J967">
        <f t="shared" si="114"/>
        <v>0.33333333333333331</v>
      </c>
      <c r="K967">
        <f t="shared" si="115"/>
        <v>8.1632653061224483E-2</v>
      </c>
      <c r="L967">
        <f t="shared" si="116"/>
        <v>0.19047619047619047</v>
      </c>
      <c r="M967">
        <f t="shared" si="117"/>
        <v>7.6923076923076927E-2</v>
      </c>
      <c r="N967">
        <f t="shared" si="118"/>
        <v>2.0833333333333332E-2</v>
      </c>
      <c r="O967">
        <f t="shared" si="119"/>
        <v>0</v>
      </c>
      <c r="P967">
        <f t="shared" si="120"/>
        <v>0.10526315789473684</v>
      </c>
    </row>
    <row r="968" spans="1:16" x14ac:dyDescent="0.4">
      <c r="A968">
        <v>0.36363636363636365</v>
      </c>
      <c r="B968">
        <v>0.2</v>
      </c>
      <c r="C968" s="24">
        <v>0.2</v>
      </c>
      <c r="D968">
        <v>0.25</v>
      </c>
      <c r="E968">
        <v>9.0909090909090912E-2</v>
      </c>
      <c r="F968">
        <v>0.21428571428571427</v>
      </c>
      <c r="G968">
        <v>5.5555555555555552E-2</v>
      </c>
      <c r="H968">
        <v>1</v>
      </c>
      <c r="I968">
        <f t="shared" ref="I968:I1006" si="121">IF(A968&gt;1, 1, A968)</f>
        <v>0.36363636363636365</v>
      </c>
      <c r="J968">
        <f t="shared" ref="J968:J1006" si="122">IF(B968&gt;1, 1, B968)</f>
        <v>0.2</v>
      </c>
      <c r="K968">
        <f t="shared" ref="K968:K1006" si="123">IF(C968&gt;1, 1, C968)</f>
        <v>0.2</v>
      </c>
      <c r="L968">
        <f t="shared" ref="L968:L1006" si="124">IF(D968&gt;1, 1, D968)</f>
        <v>0.25</v>
      </c>
      <c r="M968">
        <f t="shared" ref="M968:M1006" si="125">IF(E968&gt;1, 1, E968)</f>
        <v>9.0909090909090912E-2</v>
      </c>
      <c r="N968">
        <f t="shared" ref="N968:N1006" si="126">IF(F968&gt;1, 1, F968)</f>
        <v>0.21428571428571427</v>
      </c>
      <c r="O968">
        <f t="shared" ref="O968:O1006" si="127">IF(G968&gt;1, 1, G968)</f>
        <v>5.5555555555555552E-2</v>
      </c>
      <c r="P968">
        <f t="shared" ref="P968:P1006" si="128">IF(H968&gt;1, 1, H968)</f>
        <v>1</v>
      </c>
    </row>
    <row r="969" spans="1:16" x14ac:dyDescent="0.4">
      <c r="A969">
        <v>0.36363636363636365</v>
      </c>
      <c r="B969">
        <v>0.33333333333333331</v>
      </c>
      <c r="C969" s="23">
        <v>0.22222222222222221</v>
      </c>
      <c r="D969">
        <v>0.15</v>
      </c>
      <c r="E969">
        <v>0.22222222222222221</v>
      </c>
      <c r="F969">
        <v>0.2</v>
      </c>
      <c r="G969">
        <v>9.0909090909090912E-2</v>
      </c>
      <c r="H969">
        <v>0.13793103448275862</v>
      </c>
      <c r="I969">
        <f t="shared" si="121"/>
        <v>0.36363636363636365</v>
      </c>
      <c r="J969">
        <f t="shared" si="122"/>
        <v>0.33333333333333331</v>
      </c>
      <c r="K969">
        <f t="shared" si="123"/>
        <v>0.22222222222222221</v>
      </c>
      <c r="L969">
        <f t="shared" si="124"/>
        <v>0.15</v>
      </c>
      <c r="M969">
        <f t="shared" si="125"/>
        <v>0.22222222222222221</v>
      </c>
      <c r="N969">
        <f t="shared" si="126"/>
        <v>0.2</v>
      </c>
      <c r="O969">
        <f t="shared" si="127"/>
        <v>9.0909090909090912E-2</v>
      </c>
      <c r="P969">
        <f t="shared" si="128"/>
        <v>0.13793103448275862</v>
      </c>
    </row>
    <row r="970" spans="1:16" x14ac:dyDescent="0.4">
      <c r="A970">
        <v>0.36363636363636365</v>
      </c>
      <c r="B970">
        <v>0.11428571428571428</v>
      </c>
      <c r="C970" s="24">
        <v>0.33333333333333331</v>
      </c>
      <c r="D970">
        <v>0.18181818181818182</v>
      </c>
      <c r="E970">
        <v>0.1</v>
      </c>
      <c r="F970">
        <v>0.2</v>
      </c>
      <c r="G970">
        <v>0</v>
      </c>
      <c r="H970">
        <v>0</v>
      </c>
      <c r="I970">
        <f t="shared" si="121"/>
        <v>0.36363636363636365</v>
      </c>
      <c r="J970">
        <f t="shared" si="122"/>
        <v>0.11428571428571428</v>
      </c>
      <c r="K970">
        <f t="shared" si="123"/>
        <v>0.33333333333333331</v>
      </c>
      <c r="L970">
        <f t="shared" si="124"/>
        <v>0.18181818181818182</v>
      </c>
      <c r="M970">
        <f t="shared" si="125"/>
        <v>0.1</v>
      </c>
      <c r="N970">
        <f t="shared" si="126"/>
        <v>0.2</v>
      </c>
      <c r="O970">
        <f t="shared" si="127"/>
        <v>0</v>
      </c>
      <c r="P970">
        <f t="shared" si="128"/>
        <v>0</v>
      </c>
    </row>
    <row r="971" spans="1:16" x14ac:dyDescent="0.4">
      <c r="A971">
        <v>0.2857142857142857</v>
      </c>
      <c r="B971">
        <v>0.26666666666666666</v>
      </c>
      <c r="C971" s="23">
        <v>0.15</v>
      </c>
      <c r="D971">
        <v>0.5</v>
      </c>
      <c r="E971">
        <v>0</v>
      </c>
      <c r="F971">
        <v>0.22222222222222221</v>
      </c>
      <c r="G971">
        <v>7.6923076923076927E-2</v>
      </c>
      <c r="H971">
        <v>0</v>
      </c>
      <c r="I971">
        <f t="shared" si="121"/>
        <v>0.2857142857142857</v>
      </c>
      <c r="J971">
        <f t="shared" si="122"/>
        <v>0.26666666666666666</v>
      </c>
      <c r="K971">
        <f t="shared" si="123"/>
        <v>0.15</v>
      </c>
      <c r="L971">
        <f t="shared" si="124"/>
        <v>0.5</v>
      </c>
      <c r="M971">
        <f t="shared" si="125"/>
        <v>0</v>
      </c>
      <c r="N971">
        <f t="shared" si="126"/>
        <v>0.22222222222222221</v>
      </c>
      <c r="O971">
        <f t="shared" si="127"/>
        <v>7.6923076923076927E-2</v>
      </c>
      <c r="P971">
        <f t="shared" si="128"/>
        <v>0</v>
      </c>
    </row>
    <row r="972" spans="1:16" x14ac:dyDescent="0.4">
      <c r="A972">
        <v>0.26666666666666666</v>
      </c>
      <c r="B972">
        <v>0.16</v>
      </c>
      <c r="C972" s="24">
        <v>0.12121212121212122</v>
      </c>
      <c r="D972">
        <v>0.4</v>
      </c>
      <c r="E972">
        <v>0</v>
      </c>
      <c r="F972">
        <v>3.2258064516129031E-2</v>
      </c>
      <c r="G972">
        <v>8.6956521739130432E-2</v>
      </c>
      <c r="H972">
        <v>0</v>
      </c>
      <c r="I972">
        <f t="shared" si="121"/>
        <v>0.26666666666666666</v>
      </c>
      <c r="J972">
        <f t="shared" si="122"/>
        <v>0.16</v>
      </c>
      <c r="K972">
        <f t="shared" si="123"/>
        <v>0.12121212121212122</v>
      </c>
      <c r="L972">
        <f t="shared" si="124"/>
        <v>0.4</v>
      </c>
      <c r="M972">
        <f t="shared" si="125"/>
        <v>0</v>
      </c>
      <c r="N972">
        <f t="shared" si="126"/>
        <v>3.2258064516129031E-2</v>
      </c>
      <c r="O972">
        <f t="shared" si="127"/>
        <v>8.6956521739130432E-2</v>
      </c>
      <c r="P972">
        <f t="shared" si="128"/>
        <v>0</v>
      </c>
    </row>
    <row r="973" spans="1:16" x14ac:dyDescent="0.4">
      <c r="A973">
        <v>0.33333333333333331</v>
      </c>
      <c r="B973">
        <v>5.5555555555555552E-2</v>
      </c>
      <c r="C973" s="23">
        <v>0.5</v>
      </c>
      <c r="D973">
        <v>0.1</v>
      </c>
      <c r="E973">
        <v>0</v>
      </c>
      <c r="F973">
        <v>0.6</v>
      </c>
      <c r="G973">
        <v>0.2857142857142857</v>
      </c>
      <c r="H973">
        <v>0</v>
      </c>
      <c r="I973">
        <f t="shared" si="121"/>
        <v>0.33333333333333331</v>
      </c>
      <c r="J973">
        <f t="shared" si="122"/>
        <v>5.5555555555555552E-2</v>
      </c>
      <c r="K973">
        <f t="shared" si="123"/>
        <v>0.5</v>
      </c>
      <c r="L973">
        <f t="shared" si="124"/>
        <v>0.1</v>
      </c>
      <c r="M973">
        <f t="shared" si="125"/>
        <v>0</v>
      </c>
      <c r="N973">
        <f t="shared" si="126"/>
        <v>0.6</v>
      </c>
      <c r="O973">
        <f t="shared" si="127"/>
        <v>0.2857142857142857</v>
      </c>
      <c r="P973">
        <f t="shared" si="128"/>
        <v>0</v>
      </c>
    </row>
    <row r="974" spans="1:16" x14ac:dyDescent="0.4">
      <c r="A974">
        <v>0.44444444444444442</v>
      </c>
      <c r="B974">
        <v>0.18181818181818182</v>
      </c>
      <c r="C974" s="24">
        <v>8.6956521739130432E-2</v>
      </c>
      <c r="D974">
        <v>0.33333333333333331</v>
      </c>
      <c r="E974">
        <v>0</v>
      </c>
      <c r="F974">
        <v>0</v>
      </c>
      <c r="G974">
        <v>0</v>
      </c>
      <c r="H974">
        <v>0.18181818181818182</v>
      </c>
      <c r="I974">
        <f t="shared" si="121"/>
        <v>0.44444444444444442</v>
      </c>
      <c r="J974">
        <f t="shared" si="122"/>
        <v>0.18181818181818182</v>
      </c>
      <c r="K974">
        <f t="shared" si="123"/>
        <v>8.6956521739130432E-2</v>
      </c>
      <c r="L974">
        <f t="shared" si="124"/>
        <v>0.33333333333333331</v>
      </c>
      <c r="M974">
        <f t="shared" si="125"/>
        <v>0</v>
      </c>
      <c r="N974">
        <f t="shared" si="126"/>
        <v>0</v>
      </c>
      <c r="O974">
        <f t="shared" si="127"/>
        <v>0</v>
      </c>
      <c r="P974">
        <f t="shared" si="128"/>
        <v>0.18181818181818182</v>
      </c>
    </row>
    <row r="975" spans="1:16" x14ac:dyDescent="0.4">
      <c r="A975">
        <v>0.19047619047619047</v>
      </c>
      <c r="B975">
        <v>0.22222222222222221</v>
      </c>
      <c r="C975" s="23">
        <v>0.19047619047619047</v>
      </c>
      <c r="D975">
        <v>0.33333333333333331</v>
      </c>
      <c r="E975">
        <v>0.16666666666666666</v>
      </c>
      <c r="F975">
        <v>0.10526315789473684</v>
      </c>
      <c r="G975">
        <v>0</v>
      </c>
      <c r="H975">
        <v>0.2</v>
      </c>
      <c r="I975">
        <f t="shared" si="121"/>
        <v>0.19047619047619047</v>
      </c>
      <c r="J975">
        <f t="shared" si="122"/>
        <v>0.22222222222222221</v>
      </c>
      <c r="K975">
        <f t="shared" si="123"/>
        <v>0.19047619047619047</v>
      </c>
      <c r="L975">
        <f t="shared" si="124"/>
        <v>0.33333333333333331</v>
      </c>
      <c r="M975">
        <f t="shared" si="125"/>
        <v>0.16666666666666666</v>
      </c>
      <c r="N975">
        <f t="shared" si="126"/>
        <v>0.10526315789473684</v>
      </c>
      <c r="O975">
        <f t="shared" si="127"/>
        <v>0</v>
      </c>
      <c r="P975">
        <f t="shared" si="128"/>
        <v>0.2</v>
      </c>
    </row>
    <row r="976" spans="1:16" x14ac:dyDescent="0.4">
      <c r="A976">
        <v>0.30769230769230771</v>
      </c>
      <c r="B976">
        <v>0.11764705882352941</v>
      </c>
      <c r="C976" s="24">
        <v>0.23529411764705882</v>
      </c>
      <c r="D976">
        <v>0.36363636363636365</v>
      </c>
      <c r="E976">
        <v>0.14285714285714285</v>
      </c>
      <c r="F976">
        <v>0.21428571428571427</v>
      </c>
      <c r="G976">
        <v>8.1081081081081086E-2</v>
      </c>
      <c r="H976">
        <v>0.22222222222222221</v>
      </c>
      <c r="I976">
        <f t="shared" si="121"/>
        <v>0.30769230769230771</v>
      </c>
      <c r="J976">
        <f t="shared" si="122"/>
        <v>0.11764705882352941</v>
      </c>
      <c r="K976">
        <f t="shared" si="123"/>
        <v>0.23529411764705882</v>
      </c>
      <c r="L976">
        <f t="shared" si="124"/>
        <v>0.36363636363636365</v>
      </c>
      <c r="M976">
        <f t="shared" si="125"/>
        <v>0.14285714285714285</v>
      </c>
      <c r="N976">
        <f t="shared" si="126"/>
        <v>0.21428571428571427</v>
      </c>
      <c r="O976">
        <f t="shared" si="127"/>
        <v>8.1081081081081086E-2</v>
      </c>
      <c r="P976">
        <f t="shared" si="128"/>
        <v>0.22222222222222221</v>
      </c>
    </row>
    <row r="977" spans="1:16" x14ac:dyDescent="0.4">
      <c r="A977">
        <v>9.5238095238095233E-2</v>
      </c>
      <c r="B977">
        <v>0.36363636363636365</v>
      </c>
      <c r="C977" s="23">
        <v>0.2</v>
      </c>
      <c r="D977">
        <v>0.2</v>
      </c>
      <c r="E977">
        <v>0.05</v>
      </c>
      <c r="F977">
        <v>0.1111111111111111</v>
      </c>
      <c r="G977">
        <v>0.1</v>
      </c>
      <c r="H977">
        <v>0.1875</v>
      </c>
      <c r="I977">
        <f t="shared" si="121"/>
        <v>9.5238095238095233E-2</v>
      </c>
      <c r="J977">
        <f t="shared" si="122"/>
        <v>0.36363636363636365</v>
      </c>
      <c r="K977">
        <f t="shared" si="123"/>
        <v>0.2</v>
      </c>
      <c r="L977">
        <f t="shared" si="124"/>
        <v>0.2</v>
      </c>
      <c r="M977">
        <f t="shared" si="125"/>
        <v>0.05</v>
      </c>
      <c r="N977">
        <f t="shared" si="126"/>
        <v>0.1111111111111111</v>
      </c>
      <c r="O977">
        <f t="shared" si="127"/>
        <v>0.1</v>
      </c>
      <c r="P977">
        <f t="shared" si="128"/>
        <v>0.1875</v>
      </c>
    </row>
    <row r="978" spans="1:16" x14ac:dyDescent="0.4">
      <c r="A978">
        <v>0.17391304347826086</v>
      </c>
      <c r="B978">
        <v>0.13793103448275862</v>
      </c>
      <c r="C978" s="24">
        <v>0.13043478260869565</v>
      </c>
      <c r="D978">
        <v>9.7560975609756101E-2</v>
      </c>
      <c r="E978">
        <v>0</v>
      </c>
      <c r="F978">
        <v>0.19047619047619047</v>
      </c>
      <c r="G978">
        <v>5.5555555555555552E-2</v>
      </c>
      <c r="H978">
        <v>2.0833333333333332E-2</v>
      </c>
      <c r="I978">
        <f t="shared" si="121"/>
        <v>0.17391304347826086</v>
      </c>
      <c r="J978">
        <f t="shared" si="122"/>
        <v>0.13793103448275862</v>
      </c>
      <c r="K978">
        <f t="shared" si="123"/>
        <v>0.13043478260869565</v>
      </c>
      <c r="L978">
        <f t="shared" si="124"/>
        <v>9.7560975609756101E-2</v>
      </c>
      <c r="M978">
        <f t="shared" si="125"/>
        <v>0</v>
      </c>
      <c r="N978">
        <f t="shared" si="126"/>
        <v>0.19047619047619047</v>
      </c>
      <c r="O978">
        <f t="shared" si="127"/>
        <v>5.5555555555555552E-2</v>
      </c>
      <c r="P978">
        <f t="shared" si="128"/>
        <v>2.0833333333333332E-2</v>
      </c>
    </row>
    <row r="979" spans="1:16" x14ac:dyDescent="0.4">
      <c r="A979">
        <v>0.22222222222222221</v>
      </c>
      <c r="B979">
        <v>0.5714285714285714</v>
      </c>
      <c r="C979" s="23">
        <v>0.66666666666666663</v>
      </c>
      <c r="D979">
        <v>0.5</v>
      </c>
      <c r="E979">
        <v>0</v>
      </c>
      <c r="F979">
        <v>0</v>
      </c>
      <c r="G979">
        <v>0</v>
      </c>
      <c r="H979">
        <v>0.14285714285714285</v>
      </c>
      <c r="I979">
        <f t="shared" si="121"/>
        <v>0.22222222222222221</v>
      </c>
      <c r="J979">
        <f t="shared" si="122"/>
        <v>0.5714285714285714</v>
      </c>
      <c r="K979">
        <f t="shared" si="123"/>
        <v>0.66666666666666663</v>
      </c>
      <c r="L979">
        <f t="shared" si="124"/>
        <v>0.5</v>
      </c>
      <c r="M979">
        <f t="shared" si="125"/>
        <v>0</v>
      </c>
      <c r="N979">
        <f t="shared" si="126"/>
        <v>0</v>
      </c>
      <c r="O979">
        <f t="shared" si="127"/>
        <v>0</v>
      </c>
      <c r="P979">
        <f t="shared" si="128"/>
        <v>0.14285714285714285</v>
      </c>
    </row>
    <row r="980" spans="1:16" x14ac:dyDescent="0.4">
      <c r="A980">
        <v>0.5</v>
      </c>
      <c r="B980">
        <v>0.16666666666666666</v>
      </c>
      <c r="C980" s="24">
        <v>0.26666666666666666</v>
      </c>
      <c r="D980">
        <v>0.23529411764705882</v>
      </c>
      <c r="E980">
        <v>0</v>
      </c>
      <c r="F980">
        <v>7.1428571428571425E-2</v>
      </c>
      <c r="G980">
        <v>0.125</v>
      </c>
      <c r="H980">
        <v>5.8823529411764705E-2</v>
      </c>
      <c r="I980">
        <f t="shared" si="121"/>
        <v>0.5</v>
      </c>
      <c r="J980">
        <f t="shared" si="122"/>
        <v>0.16666666666666666</v>
      </c>
      <c r="K980">
        <f t="shared" si="123"/>
        <v>0.26666666666666666</v>
      </c>
      <c r="L980">
        <f t="shared" si="124"/>
        <v>0.23529411764705882</v>
      </c>
      <c r="M980">
        <f t="shared" si="125"/>
        <v>0</v>
      </c>
      <c r="N980">
        <f t="shared" si="126"/>
        <v>7.1428571428571425E-2</v>
      </c>
      <c r="O980">
        <f t="shared" si="127"/>
        <v>0.125</v>
      </c>
      <c r="P980">
        <f t="shared" si="128"/>
        <v>5.8823529411764705E-2</v>
      </c>
    </row>
    <row r="981" spans="1:16" x14ac:dyDescent="0.4">
      <c r="A981">
        <v>0</v>
      </c>
      <c r="B981">
        <v>0.44444444444444442</v>
      </c>
      <c r="C981" s="23">
        <v>1.7094017094017096E-2</v>
      </c>
      <c r="D981">
        <v>0.44444444444444442</v>
      </c>
      <c r="E981">
        <v>0.14814814814814814</v>
      </c>
      <c r="F981">
        <v>2.6785714285714284E-2</v>
      </c>
      <c r="G981">
        <v>0</v>
      </c>
      <c r="H981">
        <v>0.16666666666666666</v>
      </c>
      <c r="I981">
        <f t="shared" si="121"/>
        <v>0</v>
      </c>
      <c r="J981">
        <f t="shared" si="122"/>
        <v>0.44444444444444442</v>
      </c>
      <c r="K981">
        <f t="shared" si="123"/>
        <v>1.7094017094017096E-2</v>
      </c>
      <c r="L981">
        <f t="shared" si="124"/>
        <v>0.44444444444444442</v>
      </c>
      <c r="M981">
        <f t="shared" si="125"/>
        <v>0.14814814814814814</v>
      </c>
      <c r="N981">
        <f t="shared" si="126"/>
        <v>2.6785714285714284E-2</v>
      </c>
      <c r="O981">
        <f t="shared" si="127"/>
        <v>0</v>
      </c>
      <c r="P981">
        <f t="shared" si="128"/>
        <v>0.16666666666666666</v>
      </c>
    </row>
    <row r="982" spans="1:16" x14ac:dyDescent="0.4">
      <c r="A982">
        <v>0.1</v>
      </c>
      <c r="B982">
        <v>0.4</v>
      </c>
      <c r="C982" s="24">
        <v>0.17391304347826086</v>
      </c>
      <c r="D982">
        <v>0.5</v>
      </c>
      <c r="E982">
        <v>7.6923076923076927E-2</v>
      </c>
      <c r="F982">
        <v>0.15789473684210525</v>
      </c>
      <c r="G982">
        <v>0</v>
      </c>
      <c r="H982">
        <v>0</v>
      </c>
      <c r="I982">
        <f t="shared" si="121"/>
        <v>0.1</v>
      </c>
      <c r="J982">
        <f t="shared" si="122"/>
        <v>0.4</v>
      </c>
      <c r="K982">
        <f t="shared" si="123"/>
        <v>0.17391304347826086</v>
      </c>
      <c r="L982">
        <f t="shared" si="124"/>
        <v>0.5</v>
      </c>
      <c r="M982">
        <f t="shared" si="125"/>
        <v>7.6923076923076927E-2</v>
      </c>
      <c r="N982">
        <f t="shared" si="126"/>
        <v>0.15789473684210525</v>
      </c>
      <c r="O982">
        <f t="shared" si="127"/>
        <v>0</v>
      </c>
      <c r="P982">
        <f t="shared" si="128"/>
        <v>0</v>
      </c>
    </row>
    <row r="983" spans="1:16" x14ac:dyDescent="0.4">
      <c r="A983">
        <v>0.22222222222222221</v>
      </c>
      <c r="B983">
        <v>0</v>
      </c>
      <c r="C983" s="23">
        <v>0.14285714285714285</v>
      </c>
      <c r="D983">
        <v>0</v>
      </c>
      <c r="E983">
        <v>0</v>
      </c>
      <c r="F983">
        <v>0</v>
      </c>
      <c r="G983">
        <v>0.25</v>
      </c>
      <c r="H983">
        <v>0.8</v>
      </c>
      <c r="I983">
        <f t="shared" si="121"/>
        <v>0.22222222222222221</v>
      </c>
      <c r="J983">
        <f t="shared" si="122"/>
        <v>0</v>
      </c>
      <c r="K983">
        <f t="shared" si="123"/>
        <v>0.14285714285714285</v>
      </c>
      <c r="L983">
        <f t="shared" si="124"/>
        <v>0</v>
      </c>
      <c r="M983">
        <f t="shared" si="125"/>
        <v>0</v>
      </c>
      <c r="N983">
        <f t="shared" si="126"/>
        <v>0</v>
      </c>
      <c r="O983">
        <f t="shared" si="127"/>
        <v>0.25</v>
      </c>
      <c r="P983">
        <f t="shared" si="128"/>
        <v>0.8</v>
      </c>
    </row>
    <row r="984" spans="1:16" x14ac:dyDescent="0.4">
      <c r="A984">
        <v>0.13333333333333333</v>
      </c>
      <c r="B984">
        <v>0.22222222222222221</v>
      </c>
      <c r="C984" s="24">
        <v>0.08</v>
      </c>
      <c r="D984">
        <v>0.10256410256410256</v>
      </c>
      <c r="E984">
        <v>2.7777777777777776E-2</v>
      </c>
      <c r="F984">
        <v>0.16666666666666666</v>
      </c>
      <c r="G984">
        <v>0</v>
      </c>
      <c r="H984">
        <v>0</v>
      </c>
      <c r="I984">
        <f t="shared" si="121"/>
        <v>0.13333333333333333</v>
      </c>
      <c r="J984">
        <f t="shared" si="122"/>
        <v>0.22222222222222221</v>
      </c>
      <c r="K984">
        <f t="shared" si="123"/>
        <v>0.08</v>
      </c>
      <c r="L984">
        <f t="shared" si="124"/>
        <v>0.10256410256410256</v>
      </c>
      <c r="M984">
        <f t="shared" si="125"/>
        <v>2.7777777777777776E-2</v>
      </c>
      <c r="N984">
        <f t="shared" si="126"/>
        <v>0.16666666666666666</v>
      </c>
      <c r="O984">
        <f t="shared" si="127"/>
        <v>0</v>
      </c>
      <c r="P984">
        <f t="shared" si="128"/>
        <v>0</v>
      </c>
    </row>
    <row r="985" spans="1:16" x14ac:dyDescent="0.4">
      <c r="A985">
        <v>0.21052631578947367</v>
      </c>
      <c r="B985">
        <v>0.4</v>
      </c>
      <c r="C985" s="23">
        <v>0.10810810810810811</v>
      </c>
      <c r="D985">
        <v>0.33333333333333331</v>
      </c>
      <c r="E985">
        <v>0.10526315789473684</v>
      </c>
      <c r="F985">
        <v>2.7027027027027029E-2</v>
      </c>
      <c r="G985">
        <v>0</v>
      </c>
      <c r="H985">
        <v>0</v>
      </c>
      <c r="I985">
        <f t="shared" si="121"/>
        <v>0.21052631578947367</v>
      </c>
      <c r="J985">
        <f t="shared" si="122"/>
        <v>0.4</v>
      </c>
      <c r="K985">
        <f t="shared" si="123"/>
        <v>0.10810810810810811</v>
      </c>
      <c r="L985">
        <f t="shared" si="124"/>
        <v>0.33333333333333331</v>
      </c>
      <c r="M985">
        <f t="shared" si="125"/>
        <v>0.10526315789473684</v>
      </c>
      <c r="N985">
        <f t="shared" si="126"/>
        <v>2.7027027027027029E-2</v>
      </c>
      <c r="O985">
        <f t="shared" si="127"/>
        <v>0</v>
      </c>
      <c r="P985">
        <f t="shared" si="128"/>
        <v>0</v>
      </c>
    </row>
    <row r="986" spans="1:16" x14ac:dyDescent="0.4">
      <c r="A986">
        <v>0.33333333333333331</v>
      </c>
      <c r="B986">
        <v>0.2857142857142857</v>
      </c>
      <c r="C986" s="24">
        <v>0.36363636363636365</v>
      </c>
      <c r="D986">
        <v>7.2727272727272724E-2</v>
      </c>
      <c r="E986">
        <v>0</v>
      </c>
      <c r="F986">
        <v>0.1</v>
      </c>
      <c r="G986">
        <v>7.6923076923076927E-2</v>
      </c>
      <c r="H986">
        <v>1.2500000000000001E-2</v>
      </c>
      <c r="I986">
        <f t="shared" si="121"/>
        <v>0.33333333333333331</v>
      </c>
      <c r="J986">
        <f t="shared" si="122"/>
        <v>0.2857142857142857</v>
      </c>
      <c r="K986">
        <f t="shared" si="123"/>
        <v>0.36363636363636365</v>
      </c>
      <c r="L986">
        <f t="shared" si="124"/>
        <v>7.2727272727272724E-2</v>
      </c>
      <c r="M986">
        <f t="shared" si="125"/>
        <v>0</v>
      </c>
      <c r="N986">
        <f t="shared" si="126"/>
        <v>0.1</v>
      </c>
      <c r="O986">
        <f t="shared" si="127"/>
        <v>7.6923076923076927E-2</v>
      </c>
      <c r="P986">
        <f t="shared" si="128"/>
        <v>1.2500000000000001E-2</v>
      </c>
    </row>
    <row r="987" spans="1:16" x14ac:dyDescent="0.4">
      <c r="A987">
        <v>0.5</v>
      </c>
      <c r="B987">
        <v>0.22222222222222221</v>
      </c>
      <c r="C987" s="23">
        <v>0.4</v>
      </c>
      <c r="D987">
        <v>8.5106382978723402E-2</v>
      </c>
      <c r="E987">
        <v>0.14285714285714285</v>
      </c>
      <c r="F987">
        <v>0.375</v>
      </c>
      <c r="G987">
        <v>0</v>
      </c>
      <c r="H987">
        <v>5.7692307692307696E-2</v>
      </c>
      <c r="I987">
        <f t="shared" si="121"/>
        <v>0.5</v>
      </c>
      <c r="J987">
        <f t="shared" si="122"/>
        <v>0.22222222222222221</v>
      </c>
      <c r="K987">
        <f t="shared" si="123"/>
        <v>0.4</v>
      </c>
      <c r="L987">
        <f t="shared" si="124"/>
        <v>8.5106382978723402E-2</v>
      </c>
      <c r="M987">
        <f t="shared" si="125"/>
        <v>0.14285714285714285</v>
      </c>
      <c r="N987">
        <f t="shared" si="126"/>
        <v>0.375</v>
      </c>
      <c r="O987">
        <f t="shared" si="127"/>
        <v>0</v>
      </c>
      <c r="P987">
        <f t="shared" si="128"/>
        <v>5.7692307692307696E-2</v>
      </c>
    </row>
    <row r="988" spans="1:16" x14ac:dyDescent="0.4">
      <c r="A988">
        <v>0.4</v>
      </c>
      <c r="B988">
        <v>0.2857142857142857</v>
      </c>
      <c r="C988" s="24">
        <v>0.16</v>
      </c>
      <c r="D988">
        <v>0.33333333333333331</v>
      </c>
      <c r="E988">
        <v>0</v>
      </c>
      <c r="F988">
        <v>4.1666666666666664E-2</v>
      </c>
      <c r="G988">
        <v>0</v>
      </c>
      <c r="H988">
        <v>0.8</v>
      </c>
      <c r="I988">
        <f t="shared" si="121"/>
        <v>0.4</v>
      </c>
      <c r="J988">
        <f t="shared" si="122"/>
        <v>0.2857142857142857</v>
      </c>
      <c r="K988">
        <f t="shared" si="123"/>
        <v>0.16</v>
      </c>
      <c r="L988">
        <f t="shared" si="124"/>
        <v>0.33333333333333331</v>
      </c>
      <c r="M988">
        <f t="shared" si="125"/>
        <v>0</v>
      </c>
      <c r="N988">
        <f t="shared" si="126"/>
        <v>4.1666666666666664E-2</v>
      </c>
      <c r="O988">
        <f t="shared" si="127"/>
        <v>0</v>
      </c>
      <c r="P988">
        <f t="shared" si="128"/>
        <v>0.8</v>
      </c>
    </row>
    <row r="989" spans="1:16" x14ac:dyDescent="0.4">
      <c r="A989">
        <v>0.25</v>
      </c>
      <c r="B989">
        <v>4.1666666666666664E-2</v>
      </c>
      <c r="C989" s="23">
        <v>0.26666666666666666</v>
      </c>
      <c r="D989">
        <v>0.44444444444444442</v>
      </c>
      <c r="E989">
        <v>0.14285714285714285</v>
      </c>
      <c r="F989">
        <v>7.1428571428571425E-2</v>
      </c>
      <c r="G989">
        <v>0.14814814814814814</v>
      </c>
      <c r="H989">
        <v>0.14285714285714285</v>
      </c>
      <c r="I989">
        <f t="shared" si="121"/>
        <v>0.25</v>
      </c>
      <c r="J989">
        <f t="shared" si="122"/>
        <v>4.1666666666666664E-2</v>
      </c>
      <c r="K989">
        <f t="shared" si="123"/>
        <v>0.26666666666666666</v>
      </c>
      <c r="L989">
        <f t="shared" si="124"/>
        <v>0.44444444444444442</v>
      </c>
      <c r="M989">
        <f t="shared" si="125"/>
        <v>0.14285714285714285</v>
      </c>
      <c r="N989">
        <f t="shared" si="126"/>
        <v>7.1428571428571425E-2</v>
      </c>
      <c r="O989">
        <f t="shared" si="127"/>
        <v>0.14814814814814814</v>
      </c>
      <c r="P989">
        <f t="shared" si="128"/>
        <v>0.14285714285714285</v>
      </c>
    </row>
    <row r="990" spans="1:16" x14ac:dyDescent="0.4">
      <c r="A990">
        <v>0.16666666666666666</v>
      </c>
      <c r="B990">
        <v>0.33333333333333331</v>
      </c>
      <c r="C990" s="24">
        <v>0.5714285714285714</v>
      </c>
      <c r="D990">
        <v>0.5714285714285714</v>
      </c>
      <c r="E990">
        <v>4.5454545454545456E-2</v>
      </c>
      <c r="F990">
        <v>0</v>
      </c>
      <c r="G990">
        <v>0</v>
      </c>
      <c r="H990">
        <v>0.6</v>
      </c>
      <c r="I990">
        <f t="shared" si="121"/>
        <v>0.16666666666666666</v>
      </c>
      <c r="J990">
        <f t="shared" si="122"/>
        <v>0.33333333333333331</v>
      </c>
      <c r="K990">
        <f t="shared" si="123"/>
        <v>0.5714285714285714</v>
      </c>
      <c r="L990">
        <f t="shared" si="124"/>
        <v>0.5714285714285714</v>
      </c>
      <c r="M990">
        <f t="shared" si="125"/>
        <v>4.5454545454545456E-2</v>
      </c>
      <c r="N990">
        <f t="shared" si="126"/>
        <v>0</v>
      </c>
      <c r="O990">
        <f t="shared" si="127"/>
        <v>0</v>
      </c>
      <c r="P990">
        <f t="shared" si="128"/>
        <v>0.6</v>
      </c>
    </row>
    <row r="991" spans="1:16" x14ac:dyDescent="0.4">
      <c r="A991">
        <v>0.30769230769230771</v>
      </c>
      <c r="B991">
        <v>0.2</v>
      </c>
      <c r="C991" s="23">
        <v>7.0175438596491224E-2</v>
      </c>
      <c r="D991">
        <v>0.33333333333333331</v>
      </c>
      <c r="E991">
        <v>0.18181818181818182</v>
      </c>
      <c r="F991">
        <v>3.6363636363636362E-2</v>
      </c>
      <c r="G991">
        <v>5.5555555555555552E-2</v>
      </c>
      <c r="H991">
        <v>0.22222222222222221</v>
      </c>
      <c r="I991">
        <f t="shared" si="121"/>
        <v>0.30769230769230771</v>
      </c>
      <c r="J991">
        <f t="shared" si="122"/>
        <v>0.2</v>
      </c>
      <c r="K991">
        <f t="shared" si="123"/>
        <v>7.0175438596491224E-2</v>
      </c>
      <c r="L991">
        <f t="shared" si="124"/>
        <v>0.33333333333333331</v>
      </c>
      <c r="M991">
        <f t="shared" si="125"/>
        <v>0.18181818181818182</v>
      </c>
      <c r="N991">
        <f t="shared" si="126"/>
        <v>3.6363636363636362E-2</v>
      </c>
      <c r="O991">
        <f t="shared" si="127"/>
        <v>5.5555555555555552E-2</v>
      </c>
      <c r="P991">
        <f t="shared" si="128"/>
        <v>0.22222222222222221</v>
      </c>
    </row>
    <row r="992" spans="1:16" x14ac:dyDescent="0.4">
      <c r="A992">
        <v>0.66666666666666663</v>
      </c>
      <c r="B992">
        <v>0.23529411764705882</v>
      </c>
      <c r="C992" s="24">
        <v>9.7560975609756101E-2</v>
      </c>
      <c r="D992">
        <v>0.66666666666666663</v>
      </c>
      <c r="E992">
        <v>0</v>
      </c>
      <c r="F992">
        <v>0.05</v>
      </c>
      <c r="G992">
        <v>0</v>
      </c>
      <c r="H992">
        <v>0.2</v>
      </c>
      <c r="I992">
        <f t="shared" si="121"/>
        <v>0.66666666666666663</v>
      </c>
      <c r="J992">
        <f t="shared" si="122"/>
        <v>0.23529411764705882</v>
      </c>
      <c r="K992">
        <f t="shared" si="123"/>
        <v>9.7560975609756101E-2</v>
      </c>
      <c r="L992">
        <f t="shared" si="124"/>
        <v>0.66666666666666663</v>
      </c>
      <c r="M992">
        <f t="shared" si="125"/>
        <v>0</v>
      </c>
      <c r="N992">
        <f t="shared" si="126"/>
        <v>0.05</v>
      </c>
      <c r="O992">
        <f t="shared" si="127"/>
        <v>0</v>
      </c>
      <c r="P992">
        <f t="shared" si="128"/>
        <v>0.2</v>
      </c>
    </row>
    <row r="993" spans="1:16" x14ac:dyDescent="0.4">
      <c r="A993">
        <v>0</v>
      </c>
      <c r="B993">
        <v>0.4</v>
      </c>
      <c r="C993" s="23">
        <v>9.3023255813953487E-2</v>
      </c>
      <c r="D993">
        <v>0.33333333333333331</v>
      </c>
      <c r="E993">
        <v>0.18181818181818182</v>
      </c>
      <c r="F993">
        <v>0</v>
      </c>
      <c r="G993">
        <v>0.2857142857142857</v>
      </c>
      <c r="H993">
        <v>0</v>
      </c>
      <c r="I993">
        <f t="shared" si="121"/>
        <v>0</v>
      </c>
      <c r="J993">
        <f t="shared" si="122"/>
        <v>0.4</v>
      </c>
      <c r="K993">
        <f t="shared" si="123"/>
        <v>9.3023255813953487E-2</v>
      </c>
      <c r="L993">
        <f t="shared" si="124"/>
        <v>0.33333333333333331</v>
      </c>
      <c r="M993">
        <f t="shared" si="125"/>
        <v>0.18181818181818182</v>
      </c>
      <c r="N993">
        <f t="shared" si="126"/>
        <v>0</v>
      </c>
      <c r="O993">
        <f t="shared" si="127"/>
        <v>0.2857142857142857</v>
      </c>
      <c r="P993">
        <f t="shared" si="128"/>
        <v>0</v>
      </c>
    </row>
    <row r="994" spans="1:16" x14ac:dyDescent="0.4">
      <c r="A994">
        <v>0.2</v>
      </c>
      <c r="B994">
        <v>0.23529411764705882</v>
      </c>
      <c r="C994" s="24">
        <v>0.44444444444444442</v>
      </c>
      <c r="D994">
        <v>0.5714285714285714</v>
      </c>
      <c r="E994">
        <v>0</v>
      </c>
      <c r="F994">
        <v>0.1111111111111111</v>
      </c>
      <c r="G994">
        <v>6.25E-2</v>
      </c>
      <c r="H994">
        <v>0.16666666666666666</v>
      </c>
      <c r="I994">
        <f t="shared" si="121"/>
        <v>0.2</v>
      </c>
      <c r="J994">
        <f t="shared" si="122"/>
        <v>0.23529411764705882</v>
      </c>
      <c r="K994">
        <f t="shared" si="123"/>
        <v>0.44444444444444442</v>
      </c>
      <c r="L994">
        <f t="shared" si="124"/>
        <v>0.5714285714285714</v>
      </c>
      <c r="M994">
        <f t="shared" si="125"/>
        <v>0</v>
      </c>
      <c r="N994">
        <f t="shared" si="126"/>
        <v>0.1111111111111111</v>
      </c>
      <c r="O994">
        <f t="shared" si="127"/>
        <v>6.25E-2</v>
      </c>
      <c r="P994">
        <f t="shared" si="128"/>
        <v>0.16666666666666666</v>
      </c>
    </row>
    <row r="995" spans="1:16" x14ac:dyDescent="0.4">
      <c r="A995">
        <v>0.10526315789473684</v>
      </c>
      <c r="B995">
        <v>0.19047619047619047</v>
      </c>
      <c r="C995" s="23">
        <v>0.33333333333333331</v>
      </c>
      <c r="D995">
        <v>0.30769230769230771</v>
      </c>
      <c r="E995">
        <v>5.5555555555555552E-2</v>
      </c>
      <c r="F995">
        <v>0.33333333333333331</v>
      </c>
      <c r="G995">
        <v>5.2631578947368418E-2</v>
      </c>
      <c r="H995">
        <v>0.18181818181818182</v>
      </c>
      <c r="I995">
        <f t="shared" si="121"/>
        <v>0.10526315789473684</v>
      </c>
      <c r="J995">
        <f t="shared" si="122"/>
        <v>0.19047619047619047</v>
      </c>
      <c r="K995">
        <f t="shared" si="123"/>
        <v>0.33333333333333331</v>
      </c>
      <c r="L995">
        <f t="shared" si="124"/>
        <v>0.30769230769230771</v>
      </c>
      <c r="M995">
        <f t="shared" si="125"/>
        <v>5.5555555555555552E-2</v>
      </c>
      <c r="N995">
        <f t="shared" si="126"/>
        <v>0.33333333333333331</v>
      </c>
      <c r="O995">
        <f t="shared" si="127"/>
        <v>5.2631578947368418E-2</v>
      </c>
      <c r="P995">
        <f t="shared" si="128"/>
        <v>0.18181818181818182</v>
      </c>
    </row>
    <row r="996" spans="1:16" x14ac:dyDescent="0.4">
      <c r="A996">
        <v>0.2</v>
      </c>
      <c r="B996">
        <v>0</v>
      </c>
      <c r="C996" s="24">
        <v>0.26666666666666666</v>
      </c>
      <c r="D996">
        <v>6.4516129032258063E-2</v>
      </c>
      <c r="E996">
        <v>0.11764705882352941</v>
      </c>
      <c r="F996">
        <v>7.1428571428571425E-2</v>
      </c>
      <c r="G996">
        <v>0.30769230769230771</v>
      </c>
      <c r="H996">
        <v>4.4776119402985072E-2</v>
      </c>
      <c r="I996">
        <f t="shared" si="121"/>
        <v>0.2</v>
      </c>
      <c r="J996">
        <f t="shared" si="122"/>
        <v>0</v>
      </c>
      <c r="K996">
        <f t="shared" si="123"/>
        <v>0.26666666666666666</v>
      </c>
      <c r="L996">
        <f t="shared" si="124"/>
        <v>6.4516129032258063E-2</v>
      </c>
      <c r="M996">
        <f t="shared" si="125"/>
        <v>0.11764705882352941</v>
      </c>
      <c r="N996">
        <f t="shared" si="126"/>
        <v>7.1428571428571425E-2</v>
      </c>
      <c r="O996">
        <f t="shared" si="127"/>
        <v>0.30769230769230771</v>
      </c>
      <c r="P996">
        <f t="shared" si="128"/>
        <v>4.4776119402985072E-2</v>
      </c>
    </row>
    <row r="997" spans="1:16" x14ac:dyDescent="0.4">
      <c r="A997">
        <v>0.10526315789473684</v>
      </c>
      <c r="B997">
        <v>0.44444444444444442</v>
      </c>
      <c r="C997" s="23">
        <v>0.14814814814814814</v>
      </c>
      <c r="D997">
        <v>0.18181818181818182</v>
      </c>
      <c r="E997">
        <v>0.25</v>
      </c>
      <c r="F997">
        <v>4.1666666666666664E-2</v>
      </c>
      <c r="G997">
        <v>0</v>
      </c>
      <c r="H997">
        <v>0.05</v>
      </c>
      <c r="I997">
        <f t="shared" si="121"/>
        <v>0.10526315789473684</v>
      </c>
      <c r="J997">
        <f t="shared" si="122"/>
        <v>0.44444444444444442</v>
      </c>
      <c r="K997">
        <f t="shared" si="123"/>
        <v>0.14814814814814814</v>
      </c>
      <c r="L997">
        <f t="shared" si="124"/>
        <v>0.18181818181818182</v>
      </c>
      <c r="M997">
        <f t="shared" si="125"/>
        <v>0.25</v>
      </c>
      <c r="N997">
        <f t="shared" si="126"/>
        <v>4.1666666666666664E-2</v>
      </c>
      <c r="O997">
        <f t="shared" si="127"/>
        <v>0</v>
      </c>
      <c r="P997">
        <f t="shared" si="128"/>
        <v>0.05</v>
      </c>
    </row>
    <row r="998" spans="1:16" x14ac:dyDescent="0.4">
      <c r="A998">
        <v>0.22222222222222221</v>
      </c>
      <c r="B998">
        <v>0.2</v>
      </c>
      <c r="C998" s="24">
        <v>0.4</v>
      </c>
      <c r="D998">
        <v>0.2857142857142857</v>
      </c>
      <c r="E998">
        <v>0.13333333333333333</v>
      </c>
      <c r="F998">
        <v>0.1111111111111111</v>
      </c>
      <c r="G998">
        <v>0</v>
      </c>
      <c r="H998">
        <v>0.18181818181818182</v>
      </c>
      <c r="I998">
        <f t="shared" si="121"/>
        <v>0.22222222222222221</v>
      </c>
      <c r="J998">
        <f t="shared" si="122"/>
        <v>0.2</v>
      </c>
      <c r="K998">
        <f t="shared" si="123"/>
        <v>0.4</v>
      </c>
      <c r="L998">
        <f t="shared" si="124"/>
        <v>0.2857142857142857</v>
      </c>
      <c r="M998">
        <f t="shared" si="125"/>
        <v>0.13333333333333333</v>
      </c>
      <c r="N998">
        <f t="shared" si="126"/>
        <v>0.1111111111111111</v>
      </c>
      <c r="O998">
        <f t="shared" si="127"/>
        <v>0</v>
      </c>
      <c r="P998">
        <f t="shared" si="128"/>
        <v>0.18181818181818182</v>
      </c>
    </row>
    <row r="999" spans="1:16" x14ac:dyDescent="0.4">
      <c r="A999">
        <v>0.2</v>
      </c>
      <c r="B999">
        <v>0.23529411764705882</v>
      </c>
      <c r="C999" s="23">
        <v>0.5</v>
      </c>
      <c r="D999">
        <v>0.33333333333333331</v>
      </c>
      <c r="E999">
        <v>0</v>
      </c>
      <c r="F999">
        <v>0.2857142857142857</v>
      </c>
      <c r="G999">
        <v>3.8461538461538464E-2</v>
      </c>
      <c r="H999">
        <v>0</v>
      </c>
      <c r="I999">
        <f t="shared" si="121"/>
        <v>0.2</v>
      </c>
      <c r="J999">
        <f t="shared" si="122"/>
        <v>0.23529411764705882</v>
      </c>
      <c r="K999">
        <f t="shared" si="123"/>
        <v>0.5</v>
      </c>
      <c r="L999">
        <f t="shared" si="124"/>
        <v>0.33333333333333331</v>
      </c>
      <c r="M999">
        <f t="shared" si="125"/>
        <v>0</v>
      </c>
      <c r="N999">
        <f t="shared" si="126"/>
        <v>0.2857142857142857</v>
      </c>
      <c r="O999">
        <f t="shared" si="127"/>
        <v>3.8461538461538464E-2</v>
      </c>
      <c r="P999">
        <f t="shared" si="128"/>
        <v>0</v>
      </c>
    </row>
    <row r="1000" spans="1:16" x14ac:dyDescent="0.4">
      <c r="A1000">
        <v>0.15384615384615385</v>
      </c>
      <c r="B1000">
        <v>4.5454545454545456E-2</v>
      </c>
      <c r="C1000" s="24">
        <v>0.33333333333333331</v>
      </c>
      <c r="D1000">
        <v>0.26666666666666666</v>
      </c>
      <c r="E1000">
        <v>0</v>
      </c>
      <c r="F1000">
        <v>1</v>
      </c>
      <c r="G1000">
        <v>0.18181818181818182</v>
      </c>
      <c r="H1000">
        <v>0.25</v>
      </c>
      <c r="I1000">
        <f t="shared" si="121"/>
        <v>0.15384615384615385</v>
      </c>
      <c r="J1000">
        <f t="shared" si="122"/>
        <v>4.5454545454545456E-2</v>
      </c>
      <c r="K1000">
        <f t="shared" si="123"/>
        <v>0.33333333333333331</v>
      </c>
      <c r="L1000">
        <f t="shared" si="124"/>
        <v>0.26666666666666666</v>
      </c>
      <c r="M1000">
        <f t="shared" si="125"/>
        <v>0</v>
      </c>
      <c r="N1000">
        <f t="shared" si="126"/>
        <v>1</v>
      </c>
      <c r="O1000">
        <f t="shared" si="127"/>
        <v>0.18181818181818182</v>
      </c>
      <c r="P1000">
        <f t="shared" si="128"/>
        <v>0.25</v>
      </c>
    </row>
    <row r="1001" spans="1:16" x14ac:dyDescent="0.4">
      <c r="A1001">
        <v>0.4</v>
      </c>
      <c r="B1001">
        <v>0.25</v>
      </c>
      <c r="C1001" s="23">
        <v>0.2</v>
      </c>
      <c r="D1001">
        <v>0.5714285714285714</v>
      </c>
      <c r="E1001">
        <v>0.25</v>
      </c>
      <c r="F1001">
        <v>0.36363636363636365</v>
      </c>
      <c r="G1001">
        <v>7.6923076923076927E-2</v>
      </c>
      <c r="H1001">
        <v>0.75</v>
      </c>
      <c r="I1001">
        <f t="shared" si="121"/>
        <v>0.4</v>
      </c>
      <c r="J1001">
        <f t="shared" si="122"/>
        <v>0.25</v>
      </c>
      <c r="K1001">
        <f t="shared" si="123"/>
        <v>0.2</v>
      </c>
      <c r="L1001">
        <f t="shared" si="124"/>
        <v>0.5714285714285714</v>
      </c>
      <c r="M1001">
        <f t="shared" si="125"/>
        <v>0.25</v>
      </c>
      <c r="N1001">
        <f t="shared" si="126"/>
        <v>0.36363636363636365</v>
      </c>
      <c r="O1001">
        <f t="shared" si="127"/>
        <v>7.6923076923076927E-2</v>
      </c>
      <c r="P1001">
        <f t="shared" si="128"/>
        <v>0.75</v>
      </c>
    </row>
    <row r="1002" spans="1:16" x14ac:dyDescent="0.4">
      <c r="A1002">
        <v>0.4</v>
      </c>
      <c r="B1002">
        <v>0.36363636363636365</v>
      </c>
      <c r="C1002" s="24">
        <v>7.2727272727272724E-2</v>
      </c>
      <c r="D1002">
        <v>0.36363636363636365</v>
      </c>
      <c r="E1002">
        <v>0</v>
      </c>
      <c r="F1002">
        <v>0.06</v>
      </c>
      <c r="G1002">
        <v>0.1</v>
      </c>
      <c r="H1002">
        <v>0.25</v>
      </c>
      <c r="I1002">
        <f t="shared" si="121"/>
        <v>0.4</v>
      </c>
      <c r="J1002">
        <f t="shared" si="122"/>
        <v>0.36363636363636365</v>
      </c>
      <c r="K1002">
        <f t="shared" si="123"/>
        <v>7.2727272727272724E-2</v>
      </c>
      <c r="L1002">
        <f t="shared" si="124"/>
        <v>0.36363636363636365</v>
      </c>
      <c r="M1002">
        <f t="shared" si="125"/>
        <v>0</v>
      </c>
      <c r="N1002">
        <f t="shared" si="126"/>
        <v>0.06</v>
      </c>
      <c r="O1002">
        <f t="shared" si="127"/>
        <v>0.1</v>
      </c>
      <c r="P1002">
        <f t="shared" si="128"/>
        <v>0.25</v>
      </c>
    </row>
    <row r="1003" spans="1:16" x14ac:dyDescent="0.4">
      <c r="A1003">
        <v>0.1</v>
      </c>
      <c r="B1003">
        <v>0.17391304347826086</v>
      </c>
      <c r="C1003" s="23">
        <v>0.44444444444444442</v>
      </c>
      <c r="D1003">
        <v>0.3</v>
      </c>
      <c r="E1003">
        <v>0.14814814814814814</v>
      </c>
      <c r="F1003">
        <v>0</v>
      </c>
      <c r="G1003">
        <v>4.7619047619047616E-2</v>
      </c>
      <c r="H1003">
        <v>6.7796610169491525E-2</v>
      </c>
      <c r="I1003">
        <f t="shared" si="121"/>
        <v>0.1</v>
      </c>
      <c r="J1003">
        <f t="shared" si="122"/>
        <v>0.17391304347826086</v>
      </c>
      <c r="K1003">
        <f t="shared" si="123"/>
        <v>0.44444444444444442</v>
      </c>
      <c r="L1003">
        <f t="shared" si="124"/>
        <v>0.3</v>
      </c>
      <c r="M1003">
        <f t="shared" si="125"/>
        <v>0.14814814814814814</v>
      </c>
      <c r="N1003">
        <f t="shared" si="126"/>
        <v>0</v>
      </c>
      <c r="O1003">
        <f t="shared" si="127"/>
        <v>4.7619047619047616E-2</v>
      </c>
      <c r="P1003">
        <f t="shared" si="128"/>
        <v>6.7796610169491525E-2</v>
      </c>
    </row>
    <row r="1004" spans="1:16" x14ac:dyDescent="0.4">
      <c r="A1004">
        <v>0.1</v>
      </c>
      <c r="B1004">
        <v>0.2857142857142857</v>
      </c>
      <c r="C1004" s="24">
        <v>9.0909090909090912E-2</v>
      </c>
      <c r="D1004">
        <v>0.18181818181818182</v>
      </c>
      <c r="E1004">
        <v>8.5714285714285715E-2</v>
      </c>
      <c r="F1004">
        <v>0.5</v>
      </c>
      <c r="G1004">
        <v>8.3333333333333329E-2</v>
      </c>
      <c r="H1004">
        <v>0.5714285714285714</v>
      </c>
      <c r="I1004">
        <f t="shared" si="121"/>
        <v>0.1</v>
      </c>
      <c r="J1004">
        <f t="shared" si="122"/>
        <v>0.2857142857142857</v>
      </c>
      <c r="K1004">
        <f t="shared" si="123"/>
        <v>9.0909090909090912E-2</v>
      </c>
      <c r="L1004">
        <f t="shared" si="124"/>
        <v>0.18181818181818182</v>
      </c>
      <c r="M1004">
        <f t="shared" si="125"/>
        <v>8.5714285714285715E-2</v>
      </c>
      <c r="N1004">
        <f t="shared" si="126"/>
        <v>0.5</v>
      </c>
      <c r="O1004">
        <f t="shared" si="127"/>
        <v>8.3333333333333329E-2</v>
      </c>
      <c r="P1004">
        <f t="shared" si="128"/>
        <v>0.5714285714285714</v>
      </c>
    </row>
    <row r="1005" spans="1:16" x14ac:dyDescent="0.4">
      <c r="A1005">
        <v>0.26666666666666666</v>
      </c>
      <c r="B1005">
        <v>0.36363636363636365</v>
      </c>
      <c r="C1005" s="23">
        <v>0.125</v>
      </c>
      <c r="D1005">
        <v>0.26666666666666666</v>
      </c>
      <c r="E1005">
        <v>7.1428571428571425E-2</v>
      </c>
      <c r="F1005">
        <v>0.33333333333333331</v>
      </c>
      <c r="G1005">
        <v>0.1</v>
      </c>
      <c r="H1005">
        <v>4.1666666666666664E-2</v>
      </c>
      <c r="I1005">
        <f t="shared" si="121"/>
        <v>0.26666666666666666</v>
      </c>
      <c r="J1005">
        <f t="shared" si="122"/>
        <v>0.36363636363636365</v>
      </c>
      <c r="K1005">
        <f t="shared" si="123"/>
        <v>0.125</v>
      </c>
      <c r="L1005">
        <f t="shared" si="124"/>
        <v>0.26666666666666666</v>
      </c>
      <c r="M1005">
        <f t="shared" si="125"/>
        <v>7.1428571428571425E-2</v>
      </c>
      <c r="N1005">
        <f t="shared" si="126"/>
        <v>0.33333333333333331</v>
      </c>
      <c r="O1005">
        <f t="shared" si="127"/>
        <v>0.1</v>
      </c>
      <c r="P1005">
        <f t="shared" si="128"/>
        <v>4.1666666666666664E-2</v>
      </c>
    </row>
    <row r="1006" spans="1:16" x14ac:dyDescent="0.4">
      <c r="A1006">
        <v>0.5</v>
      </c>
      <c r="B1006">
        <v>0.5</v>
      </c>
      <c r="C1006" s="24">
        <v>0.21052631578947367</v>
      </c>
      <c r="D1006">
        <v>0.2857142857142857</v>
      </c>
      <c r="E1006">
        <v>0</v>
      </c>
      <c r="F1006">
        <v>6.25E-2</v>
      </c>
      <c r="G1006">
        <v>0.14285714285714285</v>
      </c>
      <c r="H1006">
        <v>0</v>
      </c>
      <c r="I1006">
        <f t="shared" si="121"/>
        <v>0.5</v>
      </c>
      <c r="J1006">
        <f t="shared" si="122"/>
        <v>0.5</v>
      </c>
      <c r="K1006">
        <f t="shared" si="123"/>
        <v>0.21052631578947367</v>
      </c>
      <c r="L1006">
        <f t="shared" si="124"/>
        <v>0.2857142857142857</v>
      </c>
      <c r="M1006">
        <f t="shared" si="125"/>
        <v>0</v>
      </c>
      <c r="N1006">
        <f t="shared" si="126"/>
        <v>6.25E-2</v>
      </c>
      <c r="O1006">
        <f t="shared" si="127"/>
        <v>0.14285714285714285</v>
      </c>
      <c r="P1006">
        <f t="shared" si="128"/>
        <v>0</v>
      </c>
    </row>
    <row r="1007" spans="1:16" x14ac:dyDescent="0.4">
      <c r="D1007">
        <v>0.21052631578947367</v>
      </c>
    </row>
    <row r="1008" spans="1:16" x14ac:dyDescent="0.4">
      <c r="D1008">
        <v>5.8823529411764705E-2</v>
      </c>
    </row>
    <row r="1009" spans="4:4" x14ac:dyDescent="0.4">
      <c r="D1009">
        <v>0</v>
      </c>
    </row>
    <row r="1010" spans="4:4" x14ac:dyDescent="0.4">
      <c r="D1010">
        <v>0.1</v>
      </c>
    </row>
    <row r="1011" spans="4:4" x14ac:dyDescent="0.4">
      <c r="D1011">
        <v>0.16666666666666666</v>
      </c>
    </row>
    <row r="1012" spans="4:4" x14ac:dyDescent="0.4">
      <c r="D1012">
        <v>4.1666666666666664E-2</v>
      </c>
    </row>
    <row r="1013" spans="4:4" x14ac:dyDescent="0.4">
      <c r="D1013">
        <v>0.14285714285714285</v>
      </c>
    </row>
    <row r="1014" spans="4:4" x14ac:dyDescent="0.4">
      <c r="D1014">
        <v>0.22222222222222221</v>
      </c>
    </row>
    <row r="1015" spans="4:4" x14ac:dyDescent="0.4">
      <c r="D1015">
        <v>0.66666666666666663</v>
      </c>
    </row>
    <row r="1016" spans="4:4" x14ac:dyDescent="0.4">
      <c r="D1016">
        <v>0</v>
      </c>
    </row>
    <row r="1017" spans="4:4" x14ac:dyDescent="0.4">
      <c r="D1017">
        <v>0</v>
      </c>
    </row>
    <row r="1018" spans="4:4" x14ac:dyDescent="0.4">
      <c r="D1018">
        <v>0.66666666666666663</v>
      </c>
    </row>
    <row r="1019" spans="4:4" x14ac:dyDescent="0.4">
      <c r="D1019">
        <v>0.26666666666666666</v>
      </c>
    </row>
    <row r="1020" spans="4:4" x14ac:dyDescent="0.4">
      <c r="D1020">
        <v>7.1428571428571425E-2</v>
      </c>
    </row>
    <row r="1021" spans="4:4" x14ac:dyDescent="0.4">
      <c r="D1021">
        <v>0.2</v>
      </c>
    </row>
    <row r="1022" spans="4:4" x14ac:dyDescent="0.4">
      <c r="D1022">
        <v>0.26666666666666666</v>
      </c>
    </row>
    <row r="1023" spans="4:4" x14ac:dyDescent="0.4">
      <c r="D1023">
        <v>0.5</v>
      </c>
    </row>
    <row r="1024" spans="4:4" x14ac:dyDescent="0.4">
      <c r="D1024">
        <v>0.14285714285714285</v>
      </c>
    </row>
    <row r="1025" spans="4:4" x14ac:dyDescent="0.4">
      <c r="D1025">
        <v>0.66666666666666663</v>
      </c>
    </row>
    <row r="1026" spans="4:4" x14ac:dyDescent="0.4">
      <c r="D1026">
        <v>0.6</v>
      </c>
    </row>
    <row r="1027" spans="4:4" x14ac:dyDescent="0.4">
      <c r="D1027">
        <v>0.22222222222222221</v>
      </c>
    </row>
    <row r="1028" spans="4:4" x14ac:dyDescent="0.4">
      <c r="D1028">
        <v>5.8823529411764705E-2</v>
      </c>
    </row>
    <row r="1029" spans="4:4" x14ac:dyDescent="0.4">
      <c r="D1029">
        <v>0.5714285714285714</v>
      </c>
    </row>
    <row r="1030" spans="4:4" x14ac:dyDescent="0.4">
      <c r="D1030">
        <v>0</v>
      </c>
    </row>
    <row r="1031" spans="4:4" x14ac:dyDescent="0.4">
      <c r="D1031">
        <v>1.4084507042253521E-2</v>
      </c>
    </row>
    <row r="1032" spans="4:4" x14ac:dyDescent="0.4">
      <c r="D1032">
        <v>4.1666666666666664E-2</v>
      </c>
    </row>
    <row r="1033" spans="4:4" x14ac:dyDescent="0.4">
      <c r="D1033">
        <v>0.23529411764705882</v>
      </c>
    </row>
    <row r="1034" spans="4:4" x14ac:dyDescent="0.4">
      <c r="D1034">
        <v>0.125</v>
      </c>
    </row>
    <row r="1035" spans="4:4" x14ac:dyDescent="0.4">
      <c r="D1035">
        <v>0.25</v>
      </c>
    </row>
    <row r="1036" spans="4:4" x14ac:dyDescent="0.4">
      <c r="D1036">
        <v>0</v>
      </c>
    </row>
    <row r="1037" spans="4:4" x14ac:dyDescent="0.4">
      <c r="D1037">
        <v>0.125</v>
      </c>
    </row>
    <row r="1038" spans="4:4" x14ac:dyDescent="0.4">
      <c r="D1038">
        <v>9.7560975609756101E-2</v>
      </c>
    </row>
    <row r="1039" spans="4:4" x14ac:dyDescent="0.4">
      <c r="D1039">
        <v>0.5714285714285714</v>
      </c>
    </row>
    <row r="1040" spans="4:4" x14ac:dyDescent="0.4">
      <c r="D1040">
        <v>0.14285714285714285</v>
      </c>
    </row>
    <row r="1041" spans="4:4" x14ac:dyDescent="0.4">
      <c r="D1041">
        <v>0.23529411764705882</v>
      </c>
    </row>
    <row r="1042" spans="4:4" x14ac:dyDescent="0.4">
      <c r="D1042">
        <v>5.8823529411764705E-2</v>
      </c>
    </row>
    <row r="1043" spans="4:4" x14ac:dyDescent="0.4">
      <c r="D1043">
        <v>0.30769230769230771</v>
      </c>
    </row>
    <row r="1044" spans="4:4" x14ac:dyDescent="0.4">
      <c r="D1044">
        <v>0.16666666666666666</v>
      </c>
    </row>
    <row r="1045" spans="4:4" x14ac:dyDescent="0.4">
      <c r="D1045">
        <v>0.33333333333333331</v>
      </c>
    </row>
    <row r="1046" spans="4:4" x14ac:dyDescent="0.4">
      <c r="D1046">
        <v>0.15384615384615385</v>
      </c>
    </row>
    <row r="1047" spans="4:4" x14ac:dyDescent="0.4">
      <c r="D1047">
        <v>0</v>
      </c>
    </row>
    <row r="1048" spans="4:4" x14ac:dyDescent="0.4">
      <c r="D1048">
        <v>0.5714285714285714</v>
      </c>
    </row>
    <row r="1049" spans="4:4" x14ac:dyDescent="0.4">
      <c r="D1049">
        <v>0.44444444444444442</v>
      </c>
    </row>
    <row r="1050" spans="4:4" x14ac:dyDescent="0.4">
      <c r="D1050">
        <v>0.375</v>
      </c>
    </row>
    <row r="1051" spans="4:4" x14ac:dyDescent="0.4">
      <c r="D1051">
        <v>6.1224489795918366E-2</v>
      </c>
    </row>
    <row r="1052" spans="4:4" x14ac:dyDescent="0.4">
      <c r="D1052">
        <v>0.08</v>
      </c>
    </row>
    <row r="1053" spans="4:4" x14ac:dyDescent="0.4">
      <c r="D1053">
        <v>8.3333333333333329E-2</v>
      </c>
    </row>
    <row r="1054" spans="4:4" x14ac:dyDescent="0.4">
      <c r="D1054">
        <v>0.17391304347826086</v>
      </c>
    </row>
    <row r="1055" spans="4:4" x14ac:dyDescent="0.4">
      <c r="D1055">
        <v>0.2</v>
      </c>
    </row>
    <row r="1056" spans="4:4" x14ac:dyDescent="0.4">
      <c r="D1056">
        <v>5.5555555555555552E-2</v>
      </c>
    </row>
    <row r="1057" spans="4:4" x14ac:dyDescent="0.4">
      <c r="D1057">
        <v>0.23529411764705882</v>
      </c>
    </row>
    <row r="1058" spans="4:4" x14ac:dyDescent="0.4">
      <c r="D1058">
        <v>5.8823529411764705E-2</v>
      </c>
    </row>
    <row r="1059" spans="4:4" x14ac:dyDescent="0.4">
      <c r="D1059">
        <v>2.247191011235955E-2</v>
      </c>
    </row>
    <row r="1060" spans="4:4" x14ac:dyDescent="0.4">
      <c r="D1060">
        <v>2.6086956521739129E-2</v>
      </c>
    </row>
    <row r="1061" spans="4:4" x14ac:dyDescent="0.4">
      <c r="D1061">
        <v>0.16666666666666666</v>
      </c>
    </row>
    <row r="1062" spans="4:4" x14ac:dyDescent="0.4">
      <c r="D1062">
        <v>0.23529411764705882</v>
      </c>
    </row>
    <row r="1063" spans="4:4" x14ac:dyDescent="0.4">
      <c r="D1063">
        <v>1.4084507042253521E-2</v>
      </c>
    </row>
    <row r="1064" spans="4:4" x14ac:dyDescent="0.4">
      <c r="D1064">
        <v>5.7142857142857141E-2</v>
      </c>
    </row>
    <row r="1065" spans="4:4" x14ac:dyDescent="0.4">
      <c r="D1065">
        <v>0.12903225806451613</v>
      </c>
    </row>
    <row r="1066" spans="4:4" x14ac:dyDescent="0.4">
      <c r="D1066">
        <v>2.3255813953488372E-2</v>
      </c>
    </row>
    <row r="1067" spans="4:4" x14ac:dyDescent="0.4">
      <c r="D1067">
        <v>0.19047619047619047</v>
      </c>
    </row>
    <row r="1068" spans="4:4" x14ac:dyDescent="0.4">
      <c r="D1068">
        <v>0.05</v>
      </c>
    </row>
    <row r="1069" spans="4:4" x14ac:dyDescent="0.4">
      <c r="D1069">
        <v>0.27272727272727271</v>
      </c>
    </row>
    <row r="1070" spans="4:4" x14ac:dyDescent="0.4">
      <c r="D1070">
        <v>0.25</v>
      </c>
    </row>
    <row r="1071" spans="4:4" x14ac:dyDescent="0.4">
      <c r="D1071">
        <v>0.16666666666666666</v>
      </c>
    </row>
    <row r="1072" spans="4:4" x14ac:dyDescent="0.4">
      <c r="D1072">
        <v>0.13043478260869565</v>
      </c>
    </row>
    <row r="1073" spans="4:4" x14ac:dyDescent="0.4">
      <c r="D1073">
        <v>0.5714285714285714</v>
      </c>
    </row>
    <row r="1074" spans="4:4" x14ac:dyDescent="0.4">
      <c r="D1074">
        <v>0.42857142857142855</v>
      </c>
    </row>
    <row r="1075" spans="4:4" x14ac:dyDescent="0.4">
      <c r="D1075">
        <v>7.1428571428571425E-2</v>
      </c>
    </row>
    <row r="1076" spans="4:4" x14ac:dyDescent="0.4">
      <c r="D1076">
        <v>0.26666666666666666</v>
      </c>
    </row>
    <row r="1077" spans="4:4" x14ac:dyDescent="0.4">
      <c r="D1077">
        <v>0.30769230769230771</v>
      </c>
    </row>
    <row r="1078" spans="4:4" x14ac:dyDescent="0.4">
      <c r="D1078">
        <v>3.8461538461538464E-2</v>
      </c>
    </row>
    <row r="1079" spans="4:4" x14ac:dyDescent="0.4">
      <c r="D1079">
        <v>0.30769230769230771</v>
      </c>
    </row>
    <row r="1080" spans="4:4" x14ac:dyDescent="0.4">
      <c r="D1080">
        <v>7.1428571428571425E-2</v>
      </c>
    </row>
    <row r="1081" spans="4:4" x14ac:dyDescent="0.4">
      <c r="D1081">
        <v>0.36363636363636365</v>
      </c>
    </row>
    <row r="1082" spans="4:4" x14ac:dyDescent="0.4">
      <c r="D1082">
        <v>9.0909090909090912E-2</v>
      </c>
    </row>
    <row r="1083" spans="4:4" x14ac:dyDescent="0.4">
      <c r="D1083">
        <v>0.44444444444444442</v>
      </c>
    </row>
    <row r="1084" spans="4:4" x14ac:dyDescent="0.4">
      <c r="D1084">
        <v>0</v>
      </c>
    </row>
    <row r="1085" spans="4:4" x14ac:dyDescent="0.4">
      <c r="D1085">
        <v>0.2857142857142857</v>
      </c>
    </row>
    <row r="1086" spans="4:4" x14ac:dyDescent="0.4">
      <c r="D1086">
        <v>0.5</v>
      </c>
    </row>
    <row r="1087" spans="4:4" x14ac:dyDescent="0.4">
      <c r="D1087">
        <v>0.5</v>
      </c>
    </row>
    <row r="1088" spans="4:4" x14ac:dyDescent="0.4">
      <c r="D1088">
        <v>0</v>
      </c>
    </row>
    <row r="1089" spans="4:4" x14ac:dyDescent="0.4">
      <c r="D1089">
        <v>0.33333333333333331</v>
      </c>
    </row>
    <row r="1090" spans="4:4" x14ac:dyDescent="0.4">
      <c r="D1090">
        <v>0.26666666666666666</v>
      </c>
    </row>
    <row r="1091" spans="4:4" x14ac:dyDescent="0.4">
      <c r="D1091">
        <v>0.18181818181818182</v>
      </c>
    </row>
    <row r="1092" spans="4:4" x14ac:dyDescent="0.4">
      <c r="D1092">
        <v>0.1</v>
      </c>
    </row>
    <row r="1093" spans="4:4" x14ac:dyDescent="0.4">
      <c r="D1093">
        <v>0.3</v>
      </c>
    </row>
    <row r="1094" spans="4:4" x14ac:dyDescent="0.4">
      <c r="D1094">
        <v>0.12121212121212122</v>
      </c>
    </row>
    <row r="1095" spans="4:4" x14ac:dyDescent="0.4">
      <c r="D1095">
        <v>0.25</v>
      </c>
    </row>
    <row r="1096" spans="4:4" x14ac:dyDescent="0.4">
      <c r="D1096">
        <v>0.2</v>
      </c>
    </row>
    <row r="1097" spans="4:4" x14ac:dyDescent="0.4">
      <c r="D1097">
        <v>0.25</v>
      </c>
    </row>
    <row r="1098" spans="4:4" x14ac:dyDescent="0.4">
      <c r="D1098">
        <v>4.6511627906976744E-2</v>
      </c>
    </row>
    <row r="1099" spans="4:4" x14ac:dyDescent="0.4">
      <c r="D1099">
        <v>0.25</v>
      </c>
    </row>
    <row r="1100" spans="4:4" x14ac:dyDescent="0.4">
      <c r="D1100">
        <v>0</v>
      </c>
    </row>
    <row r="1101" spans="4:4" x14ac:dyDescent="0.4">
      <c r="D1101">
        <v>8.8888888888888892E-2</v>
      </c>
    </row>
    <row r="1102" spans="4:4" x14ac:dyDescent="0.4">
      <c r="D1102">
        <v>1.9230769230769232E-2</v>
      </c>
    </row>
    <row r="1103" spans="4:4" x14ac:dyDescent="0.4">
      <c r="D1103">
        <v>0.44444444444444442</v>
      </c>
    </row>
    <row r="1104" spans="4:4" x14ac:dyDescent="0.4">
      <c r="D1104">
        <v>0.18181818181818182</v>
      </c>
    </row>
    <row r="1105" spans="4:4" x14ac:dyDescent="0.4">
      <c r="D1105">
        <v>0</v>
      </c>
    </row>
    <row r="1106" spans="4:4" x14ac:dyDescent="0.4">
      <c r="D1106">
        <v>0.16666666666666666</v>
      </c>
    </row>
    <row r="1107" spans="4:4" x14ac:dyDescent="0.4">
      <c r="D1107">
        <v>0.25</v>
      </c>
    </row>
    <row r="1108" spans="4:4" x14ac:dyDescent="0.4">
      <c r="D1108">
        <v>0</v>
      </c>
    </row>
    <row r="1109" spans="4:4" x14ac:dyDescent="0.4">
      <c r="D1109">
        <v>0.5714285714285714</v>
      </c>
    </row>
    <row r="1110" spans="4:4" x14ac:dyDescent="0.4">
      <c r="D1110">
        <v>0</v>
      </c>
    </row>
    <row r="1111" spans="4:4" x14ac:dyDescent="0.4">
      <c r="D1111">
        <v>1.0638297872340425E-2</v>
      </c>
    </row>
    <row r="1112" spans="4:4" x14ac:dyDescent="0.4">
      <c r="D1112">
        <v>8.6956521739130436E-3</v>
      </c>
    </row>
    <row r="1113" spans="4:4" x14ac:dyDescent="0.4">
      <c r="D1113">
        <v>0.5</v>
      </c>
    </row>
    <row r="1114" spans="4:4" x14ac:dyDescent="0.4">
      <c r="D1114">
        <v>0.14285714285714285</v>
      </c>
    </row>
    <row r="1115" spans="4:4" x14ac:dyDescent="0.4">
      <c r="D1115">
        <v>3.8461538461538464E-2</v>
      </c>
    </row>
    <row r="1116" spans="4:4" x14ac:dyDescent="0.4">
      <c r="D1116">
        <v>4.3010752688172046E-2</v>
      </c>
    </row>
    <row r="1117" spans="4:4" x14ac:dyDescent="0.4">
      <c r="D1117">
        <v>0.66666666666666663</v>
      </c>
    </row>
    <row r="1118" spans="4:4" x14ac:dyDescent="0.4">
      <c r="D1118">
        <v>0.22222222222222221</v>
      </c>
    </row>
    <row r="1119" spans="4:4" x14ac:dyDescent="0.4">
      <c r="D1119">
        <v>0.30769230769230771</v>
      </c>
    </row>
    <row r="1120" spans="4:4" x14ac:dyDescent="0.4">
      <c r="D1120">
        <v>7.6923076923076927E-2</v>
      </c>
    </row>
    <row r="1121" spans="4:4" x14ac:dyDescent="0.4">
      <c r="D1121">
        <v>0.5</v>
      </c>
    </row>
    <row r="1122" spans="4:4" x14ac:dyDescent="0.4">
      <c r="D1122">
        <v>0.5714285714285714</v>
      </c>
    </row>
    <row r="1123" spans="4:4" x14ac:dyDescent="0.4">
      <c r="D1123">
        <v>0.26666666666666666</v>
      </c>
    </row>
    <row r="1124" spans="4:4" x14ac:dyDescent="0.4">
      <c r="D1124">
        <v>0.15384615384615385</v>
      </c>
    </row>
    <row r="1125" spans="4:4" x14ac:dyDescent="0.4">
      <c r="D1125">
        <v>0.13793103448275862</v>
      </c>
    </row>
    <row r="1126" spans="4:4" x14ac:dyDescent="0.4">
      <c r="D1126">
        <v>0</v>
      </c>
    </row>
    <row r="1127" spans="4:4" x14ac:dyDescent="0.4">
      <c r="D1127">
        <v>0</v>
      </c>
    </row>
    <row r="1128" spans="4:4" x14ac:dyDescent="0.4">
      <c r="D1128">
        <v>0.19047619047619047</v>
      </c>
    </row>
    <row r="1129" spans="4:4" x14ac:dyDescent="0.4">
      <c r="D1129">
        <v>0.33333333333333331</v>
      </c>
    </row>
    <row r="1130" spans="4:4" x14ac:dyDescent="0.4">
      <c r="D1130">
        <v>0.1</v>
      </c>
    </row>
    <row r="1131" spans="4:4" x14ac:dyDescent="0.4">
      <c r="D1131">
        <v>0.25</v>
      </c>
    </row>
    <row r="1132" spans="4:4" x14ac:dyDescent="0.4">
      <c r="D1132">
        <v>0</v>
      </c>
    </row>
    <row r="1133" spans="4:4" x14ac:dyDescent="0.4">
      <c r="D1133">
        <v>0.14814814814814814</v>
      </c>
    </row>
    <row r="1134" spans="4:4" x14ac:dyDescent="0.4">
      <c r="D1134">
        <v>7.6923076923076927E-2</v>
      </c>
    </row>
    <row r="1135" spans="4:4" x14ac:dyDescent="0.4">
      <c r="D1135">
        <v>0</v>
      </c>
    </row>
    <row r="1136" spans="4:4" x14ac:dyDescent="0.4">
      <c r="D1136">
        <v>0.18181818181818182</v>
      </c>
    </row>
    <row r="1137" spans="4:4" x14ac:dyDescent="0.4">
      <c r="D1137">
        <v>0.33333333333333331</v>
      </c>
    </row>
    <row r="1138" spans="4:4" x14ac:dyDescent="0.4">
      <c r="D1138">
        <v>0</v>
      </c>
    </row>
    <row r="1139" spans="4:4" x14ac:dyDescent="0.4">
      <c r="D1139">
        <v>0.26666666666666666</v>
      </c>
    </row>
    <row r="1140" spans="4:4" x14ac:dyDescent="0.4">
      <c r="D1140">
        <v>0</v>
      </c>
    </row>
    <row r="1141" spans="4:4" x14ac:dyDescent="0.4">
      <c r="D1141">
        <v>0.5714285714285714</v>
      </c>
    </row>
    <row r="1142" spans="4:4" x14ac:dyDescent="0.4">
      <c r="D1142">
        <v>0.14285714285714285</v>
      </c>
    </row>
    <row r="1143" spans="4:4" x14ac:dyDescent="0.4">
      <c r="D1143">
        <v>0.4</v>
      </c>
    </row>
    <row r="1144" spans="4:4" x14ac:dyDescent="0.4">
      <c r="D1144">
        <v>0</v>
      </c>
    </row>
    <row r="1145" spans="4:4" x14ac:dyDescent="0.4">
      <c r="D1145">
        <v>8.3333333333333329E-2</v>
      </c>
    </row>
    <row r="1146" spans="4:4" x14ac:dyDescent="0.4">
      <c r="D1146">
        <v>0</v>
      </c>
    </row>
    <row r="1147" spans="4:4" x14ac:dyDescent="0.4">
      <c r="D1147">
        <v>0.2</v>
      </c>
    </row>
    <row r="1148" spans="4:4" x14ac:dyDescent="0.4">
      <c r="D1148">
        <v>5.2631578947368418E-2</v>
      </c>
    </row>
    <row r="1149" spans="4:4" x14ac:dyDescent="0.4">
      <c r="D1149">
        <v>0.44444444444444442</v>
      </c>
    </row>
    <row r="1150" spans="4:4" x14ac:dyDescent="0.4">
      <c r="D1150">
        <v>0</v>
      </c>
    </row>
    <row r="1151" spans="4:4" x14ac:dyDescent="0.4">
      <c r="D1151">
        <v>0.36363636363636365</v>
      </c>
    </row>
    <row r="1152" spans="4:4" x14ac:dyDescent="0.4">
      <c r="D1152">
        <v>0.1875</v>
      </c>
    </row>
    <row r="1153" spans="4:4" x14ac:dyDescent="0.4">
      <c r="D1153">
        <v>7.6923076923076927E-2</v>
      </c>
    </row>
    <row r="1154" spans="4:4" x14ac:dyDescent="0.4">
      <c r="D1154">
        <v>0.26666666666666666</v>
      </c>
    </row>
    <row r="1155" spans="4:4" x14ac:dyDescent="0.4">
      <c r="D1155">
        <v>0.36363636363636365</v>
      </c>
    </row>
    <row r="1156" spans="4:4" x14ac:dyDescent="0.4">
      <c r="D1156">
        <v>0.1</v>
      </c>
    </row>
    <row r="1157" spans="4:4" x14ac:dyDescent="0.4">
      <c r="D1157">
        <v>0.2</v>
      </c>
    </row>
    <row r="1158" spans="4:4" x14ac:dyDescent="0.4">
      <c r="D1158">
        <v>0.18181818181818182</v>
      </c>
    </row>
    <row r="1159" spans="4:4" x14ac:dyDescent="0.4">
      <c r="D1159">
        <v>0.23529411764705882</v>
      </c>
    </row>
    <row r="1160" spans="4:4" x14ac:dyDescent="0.4">
      <c r="D1160">
        <v>0</v>
      </c>
    </row>
    <row r="1161" spans="4:4" x14ac:dyDescent="0.4">
      <c r="D1161">
        <v>0.21052631578947367</v>
      </c>
    </row>
    <row r="1162" spans="4:4" x14ac:dyDescent="0.4">
      <c r="D1162">
        <v>8.6956521739130432E-2</v>
      </c>
    </row>
    <row r="1163" spans="4:4" x14ac:dyDescent="0.4">
      <c r="D1163">
        <v>0.2</v>
      </c>
    </row>
    <row r="1164" spans="4:4" x14ac:dyDescent="0.4">
      <c r="D1164">
        <v>0</v>
      </c>
    </row>
    <row r="1165" spans="4:4" x14ac:dyDescent="0.4">
      <c r="D1165">
        <v>0.4</v>
      </c>
    </row>
    <row r="1166" spans="4:4" x14ac:dyDescent="0.4">
      <c r="D1166">
        <v>0.1</v>
      </c>
    </row>
    <row r="1167" spans="4:4" x14ac:dyDescent="0.4">
      <c r="D1167">
        <v>0.5714285714285714</v>
      </c>
    </row>
    <row r="1168" spans="4:4" x14ac:dyDescent="0.4">
      <c r="D1168">
        <v>0.16666666666666666</v>
      </c>
    </row>
    <row r="1169" spans="4:4" x14ac:dyDescent="0.4">
      <c r="D1169">
        <v>0.22222222222222221</v>
      </c>
    </row>
    <row r="1170" spans="4:4" x14ac:dyDescent="0.4">
      <c r="D1170">
        <v>0.4</v>
      </c>
    </row>
    <row r="1171" spans="4:4" x14ac:dyDescent="0.4">
      <c r="D1171">
        <v>0.30769230769230771</v>
      </c>
    </row>
    <row r="1172" spans="4:4" x14ac:dyDescent="0.4">
      <c r="D1172">
        <v>0.16666666666666666</v>
      </c>
    </row>
    <row r="1173" spans="4:4" x14ac:dyDescent="0.4">
      <c r="D1173">
        <v>5.7142857142857141E-2</v>
      </c>
    </row>
    <row r="1174" spans="4:4" x14ac:dyDescent="0.4">
      <c r="D1174">
        <v>0.1</v>
      </c>
    </row>
    <row r="1175" spans="4:4" x14ac:dyDescent="0.4">
      <c r="D1175">
        <v>0.5714285714285714</v>
      </c>
    </row>
    <row r="1176" spans="4:4" x14ac:dyDescent="0.4">
      <c r="D1176">
        <v>0</v>
      </c>
    </row>
    <row r="1177" spans="4:4" x14ac:dyDescent="0.4">
      <c r="D1177">
        <v>0.66666666666666663</v>
      </c>
    </row>
    <row r="1178" spans="4:4" x14ac:dyDescent="0.4">
      <c r="D1178">
        <v>0.4</v>
      </c>
    </row>
    <row r="1179" spans="4:4" x14ac:dyDescent="0.4">
      <c r="D1179">
        <v>0.36363636363636365</v>
      </c>
    </row>
    <row r="1180" spans="4:4" x14ac:dyDescent="0.4">
      <c r="D1180">
        <v>0.18181818181818182</v>
      </c>
    </row>
    <row r="1181" spans="4:4" x14ac:dyDescent="0.4">
      <c r="D1181">
        <v>0.11428571428571428</v>
      </c>
    </row>
    <row r="1182" spans="4:4" x14ac:dyDescent="0.4">
      <c r="D1182">
        <v>6.3829787234042548E-2</v>
      </c>
    </row>
    <row r="1183" spans="4:4" x14ac:dyDescent="0.4">
      <c r="D1183">
        <v>0.36363636363636365</v>
      </c>
    </row>
    <row r="1184" spans="4:4" x14ac:dyDescent="0.4">
      <c r="D1184">
        <v>0.1</v>
      </c>
    </row>
    <row r="1185" spans="4:4" x14ac:dyDescent="0.4">
      <c r="D1185">
        <v>0.33333333333333331</v>
      </c>
    </row>
    <row r="1186" spans="4:4" x14ac:dyDescent="0.4">
      <c r="D1186">
        <v>0.16666666666666666</v>
      </c>
    </row>
    <row r="1187" spans="4:4" x14ac:dyDescent="0.4">
      <c r="D1187">
        <v>2.9126213592233011E-2</v>
      </c>
    </row>
    <row r="1188" spans="4:4" x14ac:dyDescent="0.4">
      <c r="D1188">
        <v>8.6956521739130436E-3</v>
      </c>
    </row>
    <row r="1189" spans="4:4" x14ac:dyDescent="0.4">
      <c r="D1189">
        <v>0.33333333333333331</v>
      </c>
    </row>
    <row r="1190" spans="4:4" x14ac:dyDescent="0.4">
      <c r="D1190">
        <v>0.15384615384615385</v>
      </c>
    </row>
    <row r="1191" spans="4:4" x14ac:dyDescent="0.4">
      <c r="D1191">
        <v>4.5454545454545456E-2</v>
      </c>
    </row>
    <row r="1192" spans="4:4" x14ac:dyDescent="0.4">
      <c r="D1192">
        <v>1.8181818181818181E-2</v>
      </c>
    </row>
    <row r="1193" spans="4:4" x14ac:dyDescent="0.4">
      <c r="D1193">
        <v>0.66666666666666663</v>
      </c>
    </row>
    <row r="1194" spans="4:4" x14ac:dyDescent="0.4">
      <c r="D1194">
        <v>0</v>
      </c>
    </row>
    <row r="1195" spans="4:4" x14ac:dyDescent="0.4">
      <c r="D1195">
        <v>0.14285714285714285</v>
      </c>
    </row>
    <row r="1196" spans="4:4" x14ac:dyDescent="0.4">
      <c r="D1196">
        <v>3.5714285714285712E-2</v>
      </c>
    </row>
    <row r="1197" spans="4:4" x14ac:dyDescent="0.4">
      <c r="D1197">
        <v>5.4054054054054057E-2</v>
      </c>
    </row>
    <row r="1198" spans="4:4" x14ac:dyDescent="0.4">
      <c r="D1198">
        <v>2.6666666666666668E-2</v>
      </c>
    </row>
    <row r="1199" spans="4:4" x14ac:dyDescent="0.4">
      <c r="D1199">
        <v>0.2</v>
      </c>
    </row>
    <row r="1200" spans="4:4" x14ac:dyDescent="0.4">
      <c r="D1200">
        <v>0.36363636363636365</v>
      </c>
    </row>
    <row r="1201" spans="4:4" x14ac:dyDescent="0.4">
      <c r="D1201">
        <v>0.21052631578947367</v>
      </c>
    </row>
    <row r="1202" spans="4:4" x14ac:dyDescent="0.4">
      <c r="D1202">
        <v>0</v>
      </c>
    </row>
    <row r="1203" spans="4:4" x14ac:dyDescent="0.4">
      <c r="D1203">
        <v>0.2857142857142857</v>
      </c>
    </row>
    <row r="1204" spans="4:4" x14ac:dyDescent="0.4">
      <c r="D1204">
        <v>0</v>
      </c>
    </row>
    <row r="1205" spans="4:4" x14ac:dyDescent="0.4">
      <c r="D1205">
        <v>0.2857142857142857</v>
      </c>
    </row>
    <row r="1206" spans="4:4" x14ac:dyDescent="0.4">
      <c r="D1206">
        <v>7.1428571428571425E-2</v>
      </c>
    </row>
    <row r="1207" spans="4:4" x14ac:dyDescent="0.4">
      <c r="D1207">
        <v>0.23529411764705882</v>
      </c>
    </row>
    <row r="1208" spans="4:4" x14ac:dyDescent="0.4">
      <c r="D1208">
        <v>0.1111111111111111</v>
      </c>
    </row>
    <row r="1209" spans="4:4" x14ac:dyDescent="0.4">
      <c r="D1209">
        <v>7.2727272727272724E-2</v>
      </c>
    </row>
    <row r="1210" spans="4:4" x14ac:dyDescent="0.4">
      <c r="D1210">
        <v>4.4117647058823532E-2</v>
      </c>
    </row>
    <row r="1211" spans="4:4" x14ac:dyDescent="0.4">
      <c r="D1211">
        <v>0.33333333333333331</v>
      </c>
    </row>
    <row r="1212" spans="4:4" x14ac:dyDescent="0.4">
      <c r="D1212">
        <v>9.0909090909090912E-2</v>
      </c>
    </row>
    <row r="1213" spans="4:4" x14ac:dyDescent="0.4">
      <c r="D1213">
        <v>0.66666666666666663</v>
      </c>
    </row>
    <row r="1214" spans="4:4" x14ac:dyDescent="0.4">
      <c r="D1214">
        <v>0.16666666666666666</v>
      </c>
    </row>
    <row r="1215" spans="4:4" x14ac:dyDescent="0.4">
      <c r="D1215">
        <v>0.30769230769230771</v>
      </c>
    </row>
    <row r="1216" spans="4:4" x14ac:dyDescent="0.4">
      <c r="D1216">
        <v>0</v>
      </c>
    </row>
    <row r="1217" spans="4:4" x14ac:dyDescent="0.4">
      <c r="D1217">
        <v>0.33333333333333331</v>
      </c>
    </row>
    <row r="1218" spans="4:4" x14ac:dyDescent="0.4">
      <c r="D1218">
        <v>0</v>
      </c>
    </row>
    <row r="1219" spans="4:4" x14ac:dyDescent="0.4">
      <c r="D1219">
        <v>0.15384615384615385</v>
      </c>
    </row>
    <row r="1220" spans="4:4" x14ac:dyDescent="0.4">
      <c r="D1220">
        <v>0.21052631578947367</v>
      </c>
    </row>
    <row r="1221" spans="4:4" x14ac:dyDescent="0.4">
      <c r="D1221">
        <v>0.125</v>
      </c>
    </row>
    <row r="1222" spans="4:4" x14ac:dyDescent="0.4">
      <c r="D1222">
        <v>0.12121212121212122</v>
      </c>
    </row>
    <row r="1223" spans="4:4" x14ac:dyDescent="0.4">
      <c r="D1223">
        <v>9.7560975609756101E-2</v>
      </c>
    </row>
    <row r="1224" spans="4:4" x14ac:dyDescent="0.4">
      <c r="D1224">
        <v>2.3809523809523808E-2</v>
      </c>
    </row>
    <row r="1225" spans="4:4" x14ac:dyDescent="0.4">
      <c r="D1225">
        <v>0.11538461538461539</v>
      </c>
    </row>
    <row r="1226" spans="4:4" x14ac:dyDescent="0.4">
      <c r="D1226">
        <v>0.15384615384615385</v>
      </c>
    </row>
    <row r="1227" spans="4:4" x14ac:dyDescent="0.4">
      <c r="D1227">
        <v>0.66666666666666663</v>
      </c>
    </row>
    <row r="1228" spans="4:4" x14ac:dyDescent="0.4">
      <c r="D1228">
        <v>0.4</v>
      </c>
    </row>
    <row r="1229" spans="4:4" x14ac:dyDescent="0.4">
      <c r="D1229">
        <v>0</v>
      </c>
    </row>
    <row r="1230" spans="4:4" x14ac:dyDescent="0.4">
      <c r="D1230">
        <v>0.2857142857142857</v>
      </c>
    </row>
    <row r="1231" spans="4:4" x14ac:dyDescent="0.4">
      <c r="D1231">
        <v>0.5</v>
      </c>
    </row>
    <row r="1232" spans="4:4" x14ac:dyDescent="0.4">
      <c r="D1232">
        <v>0</v>
      </c>
    </row>
    <row r="1233" spans="4:4" x14ac:dyDescent="0.4">
      <c r="D1233">
        <v>0.30769230769230771</v>
      </c>
    </row>
    <row r="1234" spans="4:4" x14ac:dyDescent="0.4">
      <c r="D1234">
        <v>0.25</v>
      </c>
    </row>
    <row r="1235" spans="4:4" x14ac:dyDescent="0.4">
      <c r="D1235">
        <v>0.33333333333333331</v>
      </c>
    </row>
    <row r="1236" spans="4:4" x14ac:dyDescent="0.4">
      <c r="D1236">
        <v>0.16</v>
      </c>
    </row>
    <row r="1237" spans="4:4" x14ac:dyDescent="0.4">
      <c r="D1237">
        <v>0.21052631578947367</v>
      </c>
    </row>
    <row r="1238" spans="4:4" x14ac:dyDescent="0.4">
      <c r="D1238">
        <v>5.5555555555555552E-2</v>
      </c>
    </row>
    <row r="1239" spans="4:4" x14ac:dyDescent="0.4">
      <c r="D1239">
        <v>3.614457831325301E-2</v>
      </c>
    </row>
    <row r="1240" spans="4:4" x14ac:dyDescent="0.4">
      <c r="D1240">
        <v>0</v>
      </c>
    </row>
    <row r="1241" spans="4:4" x14ac:dyDescent="0.4">
      <c r="D1241">
        <v>0.14285714285714285</v>
      </c>
    </row>
    <row r="1242" spans="4:4" x14ac:dyDescent="0.4">
      <c r="D1242">
        <v>0.13333333333333333</v>
      </c>
    </row>
    <row r="1243" spans="4:4" x14ac:dyDescent="0.4">
      <c r="D1243">
        <v>5.4794520547945202E-2</v>
      </c>
    </row>
    <row r="1244" spans="4:4" x14ac:dyDescent="0.4">
      <c r="D1244">
        <v>2.1052631578947368E-2</v>
      </c>
    </row>
    <row r="1245" spans="4:4" x14ac:dyDescent="0.4">
      <c r="D1245">
        <v>0.21052631578947367</v>
      </c>
    </row>
    <row r="1246" spans="4:4" x14ac:dyDescent="0.4">
      <c r="D1246">
        <v>0.14285714285714285</v>
      </c>
    </row>
    <row r="1247" spans="4:4" x14ac:dyDescent="0.4">
      <c r="D1247">
        <v>0.25</v>
      </c>
    </row>
    <row r="1248" spans="4:4" x14ac:dyDescent="0.4">
      <c r="D1248">
        <v>0.125</v>
      </c>
    </row>
    <row r="1249" spans="4:4" x14ac:dyDescent="0.4">
      <c r="D1249">
        <v>0.5</v>
      </c>
    </row>
    <row r="1250" spans="4:4" x14ac:dyDescent="0.4">
      <c r="D1250">
        <v>0.14285714285714285</v>
      </c>
    </row>
    <row r="1251" spans="4:4" x14ac:dyDescent="0.4">
      <c r="D1251">
        <v>0.66666666666666663</v>
      </c>
    </row>
    <row r="1252" spans="4:4" x14ac:dyDescent="0.4">
      <c r="D1252">
        <v>0</v>
      </c>
    </row>
    <row r="1253" spans="4:4" x14ac:dyDescent="0.4">
      <c r="D1253">
        <v>0.21052631578947367</v>
      </c>
    </row>
    <row r="1254" spans="4:4" x14ac:dyDescent="0.4">
      <c r="D1254">
        <v>7.6923076923076927E-2</v>
      </c>
    </row>
    <row r="1255" spans="4:4" x14ac:dyDescent="0.4">
      <c r="D1255">
        <v>0</v>
      </c>
    </row>
    <row r="1256" spans="4:4" x14ac:dyDescent="0.4">
      <c r="D1256">
        <v>0.18181818181818182</v>
      </c>
    </row>
    <row r="1257" spans="4:4" x14ac:dyDescent="0.4">
      <c r="D1257">
        <v>0.3</v>
      </c>
    </row>
    <row r="1258" spans="4:4" x14ac:dyDescent="0.4">
      <c r="D1258">
        <v>0.15384615384615385</v>
      </c>
    </row>
    <row r="1259" spans="4:4" x14ac:dyDescent="0.4">
      <c r="D1259">
        <v>0.4</v>
      </c>
    </row>
    <row r="1260" spans="4:4" x14ac:dyDescent="0.4">
      <c r="D1260">
        <v>0</v>
      </c>
    </row>
    <row r="1261" spans="4:4" x14ac:dyDescent="0.4">
      <c r="D1261">
        <v>0.2</v>
      </c>
    </row>
    <row r="1262" spans="4:4" x14ac:dyDescent="0.4">
      <c r="D1262">
        <v>0.15789473684210525</v>
      </c>
    </row>
    <row r="1263" spans="4:4" x14ac:dyDescent="0.4">
      <c r="D1263">
        <v>0.3</v>
      </c>
    </row>
    <row r="1264" spans="4:4" x14ac:dyDescent="0.4">
      <c r="D1264">
        <v>0.14285714285714285</v>
      </c>
    </row>
    <row r="1265" spans="4:4" x14ac:dyDescent="0.4">
      <c r="D1265">
        <v>0.2</v>
      </c>
    </row>
    <row r="1266" spans="4:4" x14ac:dyDescent="0.4">
      <c r="D1266">
        <v>0.4</v>
      </c>
    </row>
    <row r="1267" spans="4:4" x14ac:dyDescent="0.4">
      <c r="D1267">
        <v>0.23529411764705882</v>
      </c>
    </row>
    <row r="1268" spans="4:4" x14ac:dyDescent="0.4">
      <c r="D1268">
        <v>0.13333333333333333</v>
      </c>
    </row>
    <row r="1269" spans="4:4" x14ac:dyDescent="0.4">
      <c r="D1269">
        <v>0.25</v>
      </c>
    </row>
    <row r="1270" spans="4:4" x14ac:dyDescent="0.4">
      <c r="D1270">
        <v>5.8823529411764705E-2</v>
      </c>
    </row>
    <row r="1271" spans="4:4" x14ac:dyDescent="0.4">
      <c r="D1271">
        <v>9.0909090909090912E-2</v>
      </c>
    </row>
    <row r="1272" spans="4:4" x14ac:dyDescent="0.4">
      <c r="D1272">
        <v>0.33333333333333331</v>
      </c>
    </row>
    <row r="1273" spans="4:4" x14ac:dyDescent="0.4">
      <c r="D1273">
        <v>5.8823529411764705E-2</v>
      </c>
    </row>
    <row r="1274" spans="4:4" x14ac:dyDescent="0.4">
      <c r="D1274">
        <v>0.25</v>
      </c>
    </row>
    <row r="1275" spans="4:4" x14ac:dyDescent="0.4">
      <c r="D1275">
        <v>0.33333333333333331</v>
      </c>
    </row>
    <row r="1276" spans="4:4" x14ac:dyDescent="0.4">
      <c r="D1276">
        <v>0.44444444444444442</v>
      </c>
    </row>
    <row r="1277" spans="4:4" x14ac:dyDescent="0.4">
      <c r="D1277">
        <v>0.44444444444444442</v>
      </c>
    </row>
    <row r="1278" spans="4:4" x14ac:dyDescent="0.4">
      <c r="D1278">
        <v>0.375</v>
      </c>
    </row>
    <row r="1279" spans="4:4" x14ac:dyDescent="0.4">
      <c r="D1279">
        <v>0.2857142857142857</v>
      </c>
    </row>
    <row r="1280" spans="4:4" x14ac:dyDescent="0.4">
      <c r="D1280">
        <v>0.14285714285714285</v>
      </c>
    </row>
    <row r="1281" spans="4:4" x14ac:dyDescent="0.4">
      <c r="D1281">
        <v>0.5</v>
      </c>
    </row>
    <row r="1282" spans="4:4" x14ac:dyDescent="0.4">
      <c r="D1282">
        <v>0</v>
      </c>
    </row>
    <row r="1283" spans="4:4" x14ac:dyDescent="0.4">
      <c r="D1283">
        <v>0.14285714285714285</v>
      </c>
    </row>
    <row r="1284" spans="4:4" x14ac:dyDescent="0.4">
      <c r="D1284">
        <v>0.5</v>
      </c>
    </row>
    <row r="1285" spans="4:4" x14ac:dyDescent="0.4">
      <c r="D1285">
        <v>0.33333333333333331</v>
      </c>
    </row>
    <row r="1286" spans="4:4" x14ac:dyDescent="0.4">
      <c r="D1286">
        <v>9.0909090909090912E-2</v>
      </c>
    </row>
    <row r="1287" spans="4:4" x14ac:dyDescent="0.4">
      <c r="D1287">
        <v>0.8</v>
      </c>
    </row>
    <row r="1288" spans="4:4" x14ac:dyDescent="0.4">
      <c r="D1288">
        <v>0.4</v>
      </c>
    </row>
    <row r="1289" spans="4:4" x14ac:dyDescent="0.4">
      <c r="D1289">
        <v>1.1235955056179775E-2</v>
      </c>
    </row>
    <row r="1290" spans="4:4" x14ac:dyDescent="0.4">
      <c r="D1290">
        <v>8.6956521739130436E-3</v>
      </c>
    </row>
    <row r="1291" spans="4:4" x14ac:dyDescent="0.4">
      <c r="D1291">
        <v>0.66666666666666663</v>
      </c>
    </row>
    <row r="1292" spans="4:4" x14ac:dyDescent="0.4">
      <c r="D1292">
        <v>0.1111111111111111</v>
      </c>
    </row>
    <row r="1293" spans="4:4" x14ac:dyDescent="0.4">
      <c r="D1293">
        <v>0.25</v>
      </c>
    </row>
    <row r="1294" spans="4:4" x14ac:dyDescent="0.4">
      <c r="D1294">
        <v>0.33333333333333331</v>
      </c>
    </row>
    <row r="1295" spans="4:4" x14ac:dyDescent="0.4">
      <c r="D1295">
        <v>6.3492063492063489E-2</v>
      </c>
    </row>
    <row r="1296" spans="4:4" x14ac:dyDescent="0.4">
      <c r="D1296">
        <v>2.8571428571428571E-2</v>
      </c>
    </row>
    <row r="1297" spans="4:4" x14ac:dyDescent="0.4">
      <c r="D1297">
        <v>0.36363636363636365</v>
      </c>
    </row>
    <row r="1298" spans="4:4" x14ac:dyDescent="0.4">
      <c r="D1298">
        <v>0</v>
      </c>
    </row>
    <row r="1299" spans="4:4" x14ac:dyDescent="0.4">
      <c r="D1299">
        <v>0.25</v>
      </c>
    </row>
    <row r="1300" spans="4:4" x14ac:dyDescent="0.4">
      <c r="D1300">
        <v>6.25E-2</v>
      </c>
    </row>
    <row r="1301" spans="4:4" x14ac:dyDescent="0.4">
      <c r="D1301">
        <v>0.26666666666666666</v>
      </c>
    </row>
    <row r="1302" spans="4:4" x14ac:dyDescent="0.4">
      <c r="D1302">
        <v>6.6666666666666666E-2</v>
      </c>
    </row>
    <row r="1303" spans="4:4" x14ac:dyDescent="0.4">
      <c r="D1303">
        <v>0.25</v>
      </c>
    </row>
    <row r="1304" spans="4:4" x14ac:dyDescent="0.4">
      <c r="D1304">
        <v>0</v>
      </c>
    </row>
    <row r="1305" spans="4:4" x14ac:dyDescent="0.4">
      <c r="D1305">
        <v>0</v>
      </c>
    </row>
    <row r="1306" spans="4:4" x14ac:dyDescent="0.4">
      <c r="D1306">
        <v>0.25</v>
      </c>
    </row>
    <row r="1307" spans="4:4" x14ac:dyDescent="0.4">
      <c r="D1307">
        <v>0</v>
      </c>
    </row>
    <row r="1308" spans="4:4" x14ac:dyDescent="0.4">
      <c r="D1308">
        <v>0.2857142857142857</v>
      </c>
    </row>
    <row r="1309" spans="4:4" x14ac:dyDescent="0.4">
      <c r="D1309">
        <v>0.36363636363636365</v>
      </c>
    </row>
    <row r="1310" spans="4:4" x14ac:dyDescent="0.4">
      <c r="D1310">
        <v>0.1</v>
      </c>
    </row>
    <row r="1311" spans="4:4" x14ac:dyDescent="0.4">
      <c r="D1311">
        <v>0</v>
      </c>
    </row>
    <row r="1312" spans="4:4" x14ac:dyDescent="0.4">
      <c r="D1312">
        <v>0.21052631578947367</v>
      </c>
    </row>
    <row r="1313" spans="4:4" x14ac:dyDescent="0.4">
      <c r="D1313">
        <v>0.5714285714285714</v>
      </c>
    </row>
    <row r="1314" spans="4:4" x14ac:dyDescent="0.4">
      <c r="D1314">
        <v>0.1111111111111111</v>
      </c>
    </row>
    <row r="1315" spans="4:4" x14ac:dyDescent="0.4">
      <c r="D1315">
        <v>0.5</v>
      </c>
    </row>
    <row r="1316" spans="4:4" x14ac:dyDescent="0.4">
      <c r="D1316">
        <v>0</v>
      </c>
    </row>
    <row r="1317" spans="4:4" x14ac:dyDescent="0.4">
      <c r="D1317">
        <v>0.3</v>
      </c>
    </row>
    <row r="1318" spans="4:4" x14ac:dyDescent="0.4">
      <c r="D1318">
        <v>0.36363636363636365</v>
      </c>
    </row>
    <row r="1319" spans="4:4" x14ac:dyDescent="0.4">
      <c r="D1319">
        <v>0.1875</v>
      </c>
    </row>
    <row r="1320" spans="4:4" x14ac:dyDescent="0.4">
      <c r="D1320">
        <v>0.26666666666666666</v>
      </c>
    </row>
    <row r="1321" spans="4:4" x14ac:dyDescent="0.4">
      <c r="D1321">
        <v>0.44444444444444442</v>
      </c>
    </row>
    <row r="1322" spans="4:4" x14ac:dyDescent="0.4">
      <c r="D1322">
        <v>0.25</v>
      </c>
    </row>
    <row r="1323" spans="4:4" x14ac:dyDescent="0.4">
      <c r="D1323">
        <v>0.26666666666666666</v>
      </c>
    </row>
    <row r="1324" spans="4:4" x14ac:dyDescent="0.4">
      <c r="D1324">
        <v>0</v>
      </c>
    </row>
    <row r="1325" spans="4:4" x14ac:dyDescent="0.4">
      <c r="D1325">
        <v>0</v>
      </c>
    </row>
    <row r="1326" spans="4:4" x14ac:dyDescent="0.4">
      <c r="D1326">
        <v>0.30769230769230771</v>
      </c>
    </row>
    <row r="1327" spans="4:4" x14ac:dyDescent="0.4">
      <c r="D1327">
        <v>0.16666666666666666</v>
      </c>
    </row>
    <row r="1328" spans="4:4" x14ac:dyDescent="0.4">
      <c r="D1328">
        <v>0.36363636363636365</v>
      </c>
    </row>
    <row r="1329" spans="4:4" x14ac:dyDescent="0.4">
      <c r="D1329">
        <v>0.10256410256410256</v>
      </c>
    </row>
    <row r="1330" spans="4:4" x14ac:dyDescent="0.4">
      <c r="D1330">
        <v>6.9767441860465115E-2</v>
      </c>
    </row>
    <row r="1331" spans="4:4" x14ac:dyDescent="0.4">
      <c r="D1331">
        <v>0.2</v>
      </c>
    </row>
    <row r="1332" spans="4:4" x14ac:dyDescent="0.4">
      <c r="D1332">
        <v>0.36363636363636365</v>
      </c>
    </row>
    <row r="1333" spans="4:4" x14ac:dyDescent="0.4">
      <c r="D1333">
        <v>0.36363636363636365</v>
      </c>
    </row>
    <row r="1334" spans="4:4" x14ac:dyDescent="0.4">
      <c r="D1334">
        <v>0</v>
      </c>
    </row>
    <row r="1335" spans="4:4" x14ac:dyDescent="0.4">
      <c r="D1335">
        <v>0.23529411764705882</v>
      </c>
    </row>
    <row r="1336" spans="4:4" x14ac:dyDescent="0.4">
      <c r="D1336">
        <v>0.125</v>
      </c>
    </row>
    <row r="1337" spans="4:4" x14ac:dyDescent="0.4">
      <c r="D1337">
        <v>0.26666666666666666</v>
      </c>
    </row>
    <row r="1338" spans="4:4" x14ac:dyDescent="0.4">
      <c r="D1338">
        <v>0.21428571428571427</v>
      </c>
    </row>
    <row r="1339" spans="4:4" x14ac:dyDescent="0.4">
      <c r="D1339">
        <v>0.21052631578947367</v>
      </c>
    </row>
    <row r="1340" spans="4:4" x14ac:dyDescent="0.4">
      <c r="D1340">
        <v>5.2631578947368418E-2</v>
      </c>
    </row>
    <row r="1341" spans="4:4" x14ac:dyDescent="0.4">
      <c r="D1341">
        <v>0.2857142857142857</v>
      </c>
    </row>
    <row r="1342" spans="4:4" x14ac:dyDescent="0.4">
      <c r="D1342">
        <v>0</v>
      </c>
    </row>
    <row r="1343" spans="4:4" x14ac:dyDescent="0.4">
      <c r="D1343">
        <v>0.5714285714285714</v>
      </c>
    </row>
    <row r="1344" spans="4:4" x14ac:dyDescent="0.4">
      <c r="D1344">
        <v>0.33333333333333331</v>
      </c>
    </row>
    <row r="1345" spans="4:4" x14ac:dyDescent="0.4">
      <c r="D1345">
        <v>0.36363636363636365</v>
      </c>
    </row>
    <row r="1346" spans="4:4" x14ac:dyDescent="0.4">
      <c r="D1346">
        <v>9.0909090909090912E-2</v>
      </c>
    </row>
    <row r="1347" spans="4:4" x14ac:dyDescent="0.4">
      <c r="D1347">
        <v>0.13793103448275862</v>
      </c>
    </row>
    <row r="1348" spans="4:4" x14ac:dyDescent="0.4">
      <c r="D1348">
        <v>0.10714285714285714</v>
      </c>
    </row>
    <row r="1349" spans="4:4" x14ac:dyDescent="0.4">
      <c r="D1349">
        <v>0.44444444444444442</v>
      </c>
    </row>
    <row r="1350" spans="4:4" x14ac:dyDescent="0.4">
      <c r="D1350">
        <v>0.1111111111111111</v>
      </c>
    </row>
    <row r="1351" spans="4:4" x14ac:dyDescent="0.4">
      <c r="D1351">
        <v>0.66666666666666663</v>
      </c>
    </row>
    <row r="1352" spans="4:4" x14ac:dyDescent="0.4">
      <c r="D1352">
        <v>0</v>
      </c>
    </row>
    <row r="1353" spans="4:4" x14ac:dyDescent="0.4">
      <c r="D1353">
        <v>0.44444444444444442</v>
      </c>
    </row>
    <row r="1354" spans="4:4" x14ac:dyDescent="0.4">
      <c r="D1354">
        <v>0</v>
      </c>
    </row>
    <row r="1355" spans="4:4" x14ac:dyDescent="0.4">
      <c r="D1355">
        <v>0.25</v>
      </c>
    </row>
    <row r="1356" spans="4:4" x14ac:dyDescent="0.4">
      <c r="D1356">
        <v>0.13333333333333333</v>
      </c>
    </row>
    <row r="1357" spans="4:4" x14ac:dyDescent="0.4">
      <c r="D1357">
        <v>0.42857142857142855</v>
      </c>
    </row>
    <row r="1358" spans="4:4" x14ac:dyDescent="0.4">
      <c r="D1358">
        <v>0.30769230769230771</v>
      </c>
    </row>
    <row r="1359" spans="4:4" x14ac:dyDescent="0.4">
      <c r="D1359">
        <v>0.30769230769230771</v>
      </c>
    </row>
    <row r="1360" spans="4:4" x14ac:dyDescent="0.4">
      <c r="D1360">
        <v>0</v>
      </c>
    </row>
    <row r="1361" spans="4:4" x14ac:dyDescent="0.4">
      <c r="D1361">
        <v>0.4</v>
      </c>
    </row>
    <row r="1362" spans="4:4" x14ac:dyDescent="0.4">
      <c r="D1362">
        <v>0.2</v>
      </c>
    </row>
    <row r="1363" spans="4:4" x14ac:dyDescent="0.4">
      <c r="D1363">
        <v>0.5</v>
      </c>
    </row>
    <row r="1364" spans="4:4" x14ac:dyDescent="0.4">
      <c r="D1364">
        <v>0.2857142857142857</v>
      </c>
    </row>
    <row r="1365" spans="4:4" x14ac:dyDescent="0.4">
      <c r="D1365">
        <v>0.30769230769230771</v>
      </c>
    </row>
    <row r="1366" spans="4:4" x14ac:dyDescent="0.4">
      <c r="D1366">
        <v>0</v>
      </c>
    </row>
    <row r="1367" spans="4:4" x14ac:dyDescent="0.4">
      <c r="D1367">
        <v>0.44444444444444442</v>
      </c>
    </row>
    <row r="1368" spans="4:4" x14ac:dyDescent="0.4">
      <c r="D1368">
        <v>0.1111111111111111</v>
      </c>
    </row>
    <row r="1369" spans="4:4" x14ac:dyDescent="0.4">
      <c r="D1369">
        <v>0.5714285714285714</v>
      </c>
    </row>
    <row r="1370" spans="4:4" x14ac:dyDescent="0.4">
      <c r="D1370">
        <v>0.16666666666666666</v>
      </c>
    </row>
    <row r="1371" spans="4:4" x14ac:dyDescent="0.4">
      <c r="D1371">
        <v>0.1</v>
      </c>
    </row>
    <row r="1372" spans="4:4" x14ac:dyDescent="0.4">
      <c r="D1372">
        <v>6.1224489795918366E-2</v>
      </c>
    </row>
    <row r="1373" spans="4:4" x14ac:dyDescent="0.4">
      <c r="D1373">
        <v>0.5714285714285714</v>
      </c>
    </row>
    <row r="1374" spans="4:4" x14ac:dyDescent="0.4">
      <c r="D1374">
        <v>0.14285714285714285</v>
      </c>
    </row>
    <row r="1375" spans="4:4" x14ac:dyDescent="0.4">
      <c r="D1375">
        <v>0.5714285714285714</v>
      </c>
    </row>
    <row r="1376" spans="4:4" x14ac:dyDescent="0.4">
      <c r="D1376">
        <v>0.14285714285714285</v>
      </c>
    </row>
    <row r="1377" spans="4:4" x14ac:dyDescent="0.4">
      <c r="D1377">
        <v>0.66666666666666663</v>
      </c>
    </row>
    <row r="1378" spans="4:4" x14ac:dyDescent="0.4">
      <c r="D1378">
        <v>0.4</v>
      </c>
    </row>
    <row r="1379" spans="4:4" x14ac:dyDescent="0.4">
      <c r="D1379">
        <v>5.4054054054054057E-2</v>
      </c>
    </row>
    <row r="1380" spans="4:4" x14ac:dyDescent="0.4">
      <c r="D1380">
        <v>3.2967032967032968E-2</v>
      </c>
    </row>
    <row r="1381" spans="4:4" x14ac:dyDescent="0.4">
      <c r="D1381">
        <v>6.7796610169491525E-2</v>
      </c>
    </row>
    <row r="1382" spans="4:4" x14ac:dyDescent="0.4">
      <c r="D1382">
        <v>1.3157894736842105E-2</v>
      </c>
    </row>
    <row r="1383" spans="4:4" x14ac:dyDescent="0.4">
      <c r="D1383">
        <v>0.25</v>
      </c>
    </row>
    <row r="1384" spans="4:4" x14ac:dyDescent="0.4">
      <c r="D1384">
        <v>0.14285714285714285</v>
      </c>
    </row>
    <row r="1385" spans="4:4" x14ac:dyDescent="0.4">
      <c r="D1385">
        <v>0.44444444444444442</v>
      </c>
    </row>
    <row r="1386" spans="4:4" x14ac:dyDescent="0.4">
      <c r="D1386">
        <v>0.1111111111111111</v>
      </c>
    </row>
    <row r="1387" spans="4:4" x14ac:dyDescent="0.4">
      <c r="D1387">
        <v>1</v>
      </c>
    </row>
    <row r="1388" spans="4:4" x14ac:dyDescent="0.4">
      <c r="D1388">
        <v>0</v>
      </c>
    </row>
    <row r="1389" spans="4:4" x14ac:dyDescent="0.4">
      <c r="D1389">
        <v>0.66666666666666663</v>
      </c>
    </row>
    <row r="1390" spans="4:4" x14ac:dyDescent="0.4">
      <c r="D1390">
        <v>0.33333333333333331</v>
      </c>
    </row>
    <row r="1391" spans="4:4" x14ac:dyDescent="0.4">
      <c r="D1391">
        <v>0.4</v>
      </c>
    </row>
    <row r="1392" spans="4:4" x14ac:dyDescent="0.4">
      <c r="D1392">
        <v>7.6923076923076927E-2</v>
      </c>
    </row>
    <row r="1393" spans="4:4" x14ac:dyDescent="0.4">
      <c r="D1393">
        <v>9.3023255813953487E-2</v>
      </c>
    </row>
    <row r="1394" spans="4:4" x14ac:dyDescent="0.4">
      <c r="D1394">
        <v>0.04</v>
      </c>
    </row>
    <row r="1395" spans="4:4" x14ac:dyDescent="0.4">
      <c r="D1395">
        <v>0.5</v>
      </c>
    </row>
    <row r="1396" spans="4:4" x14ac:dyDescent="0.4">
      <c r="D1396">
        <v>0.25</v>
      </c>
    </row>
    <row r="1397" spans="4:4" x14ac:dyDescent="0.4">
      <c r="D1397">
        <v>0.33333333333333331</v>
      </c>
    </row>
    <row r="1398" spans="4:4" x14ac:dyDescent="0.4">
      <c r="D1398">
        <v>0.11764705882352941</v>
      </c>
    </row>
    <row r="1399" spans="4:4" x14ac:dyDescent="0.4">
      <c r="D1399">
        <v>5.8823529411764705E-2</v>
      </c>
    </row>
    <row r="1400" spans="4:4" x14ac:dyDescent="0.4">
      <c r="D1400">
        <v>1.2345679012345678E-2</v>
      </c>
    </row>
    <row r="1401" spans="4:4" x14ac:dyDescent="0.4">
      <c r="D1401">
        <v>0.22222222222222221</v>
      </c>
    </row>
    <row r="1402" spans="4:4" x14ac:dyDescent="0.4">
      <c r="D1402">
        <v>0.4</v>
      </c>
    </row>
    <row r="1403" spans="4:4" x14ac:dyDescent="0.4">
      <c r="D1403">
        <v>0.66666666666666663</v>
      </c>
    </row>
    <row r="1404" spans="4:4" x14ac:dyDescent="0.4">
      <c r="D1404">
        <v>0</v>
      </c>
    </row>
    <row r="1405" spans="4:4" x14ac:dyDescent="0.4">
      <c r="D1405">
        <v>0</v>
      </c>
    </row>
    <row r="1406" spans="4:4" x14ac:dyDescent="0.4">
      <c r="D1406">
        <v>0.2857142857142857</v>
      </c>
    </row>
    <row r="1407" spans="4:4" x14ac:dyDescent="0.4">
      <c r="D1407">
        <v>6.0606060606060608E-2</v>
      </c>
    </row>
    <row r="1408" spans="4:4" x14ac:dyDescent="0.4">
      <c r="D1408">
        <v>0</v>
      </c>
    </row>
    <row r="1409" spans="4:4" x14ac:dyDescent="0.4">
      <c r="D1409">
        <v>0.14285714285714285</v>
      </c>
    </row>
    <row r="1410" spans="4:4" x14ac:dyDescent="0.4">
      <c r="D1410">
        <v>0.16666666666666666</v>
      </c>
    </row>
    <row r="1411" spans="4:4" x14ac:dyDescent="0.4">
      <c r="D1411">
        <v>0.33333333333333331</v>
      </c>
    </row>
    <row r="1412" spans="4:4" x14ac:dyDescent="0.4">
      <c r="D1412">
        <v>0.27272727272727271</v>
      </c>
    </row>
    <row r="1413" spans="4:4" x14ac:dyDescent="0.4">
      <c r="D1413">
        <v>0.2857142857142857</v>
      </c>
    </row>
    <row r="1414" spans="4:4" x14ac:dyDescent="0.4">
      <c r="D1414">
        <v>0</v>
      </c>
    </row>
    <row r="1415" spans="4:4" x14ac:dyDescent="0.4">
      <c r="D1415">
        <v>0.8</v>
      </c>
    </row>
    <row r="1416" spans="4:4" x14ac:dyDescent="0.4">
      <c r="D1416">
        <v>0.25</v>
      </c>
    </row>
    <row r="1417" spans="4:4" x14ac:dyDescent="0.4">
      <c r="D1417">
        <v>0</v>
      </c>
    </row>
    <row r="1418" spans="4:4" x14ac:dyDescent="0.4">
      <c r="D1418">
        <v>8.5106382978723402E-2</v>
      </c>
    </row>
    <row r="1419" spans="4:4" x14ac:dyDescent="0.4">
      <c r="D1419">
        <v>0.15384615384615385</v>
      </c>
    </row>
    <row r="1420" spans="4:4" x14ac:dyDescent="0.4">
      <c r="D1420">
        <v>0.18181818181818182</v>
      </c>
    </row>
    <row r="1421" spans="4:4" x14ac:dyDescent="0.4">
      <c r="D1421">
        <v>8.6956521739130432E-2</v>
      </c>
    </row>
    <row r="1422" spans="4:4" x14ac:dyDescent="0.4">
      <c r="D1422">
        <v>1.6129032258064516E-2</v>
      </c>
    </row>
    <row r="1423" spans="4:4" x14ac:dyDescent="0.4">
      <c r="D1423">
        <v>0.05</v>
      </c>
    </row>
    <row r="1424" spans="4:4" x14ac:dyDescent="0.4">
      <c r="D1424">
        <v>0.19047619047619047</v>
      </c>
    </row>
    <row r="1425" spans="4:4" x14ac:dyDescent="0.4">
      <c r="D1425">
        <v>7.1428571428571425E-2</v>
      </c>
    </row>
    <row r="1426" spans="4:4" x14ac:dyDescent="0.4">
      <c r="D1426">
        <v>1.282051282051282E-2</v>
      </c>
    </row>
    <row r="1427" spans="4:4" x14ac:dyDescent="0.4">
      <c r="D1427">
        <v>0</v>
      </c>
    </row>
    <row r="1428" spans="4:4" x14ac:dyDescent="0.4">
      <c r="D1428">
        <v>0.125</v>
      </c>
    </row>
    <row r="1429" spans="4:4" x14ac:dyDescent="0.4">
      <c r="D1429">
        <v>0.18181818181818182</v>
      </c>
    </row>
    <row r="1430" spans="4:4" x14ac:dyDescent="0.4">
      <c r="D1430">
        <v>0.1</v>
      </c>
    </row>
    <row r="1431" spans="4:4" x14ac:dyDescent="0.4">
      <c r="D1431">
        <v>0</v>
      </c>
    </row>
    <row r="1432" spans="4:4" x14ac:dyDescent="0.4">
      <c r="D1432">
        <v>0.16</v>
      </c>
    </row>
    <row r="1433" spans="4:4" x14ac:dyDescent="0.4">
      <c r="D1433">
        <v>0.44444444444444442</v>
      </c>
    </row>
    <row r="1434" spans="4:4" x14ac:dyDescent="0.4">
      <c r="D1434">
        <v>0.25</v>
      </c>
    </row>
    <row r="1435" spans="4:4" x14ac:dyDescent="0.4">
      <c r="D1435">
        <v>0</v>
      </c>
    </row>
    <row r="1436" spans="4:4" x14ac:dyDescent="0.4">
      <c r="D1436">
        <v>0.25</v>
      </c>
    </row>
    <row r="1437" spans="4:4" x14ac:dyDescent="0.4">
      <c r="D1437">
        <v>0.26666666666666666</v>
      </c>
    </row>
    <row r="1438" spans="4:4" x14ac:dyDescent="0.4">
      <c r="D1438">
        <v>0</v>
      </c>
    </row>
    <row r="1439" spans="4:4" x14ac:dyDescent="0.4">
      <c r="D1439">
        <v>0</v>
      </c>
    </row>
    <row r="1440" spans="4:4" x14ac:dyDescent="0.4">
      <c r="D1440">
        <v>0.16666666666666666</v>
      </c>
    </row>
    <row r="1441" spans="4:4" x14ac:dyDescent="0.4">
      <c r="D1441">
        <v>0.44444444444444442</v>
      </c>
    </row>
    <row r="1442" spans="4:4" x14ac:dyDescent="0.4">
      <c r="D1442">
        <v>0</v>
      </c>
    </row>
    <row r="1443" spans="4:4" x14ac:dyDescent="0.4">
      <c r="D1443">
        <v>0.33333333333333331</v>
      </c>
    </row>
    <row r="1444" spans="4:4" x14ac:dyDescent="0.4">
      <c r="D1444">
        <v>0.11538461538461539</v>
      </c>
    </row>
    <row r="1445" spans="4:4" x14ac:dyDescent="0.4">
      <c r="D1445">
        <v>0.14285714285714285</v>
      </c>
    </row>
    <row r="1446" spans="4:4" x14ac:dyDescent="0.4">
      <c r="D1446">
        <v>9.375E-2</v>
      </c>
    </row>
    <row r="1447" spans="4:4" x14ac:dyDescent="0.4">
      <c r="D1447">
        <v>1.8518518518518517E-2</v>
      </c>
    </row>
    <row r="1448" spans="4:4" x14ac:dyDescent="0.4">
      <c r="D1448">
        <v>0</v>
      </c>
    </row>
    <row r="1449" spans="4:4" x14ac:dyDescent="0.4">
      <c r="D1449">
        <v>0.16666666666666666</v>
      </c>
    </row>
    <row r="1450" spans="4:4" x14ac:dyDescent="0.4">
      <c r="D1450">
        <v>0.13043478260869565</v>
      </c>
    </row>
    <row r="1451" spans="4:4" x14ac:dyDescent="0.4">
      <c r="D1451">
        <v>0.2857142857142857</v>
      </c>
    </row>
    <row r="1452" spans="4:4" x14ac:dyDescent="0.4">
      <c r="D1452">
        <v>7.1428571428571425E-2</v>
      </c>
    </row>
    <row r="1453" spans="4:4" x14ac:dyDescent="0.4">
      <c r="D1453">
        <v>0.5</v>
      </c>
    </row>
    <row r="1454" spans="4:4" x14ac:dyDescent="0.4">
      <c r="D1454">
        <v>0.2857142857142857</v>
      </c>
    </row>
    <row r="1455" spans="4:4" x14ac:dyDescent="0.4">
      <c r="D1455">
        <v>0.21052631578947367</v>
      </c>
    </row>
    <row r="1456" spans="4:4" x14ac:dyDescent="0.4">
      <c r="D1456">
        <v>5.2631578947368418E-2</v>
      </c>
    </row>
    <row r="1457" spans="4:4" x14ac:dyDescent="0.4">
      <c r="D1457">
        <v>0.13043478260869565</v>
      </c>
    </row>
    <row r="1458" spans="4:4" x14ac:dyDescent="0.4">
      <c r="D1458">
        <v>8.6956521739130432E-2</v>
      </c>
    </row>
    <row r="1459" spans="4:4" x14ac:dyDescent="0.4">
      <c r="D1459">
        <v>0.2857142857142857</v>
      </c>
    </row>
    <row r="1460" spans="4:4" x14ac:dyDescent="0.4">
      <c r="D1460">
        <v>0</v>
      </c>
    </row>
    <row r="1461" spans="4:4" x14ac:dyDescent="0.4">
      <c r="D1461">
        <v>0.2</v>
      </c>
    </row>
    <row r="1462" spans="4:4" x14ac:dyDescent="0.4">
      <c r="D1462">
        <v>6.6666666666666666E-2</v>
      </c>
    </row>
    <row r="1463" spans="4:4" x14ac:dyDescent="0.4">
      <c r="D1463">
        <v>0.26666666666666666</v>
      </c>
    </row>
    <row r="1464" spans="4:4" x14ac:dyDescent="0.4">
      <c r="D1464">
        <v>0.2</v>
      </c>
    </row>
    <row r="1465" spans="4:4" x14ac:dyDescent="0.4">
      <c r="D1465">
        <v>5.128205128205128E-2</v>
      </c>
    </row>
    <row r="1466" spans="4:4" x14ac:dyDescent="0.4">
      <c r="D1466">
        <v>2.4096385542168676E-2</v>
      </c>
    </row>
    <row r="1467" spans="4:4" x14ac:dyDescent="0.4">
      <c r="D1467">
        <v>0.2857142857142857</v>
      </c>
    </row>
    <row r="1468" spans="4:4" x14ac:dyDescent="0.4">
      <c r="D1468">
        <v>0.21428571428571427</v>
      </c>
    </row>
    <row r="1469" spans="4:4" x14ac:dyDescent="0.4">
      <c r="D1469">
        <v>4.2105263157894736E-2</v>
      </c>
    </row>
    <row r="1470" spans="4:4" x14ac:dyDescent="0.4">
      <c r="D1470">
        <v>1.0101010101010102E-2</v>
      </c>
    </row>
    <row r="1471" spans="4:4" x14ac:dyDescent="0.4">
      <c r="D1471">
        <v>0.33333333333333331</v>
      </c>
    </row>
    <row r="1472" spans="4:4" x14ac:dyDescent="0.4">
      <c r="D1472">
        <v>0</v>
      </c>
    </row>
    <row r="1473" spans="4:4" x14ac:dyDescent="0.4">
      <c r="D1473">
        <v>0.14285714285714285</v>
      </c>
    </row>
    <row r="1474" spans="4:4" x14ac:dyDescent="0.4">
      <c r="D1474">
        <v>7.407407407407407E-2</v>
      </c>
    </row>
    <row r="1475" spans="4:4" x14ac:dyDescent="0.4">
      <c r="D1475">
        <v>0</v>
      </c>
    </row>
    <row r="1476" spans="4:4" x14ac:dyDescent="0.4">
      <c r="D1476">
        <v>0.5</v>
      </c>
    </row>
    <row r="1477" spans="4:4" x14ac:dyDescent="0.4">
      <c r="D1477">
        <v>8.3333333333333329E-2</v>
      </c>
    </row>
    <row r="1478" spans="4:4" x14ac:dyDescent="0.4">
      <c r="D1478">
        <v>0.23529411764705882</v>
      </c>
    </row>
    <row r="1479" spans="4:4" x14ac:dyDescent="0.4">
      <c r="D1479">
        <v>0.15</v>
      </c>
    </row>
    <row r="1480" spans="4:4" x14ac:dyDescent="0.4">
      <c r="D1480">
        <v>0.13793103448275862</v>
      </c>
    </row>
    <row r="1481" spans="4:4" x14ac:dyDescent="0.4">
      <c r="D1481">
        <v>0.23529411764705882</v>
      </c>
    </row>
    <row r="1482" spans="4:4" x14ac:dyDescent="0.4">
      <c r="D1482">
        <v>0.13333333333333333</v>
      </c>
    </row>
    <row r="1483" spans="4:4" x14ac:dyDescent="0.4">
      <c r="D1483">
        <v>0.44444444444444442</v>
      </c>
    </row>
    <row r="1484" spans="4:4" x14ac:dyDescent="0.4">
      <c r="D1484">
        <v>0.22222222222222221</v>
      </c>
    </row>
    <row r="1485" spans="4:4" x14ac:dyDescent="0.4">
      <c r="D1485">
        <v>0.26666666666666666</v>
      </c>
    </row>
    <row r="1486" spans="4:4" x14ac:dyDescent="0.4">
      <c r="D1486">
        <v>0.2</v>
      </c>
    </row>
    <row r="1487" spans="4:4" x14ac:dyDescent="0.4">
      <c r="D1487">
        <v>0</v>
      </c>
    </row>
    <row r="1488" spans="4:4" x14ac:dyDescent="0.4">
      <c r="D1488">
        <v>0.21052631578947367</v>
      </c>
    </row>
    <row r="1489" spans="4:4" x14ac:dyDescent="0.4">
      <c r="D1489">
        <v>0.05</v>
      </c>
    </row>
    <row r="1490" spans="4:4" x14ac:dyDescent="0.4">
      <c r="D1490">
        <v>0.1</v>
      </c>
    </row>
    <row r="1491" spans="4:4" x14ac:dyDescent="0.4">
      <c r="D1491">
        <v>0.14285714285714285</v>
      </c>
    </row>
    <row r="1492" spans="4:4" x14ac:dyDescent="0.4">
      <c r="D1492">
        <v>2.5000000000000001E-2</v>
      </c>
    </row>
    <row r="1493" spans="4:4" x14ac:dyDescent="0.4">
      <c r="D1493">
        <v>2.3809523809523808E-2</v>
      </c>
    </row>
    <row r="1494" spans="4:4" x14ac:dyDescent="0.4">
      <c r="D1494">
        <v>3.7383177570093455E-2</v>
      </c>
    </row>
    <row r="1495" spans="4:4" x14ac:dyDescent="0.4">
      <c r="D1495">
        <v>0.22222222222222221</v>
      </c>
    </row>
    <row r="1496" spans="4:4" x14ac:dyDescent="0.4">
      <c r="D1496">
        <v>0.13793103448275862</v>
      </c>
    </row>
    <row r="1497" spans="4:4" x14ac:dyDescent="0.4">
      <c r="D1497">
        <v>0.26666666666666666</v>
      </c>
    </row>
    <row r="1498" spans="4:4" x14ac:dyDescent="0.4">
      <c r="D1498">
        <v>0.14285714285714285</v>
      </c>
    </row>
    <row r="1499" spans="4:4" x14ac:dyDescent="0.4">
      <c r="D1499">
        <v>4.49438202247191E-2</v>
      </c>
    </row>
    <row r="1500" spans="4:4" x14ac:dyDescent="0.4">
      <c r="D1500">
        <v>3.2608695652173912E-2</v>
      </c>
    </row>
    <row r="1501" spans="4:4" x14ac:dyDescent="0.4">
      <c r="D1501">
        <v>0.2</v>
      </c>
    </row>
    <row r="1502" spans="4:4" x14ac:dyDescent="0.4">
      <c r="D1502">
        <v>0.2857142857142857</v>
      </c>
    </row>
    <row r="1503" spans="4:4" x14ac:dyDescent="0.4">
      <c r="D1503">
        <v>0.16</v>
      </c>
    </row>
    <row r="1504" spans="4:4" x14ac:dyDescent="0.4">
      <c r="D1504">
        <v>3.8461538461538464E-2</v>
      </c>
    </row>
    <row r="1505" spans="4:4" x14ac:dyDescent="0.4">
      <c r="D1505">
        <v>0.33333333333333331</v>
      </c>
    </row>
    <row r="1506" spans="4:4" x14ac:dyDescent="0.4">
      <c r="D1506">
        <v>0</v>
      </c>
    </row>
    <row r="1507" spans="4:4" x14ac:dyDescent="0.4">
      <c r="D1507">
        <v>0.33333333333333331</v>
      </c>
    </row>
    <row r="1508" spans="4:4" x14ac:dyDescent="0.4">
      <c r="D1508">
        <v>9.0909090909090912E-2</v>
      </c>
    </row>
    <row r="1509" spans="4:4" x14ac:dyDescent="0.4">
      <c r="D1509">
        <v>0.36363636363636365</v>
      </c>
    </row>
    <row r="1510" spans="4:4" x14ac:dyDescent="0.4">
      <c r="D1510">
        <v>6.6666666666666666E-2</v>
      </c>
    </row>
    <row r="1511" spans="4:4" x14ac:dyDescent="0.4">
      <c r="D1511">
        <v>0.36363636363636365</v>
      </c>
    </row>
    <row r="1512" spans="4:4" x14ac:dyDescent="0.4">
      <c r="D1512">
        <v>0</v>
      </c>
    </row>
    <row r="1513" spans="4:4" x14ac:dyDescent="0.4">
      <c r="D1513">
        <v>0.26666666666666666</v>
      </c>
    </row>
    <row r="1514" spans="4:4" x14ac:dyDescent="0.4">
      <c r="D1514">
        <v>0.2</v>
      </c>
    </row>
    <row r="1515" spans="4:4" x14ac:dyDescent="0.4">
      <c r="D1515">
        <v>0.26666666666666666</v>
      </c>
    </row>
    <row r="1516" spans="4:4" x14ac:dyDescent="0.4">
      <c r="D1516">
        <v>0.1111111111111111</v>
      </c>
    </row>
    <row r="1517" spans="4:4" x14ac:dyDescent="0.4">
      <c r="D1517">
        <v>0.44444444444444442</v>
      </c>
    </row>
    <row r="1518" spans="4:4" x14ac:dyDescent="0.4">
      <c r="D1518">
        <v>0.1111111111111111</v>
      </c>
    </row>
    <row r="1519" spans="4:4" x14ac:dyDescent="0.4">
      <c r="D1519">
        <v>5.7142857142857141E-2</v>
      </c>
    </row>
    <row r="1520" spans="4:4" x14ac:dyDescent="0.4">
      <c r="D1520">
        <v>4.3478260869565216E-2</v>
      </c>
    </row>
    <row r="1521" spans="4:4" x14ac:dyDescent="0.4">
      <c r="D1521">
        <v>0.5</v>
      </c>
    </row>
    <row r="1522" spans="4:4" x14ac:dyDescent="0.4">
      <c r="D1522">
        <v>0.125</v>
      </c>
    </row>
    <row r="1523" spans="4:4" x14ac:dyDescent="0.4">
      <c r="D1523">
        <v>0.125</v>
      </c>
    </row>
    <row r="1524" spans="4:4" x14ac:dyDescent="0.4">
      <c r="D1524">
        <v>3.125E-2</v>
      </c>
    </row>
    <row r="1525" spans="4:4" x14ac:dyDescent="0.4">
      <c r="D1525">
        <v>0.21052631578947367</v>
      </c>
    </row>
    <row r="1526" spans="4:4" x14ac:dyDescent="0.4">
      <c r="D1526">
        <v>0</v>
      </c>
    </row>
    <row r="1527" spans="4:4" x14ac:dyDescent="0.4">
      <c r="D1527">
        <v>0.18181818181818182</v>
      </c>
    </row>
    <row r="1528" spans="4:4" x14ac:dyDescent="0.4">
      <c r="D1528">
        <v>4.7619047619047616E-2</v>
      </c>
    </row>
    <row r="1529" spans="4:4" x14ac:dyDescent="0.4">
      <c r="D1529">
        <v>6.25E-2</v>
      </c>
    </row>
    <row r="1530" spans="4:4" x14ac:dyDescent="0.4">
      <c r="D1530">
        <v>2.7027027027027029E-2</v>
      </c>
    </row>
    <row r="1531" spans="4:4" x14ac:dyDescent="0.4">
      <c r="D1531">
        <v>0</v>
      </c>
    </row>
    <row r="1532" spans="4:4" x14ac:dyDescent="0.4">
      <c r="D1532">
        <v>0.22222222222222221</v>
      </c>
    </row>
    <row r="1533" spans="4:4" x14ac:dyDescent="0.4">
      <c r="D1533">
        <v>3.0303030303030304E-2</v>
      </c>
    </row>
    <row r="1534" spans="4:4" x14ac:dyDescent="0.4">
      <c r="D1534">
        <v>2.6086956521739129E-2</v>
      </c>
    </row>
    <row r="1535" spans="4:4" x14ac:dyDescent="0.4">
      <c r="D1535">
        <v>0</v>
      </c>
    </row>
    <row r="1536" spans="4:4" x14ac:dyDescent="0.4">
      <c r="D1536">
        <v>7.8431372549019607E-2</v>
      </c>
    </row>
    <row r="1537" spans="4:4" x14ac:dyDescent="0.4">
      <c r="D1537">
        <v>0.30769230769230771</v>
      </c>
    </row>
    <row r="1538" spans="4:4" x14ac:dyDescent="0.4">
      <c r="D1538">
        <v>0.18181818181818182</v>
      </c>
    </row>
    <row r="1539" spans="4:4" x14ac:dyDescent="0.4">
      <c r="D1539">
        <v>0.23529411764705882</v>
      </c>
    </row>
    <row r="1540" spans="4:4" x14ac:dyDescent="0.4">
      <c r="D1540">
        <v>4.3478260869565216E-2</v>
      </c>
    </row>
    <row r="1541" spans="4:4" x14ac:dyDescent="0.4">
      <c r="D1541">
        <v>0.375</v>
      </c>
    </row>
    <row r="1542" spans="4:4" x14ac:dyDescent="0.4">
      <c r="D1542">
        <v>0.44444444444444442</v>
      </c>
    </row>
    <row r="1543" spans="4:4" x14ac:dyDescent="0.4">
      <c r="D1543">
        <v>0.4</v>
      </c>
    </row>
    <row r="1544" spans="4:4" x14ac:dyDescent="0.4">
      <c r="D1544">
        <v>0.22222222222222221</v>
      </c>
    </row>
    <row r="1545" spans="4:4" x14ac:dyDescent="0.4">
      <c r="D1545">
        <v>8.1632653061224483E-2</v>
      </c>
    </row>
    <row r="1546" spans="4:4" x14ac:dyDescent="0.4">
      <c r="D1546">
        <v>1.8181818181818181E-2</v>
      </c>
    </row>
    <row r="1547" spans="4:4" x14ac:dyDescent="0.4">
      <c r="D1547">
        <v>0.6</v>
      </c>
    </row>
    <row r="1548" spans="4:4" x14ac:dyDescent="0.4">
      <c r="D1548">
        <v>0.66666666666666663</v>
      </c>
    </row>
    <row r="1549" spans="4:4" x14ac:dyDescent="0.4">
      <c r="D1549">
        <v>0.66666666666666663</v>
      </c>
    </row>
    <row r="1550" spans="4:4" x14ac:dyDescent="0.4">
      <c r="D1550">
        <v>0.4</v>
      </c>
    </row>
    <row r="1551" spans="4:4" x14ac:dyDescent="0.4">
      <c r="D1551">
        <v>0.30769230769230771</v>
      </c>
    </row>
    <row r="1552" spans="4:4" x14ac:dyDescent="0.4">
      <c r="D1552">
        <v>0</v>
      </c>
    </row>
    <row r="1553" spans="4:4" x14ac:dyDescent="0.4">
      <c r="D1553">
        <v>0.25</v>
      </c>
    </row>
    <row r="1554" spans="4:4" x14ac:dyDescent="0.4">
      <c r="D1554">
        <v>6.25E-2</v>
      </c>
    </row>
    <row r="1555" spans="4:4" x14ac:dyDescent="0.4">
      <c r="D1555">
        <v>0.5</v>
      </c>
    </row>
    <row r="1556" spans="4:4" x14ac:dyDescent="0.4">
      <c r="D1556">
        <v>0.125</v>
      </c>
    </row>
    <row r="1557" spans="4:4" x14ac:dyDescent="0.4">
      <c r="D1557">
        <v>0.36363636363636365</v>
      </c>
    </row>
    <row r="1558" spans="4:4" x14ac:dyDescent="0.4">
      <c r="D1558">
        <v>6.25E-2</v>
      </c>
    </row>
    <row r="1559" spans="4:4" x14ac:dyDescent="0.4">
      <c r="D1559">
        <v>0.14285714285714285</v>
      </c>
    </row>
    <row r="1560" spans="4:4" x14ac:dyDescent="0.4">
      <c r="D1560">
        <v>0.26666666666666666</v>
      </c>
    </row>
    <row r="1561" spans="4:4" x14ac:dyDescent="0.4">
      <c r="D1561">
        <v>0.16666666666666666</v>
      </c>
    </row>
    <row r="1562" spans="4:4" x14ac:dyDescent="0.4">
      <c r="D1562">
        <v>0</v>
      </c>
    </row>
    <row r="1563" spans="4:4" x14ac:dyDescent="0.4">
      <c r="D1563">
        <v>0.25</v>
      </c>
    </row>
    <row r="1564" spans="4:4" x14ac:dyDescent="0.4">
      <c r="D1564">
        <v>6.4516129032258063E-2</v>
      </c>
    </row>
    <row r="1565" spans="4:4" x14ac:dyDescent="0.4">
      <c r="D1565">
        <v>0.25</v>
      </c>
    </row>
    <row r="1566" spans="4:4" x14ac:dyDescent="0.4">
      <c r="D1566">
        <v>0.36363636363636365</v>
      </c>
    </row>
    <row r="1567" spans="4:4" x14ac:dyDescent="0.4">
      <c r="D1567">
        <v>0.17391304347826086</v>
      </c>
    </row>
    <row r="1568" spans="4:4" x14ac:dyDescent="0.4">
      <c r="D1568">
        <v>4.7619047619047616E-2</v>
      </c>
    </row>
    <row r="1569" spans="4:4" x14ac:dyDescent="0.4">
      <c r="D1569">
        <v>0.5</v>
      </c>
    </row>
    <row r="1570" spans="4:4" x14ac:dyDescent="0.4">
      <c r="D1570">
        <v>0.375</v>
      </c>
    </row>
    <row r="1571" spans="4:4" x14ac:dyDescent="0.4">
      <c r="D1571">
        <v>0.4</v>
      </c>
    </row>
    <row r="1572" spans="4:4" x14ac:dyDescent="0.4">
      <c r="D1572">
        <v>6.25E-2</v>
      </c>
    </row>
    <row r="1573" spans="4:4" x14ac:dyDescent="0.4">
      <c r="D1573">
        <v>8.3333333333333329E-2</v>
      </c>
    </row>
    <row r="1574" spans="4:4" x14ac:dyDescent="0.4">
      <c r="D1574">
        <v>0.10256410256410256</v>
      </c>
    </row>
    <row r="1575" spans="4:4" x14ac:dyDescent="0.4">
      <c r="D1575">
        <v>0.21052631578947367</v>
      </c>
    </row>
    <row r="1576" spans="4:4" x14ac:dyDescent="0.4">
      <c r="D1576">
        <v>5.8823529411764705E-2</v>
      </c>
    </row>
    <row r="1577" spans="4:4" x14ac:dyDescent="0.4">
      <c r="D1577">
        <v>0.33333333333333331</v>
      </c>
    </row>
    <row r="1578" spans="4:4" x14ac:dyDescent="0.4">
      <c r="D1578">
        <v>0.18181818181818182</v>
      </c>
    </row>
    <row r="1579" spans="4:4" x14ac:dyDescent="0.4">
      <c r="D1579">
        <v>0.10526315789473684</v>
      </c>
    </row>
    <row r="1580" spans="4:4" x14ac:dyDescent="0.4">
      <c r="D1580">
        <v>6.9767441860465115E-2</v>
      </c>
    </row>
    <row r="1581" spans="4:4" x14ac:dyDescent="0.4">
      <c r="D1581">
        <v>0.15384615384615385</v>
      </c>
    </row>
    <row r="1582" spans="4:4" x14ac:dyDescent="0.4">
      <c r="D1582">
        <v>3.8461538461538464E-2</v>
      </c>
    </row>
    <row r="1583" spans="4:4" x14ac:dyDescent="0.4">
      <c r="D1583">
        <v>0.33333333333333331</v>
      </c>
    </row>
    <row r="1584" spans="4:4" x14ac:dyDescent="0.4">
      <c r="D1584">
        <v>9.0909090909090912E-2</v>
      </c>
    </row>
    <row r="1585" spans="4:4" x14ac:dyDescent="0.4">
      <c r="D1585">
        <v>0.44444444444444442</v>
      </c>
    </row>
    <row r="1586" spans="4:4" x14ac:dyDescent="0.4">
      <c r="D1586">
        <v>0.125</v>
      </c>
    </row>
    <row r="1587" spans="4:4" x14ac:dyDescent="0.4">
      <c r="D1587">
        <v>0.36363636363636365</v>
      </c>
    </row>
    <row r="1588" spans="4:4" x14ac:dyDescent="0.4">
      <c r="D1588">
        <v>0</v>
      </c>
    </row>
    <row r="1589" spans="4:4" x14ac:dyDescent="0.4">
      <c r="D1589">
        <v>0.8</v>
      </c>
    </row>
    <row r="1590" spans="4:4" x14ac:dyDescent="0.4">
      <c r="D1590">
        <v>0</v>
      </c>
    </row>
    <row r="1591" spans="4:4" x14ac:dyDescent="0.4">
      <c r="D1591">
        <v>0.66666666666666663</v>
      </c>
    </row>
    <row r="1592" spans="4:4" x14ac:dyDescent="0.4">
      <c r="D1592">
        <v>0.5</v>
      </c>
    </row>
    <row r="1593" spans="4:4" x14ac:dyDescent="0.4">
      <c r="D1593">
        <v>0.13333333333333333</v>
      </c>
    </row>
    <row r="1594" spans="4:4" x14ac:dyDescent="0.4">
      <c r="D1594">
        <v>0</v>
      </c>
    </row>
    <row r="1595" spans="4:4" x14ac:dyDescent="0.4">
      <c r="D1595">
        <v>0.25</v>
      </c>
    </row>
    <row r="1596" spans="4:4" x14ac:dyDescent="0.4">
      <c r="D1596">
        <v>0.33333333333333331</v>
      </c>
    </row>
    <row r="1597" spans="4:4" x14ac:dyDescent="0.4">
      <c r="D1597">
        <v>0.10256410256410256</v>
      </c>
    </row>
    <row r="1598" spans="4:4" x14ac:dyDescent="0.4">
      <c r="D1598">
        <v>5.128205128205128E-2</v>
      </c>
    </row>
    <row r="1599" spans="4:4" x14ac:dyDescent="0.4">
      <c r="D1599">
        <v>0.21428571428571427</v>
      </c>
    </row>
    <row r="1600" spans="4:4" x14ac:dyDescent="0.4">
      <c r="D1600">
        <v>0.2</v>
      </c>
    </row>
    <row r="1601" spans="4:4" x14ac:dyDescent="0.4">
      <c r="D1601">
        <v>0.25</v>
      </c>
    </row>
    <row r="1602" spans="4:4" x14ac:dyDescent="0.4">
      <c r="D1602">
        <v>6.6666666666666666E-2</v>
      </c>
    </row>
    <row r="1603" spans="4:4" x14ac:dyDescent="0.4">
      <c r="D1603">
        <v>0.23529411764705882</v>
      </c>
    </row>
    <row r="1604" spans="4:4" x14ac:dyDescent="0.4">
      <c r="D1604">
        <v>0.1875</v>
      </c>
    </row>
    <row r="1605" spans="4:4" x14ac:dyDescent="0.4">
      <c r="D1605">
        <v>0.04</v>
      </c>
    </row>
    <row r="1606" spans="4:4" x14ac:dyDescent="0.4">
      <c r="D1606">
        <v>0.125</v>
      </c>
    </row>
    <row r="1607" spans="4:4" x14ac:dyDescent="0.4">
      <c r="D1607">
        <v>0</v>
      </c>
    </row>
    <row r="1608" spans="4:4" x14ac:dyDescent="0.4">
      <c r="D1608">
        <v>0.26666666666666666</v>
      </c>
    </row>
    <row r="1609" spans="4:4" x14ac:dyDescent="0.4">
      <c r="D1609">
        <v>4.3956043956043959E-2</v>
      </c>
    </row>
    <row r="1610" spans="4:4" x14ac:dyDescent="0.4">
      <c r="D1610">
        <v>0</v>
      </c>
    </row>
    <row r="1611" spans="4:4" x14ac:dyDescent="0.4">
      <c r="D1611">
        <v>0.13333333333333333</v>
      </c>
    </row>
    <row r="1612" spans="4:4" x14ac:dyDescent="0.4">
      <c r="D1612">
        <v>0.25</v>
      </c>
    </row>
    <row r="1613" spans="4:4" x14ac:dyDescent="0.4">
      <c r="D1613">
        <v>0.26666666666666666</v>
      </c>
    </row>
    <row r="1614" spans="4:4" x14ac:dyDescent="0.4">
      <c r="D1614">
        <v>0.21428571428571427</v>
      </c>
    </row>
    <row r="1615" spans="4:4" x14ac:dyDescent="0.4">
      <c r="D1615">
        <v>0.36363636363636365</v>
      </c>
    </row>
    <row r="1616" spans="4:4" x14ac:dyDescent="0.4">
      <c r="D1616">
        <v>0</v>
      </c>
    </row>
    <row r="1617" spans="4:4" x14ac:dyDescent="0.4">
      <c r="D1617">
        <v>9.5238095238095233E-2</v>
      </c>
    </row>
    <row r="1618" spans="4:4" x14ac:dyDescent="0.4">
      <c r="D1618">
        <v>0</v>
      </c>
    </row>
    <row r="1619" spans="4:4" x14ac:dyDescent="0.4">
      <c r="D1619">
        <v>0.33333333333333331</v>
      </c>
    </row>
    <row r="1620" spans="4:4" x14ac:dyDescent="0.4">
      <c r="D1620">
        <v>0.26666666666666666</v>
      </c>
    </row>
    <row r="1621" spans="4:4" x14ac:dyDescent="0.4">
      <c r="D1621">
        <v>0.5714285714285714</v>
      </c>
    </row>
    <row r="1622" spans="4:4" x14ac:dyDescent="0.4">
      <c r="D1622">
        <v>0.33333333333333331</v>
      </c>
    </row>
    <row r="1623" spans="4:4" x14ac:dyDescent="0.4">
      <c r="D1623">
        <v>6.8965517241379309E-2</v>
      </c>
    </row>
    <row r="1624" spans="4:4" x14ac:dyDescent="0.4">
      <c r="D1624">
        <v>1.5873015873015872E-2</v>
      </c>
    </row>
    <row r="1625" spans="4:4" x14ac:dyDescent="0.4">
      <c r="D1625">
        <v>0</v>
      </c>
    </row>
    <row r="1626" spans="4:4" x14ac:dyDescent="0.4">
      <c r="D1626">
        <v>0.25</v>
      </c>
    </row>
    <row r="1627" spans="4:4" x14ac:dyDescent="0.4">
      <c r="D1627">
        <v>0</v>
      </c>
    </row>
    <row r="1628" spans="4:4" x14ac:dyDescent="0.4">
      <c r="D1628">
        <v>0.36363636363636365</v>
      </c>
    </row>
    <row r="1629" spans="4:4" x14ac:dyDescent="0.4">
      <c r="D1629">
        <v>0.30769230769230771</v>
      </c>
    </row>
    <row r="1630" spans="4:4" x14ac:dyDescent="0.4">
      <c r="D1630">
        <v>0</v>
      </c>
    </row>
    <row r="1631" spans="4:4" x14ac:dyDescent="0.4">
      <c r="D1631">
        <v>8.6956521739130432E-2</v>
      </c>
    </row>
    <row r="1632" spans="4:4" x14ac:dyDescent="0.4">
      <c r="D1632">
        <v>0</v>
      </c>
    </row>
    <row r="1633" spans="4:4" x14ac:dyDescent="0.4">
      <c r="D1633">
        <v>0.16</v>
      </c>
    </row>
    <row r="1634" spans="4:4" x14ac:dyDescent="0.4">
      <c r="D1634">
        <v>0.04</v>
      </c>
    </row>
    <row r="1635" spans="4:4" x14ac:dyDescent="0.4">
      <c r="D1635">
        <v>0.33333333333333331</v>
      </c>
    </row>
    <row r="1636" spans="4:4" x14ac:dyDescent="0.4">
      <c r="D1636">
        <v>0.27272727272727271</v>
      </c>
    </row>
    <row r="1637" spans="4:4" x14ac:dyDescent="0.4">
      <c r="D1637">
        <v>0.10810810810810811</v>
      </c>
    </row>
    <row r="1638" spans="4:4" x14ac:dyDescent="0.4">
      <c r="D1638">
        <v>5.5555555555555552E-2</v>
      </c>
    </row>
    <row r="1639" spans="4:4" x14ac:dyDescent="0.4">
      <c r="D1639">
        <v>0.2857142857142857</v>
      </c>
    </row>
    <row r="1640" spans="4:4" x14ac:dyDescent="0.4">
      <c r="D1640">
        <v>0.2</v>
      </c>
    </row>
    <row r="1641" spans="4:4" x14ac:dyDescent="0.4">
      <c r="D1641">
        <v>5.1724137931034482E-2</v>
      </c>
    </row>
    <row r="1642" spans="4:4" x14ac:dyDescent="0.4">
      <c r="D1642">
        <v>6.7796610169491525E-2</v>
      </c>
    </row>
    <row r="1643" spans="4:4" x14ac:dyDescent="0.4">
      <c r="D1643" t="e">
        <v>#DIV/0!</v>
      </c>
    </row>
    <row r="1644" spans="4:4" x14ac:dyDescent="0.4">
      <c r="D1644">
        <v>0.23529411764705882</v>
      </c>
    </row>
    <row r="1645" spans="4:4" x14ac:dyDescent="0.4">
      <c r="D1645">
        <v>0.12903225806451613</v>
      </c>
    </row>
    <row r="1646" spans="4:4" x14ac:dyDescent="0.4">
      <c r="D1646">
        <v>2.5000000000000001E-2</v>
      </c>
    </row>
    <row r="1647" spans="4:4" x14ac:dyDescent="0.4">
      <c r="D1647">
        <v>0.5714285714285714</v>
      </c>
    </row>
    <row r="1648" spans="4:4" x14ac:dyDescent="0.4">
      <c r="D1648">
        <v>0.14285714285714285</v>
      </c>
    </row>
    <row r="1649" spans="4:4" x14ac:dyDescent="0.4">
      <c r="D1649">
        <v>0.5</v>
      </c>
    </row>
    <row r="1650" spans="4:4" x14ac:dyDescent="0.4">
      <c r="D1650">
        <v>0.125</v>
      </c>
    </row>
    <row r="1651" spans="4:4" x14ac:dyDescent="0.4">
      <c r="D1651">
        <v>0.19047619047619047</v>
      </c>
    </row>
    <row r="1652" spans="4:4" x14ac:dyDescent="0.4">
      <c r="D1652">
        <v>0.05</v>
      </c>
    </row>
    <row r="1653" spans="4:4" x14ac:dyDescent="0.4">
      <c r="D1653">
        <v>0.19047619047619047</v>
      </c>
    </row>
    <row r="1654" spans="4:4" x14ac:dyDescent="0.4">
      <c r="D1654">
        <v>3.0303030303030304E-2</v>
      </c>
    </row>
    <row r="1655" spans="4:4" x14ac:dyDescent="0.4">
      <c r="D1655">
        <v>0.5</v>
      </c>
    </row>
    <row r="1656" spans="4:4" x14ac:dyDescent="0.4">
      <c r="D1656">
        <v>0.14285714285714285</v>
      </c>
    </row>
    <row r="1657" spans="4:4" x14ac:dyDescent="0.4">
      <c r="D1657">
        <v>0.23076923076923078</v>
      </c>
    </row>
    <row r="1658" spans="4:4" x14ac:dyDescent="0.4">
      <c r="D1658">
        <v>0.2857142857142857</v>
      </c>
    </row>
    <row r="1659" spans="4:4" x14ac:dyDescent="0.4">
      <c r="D1659">
        <v>0.5714285714285714</v>
      </c>
    </row>
    <row r="1660" spans="4:4" x14ac:dyDescent="0.4">
      <c r="D1660">
        <v>0.18181818181818182</v>
      </c>
    </row>
    <row r="1661" spans="4:4" x14ac:dyDescent="0.4">
      <c r="D1661">
        <v>0.2</v>
      </c>
    </row>
    <row r="1662" spans="4:4" x14ac:dyDescent="0.4">
      <c r="D1662">
        <v>0.16666666666666666</v>
      </c>
    </row>
    <row r="1663" spans="4:4" x14ac:dyDescent="0.4">
      <c r="D1663">
        <v>0.30769230769230771</v>
      </c>
    </row>
    <row r="1664" spans="4:4" x14ac:dyDescent="0.4">
      <c r="D1664">
        <v>8.3333333333333329E-2</v>
      </c>
    </row>
    <row r="1665" spans="4:4" x14ac:dyDescent="0.4">
      <c r="D1665">
        <v>0.2</v>
      </c>
    </row>
    <row r="1666" spans="4:4" x14ac:dyDescent="0.4">
      <c r="D1666">
        <v>0.14285714285714285</v>
      </c>
    </row>
    <row r="1667" spans="4:4" x14ac:dyDescent="0.4">
      <c r="D1667">
        <v>4.6153846153846156E-2</v>
      </c>
    </row>
    <row r="1668" spans="4:4" x14ac:dyDescent="0.4">
      <c r="D1668">
        <v>5.0632911392405063E-2</v>
      </c>
    </row>
    <row r="1669" spans="4:4" x14ac:dyDescent="0.4">
      <c r="D1669">
        <v>0.26666666666666666</v>
      </c>
    </row>
    <row r="1670" spans="4:4" x14ac:dyDescent="0.4">
      <c r="D1670">
        <v>0.15384615384615385</v>
      </c>
    </row>
    <row r="1671" spans="4:4" x14ac:dyDescent="0.4">
      <c r="D1671">
        <v>0.19047619047619047</v>
      </c>
    </row>
    <row r="1672" spans="4:4" x14ac:dyDescent="0.4">
      <c r="D1672">
        <v>4.7619047619047616E-2</v>
      </c>
    </row>
    <row r="1673" spans="4:4" x14ac:dyDescent="0.4">
      <c r="D1673">
        <v>0.25</v>
      </c>
    </row>
    <row r="1674" spans="4:4" x14ac:dyDescent="0.4">
      <c r="D1674">
        <v>0.4</v>
      </c>
    </row>
    <row r="1675" spans="4:4" x14ac:dyDescent="0.4">
      <c r="D1675">
        <v>0.18181818181818182</v>
      </c>
    </row>
    <row r="1676" spans="4:4" x14ac:dyDescent="0.4">
      <c r="D1676">
        <v>0.15</v>
      </c>
    </row>
    <row r="1677" spans="4:4" x14ac:dyDescent="0.4">
      <c r="D1677">
        <v>0.22222222222222221</v>
      </c>
    </row>
    <row r="1678" spans="4:4" x14ac:dyDescent="0.4">
      <c r="D1678">
        <v>5.8823529411764705E-2</v>
      </c>
    </row>
    <row r="1679" spans="4:4" x14ac:dyDescent="0.4">
      <c r="D1679">
        <v>0.44444444444444442</v>
      </c>
    </row>
    <row r="1680" spans="4:4" x14ac:dyDescent="0.4">
      <c r="D1680">
        <v>0.22222222222222221</v>
      </c>
    </row>
    <row r="1681" spans="4:4" x14ac:dyDescent="0.4">
      <c r="D1681">
        <v>0.11764705882352941</v>
      </c>
    </row>
    <row r="1682" spans="4:4" x14ac:dyDescent="0.4">
      <c r="D1682">
        <v>2.9411764705882353E-2</v>
      </c>
    </row>
    <row r="1683" spans="4:4" x14ac:dyDescent="0.4">
      <c r="D1683">
        <v>0.16666666666666666</v>
      </c>
    </row>
    <row r="1684" spans="4:4" x14ac:dyDescent="0.4">
      <c r="D1684">
        <v>0.13793103448275862</v>
      </c>
    </row>
    <row r="1685" spans="4:4" x14ac:dyDescent="0.4">
      <c r="D1685">
        <v>0.1111111111111111</v>
      </c>
    </row>
    <row r="1686" spans="4:4" x14ac:dyDescent="0.4">
      <c r="D1686">
        <v>0.44444444444444442</v>
      </c>
    </row>
    <row r="1687" spans="4:4" x14ac:dyDescent="0.4">
      <c r="D1687">
        <v>0.25</v>
      </c>
    </row>
    <row r="1688" spans="4:4" x14ac:dyDescent="0.4">
      <c r="D1688">
        <v>6.6666666666666666E-2</v>
      </c>
    </row>
    <row r="1689" spans="4:4" x14ac:dyDescent="0.4">
      <c r="D1689">
        <v>0.4</v>
      </c>
    </row>
    <row r="1690" spans="4:4" x14ac:dyDescent="0.4">
      <c r="D1690">
        <v>0</v>
      </c>
    </row>
    <row r="1691" spans="4:4" x14ac:dyDescent="0.4">
      <c r="D1691">
        <v>0.18181818181818182</v>
      </c>
    </row>
    <row r="1692" spans="4:4" x14ac:dyDescent="0.4">
      <c r="D1692">
        <v>0</v>
      </c>
    </row>
    <row r="1693" spans="4:4" x14ac:dyDescent="0.4">
      <c r="D1693">
        <v>0.22222222222222221</v>
      </c>
    </row>
    <row r="1694" spans="4:4" x14ac:dyDescent="0.4">
      <c r="D1694">
        <v>0.2857142857142857</v>
      </c>
    </row>
    <row r="1695" spans="4:4" x14ac:dyDescent="0.4">
      <c r="D1695">
        <v>5.7971014492753624E-2</v>
      </c>
    </row>
    <row r="1696" spans="4:4" x14ac:dyDescent="0.4">
      <c r="D1696">
        <v>0</v>
      </c>
    </row>
    <row r="1697" spans="4:4" x14ac:dyDescent="0.4">
      <c r="D1697">
        <v>7.0175438596491224E-2</v>
      </c>
    </row>
    <row r="1698" spans="4:4" x14ac:dyDescent="0.4">
      <c r="D1698">
        <v>0</v>
      </c>
    </row>
    <row r="1699" spans="4:4" x14ac:dyDescent="0.4">
      <c r="D1699">
        <v>0.30769230769230771</v>
      </c>
    </row>
    <row r="1700" spans="4:4" x14ac:dyDescent="0.4">
      <c r="D1700">
        <v>7.1428571428571425E-2</v>
      </c>
    </row>
    <row r="1701" spans="4:4" x14ac:dyDescent="0.4">
      <c r="D1701">
        <v>0.4</v>
      </c>
    </row>
    <row r="1702" spans="4:4" x14ac:dyDescent="0.4">
      <c r="D1702">
        <v>0.3</v>
      </c>
    </row>
    <row r="1703" spans="4:4" x14ac:dyDescent="0.4">
      <c r="D1703">
        <v>0.26666666666666666</v>
      </c>
    </row>
    <row r="1704" spans="4:4" x14ac:dyDescent="0.4">
      <c r="D1704">
        <v>0.13333333333333333</v>
      </c>
    </row>
    <row r="1705" spans="4:4" x14ac:dyDescent="0.4">
      <c r="D1705">
        <v>0.2857142857142857</v>
      </c>
    </row>
    <row r="1706" spans="4:4" x14ac:dyDescent="0.4">
      <c r="D1706">
        <v>7.1428571428571425E-2</v>
      </c>
    </row>
    <row r="1707" spans="4:4" x14ac:dyDescent="0.4">
      <c r="D1707">
        <v>0.18181818181818182</v>
      </c>
    </row>
    <row r="1708" spans="4:4" x14ac:dyDescent="0.4">
      <c r="D1708">
        <v>0.16666666666666666</v>
      </c>
    </row>
    <row r="1709" spans="4:4" x14ac:dyDescent="0.4">
      <c r="D1709">
        <v>0.4</v>
      </c>
    </row>
    <row r="1710" spans="4:4" x14ac:dyDescent="0.4">
      <c r="D1710">
        <v>0.22222222222222221</v>
      </c>
    </row>
    <row r="1711" spans="4:4" x14ac:dyDescent="0.4">
      <c r="D1711">
        <v>0.5714285714285714</v>
      </c>
    </row>
    <row r="1712" spans="4:4" x14ac:dyDescent="0.4">
      <c r="D1712">
        <v>0.15384615384615385</v>
      </c>
    </row>
    <row r="1713" spans="4:4" x14ac:dyDescent="0.4">
      <c r="D1713">
        <v>0.15384615384615385</v>
      </c>
    </row>
    <row r="1714" spans="4:4" x14ac:dyDescent="0.4">
      <c r="D1714">
        <v>6.6666666666666666E-2</v>
      </c>
    </row>
    <row r="1715" spans="4:4" x14ac:dyDescent="0.4">
      <c r="D1715">
        <v>0.44444444444444442</v>
      </c>
    </row>
    <row r="1716" spans="4:4" x14ac:dyDescent="0.4">
      <c r="D1716">
        <v>0.1111111111111111</v>
      </c>
    </row>
    <row r="1717" spans="4:4" x14ac:dyDescent="0.4">
      <c r="D1717">
        <v>0.30769230769230771</v>
      </c>
    </row>
    <row r="1718" spans="4:4" x14ac:dyDescent="0.4">
      <c r="D1718">
        <v>8.3333333333333329E-2</v>
      </c>
    </row>
    <row r="1719" spans="4:4" x14ac:dyDescent="0.4">
      <c r="D1719">
        <v>0</v>
      </c>
    </row>
    <row r="1720" spans="4:4" x14ac:dyDescent="0.4">
      <c r="D1720">
        <v>0.4</v>
      </c>
    </row>
    <row r="1721" spans="4:4" x14ac:dyDescent="0.4">
      <c r="D1721">
        <v>0.66666666666666663</v>
      </c>
    </row>
    <row r="1722" spans="4:4" x14ac:dyDescent="0.4">
      <c r="D1722">
        <v>0.4</v>
      </c>
    </row>
    <row r="1723" spans="4:4" x14ac:dyDescent="0.4">
      <c r="D1723">
        <v>0.26666666666666666</v>
      </c>
    </row>
    <row r="1724" spans="4:4" x14ac:dyDescent="0.4">
      <c r="D1724">
        <v>0.10526315789473684</v>
      </c>
    </row>
    <row r="1725" spans="4:4" x14ac:dyDescent="0.4">
      <c r="D1725">
        <v>0.3</v>
      </c>
    </row>
    <row r="1726" spans="4:4" x14ac:dyDescent="0.4">
      <c r="D1726">
        <v>0.36363636363636365</v>
      </c>
    </row>
    <row r="1727" spans="4:4" x14ac:dyDescent="0.4">
      <c r="D1727">
        <v>0.14814814814814814</v>
      </c>
    </row>
    <row r="1728" spans="4:4" x14ac:dyDescent="0.4">
      <c r="D1728">
        <v>8.3333333333333329E-2</v>
      </c>
    </row>
    <row r="1729" spans="4:4" x14ac:dyDescent="0.4">
      <c r="D1729">
        <v>0.14285714285714285</v>
      </c>
    </row>
    <row r="1730" spans="4:4" x14ac:dyDescent="0.4">
      <c r="D1730">
        <v>0.36363636363636365</v>
      </c>
    </row>
    <row r="1731" spans="4:4" x14ac:dyDescent="0.4">
      <c r="D1731">
        <v>0.1</v>
      </c>
    </row>
    <row r="1732" spans="4:4" x14ac:dyDescent="0.4">
      <c r="D1732">
        <v>0.16</v>
      </c>
    </row>
    <row r="1733" spans="4:4" x14ac:dyDescent="0.4">
      <c r="D1733">
        <v>0.36363636363636365</v>
      </c>
    </row>
    <row r="1734" spans="4:4" x14ac:dyDescent="0.4">
      <c r="D1734">
        <v>0.1</v>
      </c>
    </row>
    <row r="1735" spans="4:4" x14ac:dyDescent="0.4">
      <c r="D1735">
        <v>4.5454545454545456E-2</v>
      </c>
    </row>
    <row r="1736" spans="4:4" x14ac:dyDescent="0.4">
      <c r="D1736">
        <v>0.16</v>
      </c>
    </row>
    <row r="1737" spans="4:4" x14ac:dyDescent="0.4">
      <c r="D1737">
        <v>0.36363636363636365</v>
      </c>
    </row>
    <row r="1738" spans="4:4" x14ac:dyDescent="0.4">
      <c r="D1738">
        <v>0.2</v>
      </c>
    </row>
    <row r="1739" spans="4:4" x14ac:dyDescent="0.4">
      <c r="D1739">
        <v>0.23529411764705882</v>
      </c>
    </row>
    <row r="1740" spans="4:4" x14ac:dyDescent="0.4">
      <c r="D1740">
        <v>7.407407407407407E-2</v>
      </c>
    </row>
    <row r="1741" spans="4:4" x14ac:dyDescent="0.4">
      <c r="D1741">
        <v>0.14285714285714285</v>
      </c>
    </row>
    <row r="1742" spans="4:4" x14ac:dyDescent="0.4">
      <c r="D1742">
        <v>0.18181818181818182</v>
      </c>
    </row>
    <row r="1743" spans="4:4" x14ac:dyDescent="0.4">
      <c r="D1743">
        <v>1.6393442622950821E-2</v>
      </c>
    </row>
    <row r="1744" spans="4:4" x14ac:dyDescent="0.4">
      <c r="D1744">
        <v>5.7142857142857141E-2</v>
      </c>
    </row>
    <row r="1745" spans="4:4" x14ac:dyDescent="0.4">
      <c r="D1745">
        <v>5.5555555555555552E-2</v>
      </c>
    </row>
    <row r="1746" spans="4:4" x14ac:dyDescent="0.4">
      <c r="D1746">
        <v>0.10256410256410256</v>
      </c>
    </row>
    <row r="1747" spans="4:4" x14ac:dyDescent="0.4">
      <c r="D1747">
        <v>0.25</v>
      </c>
    </row>
    <row r="1748" spans="4:4" x14ac:dyDescent="0.4">
      <c r="D1748">
        <v>0.18181818181818182</v>
      </c>
    </row>
    <row r="1749" spans="4:4" x14ac:dyDescent="0.4">
      <c r="D1749">
        <v>8.5106382978723402E-2</v>
      </c>
    </row>
    <row r="1750" spans="4:4" x14ac:dyDescent="0.4">
      <c r="D1750">
        <v>2.0408163265306121E-2</v>
      </c>
    </row>
    <row r="1751" spans="4:4" x14ac:dyDescent="0.4">
      <c r="D1751">
        <v>0</v>
      </c>
    </row>
    <row r="1752" spans="4:4" x14ac:dyDescent="0.4">
      <c r="D1752">
        <v>0.17391304347826086</v>
      </c>
    </row>
    <row r="1753" spans="4:4" x14ac:dyDescent="0.4">
      <c r="D1753">
        <v>0.25</v>
      </c>
    </row>
    <row r="1754" spans="4:4" x14ac:dyDescent="0.4">
      <c r="D1754">
        <v>0.21428571428571427</v>
      </c>
    </row>
    <row r="1755" spans="4:4" x14ac:dyDescent="0.4">
      <c r="D1755">
        <v>0.13333333333333333</v>
      </c>
    </row>
    <row r="1756" spans="4:4" x14ac:dyDescent="0.4">
      <c r="D1756">
        <v>3.2258064516129031E-2</v>
      </c>
    </row>
    <row r="1757" spans="4:4" x14ac:dyDescent="0.4">
      <c r="D1757">
        <v>2.8846153846153848E-2</v>
      </c>
    </row>
    <row r="1758" spans="4:4" x14ac:dyDescent="0.4">
      <c r="D1758">
        <v>2.6086956521739129E-2</v>
      </c>
    </row>
    <row r="1759" spans="4:4" x14ac:dyDescent="0.4">
      <c r="D1759">
        <v>0.14285714285714285</v>
      </c>
    </row>
    <row r="1760" spans="4:4" x14ac:dyDescent="0.4">
      <c r="D1760">
        <v>0.25</v>
      </c>
    </row>
    <row r="1761" spans="4:4" x14ac:dyDescent="0.4">
      <c r="D1761">
        <v>3.8834951456310676E-2</v>
      </c>
    </row>
    <row r="1762" spans="4:4" x14ac:dyDescent="0.4">
      <c r="D1762">
        <v>9.6153846153846159E-3</v>
      </c>
    </row>
    <row r="1763" spans="4:4" x14ac:dyDescent="0.4">
      <c r="D1763">
        <v>5.5555555555555552E-2</v>
      </c>
    </row>
    <row r="1764" spans="4:4" x14ac:dyDescent="0.4">
      <c r="D1764">
        <v>2.3255813953488372E-2</v>
      </c>
    </row>
    <row r="1765" spans="4:4" x14ac:dyDescent="0.4">
      <c r="D1765">
        <v>0.4</v>
      </c>
    </row>
    <row r="1766" spans="4:4" x14ac:dyDescent="0.4">
      <c r="D1766">
        <v>0.2</v>
      </c>
    </row>
    <row r="1767" spans="4:4" x14ac:dyDescent="0.4">
      <c r="D1767">
        <v>0.44444444444444442</v>
      </c>
    </row>
    <row r="1768" spans="4:4" x14ac:dyDescent="0.4">
      <c r="D1768">
        <v>0.22222222222222221</v>
      </c>
    </row>
    <row r="1769" spans="4:4" x14ac:dyDescent="0.4">
      <c r="D1769">
        <v>0.25</v>
      </c>
    </row>
    <row r="1770" spans="4:4" x14ac:dyDescent="0.4">
      <c r="D1770">
        <v>0.25</v>
      </c>
    </row>
    <row r="1771" spans="4:4" x14ac:dyDescent="0.4">
      <c r="D1771">
        <v>0.15384615384615385</v>
      </c>
    </row>
    <row r="1772" spans="4:4" x14ac:dyDescent="0.4">
      <c r="D1772">
        <v>6.25E-2</v>
      </c>
    </row>
    <row r="1773" spans="4:4" x14ac:dyDescent="0.4">
      <c r="D1773">
        <v>1.4492753623188406E-2</v>
      </c>
    </row>
    <row r="1774" spans="4:4" x14ac:dyDescent="0.4">
      <c r="D1774">
        <v>4.6511627906976744E-2</v>
      </c>
    </row>
    <row r="1775" spans="4:4" x14ac:dyDescent="0.4">
      <c r="D1775">
        <v>0</v>
      </c>
    </row>
    <row r="1776" spans="4:4" x14ac:dyDescent="0.4">
      <c r="D1776">
        <v>0.36363636363636365</v>
      </c>
    </row>
    <row r="1777" spans="4:4" x14ac:dyDescent="0.4">
      <c r="D1777">
        <v>0.44444444444444442</v>
      </c>
    </row>
    <row r="1778" spans="4:4" x14ac:dyDescent="0.4">
      <c r="D1778">
        <v>0</v>
      </c>
    </row>
    <row r="1779" spans="4:4" x14ac:dyDescent="0.4">
      <c r="D1779">
        <v>0.25</v>
      </c>
    </row>
    <row r="1780" spans="4:4" x14ac:dyDescent="0.4">
      <c r="D1780">
        <v>0.125</v>
      </c>
    </row>
    <row r="1781" spans="4:4" x14ac:dyDescent="0.4">
      <c r="D1781">
        <v>0.17391304347826086</v>
      </c>
    </row>
    <row r="1782" spans="4:4" x14ac:dyDescent="0.4">
      <c r="D1782">
        <v>4.7619047619047616E-2</v>
      </c>
    </row>
    <row r="1783" spans="4:4" x14ac:dyDescent="0.4">
      <c r="D1783">
        <v>4.878048780487805E-2</v>
      </c>
    </row>
    <row r="1784" spans="4:4" x14ac:dyDescent="0.4">
      <c r="D1784">
        <v>5.7971014492753624E-2</v>
      </c>
    </row>
    <row r="1785" spans="4:4" x14ac:dyDescent="0.4">
      <c r="D1785">
        <v>0.44444444444444442</v>
      </c>
    </row>
    <row r="1786" spans="4:4" x14ac:dyDescent="0.4">
      <c r="D1786">
        <v>0.125</v>
      </c>
    </row>
    <row r="1787" spans="4:4" x14ac:dyDescent="0.4">
      <c r="D1787">
        <v>0.30769230769230771</v>
      </c>
    </row>
    <row r="1788" spans="4:4" x14ac:dyDescent="0.4">
      <c r="D1788">
        <v>0.23076923076923078</v>
      </c>
    </row>
    <row r="1789" spans="4:4" x14ac:dyDescent="0.4">
      <c r="D1789">
        <v>0.19047619047619047</v>
      </c>
    </row>
    <row r="1790" spans="4:4" x14ac:dyDescent="0.4">
      <c r="D1790">
        <v>0.10526315789473684</v>
      </c>
    </row>
    <row r="1791" spans="4:4" x14ac:dyDescent="0.4">
      <c r="D1791">
        <v>8.1632653061224483E-2</v>
      </c>
    </row>
    <row r="1792" spans="4:4" x14ac:dyDescent="0.4">
      <c r="D1792">
        <v>0.02</v>
      </c>
    </row>
    <row r="1793" spans="4:4" x14ac:dyDescent="0.4">
      <c r="D1793">
        <v>0.18181818181818182</v>
      </c>
    </row>
    <row r="1794" spans="4:4" x14ac:dyDescent="0.4">
      <c r="D1794">
        <v>0.13636363636363635</v>
      </c>
    </row>
    <row r="1795" spans="4:4" x14ac:dyDescent="0.4">
      <c r="D1795">
        <v>0.25</v>
      </c>
    </row>
    <row r="1796" spans="4:4" x14ac:dyDescent="0.4">
      <c r="D1796">
        <v>0.08</v>
      </c>
    </row>
    <row r="1797" spans="4:4" x14ac:dyDescent="0.4">
      <c r="D1797">
        <v>0.36363636363636365</v>
      </c>
    </row>
    <row r="1798" spans="4:4" x14ac:dyDescent="0.4">
      <c r="D1798">
        <v>0.16666666666666666</v>
      </c>
    </row>
    <row r="1799" spans="4:4" x14ac:dyDescent="0.4">
      <c r="D1799">
        <v>6.6666666666666666E-2</v>
      </c>
    </row>
    <row r="1800" spans="4:4" x14ac:dyDescent="0.4">
      <c r="D1800">
        <v>4.6875E-2</v>
      </c>
    </row>
    <row r="1801" spans="4:4" x14ac:dyDescent="0.4">
      <c r="D1801">
        <v>0.125</v>
      </c>
    </row>
    <row r="1802" spans="4:4" x14ac:dyDescent="0.4">
      <c r="D1802">
        <v>0.2</v>
      </c>
    </row>
    <row r="1803" spans="4:4" x14ac:dyDescent="0.4">
      <c r="D1803">
        <v>0.23529411764705882</v>
      </c>
    </row>
    <row r="1804" spans="4:4" x14ac:dyDescent="0.4">
      <c r="D1804">
        <v>0.15</v>
      </c>
    </row>
    <row r="1805" spans="4:4" x14ac:dyDescent="0.4">
      <c r="D1805">
        <v>0.33333333333333331</v>
      </c>
    </row>
    <row r="1806" spans="4:4" x14ac:dyDescent="0.4">
      <c r="D1806">
        <v>9.0909090909090912E-2</v>
      </c>
    </row>
    <row r="1807" spans="4:4" x14ac:dyDescent="0.4">
      <c r="D1807">
        <v>0.21052631578947367</v>
      </c>
    </row>
    <row r="1808" spans="4:4" x14ac:dyDescent="0.4">
      <c r="D1808">
        <v>0.16666666666666666</v>
      </c>
    </row>
    <row r="1809" spans="4:4" x14ac:dyDescent="0.4">
      <c r="D1809">
        <v>0.22222222222222221</v>
      </c>
    </row>
    <row r="1810" spans="4:4" x14ac:dyDescent="0.4">
      <c r="D1810">
        <v>5.5555555555555552E-2</v>
      </c>
    </row>
    <row r="1811" spans="4:4" x14ac:dyDescent="0.4">
      <c r="D1811">
        <v>0.18181818181818182</v>
      </c>
    </row>
    <row r="1812" spans="4:4" x14ac:dyDescent="0.4">
      <c r="D1812">
        <v>4.7619047619047616E-2</v>
      </c>
    </row>
    <row r="1813" spans="4:4" x14ac:dyDescent="0.4">
      <c r="D1813">
        <v>0.1111111111111111</v>
      </c>
    </row>
    <row r="1814" spans="4:4" x14ac:dyDescent="0.4">
      <c r="D1814">
        <v>0.4</v>
      </c>
    </row>
    <row r="1815" spans="4:4" x14ac:dyDescent="0.4">
      <c r="D1815">
        <v>0.5714285714285714</v>
      </c>
    </row>
    <row r="1816" spans="4:4" x14ac:dyDescent="0.4">
      <c r="D1816">
        <v>0.6</v>
      </c>
    </row>
    <row r="1817" spans="4:4" x14ac:dyDescent="0.4">
      <c r="D1817">
        <v>0.44444444444444442</v>
      </c>
    </row>
    <row r="1818" spans="4:4" x14ac:dyDescent="0.4">
      <c r="D1818">
        <v>5.8823529411764705E-2</v>
      </c>
    </row>
    <row r="1819" spans="4:4" x14ac:dyDescent="0.4">
      <c r="D1819">
        <v>0.23529411764705882</v>
      </c>
    </row>
    <row r="1820" spans="4:4" x14ac:dyDescent="0.4">
      <c r="D1820">
        <v>0</v>
      </c>
    </row>
    <row r="1821" spans="4:4" x14ac:dyDescent="0.4">
      <c r="D1821">
        <v>0.2</v>
      </c>
    </row>
    <row r="1822" spans="4:4" x14ac:dyDescent="0.4">
      <c r="D1822">
        <v>0.15789473684210525</v>
      </c>
    </row>
    <row r="1823" spans="4:4" x14ac:dyDescent="0.4">
      <c r="D1823">
        <v>0.19047619047619047</v>
      </c>
    </row>
    <row r="1824" spans="4:4" x14ac:dyDescent="0.4">
      <c r="D1824">
        <v>9.6774193548387094E-2</v>
      </c>
    </row>
    <row r="1825" spans="4:4" x14ac:dyDescent="0.4">
      <c r="D1825">
        <v>5.4054054054054057E-2</v>
      </c>
    </row>
    <row r="1826" spans="4:4" x14ac:dyDescent="0.4">
      <c r="D1826">
        <v>0</v>
      </c>
    </row>
    <row r="1827" spans="4:4" x14ac:dyDescent="0.4">
      <c r="D1827">
        <v>0.19047619047619047</v>
      </c>
    </row>
    <row r="1828" spans="4:4" x14ac:dyDescent="0.4">
      <c r="D1828">
        <v>4.7619047619047616E-2</v>
      </c>
    </row>
    <row r="1829" spans="4:4" x14ac:dyDescent="0.4">
      <c r="D1829">
        <v>0.11764705882352941</v>
      </c>
    </row>
    <row r="1830" spans="4:4" x14ac:dyDescent="0.4">
      <c r="D1830">
        <v>0.05</v>
      </c>
    </row>
    <row r="1831" spans="4:4" x14ac:dyDescent="0.4">
      <c r="D1831">
        <v>0.15384615384615385</v>
      </c>
    </row>
    <row r="1832" spans="4:4" x14ac:dyDescent="0.4">
      <c r="D1832">
        <v>0.25</v>
      </c>
    </row>
    <row r="1833" spans="4:4" x14ac:dyDescent="0.4">
      <c r="D1833">
        <v>9.0909090909090912E-2</v>
      </c>
    </row>
    <row r="1834" spans="4:4" x14ac:dyDescent="0.4">
      <c r="D1834">
        <v>0.36363636363636365</v>
      </c>
    </row>
    <row r="1835" spans="4:4" x14ac:dyDescent="0.4">
      <c r="D1835">
        <v>0.36363636363636365</v>
      </c>
    </row>
    <row r="1836" spans="4:4" x14ac:dyDescent="0.4">
      <c r="D1836">
        <v>0.1111111111111111</v>
      </c>
    </row>
    <row r="1837" spans="4:4" x14ac:dyDescent="0.4">
      <c r="D1837">
        <v>0.36363636363636365</v>
      </c>
    </row>
    <row r="1838" spans="4:4" x14ac:dyDescent="0.4">
      <c r="D1838">
        <v>0</v>
      </c>
    </row>
    <row r="1839" spans="4:4" x14ac:dyDescent="0.4">
      <c r="D1839">
        <v>0.25</v>
      </c>
    </row>
    <row r="1840" spans="4:4" x14ac:dyDescent="0.4">
      <c r="D1840">
        <v>6.6666666666666666E-2</v>
      </c>
    </row>
    <row r="1841" spans="4:4" x14ac:dyDescent="0.4">
      <c r="D1841">
        <v>0.18181818181818182</v>
      </c>
    </row>
    <row r="1842" spans="4:4" x14ac:dyDescent="0.4">
      <c r="D1842">
        <v>0.33333333333333331</v>
      </c>
    </row>
    <row r="1843" spans="4:4" x14ac:dyDescent="0.4">
      <c r="D1843">
        <v>0.42857142857142855</v>
      </c>
    </row>
    <row r="1844" spans="4:4" x14ac:dyDescent="0.4">
      <c r="D1844">
        <v>0.17391304347826086</v>
      </c>
    </row>
    <row r="1845" spans="4:4" x14ac:dyDescent="0.4">
      <c r="D1845">
        <v>0.44444444444444442</v>
      </c>
    </row>
    <row r="1846" spans="4:4" x14ac:dyDescent="0.4">
      <c r="D1846">
        <v>0.16666666666666666</v>
      </c>
    </row>
    <row r="1847" spans="4:4" x14ac:dyDescent="0.4">
      <c r="D1847">
        <v>0</v>
      </c>
    </row>
    <row r="1848" spans="4:4" x14ac:dyDescent="0.4">
      <c r="D1848">
        <v>0.2857142857142857</v>
      </c>
    </row>
    <row r="1849" spans="4:4" x14ac:dyDescent="0.4">
      <c r="D1849">
        <v>0.36363636363636365</v>
      </c>
    </row>
    <row r="1850" spans="4:4" x14ac:dyDescent="0.4">
      <c r="D1850">
        <v>0</v>
      </c>
    </row>
    <row r="1851" spans="4:4" x14ac:dyDescent="0.4">
      <c r="D1851">
        <v>7.8431372549019607E-2</v>
      </c>
    </row>
    <row r="1852" spans="4:4" x14ac:dyDescent="0.4">
      <c r="D1852">
        <v>1.8867924528301886E-2</v>
      </c>
    </row>
    <row r="1853" spans="4:4" x14ac:dyDescent="0.4">
      <c r="D1853">
        <v>0.26666666666666666</v>
      </c>
    </row>
    <row r="1854" spans="4:4" x14ac:dyDescent="0.4">
      <c r="D1854">
        <v>0</v>
      </c>
    </row>
    <row r="1855" spans="4:4" x14ac:dyDescent="0.4">
      <c r="D1855">
        <v>0.5</v>
      </c>
    </row>
    <row r="1856" spans="4:4" x14ac:dyDescent="0.4">
      <c r="D1856">
        <v>0</v>
      </c>
    </row>
    <row r="1857" spans="4:4" x14ac:dyDescent="0.4">
      <c r="D1857">
        <v>0.8</v>
      </c>
    </row>
    <row r="1858" spans="4:4" x14ac:dyDescent="0.4">
      <c r="D1858">
        <v>0.6</v>
      </c>
    </row>
    <row r="1859" spans="4:4" x14ac:dyDescent="0.4">
      <c r="D1859">
        <v>0.33333333333333331</v>
      </c>
    </row>
    <row r="1860" spans="4:4" x14ac:dyDescent="0.4">
      <c r="D1860">
        <v>0.16666666666666666</v>
      </c>
    </row>
    <row r="1861" spans="4:4" x14ac:dyDescent="0.4">
      <c r="D1861">
        <v>0.8</v>
      </c>
    </row>
    <row r="1862" spans="4:4" x14ac:dyDescent="0.4">
      <c r="D1862">
        <v>0.14285714285714285</v>
      </c>
    </row>
    <row r="1863" spans="4:4" x14ac:dyDescent="0.4">
      <c r="D1863">
        <v>0.21052631578947367</v>
      </c>
    </row>
    <row r="1864" spans="4:4" x14ac:dyDescent="0.4">
      <c r="D1864">
        <v>5.2631578947368418E-2</v>
      </c>
    </row>
    <row r="1865" spans="4:4" x14ac:dyDescent="0.4">
      <c r="D1865">
        <v>0.18181818181818182</v>
      </c>
    </row>
    <row r="1866" spans="4:4" x14ac:dyDescent="0.4">
      <c r="D1866">
        <v>2.1739130434782608E-2</v>
      </c>
    </row>
    <row r="1867" spans="4:4" x14ac:dyDescent="0.4">
      <c r="D1867">
        <v>0.44444444444444442</v>
      </c>
    </row>
    <row r="1868" spans="4:4" x14ac:dyDescent="0.4">
      <c r="D1868">
        <v>0.25</v>
      </c>
    </row>
    <row r="1869" spans="4:4" x14ac:dyDescent="0.4">
      <c r="D1869">
        <v>0.33333333333333331</v>
      </c>
    </row>
    <row r="1870" spans="4:4" x14ac:dyDescent="0.4">
      <c r="D1870">
        <v>5.8823529411764705E-2</v>
      </c>
    </row>
    <row r="1871" spans="4:4" x14ac:dyDescent="0.4">
      <c r="D1871">
        <v>0.23076923076923078</v>
      </c>
    </row>
    <row r="1872" spans="4:4" x14ac:dyDescent="0.4">
      <c r="D1872">
        <v>0.2857142857142857</v>
      </c>
    </row>
    <row r="1873" spans="4:4" x14ac:dyDescent="0.4">
      <c r="D1873">
        <v>0.16666666666666666</v>
      </c>
    </row>
    <row r="1874" spans="4:4" x14ac:dyDescent="0.4">
      <c r="D1874">
        <v>9.0909090909090912E-2</v>
      </c>
    </row>
    <row r="1875" spans="4:4" x14ac:dyDescent="0.4">
      <c r="D1875">
        <v>0.8</v>
      </c>
    </row>
    <row r="1876" spans="4:4" x14ac:dyDescent="0.4">
      <c r="D1876">
        <v>0</v>
      </c>
    </row>
    <row r="1877" spans="4:4" x14ac:dyDescent="0.4">
      <c r="D1877">
        <v>0.4</v>
      </c>
    </row>
    <row r="1878" spans="4:4" x14ac:dyDescent="0.4">
      <c r="D1878">
        <v>0.1</v>
      </c>
    </row>
    <row r="1879" spans="4:4" x14ac:dyDescent="0.4">
      <c r="D1879">
        <v>0.36363636363636365</v>
      </c>
    </row>
    <row r="1880" spans="4:4" x14ac:dyDescent="0.4">
      <c r="D1880">
        <v>0.18181818181818182</v>
      </c>
    </row>
    <row r="1881" spans="4:4" x14ac:dyDescent="0.4">
      <c r="D1881">
        <v>0.33333333333333331</v>
      </c>
    </row>
    <row r="1882" spans="4:4" x14ac:dyDescent="0.4">
      <c r="D1882">
        <v>0.25</v>
      </c>
    </row>
    <row r="1883" spans="4:4" x14ac:dyDescent="0.4">
      <c r="D1883">
        <v>0.11764705882352941</v>
      </c>
    </row>
    <row r="1884" spans="4:4" x14ac:dyDescent="0.4">
      <c r="D1884">
        <v>5.128205128205128E-2</v>
      </c>
    </row>
    <row r="1885" spans="4:4" x14ac:dyDescent="0.4">
      <c r="D1885">
        <v>9.0909090909090912E-2</v>
      </c>
    </row>
    <row r="1886" spans="4:4" x14ac:dyDescent="0.4">
      <c r="D1886">
        <v>4.3478260869565216E-2</v>
      </c>
    </row>
    <row r="1887" spans="4:4" x14ac:dyDescent="0.4">
      <c r="D1887">
        <v>0.26666666666666666</v>
      </c>
    </row>
    <row r="1888" spans="4:4" x14ac:dyDescent="0.4">
      <c r="D1888">
        <v>0.13333333333333333</v>
      </c>
    </row>
    <row r="1889" spans="4:4" x14ac:dyDescent="0.4">
      <c r="D1889">
        <v>0.4</v>
      </c>
    </row>
    <row r="1890" spans="4:4" x14ac:dyDescent="0.4">
      <c r="D1890">
        <v>0</v>
      </c>
    </row>
    <row r="1891" spans="4:4" x14ac:dyDescent="0.4">
      <c r="D1891">
        <v>0.22222222222222221</v>
      </c>
    </row>
    <row r="1892" spans="4:4" x14ac:dyDescent="0.4">
      <c r="D1892">
        <v>0</v>
      </c>
    </row>
    <row r="1893" spans="4:4" x14ac:dyDescent="0.4">
      <c r="D1893">
        <v>0.44444444444444442</v>
      </c>
    </row>
    <row r="1894" spans="4:4" x14ac:dyDescent="0.4">
      <c r="D1894">
        <v>0</v>
      </c>
    </row>
    <row r="1895" spans="4:4" x14ac:dyDescent="0.4">
      <c r="D1895">
        <v>6.5573770491803282E-2</v>
      </c>
    </row>
    <row r="1896" spans="4:4" x14ac:dyDescent="0.4">
      <c r="D1896">
        <v>1.4084507042253521E-2</v>
      </c>
    </row>
    <row r="1897" spans="4:4" x14ac:dyDescent="0.4">
      <c r="D1897">
        <v>0.25</v>
      </c>
    </row>
    <row r="1898" spans="4:4" x14ac:dyDescent="0.4">
      <c r="D1898">
        <v>0.2</v>
      </c>
    </row>
    <row r="1899" spans="4:4" x14ac:dyDescent="0.4">
      <c r="D1899">
        <v>0.33333333333333331</v>
      </c>
    </row>
    <row r="1900" spans="4:4" x14ac:dyDescent="0.4">
      <c r="D1900">
        <v>8.3333333333333329E-2</v>
      </c>
    </row>
    <row r="1901" spans="4:4" x14ac:dyDescent="0.4">
      <c r="D1901">
        <v>8.6956521739130432E-2</v>
      </c>
    </row>
    <row r="1902" spans="4:4" x14ac:dyDescent="0.4">
      <c r="D1902">
        <v>6.3829787234042548E-2</v>
      </c>
    </row>
    <row r="1903" spans="4:4" x14ac:dyDescent="0.4">
      <c r="D1903">
        <v>0.25</v>
      </c>
    </row>
    <row r="1904" spans="4:4" x14ac:dyDescent="0.4">
      <c r="D1904">
        <v>8.8888888888888892E-2</v>
      </c>
    </row>
    <row r="1905" spans="4:4" x14ac:dyDescent="0.4">
      <c r="D1905">
        <v>0.22222222222222221</v>
      </c>
    </row>
    <row r="1906" spans="4:4" x14ac:dyDescent="0.4">
      <c r="D1906">
        <v>6.25E-2</v>
      </c>
    </row>
    <row r="1907" spans="4:4" x14ac:dyDescent="0.4">
      <c r="D1907">
        <v>0.36363636363636365</v>
      </c>
    </row>
    <row r="1908" spans="4:4" x14ac:dyDescent="0.4">
      <c r="D1908">
        <v>0</v>
      </c>
    </row>
    <row r="1909" spans="4:4" x14ac:dyDescent="0.4">
      <c r="D1909">
        <v>0.26666666666666666</v>
      </c>
    </row>
    <row r="1910" spans="4:4" x14ac:dyDescent="0.4">
      <c r="D1910">
        <v>7.1428571428571425E-2</v>
      </c>
    </row>
    <row r="1911" spans="4:4" x14ac:dyDescent="0.4">
      <c r="D1911">
        <v>0.5</v>
      </c>
    </row>
    <row r="1912" spans="4:4" x14ac:dyDescent="0.4">
      <c r="D1912">
        <v>0.125</v>
      </c>
    </row>
    <row r="1913" spans="4:4" x14ac:dyDescent="0.4">
      <c r="D1913">
        <v>0.5714285714285714</v>
      </c>
    </row>
    <row r="1914" spans="4:4" x14ac:dyDescent="0.4">
      <c r="D1914">
        <v>0.14285714285714285</v>
      </c>
    </row>
    <row r="1915" spans="4:4" x14ac:dyDescent="0.4">
      <c r="D1915">
        <v>0.30769230769230771</v>
      </c>
    </row>
    <row r="1916" spans="4:4" x14ac:dyDescent="0.4">
      <c r="D1916">
        <v>0</v>
      </c>
    </row>
    <row r="1917" spans="4:4" x14ac:dyDescent="0.4">
      <c r="D1917">
        <v>0.18181818181818182</v>
      </c>
    </row>
    <row r="1918" spans="4:4" x14ac:dyDescent="0.4">
      <c r="D1918">
        <v>4.5454545454545456E-2</v>
      </c>
    </row>
    <row r="1919" spans="4:4" x14ac:dyDescent="0.4">
      <c r="D1919">
        <v>0.36363636363636365</v>
      </c>
    </row>
    <row r="1920" spans="4:4" x14ac:dyDescent="0.4">
      <c r="D1920">
        <v>0.2</v>
      </c>
    </row>
    <row r="1921" spans="4:4" x14ac:dyDescent="0.4">
      <c r="D1921">
        <v>9.5238095238095233E-2</v>
      </c>
    </row>
    <row r="1922" spans="4:4" x14ac:dyDescent="0.4">
      <c r="D1922">
        <v>0.18181818181818182</v>
      </c>
    </row>
    <row r="1923" spans="4:4" x14ac:dyDescent="0.4">
      <c r="D1923">
        <v>0.2</v>
      </c>
    </row>
    <row r="1924" spans="4:4" x14ac:dyDescent="0.4">
      <c r="D1924">
        <v>4.1666666666666664E-2</v>
      </c>
    </row>
    <row r="1925" spans="4:4" x14ac:dyDescent="0.4">
      <c r="D1925">
        <v>0.2</v>
      </c>
    </row>
    <row r="1926" spans="4:4" x14ac:dyDescent="0.4">
      <c r="D1926">
        <v>0</v>
      </c>
    </row>
    <row r="1927" spans="4:4" x14ac:dyDescent="0.4">
      <c r="D1927">
        <v>0.19047619047619047</v>
      </c>
    </row>
    <row r="1928" spans="4:4" x14ac:dyDescent="0.4">
      <c r="D1928">
        <v>9.5238095238095233E-2</v>
      </c>
    </row>
    <row r="1929" spans="4:4" x14ac:dyDescent="0.4">
      <c r="D1929">
        <v>0.25</v>
      </c>
    </row>
    <row r="1930" spans="4:4" x14ac:dyDescent="0.4">
      <c r="D1930">
        <v>0.5</v>
      </c>
    </row>
    <row r="1931" spans="4:4" x14ac:dyDescent="0.4">
      <c r="D1931">
        <v>0.15</v>
      </c>
    </row>
    <row r="1932" spans="4:4" x14ac:dyDescent="0.4">
      <c r="D1932">
        <v>0.12121212121212122</v>
      </c>
    </row>
    <row r="1933" spans="4:4" x14ac:dyDescent="0.4">
      <c r="D1933">
        <v>0.18181818181818182</v>
      </c>
    </row>
    <row r="1934" spans="4:4" x14ac:dyDescent="0.4">
      <c r="D1934">
        <v>0</v>
      </c>
    </row>
    <row r="1935" spans="4:4" x14ac:dyDescent="0.4">
      <c r="D1935">
        <v>0.5</v>
      </c>
    </row>
    <row r="1936" spans="4:4" x14ac:dyDescent="0.4">
      <c r="D1936">
        <v>0</v>
      </c>
    </row>
    <row r="1937" spans="4:4" x14ac:dyDescent="0.4">
      <c r="D1937">
        <v>0.4</v>
      </c>
    </row>
    <row r="1938" spans="4:4" x14ac:dyDescent="0.4">
      <c r="D1938">
        <v>0</v>
      </c>
    </row>
    <row r="1939" spans="4:4" x14ac:dyDescent="0.4">
      <c r="D1939">
        <v>0.1</v>
      </c>
    </row>
    <row r="1940" spans="4:4" x14ac:dyDescent="0.4">
      <c r="D1940">
        <v>0</v>
      </c>
    </row>
    <row r="1941" spans="4:4" x14ac:dyDescent="0.4">
      <c r="D1941">
        <v>0.33333333333333331</v>
      </c>
    </row>
    <row r="1942" spans="4:4" x14ac:dyDescent="0.4">
      <c r="D1942">
        <v>0.15384615384615385</v>
      </c>
    </row>
    <row r="1943" spans="4:4" x14ac:dyDescent="0.4">
      <c r="D1943">
        <v>0.33333333333333331</v>
      </c>
    </row>
    <row r="1944" spans="4:4" x14ac:dyDescent="0.4">
      <c r="D1944">
        <v>0.16666666666666666</v>
      </c>
    </row>
    <row r="1945" spans="4:4" x14ac:dyDescent="0.4">
      <c r="D1945">
        <v>0.36363636363636365</v>
      </c>
    </row>
    <row r="1946" spans="4:4" x14ac:dyDescent="0.4">
      <c r="D1946">
        <v>0.18181818181818182</v>
      </c>
    </row>
    <row r="1947" spans="4:4" x14ac:dyDescent="0.4">
      <c r="D1947">
        <v>0.2</v>
      </c>
    </row>
    <row r="1948" spans="4:4" x14ac:dyDescent="0.4">
      <c r="D1948">
        <v>0.15789473684210525</v>
      </c>
    </row>
    <row r="1949" spans="4:4" x14ac:dyDescent="0.4">
      <c r="D1949">
        <v>9.7560975609756101E-2</v>
      </c>
    </row>
    <row r="1950" spans="4:4" x14ac:dyDescent="0.4">
      <c r="D1950">
        <v>2.0408163265306121E-2</v>
      </c>
    </row>
    <row r="1951" spans="4:4" x14ac:dyDescent="0.4">
      <c r="D1951">
        <v>0.5</v>
      </c>
    </row>
    <row r="1952" spans="4:4" x14ac:dyDescent="0.4">
      <c r="D1952">
        <v>0.125</v>
      </c>
    </row>
    <row r="1953" spans="4:4" x14ac:dyDescent="0.4">
      <c r="D1953">
        <v>0.23529411764705882</v>
      </c>
    </row>
    <row r="1954" spans="4:4" x14ac:dyDescent="0.4">
      <c r="D1954">
        <v>5.5555555555555552E-2</v>
      </c>
    </row>
    <row r="1955" spans="4:4" x14ac:dyDescent="0.4">
      <c r="D1955">
        <v>0.44444444444444442</v>
      </c>
    </row>
    <row r="1956" spans="4:4" x14ac:dyDescent="0.4">
      <c r="D1956">
        <v>0.14285714285714285</v>
      </c>
    </row>
    <row r="1957" spans="4:4" x14ac:dyDescent="0.4">
      <c r="D1957">
        <v>0.5</v>
      </c>
    </row>
    <row r="1958" spans="4:4" x14ac:dyDescent="0.4">
      <c r="D1958">
        <v>0</v>
      </c>
    </row>
    <row r="1959" spans="4:4" x14ac:dyDescent="0.4">
      <c r="D1959">
        <v>0</v>
      </c>
    </row>
    <row r="1960" spans="4:4" x14ac:dyDescent="0.4">
      <c r="D1960">
        <v>0.44444444444444442</v>
      </c>
    </row>
    <row r="1961" spans="4:4" x14ac:dyDescent="0.4">
      <c r="D1961">
        <v>0.10256410256410256</v>
      </c>
    </row>
    <row r="1962" spans="4:4" x14ac:dyDescent="0.4">
      <c r="D1962">
        <v>0</v>
      </c>
    </row>
    <row r="1963" spans="4:4" x14ac:dyDescent="0.4">
      <c r="D1963">
        <v>0.33333333333333331</v>
      </c>
    </row>
    <row r="1964" spans="4:4" x14ac:dyDescent="0.4">
      <c r="D1964">
        <v>0</v>
      </c>
    </row>
    <row r="1965" spans="4:4" x14ac:dyDescent="0.4">
      <c r="D1965">
        <v>7.2727272727272724E-2</v>
      </c>
    </row>
    <row r="1966" spans="4:4" x14ac:dyDescent="0.4">
      <c r="D1966">
        <v>1.2345679012345678E-2</v>
      </c>
    </row>
    <row r="1967" spans="4:4" x14ac:dyDescent="0.4">
      <c r="D1967">
        <v>8.5106382978723402E-2</v>
      </c>
    </row>
    <row r="1968" spans="4:4" x14ac:dyDescent="0.4">
      <c r="D1968">
        <v>5.4545454545454543E-2</v>
      </c>
    </row>
    <row r="1969" spans="4:4" x14ac:dyDescent="0.4">
      <c r="D1969">
        <v>0.33333333333333331</v>
      </c>
    </row>
    <row r="1970" spans="4:4" x14ac:dyDescent="0.4">
      <c r="D1970">
        <v>0.44444444444444442</v>
      </c>
    </row>
    <row r="1971" spans="4:4" x14ac:dyDescent="0.4">
      <c r="D1971">
        <v>0.44444444444444442</v>
      </c>
    </row>
    <row r="1972" spans="4:4" x14ac:dyDescent="0.4">
      <c r="D1972">
        <v>0.125</v>
      </c>
    </row>
    <row r="1973" spans="4:4" x14ac:dyDescent="0.4">
      <c r="D1973">
        <v>0.5714285714285714</v>
      </c>
    </row>
    <row r="1974" spans="4:4" x14ac:dyDescent="0.4">
      <c r="D1974">
        <v>0.375</v>
      </c>
    </row>
    <row r="1975" spans="4:4" x14ac:dyDescent="0.4">
      <c r="D1975">
        <v>0.33333333333333331</v>
      </c>
    </row>
    <row r="1976" spans="4:4" x14ac:dyDescent="0.4">
      <c r="D1976">
        <v>0.18181818181818182</v>
      </c>
    </row>
    <row r="1977" spans="4:4" x14ac:dyDescent="0.4">
      <c r="D1977">
        <v>0.66666666666666663</v>
      </c>
    </row>
    <row r="1978" spans="4:4" x14ac:dyDescent="0.4">
      <c r="D1978">
        <v>0.16666666666666666</v>
      </c>
    </row>
    <row r="1979" spans="4:4" x14ac:dyDescent="0.4">
      <c r="D1979">
        <v>0.33333333333333331</v>
      </c>
    </row>
    <row r="1980" spans="4:4" x14ac:dyDescent="0.4">
      <c r="D1980">
        <v>0</v>
      </c>
    </row>
    <row r="1981" spans="4:4" x14ac:dyDescent="0.4">
      <c r="D1981">
        <v>0.5714285714285714</v>
      </c>
    </row>
    <row r="1982" spans="4:4" x14ac:dyDescent="0.4">
      <c r="D1982">
        <v>0.14285714285714285</v>
      </c>
    </row>
    <row r="1983" spans="4:4" x14ac:dyDescent="0.4">
      <c r="D1983">
        <v>0.30769230769230771</v>
      </c>
    </row>
    <row r="1984" spans="4:4" x14ac:dyDescent="0.4">
      <c r="D1984">
        <v>0.15384615384615385</v>
      </c>
    </row>
    <row r="1985" spans="4:4" x14ac:dyDescent="0.4">
      <c r="D1985">
        <v>6.4516129032258063E-2</v>
      </c>
    </row>
    <row r="1986" spans="4:4" x14ac:dyDescent="0.4">
      <c r="D1986">
        <v>4.2857142857142858E-2</v>
      </c>
    </row>
    <row r="1987" spans="4:4" x14ac:dyDescent="0.4">
      <c r="D1987">
        <v>0.18181818181818182</v>
      </c>
    </row>
    <row r="1988" spans="4:4" x14ac:dyDescent="0.4">
      <c r="D1988">
        <v>4.7619047619047616E-2</v>
      </c>
    </row>
    <row r="1989" spans="4:4" x14ac:dyDescent="0.4">
      <c r="D1989">
        <v>0.2857142857142857</v>
      </c>
    </row>
    <row r="1990" spans="4:4" x14ac:dyDescent="0.4">
      <c r="D1990">
        <v>0.15384615384615385</v>
      </c>
    </row>
    <row r="1991" spans="4:4" x14ac:dyDescent="0.4">
      <c r="D1991">
        <v>0.33333333333333331</v>
      </c>
    </row>
    <row r="1992" spans="4:4" x14ac:dyDescent="0.4">
      <c r="D1992">
        <v>0</v>
      </c>
    </row>
    <row r="1993" spans="4:4" x14ac:dyDescent="0.4">
      <c r="D1993">
        <v>0.26666666666666666</v>
      </c>
    </row>
    <row r="1994" spans="4:4" x14ac:dyDescent="0.4">
      <c r="D1994">
        <v>0.2</v>
      </c>
    </row>
    <row r="1995" spans="4:4" x14ac:dyDescent="0.4">
      <c r="D1995">
        <v>0.5714285714285714</v>
      </c>
    </row>
    <row r="1996" spans="4:4" x14ac:dyDescent="0.4">
      <c r="D1996">
        <v>0.42857142857142855</v>
      </c>
    </row>
    <row r="1997" spans="4:4" x14ac:dyDescent="0.4">
      <c r="D1997">
        <v>0.36363636363636365</v>
      </c>
    </row>
    <row r="1998" spans="4:4" x14ac:dyDescent="0.4">
      <c r="D1998">
        <v>0.2</v>
      </c>
    </row>
    <row r="1999" spans="4:4" x14ac:dyDescent="0.4">
      <c r="D1999">
        <v>0.3</v>
      </c>
    </row>
    <row r="2000" spans="4:4" x14ac:dyDescent="0.4">
      <c r="D2000">
        <v>6.3492063492063489E-2</v>
      </c>
    </row>
    <row r="2001" spans="4:4" x14ac:dyDescent="0.4">
      <c r="D2001">
        <v>0.18181818181818182</v>
      </c>
    </row>
    <row r="2002" spans="4:4" x14ac:dyDescent="0.4">
      <c r="D2002">
        <v>0.36363636363636365</v>
      </c>
    </row>
    <row r="2003" spans="4:4" x14ac:dyDescent="0.4">
      <c r="D2003">
        <v>0.26666666666666666</v>
      </c>
    </row>
    <row r="2004" spans="4:4" x14ac:dyDescent="0.4">
      <c r="D2004">
        <v>0.04</v>
      </c>
    </row>
    <row r="2005" spans="4:4" x14ac:dyDescent="0.4">
      <c r="D2005">
        <v>0.2857142857142857</v>
      </c>
    </row>
    <row r="2006" spans="4:4" x14ac:dyDescent="0.4">
      <c r="D2006">
        <v>0</v>
      </c>
    </row>
  </sheetData>
  <mergeCells count="6">
    <mergeCell ref="I5:P6"/>
    <mergeCell ref="E1:P4"/>
    <mergeCell ref="A5:B5"/>
    <mergeCell ref="C5:D5"/>
    <mergeCell ref="E5:F5"/>
    <mergeCell ref="G5:H5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CA_Origin vs TT_Origin</vt:lpstr>
      <vt:lpstr>CA_Origin vs TT_MissReward</vt:lpstr>
      <vt:lpstr>CA_MissReward vs TT_Origin</vt:lpstr>
      <vt:lpstr>CA_MissReward vs TT_MissReward</vt:lpstr>
      <vt:lpstr>통합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이수환</dc:creator>
  <cp:lastModifiedBy>이수환</cp:lastModifiedBy>
  <dcterms:created xsi:type="dcterms:W3CDTF">2024-12-12T08:11:41Z</dcterms:created>
  <dcterms:modified xsi:type="dcterms:W3CDTF">2025-11-18T03:52:07Z</dcterms:modified>
</cp:coreProperties>
</file>